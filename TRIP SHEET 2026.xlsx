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c9be3e2fed6e6ba/TRANSIT CARS/SH MALIK LOGISTIC CO LTD/FILES/2026/"/>
    </mc:Choice>
  </mc:AlternateContent>
  <xr:revisionPtr revIDLastSave="164" documentId="13_ncr:1_{12603FFD-19F4-4104-B1C2-7BE7A16E9DE4}" xr6:coauthVersionLast="47" xr6:coauthVersionMax="47" xr10:uidLastSave="{F50C3E19-F07E-47DD-B05C-E2BFB1A2B519}"/>
  <bookViews>
    <workbookView xWindow="-110" yWindow="-110" windowWidth="19420" windowHeight="10300" activeTab="1" xr2:uid="{00000000-000D-0000-FFFF-FFFF00000000}"/>
  </bookViews>
  <sheets>
    <sheet name="Employment Tax" sheetId="1" r:id="rId1"/>
    <sheet name="P &amp; L" sheetId="2" r:id="rId2"/>
    <sheet name="DEBTO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401" i="2" l="1"/>
  <c r="F3400" i="2"/>
  <c r="F3402" i="2" s="1"/>
  <c r="F3375" i="2"/>
  <c r="F3350" i="2"/>
  <c r="F3349" i="2"/>
  <c r="F3348" i="2"/>
  <c r="F3323" i="2"/>
  <c r="L250" i="3"/>
  <c r="M250" i="3" s="1"/>
  <c r="F3453" i="2"/>
  <c r="L254" i="3"/>
  <c r="M254" i="3" s="1"/>
  <c r="F2855" i="2"/>
  <c r="F3297" i="2"/>
  <c r="M225" i="3"/>
  <c r="L225" i="3"/>
  <c r="F3427" i="2"/>
  <c r="F3115" i="2"/>
  <c r="M245" i="3"/>
  <c r="L245" i="3"/>
  <c r="L243" i="3"/>
  <c r="M243" i="3" s="1"/>
  <c r="F3219" i="2"/>
  <c r="F3218" i="2"/>
  <c r="F3220" i="2" s="1"/>
  <c r="F3167" i="2"/>
  <c r="F3166" i="2"/>
  <c r="F3168" i="2" s="1"/>
  <c r="F3193" i="2"/>
  <c r="F3192" i="2"/>
  <c r="F3194" i="2" s="1"/>
  <c r="F3245" i="2"/>
  <c r="M246" i="3"/>
  <c r="L246" i="3"/>
  <c r="F3271" i="2"/>
  <c r="D3713" i="2"/>
  <c r="F3712" i="2"/>
  <c r="D3705" i="2" s="1"/>
  <c r="D3712" i="2"/>
  <c r="D3709" i="2"/>
  <c r="D3721" i="2" s="1"/>
  <c r="B3708" i="2"/>
  <c r="F3686" i="2"/>
  <c r="F3688" i="2" s="1"/>
  <c r="G3688" i="2" s="1"/>
  <c r="D3695" i="2"/>
  <c r="D3687" i="2"/>
  <c r="D3686" i="2"/>
  <c r="D3683" i="2"/>
  <c r="B3682" i="2"/>
  <c r="D3723" i="2" l="1"/>
  <c r="F3714" i="2"/>
  <c r="G3714" i="2" s="1"/>
  <c r="D3679" i="2"/>
  <c r="D3697" i="2" s="1"/>
  <c r="D2548" i="2" l="1"/>
  <c r="D2542" i="2"/>
  <c r="D2541" i="2"/>
  <c r="D2538" i="2"/>
  <c r="D2537" i="2"/>
  <c r="D2017" i="2"/>
  <c r="D2043" i="2"/>
  <c r="D2069" i="2"/>
  <c r="D2095" i="2"/>
  <c r="D2121" i="2"/>
  <c r="D2147" i="2"/>
  <c r="D2173" i="2"/>
  <c r="D2199" i="2"/>
  <c r="D2225" i="2"/>
  <c r="D2251" i="2"/>
  <c r="D2277" i="2"/>
  <c r="D2303" i="2"/>
  <c r="D2329" i="2"/>
  <c r="D2355" i="2"/>
  <c r="D2381" i="2"/>
  <c r="D2407" i="2"/>
  <c r="D2433" i="2"/>
  <c r="D2485" i="2"/>
  <c r="D2496" i="2"/>
  <c r="D2490" i="2"/>
  <c r="D2489" i="2"/>
  <c r="D2486" i="2"/>
  <c r="D2444" i="2"/>
  <c r="D2437" i="2"/>
  <c r="D2438" i="2"/>
  <c r="D2184" i="2"/>
  <c r="D2178" i="2"/>
  <c r="D2177" i="2"/>
  <c r="D2174" i="2"/>
  <c r="D2054" i="2" l="1"/>
  <c r="D2048" i="2"/>
  <c r="D2047" i="2"/>
  <c r="D2044" i="2"/>
  <c r="D3671" i="2"/>
  <c r="D3669" i="2"/>
  <c r="G3662" i="2"/>
  <c r="F3662" i="2"/>
  <c r="D3661" i="2"/>
  <c r="F3660" i="2"/>
  <c r="D3660" i="2"/>
  <c r="D3657" i="2"/>
  <c r="B3656" i="2"/>
  <c r="D3653" i="2"/>
  <c r="D2678" i="2" l="1"/>
  <c r="D2672" i="2"/>
  <c r="D2671" i="2"/>
  <c r="D2668" i="2"/>
  <c r="D2667" i="2"/>
  <c r="D2652" i="2"/>
  <c r="D2646" i="2"/>
  <c r="D2645" i="2"/>
  <c r="D2642" i="2"/>
  <c r="D2641" i="2"/>
  <c r="D2626" i="2"/>
  <c r="D2620" i="2"/>
  <c r="D2619" i="2"/>
  <c r="D2615" i="2"/>
  <c r="F3089" i="2"/>
  <c r="F3088" i="2"/>
  <c r="F3090" i="2" s="1"/>
  <c r="F3037" i="2"/>
  <c r="F3036" i="2"/>
  <c r="F3038" i="2" s="1"/>
  <c r="F3063" i="2"/>
  <c r="F3062" i="2"/>
  <c r="F3064" i="2" s="1"/>
  <c r="F3011" i="2"/>
  <c r="L240" i="3"/>
  <c r="M240" i="3" s="1"/>
  <c r="M238" i="3"/>
  <c r="L238" i="3"/>
  <c r="M239" i="3"/>
  <c r="L239" i="3"/>
  <c r="F3636" i="2"/>
  <c r="G3636" i="2" s="1"/>
  <c r="F3635" i="2"/>
  <c r="D3635" i="2"/>
  <c r="F3634" i="2"/>
  <c r="D3627" i="2" s="1"/>
  <c r="D3645" i="2" s="1"/>
  <c r="D3634" i="2"/>
  <c r="D3631" i="2"/>
  <c r="D3630" i="2"/>
  <c r="D3643" i="2" s="1"/>
  <c r="B3630" i="2"/>
  <c r="F3610" i="2"/>
  <c r="G3610" i="2" s="1"/>
  <c r="F3609" i="2"/>
  <c r="D3609" i="2"/>
  <c r="F3608" i="2"/>
  <c r="D3608" i="2"/>
  <c r="D3605" i="2"/>
  <c r="D3604" i="2"/>
  <c r="D3617" i="2" s="1"/>
  <c r="B3604" i="2"/>
  <c r="D3601" i="2"/>
  <c r="D3619" i="2" s="1"/>
  <c r="D3591" i="2"/>
  <c r="F3584" i="2"/>
  <c r="G3584" i="2" s="1"/>
  <c r="F3583" i="2"/>
  <c r="D3583" i="2"/>
  <c r="F3582" i="2"/>
  <c r="D3582" i="2"/>
  <c r="D3579" i="2"/>
  <c r="D3578" i="2"/>
  <c r="B3578" i="2"/>
  <c r="D3575" i="2"/>
  <c r="D3593" i="2" s="1"/>
  <c r="D3556" i="2" l="1"/>
  <c r="D3557" i="2"/>
  <c r="D3552" i="2"/>
  <c r="F3557" i="2"/>
  <c r="F3556" i="2"/>
  <c r="D3553" i="2"/>
  <c r="B3552" i="2"/>
  <c r="D3549" i="2"/>
  <c r="L219" i="3"/>
  <c r="M219" i="3" s="1"/>
  <c r="K219" i="3"/>
  <c r="M218" i="3"/>
  <c r="L218" i="3"/>
  <c r="K218" i="3"/>
  <c r="L217" i="3"/>
  <c r="K217" i="3"/>
  <c r="M217" i="3" s="1"/>
  <c r="L216" i="3"/>
  <c r="K216" i="3"/>
  <c r="M216" i="3" s="1"/>
  <c r="L215" i="3"/>
  <c r="K215" i="3"/>
  <c r="M215" i="3" s="1"/>
  <c r="L214" i="3"/>
  <c r="K214" i="3"/>
  <c r="M214" i="3" s="1"/>
  <c r="L213" i="3"/>
  <c r="K213" i="3"/>
  <c r="M213" i="3" s="1"/>
  <c r="L212" i="3"/>
  <c r="K212" i="3"/>
  <c r="M212" i="3" s="1"/>
  <c r="L211" i="3"/>
  <c r="M211" i="3" s="1"/>
  <c r="K211" i="3"/>
  <c r="M210" i="3"/>
  <c r="L210" i="3"/>
  <c r="K210" i="3"/>
  <c r="L209" i="3"/>
  <c r="K209" i="3"/>
  <c r="M209" i="3" s="1"/>
  <c r="L208" i="3"/>
  <c r="K208" i="3"/>
  <c r="M208" i="3" s="1"/>
  <c r="K207" i="3"/>
  <c r="D2600" i="2"/>
  <c r="D2594" i="2"/>
  <c r="D2593" i="2"/>
  <c r="D2590" i="2"/>
  <c r="D2589" i="2"/>
  <c r="D2470" i="2"/>
  <c r="D2464" i="2"/>
  <c r="D2463" i="2"/>
  <c r="D2460" i="2"/>
  <c r="D2459" i="2"/>
  <c r="D2522" i="2"/>
  <c r="D2515" i="2"/>
  <c r="D2516" i="2"/>
  <c r="D2511" i="2"/>
  <c r="D3531" i="2"/>
  <c r="F3530" i="2"/>
  <c r="D3523" i="2" s="1"/>
  <c r="D3541" i="2" s="1"/>
  <c r="D3530" i="2"/>
  <c r="D3527" i="2"/>
  <c r="D3539" i="2" s="1"/>
  <c r="B3526" i="2"/>
  <c r="D3513" i="2"/>
  <c r="F3506" i="2"/>
  <c r="G3506" i="2" s="1"/>
  <c r="D3505" i="2"/>
  <c r="F3504" i="2"/>
  <c r="D3504" i="2"/>
  <c r="D3501" i="2"/>
  <c r="B3500" i="2"/>
  <c r="D3497" i="2"/>
  <c r="D3515" i="2" s="1"/>
  <c r="D3487" i="2"/>
  <c r="F3480" i="2"/>
  <c r="G3480" i="2" s="1"/>
  <c r="D3479" i="2"/>
  <c r="F3478" i="2"/>
  <c r="D3478" i="2"/>
  <c r="D3475" i="2"/>
  <c r="B3474" i="2"/>
  <c r="D3471" i="2"/>
  <c r="D3489" i="2" s="1"/>
  <c r="D3453" i="2"/>
  <c r="F3452" i="2"/>
  <c r="D3445" i="2" s="1"/>
  <c r="D3452" i="2"/>
  <c r="D3449" i="2"/>
  <c r="D3461" i="2" s="1"/>
  <c r="B3448" i="2"/>
  <c r="D3435" i="2"/>
  <c r="F3428" i="2"/>
  <c r="G3428" i="2" s="1"/>
  <c r="D3427" i="2"/>
  <c r="F3426" i="2"/>
  <c r="D3426" i="2"/>
  <c r="D3423" i="2"/>
  <c r="B3422" i="2"/>
  <c r="D3419" i="2"/>
  <c r="D3437" i="2" s="1"/>
  <c r="D3401" i="2"/>
  <c r="D3409" i="2" s="1"/>
  <c r="G3402" i="2"/>
  <c r="D3400" i="2"/>
  <c r="D3397" i="2"/>
  <c r="B3396" i="2"/>
  <c r="D3393" i="2"/>
  <c r="D3383" i="2"/>
  <c r="D3375" i="2"/>
  <c r="F3374" i="2"/>
  <c r="F3376" i="2" s="1"/>
  <c r="G3376" i="2" s="1"/>
  <c r="D3374" i="2"/>
  <c r="D3371" i="2"/>
  <c r="B3370" i="2"/>
  <c r="D3367" i="2"/>
  <c r="D3385" i="2" s="1"/>
  <c r="D3357" i="2"/>
  <c r="D3349" i="2"/>
  <c r="G3350" i="2"/>
  <c r="D3348" i="2"/>
  <c r="D3345" i="2"/>
  <c r="B3344" i="2"/>
  <c r="D3341" i="2"/>
  <c r="D3359" i="2" s="1"/>
  <c r="F3324" i="2"/>
  <c r="G3324" i="2" s="1"/>
  <c r="D3323" i="2"/>
  <c r="F3322" i="2"/>
  <c r="D3322" i="2"/>
  <c r="D3319" i="2"/>
  <c r="D3331" i="2" s="1"/>
  <c r="B3318" i="2"/>
  <c r="D3315" i="2"/>
  <c r="D3333" i="2" s="1"/>
  <c r="D3305" i="2"/>
  <c r="F3298" i="2"/>
  <c r="G3298" i="2" s="1"/>
  <c r="D3297" i="2"/>
  <c r="F3296" i="2"/>
  <c r="D3296" i="2"/>
  <c r="D3293" i="2"/>
  <c r="B3292" i="2"/>
  <c r="D3289" i="2"/>
  <c r="D3307" i="2" s="1"/>
  <c r="I249" i="3"/>
  <c r="D3565" i="2" l="1"/>
  <c r="D3567" i="2" s="1"/>
  <c r="F3558" i="2"/>
  <c r="G3558" i="2" s="1"/>
  <c r="F3532" i="2"/>
  <c r="G3532" i="2" s="1"/>
  <c r="D3463" i="2"/>
  <c r="F3454" i="2"/>
  <c r="G3454" i="2" s="1"/>
  <c r="D3411" i="2"/>
  <c r="D3279" i="2"/>
  <c r="F3272" i="2"/>
  <c r="G3272" i="2" s="1"/>
  <c r="D3271" i="2"/>
  <c r="F3270" i="2"/>
  <c r="D3270" i="2"/>
  <c r="D3267" i="2"/>
  <c r="B3266" i="2"/>
  <c r="D3263" i="2"/>
  <c r="D3281" i="2" s="1"/>
  <c r="D3245" i="2"/>
  <c r="F3244" i="2"/>
  <c r="D3237" i="2" s="1"/>
  <c r="D3255" i="2" s="1"/>
  <c r="D3244" i="2"/>
  <c r="D3241" i="2"/>
  <c r="D3253" i="2" s="1"/>
  <c r="B3240" i="2"/>
  <c r="D3227" i="2"/>
  <c r="G3220" i="2"/>
  <c r="D3219" i="2"/>
  <c r="D3218" i="2"/>
  <c r="D3215" i="2"/>
  <c r="B3214" i="2"/>
  <c r="D3211" i="2"/>
  <c r="D3229" i="2" s="1"/>
  <c r="D3201" i="2"/>
  <c r="D3193" i="2"/>
  <c r="G3194" i="2"/>
  <c r="D3192" i="2"/>
  <c r="D3189" i="2"/>
  <c r="B3188" i="2"/>
  <c r="D3175" i="2"/>
  <c r="D3167" i="2"/>
  <c r="G3168" i="2"/>
  <c r="D3166" i="2"/>
  <c r="D3163" i="2"/>
  <c r="B3162" i="2"/>
  <c r="D3159" i="2"/>
  <c r="D3177" i="2" s="1"/>
  <c r="D3149" i="2"/>
  <c r="F3142" i="2"/>
  <c r="G3142" i="2" s="1"/>
  <c r="D3141" i="2"/>
  <c r="F3140" i="2"/>
  <c r="D3140" i="2"/>
  <c r="D3137" i="2"/>
  <c r="B3136" i="2"/>
  <c r="D3133" i="2"/>
  <c r="D3151" i="2" s="1"/>
  <c r="D3125" i="2"/>
  <c r="D3123" i="2"/>
  <c r="F3116" i="2"/>
  <c r="G3116" i="2" s="1"/>
  <c r="D3115" i="2"/>
  <c r="F3114" i="2"/>
  <c r="D3114" i="2"/>
  <c r="D3111" i="2"/>
  <c r="B3110" i="2"/>
  <c r="D3107" i="2"/>
  <c r="F3246" i="2" l="1"/>
  <c r="G3246" i="2" s="1"/>
  <c r="D3185" i="2"/>
  <c r="D3203" i="2" s="1"/>
  <c r="F2828" i="2" l="1"/>
  <c r="F2827" i="2"/>
  <c r="F2829" i="2" s="1"/>
  <c r="F2802" i="2"/>
  <c r="F1472" i="2"/>
  <c r="F1394" i="2"/>
  <c r="F1393" i="2"/>
  <c r="F1395" i="2" s="1"/>
  <c r="F1525" i="2"/>
  <c r="L109" i="3" l="1"/>
  <c r="M109" i="3" s="1"/>
  <c r="F1500" i="2"/>
  <c r="F1499" i="2"/>
  <c r="F1498" i="2"/>
  <c r="F1446" i="2"/>
  <c r="F1420" i="2"/>
  <c r="F2750" i="2"/>
  <c r="F2749" i="2"/>
  <c r="F2751" i="2" s="1"/>
  <c r="F2724" i="2"/>
  <c r="L230" i="3" l="1"/>
  <c r="M230" i="3" s="1"/>
  <c r="M229" i="3"/>
  <c r="L229" i="3"/>
  <c r="L226" i="3"/>
  <c r="M226" i="3" s="1"/>
  <c r="F2881" i="2"/>
  <c r="F2880" i="2"/>
  <c r="F2882" i="2" s="1"/>
  <c r="F2959" i="2"/>
  <c r="F2958" i="2"/>
  <c r="F2960" i="2" s="1"/>
  <c r="F2934" i="2"/>
  <c r="F2933" i="2"/>
  <c r="F2932" i="2"/>
  <c r="F2907" i="2"/>
  <c r="L228" i="3"/>
  <c r="M228" i="3" s="1"/>
  <c r="D3089" i="2"/>
  <c r="D3081" i="2"/>
  <c r="D3088" i="2"/>
  <c r="D3085" i="2"/>
  <c r="D3097" i="2" s="1"/>
  <c r="B3084" i="2"/>
  <c r="G3064" i="2"/>
  <c r="D3063" i="2"/>
  <c r="D3062" i="2"/>
  <c r="D3059" i="2"/>
  <c r="D3071" i="2" s="1"/>
  <c r="B3058" i="2"/>
  <c r="D3055" i="2"/>
  <c r="D3073" i="2" s="1"/>
  <c r="D3099" i="2" l="1"/>
  <c r="G3090" i="2"/>
  <c r="D3045" i="2"/>
  <c r="G3038" i="2"/>
  <c r="D3037" i="2"/>
  <c r="D3036" i="2"/>
  <c r="D3033" i="2"/>
  <c r="B3032" i="2"/>
  <c r="D3029" i="2"/>
  <c r="D3047" i="2" s="1"/>
  <c r="D3011" i="2"/>
  <c r="D3010" i="2"/>
  <c r="D3007" i="2"/>
  <c r="D3019" i="2"/>
  <c r="F3012" i="2"/>
  <c r="G3012" i="2" s="1"/>
  <c r="F3010" i="2"/>
  <c r="B3006" i="2"/>
  <c r="D3003" i="2"/>
  <c r="D3021" i="2" l="1"/>
  <c r="D2366" i="2" l="1"/>
  <c r="D2360" i="2"/>
  <c r="D2359" i="2"/>
  <c r="D2340" i="2"/>
  <c r="D2334" i="2"/>
  <c r="D2333" i="2"/>
  <c r="D2080" i="2" l="1"/>
  <c r="D2074" i="2"/>
  <c r="D2073" i="2"/>
  <c r="D2070" i="2"/>
  <c r="F1368" i="2"/>
  <c r="F1342" i="2"/>
  <c r="F1683" i="2"/>
  <c r="F1631" i="2"/>
  <c r="F1657" i="2"/>
  <c r="F1605" i="2"/>
  <c r="F1107" i="2"/>
  <c r="F1055" i="2"/>
  <c r="Q140" i="3"/>
  <c r="R140" i="3" s="1"/>
  <c r="R138" i="3"/>
  <c r="Q138" i="3"/>
  <c r="F1551" i="2"/>
  <c r="F1315" i="2"/>
  <c r="F1289" i="2"/>
  <c r="F1185" i="2"/>
  <c r="F1159" i="2"/>
  <c r="F1133" i="2"/>
  <c r="F1081" i="2"/>
  <c r="D2993" i="2" l="1"/>
  <c r="F2986" i="2"/>
  <c r="G2986" i="2" s="1"/>
  <c r="D2985" i="2"/>
  <c r="F2984" i="2"/>
  <c r="D2984" i="2"/>
  <c r="D2981" i="2"/>
  <c r="B2980" i="2"/>
  <c r="D2977" i="2"/>
  <c r="G2960" i="2"/>
  <c r="D2959" i="2"/>
  <c r="D2958" i="2"/>
  <c r="D2955" i="2"/>
  <c r="D2967" i="2"/>
  <c r="B2954" i="2"/>
  <c r="D2951" i="2"/>
  <c r="D2933" i="2"/>
  <c r="D2925" i="2"/>
  <c r="D2932" i="2"/>
  <c r="D2929" i="2"/>
  <c r="D2941" i="2"/>
  <c r="B2928" i="2"/>
  <c r="D2907" i="2"/>
  <c r="F2906" i="2"/>
  <c r="D2899" i="2" s="1"/>
  <c r="D2906" i="2"/>
  <c r="D2903" i="2"/>
  <c r="D2915" i="2"/>
  <c r="B2902" i="2"/>
  <c r="D2880" i="2"/>
  <c r="D2889" i="2" s="1"/>
  <c r="D2881" i="2"/>
  <c r="D2877" i="2"/>
  <c r="G2882" i="2"/>
  <c r="B2876" i="2"/>
  <c r="D2917" i="2" l="1"/>
  <c r="D2995" i="2"/>
  <c r="D2969" i="2"/>
  <c r="D2943" i="2"/>
  <c r="G2934" i="2"/>
  <c r="F2908" i="2"/>
  <c r="G2908" i="2" s="1"/>
  <c r="D2873" i="2"/>
  <c r="D2891" i="2" s="1"/>
  <c r="F2854" i="2"/>
  <c r="F2856" i="2" s="1"/>
  <c r="G2856" i="2" s="1"/>
  <c r="D2863" i="2"/>
  <c r="D2855" i="2"/>
  <c r="D2854" i="2"/>
  <c r="D2851" i="2"/>
  <c r="B2850" i="2"/>
  <c r="D2847" i="2" l="1"/>
  <c r="D2865" i="2" s="1"/>
  <c r="D2828" i="2"/>
  <c r="D2820" i="2"/>
  <c r="D2827" i="2"/>
  <c r="D2824" i="2"/>
  <c r="D2836" i="2" s="1"/>
  <c r="B2823" i="2"/>
  <c r="F2803" i="2"/>
  <c r="G2803" i="2" s="1"/>
  <c r="D2802" i="2"/>
  <c r="F2801" i="2"/>
  <c r="D2801" i="2"/>
  <c r="D2798" i="2"/>
  <c r="D2810" i="2" s="1"/>
  <c r="D2812" i="2" s="1"/>
  <c r="B2797" i="2"/>
  <c r="D2794" i="2"/>
  <c r="D2776" i="2"/>
  <c r="F2775" i="2"/>
  <c r="F2777" i="2" s="1"/>
  <c r="G2777" i="2" s="1"/>
  <c r="D2775" i="2"/>
  <c r="D2772" i="2"/>
  <c r="D2784" i="2" s="1"/>
  <c r="B2771" i="2"/>
  <c r="D2768" i="2"/>
  <c r="D2838" i="2" l="1"/>
  <c r="G2829" i="2"/>
  <c r="D2786" i="2"/>
  <c r="G2751" i="2"/>
  <c r="D2750" i="2"/>
  <c r="D2749" i="2"/>
  <c r="D2746" i="2"/>
  <c r="D2758" i="2" s="1"/>
  <c r="D2760" i="2" s="1"/>
  <c r="B2745" i="2"/>
  <c r="D2742" i="2"/>
  <c r="D2724" i="2"/>
  <c r="D2723" i="2"/>
  <c r="D2720" i="2"/>
  <c r="F2723" i="2"/>
  <c r="F2725" i="2" s="1"/>
  <c r="G2725" i="2" s="1"/>
  <c r="D2732" i="2"/>
  <c r="B2719" i="2"/>
  <c r="D2716" i="2"/>
  <c r="D2314" i="2"/>
  <c r="D2307" i="2"/>
  <c r="D2308" i="2"/>
  <c r="D2158" i="2"/>
  <c r="D2152" i="2"/>
  <c r="D2151" i="2"/>
  <c r="D2148" i="2"/>
  <c r="F1263" i="2"/>
  <c r="F1237" i="2"/>
  <c r="F1211" i="2"/>
  <c r="F872" i="2"/>
  <c r="D2734" i="2" l="1"/>
  <c r="D2288" i="2"/>
  <c r="D2282" i="2"/>
  <c r="D2281" i="2" l="1"/>
  <c r="D2230" i="2"/>
  <c r="D2229" i="2"/>
  <c r="D2210" i="2"/>
  <c r="D2204" i="2"/>
  <c r="D2203" i="2"/>
  <c r="D2200" i="2"/>
  <c r="D2132" i="2"/>
  <c r="D2126" i="2"/>
  <c r="D2125" i="2"/>
  <c r="D2122" i="2"/>
  <c r="D2106" i="2"/>
  <c r="D2100" i="2"/>
  <c r="D2099" i="2"/>
  <c r="D2096" i="2"/>
  <c r="D2028" i="2" l="1"/>
  <c r="D2022" i="2"/>
  <c r="D2021" i="2"/>
  <c r="D2018" i="2"/>
  <c r="D1845" i="2" l="1"/>
  <c r="D1839" i="2"/>
  <c r="D1838" i="2"/>
  <c r="D1835" i="2"/>
  <c r="D1834" i="2"/>
  <c r="D1793" i="2"/>
  <c r="D1787" i="2"/>
  <c r="D1786" i="2"/>
  <c r="D1783" i="2"/>
  <c r="D1782" i="2"/>
  <c r="D1767" i="2"/>
  <c r="D1761" i="2"/>
  <c r="D1760" i="2"/>
  <c r="D1757" i="2"/>
  <c r="D1756" i="2"/>
  <c r="D1741" i="2" l="1"/>
  <c r="D1735" i="2"/>
  <c r="D1734" i="2"/>
  <c r="D1730" i="2"/>
  <c r="F2568" i="2"/>
  <c r="F2567" i="2"/>
  <c r="F2569" i="2" s="1"/>
  <c r="F2698" i="2"/>
  <c r="L195" i="3"/>
  <c r="M195" i="3" s="1"/>
  <c r="L182" i="3"/>
  <c r="K182" i="3"/>
  <c r="M182" i="3" s="1"/>
  <c r="L180" i="3"/>
  <c r="K180" i="3"/>
  <c r="M180" i="3" s="1"/>
  <c r="L179" i="3"/>
  <c r="K179" i="3"/>
  <c r="M179" i="3" s="1"/>
  <c r="L178" i="3"/>
  <c r="K178" i="3"/>
  <c r="M178" i="3" s="1"/>
  <c r="L177" i="3"/>
  <c r="K177" i="3"/>
  <c r="M177" i="3" s="1"/>
  <c r="L181" i="3"/>
  <c r="K181" i="3"/>
  <c r="M181" i="3" s="1"/>
  <c r="L173" i="3"/>
  <c r="K173" i="3"/>
  <c r="M173" i="3" s="1"/>
  <c r="L172" i="3"/>
  <c r="K172" i="3"/>
  <c r="M172" i="3" s="1"/>
  <c r="L171" i="3"/>
  <c r="M171" i="3" s="1"/>
  <c r="K171" i="3"/>
  <c r="M124" i="3"/>
  <c r="L124" i="3"/>
  <c r="K124" i="3"/>
  <c r="M123" i="3"/>
  <c r="L123" i="3"/>
  <c r="K123" i="3"/>
  <c r="L121" i="3"/>
  <c r="K121" i="3"/>
  <c r="M121" i="3" s="1"/>
  <c r="M119" i="3"/>
  <c r="L119" i="3"/>
  <c r="K119" i="3"/>
  <c r="K118" i="3"/>
  <c r="K117" i="3"/>
  <c r="K116" i="3"/>
  <c r="K115" i="3"/>
  <c r="K114" i="3"/>
  <c r="K113" i="3"/>
  <c r="K112" i="3"/>
  <c r="K111" i="3"/>
  <c r="D1583" i="2"/>
  <c r="D1576" i="2"/>
  <c r="D1891" i="2"/>
  <c r="D1897" i="2"/>
  <c r="D1890" i="2"/>
  <c r="D1886" i="2"/>
  <c r="D1819" i="2"/>
  <c r="D1813" i="2"/>
  <c r="D1812" i="2"/>
  <c r="D1808" i="2"/>
  <c r="D1715" i="2"/>
  <c r="D1709" i="2"/>
  <c r="D1708" i="2"/>
  <c r="D1704" i="2"/>
  <c r="D1577" i="2"/>
  <c r="D1572" i="2"/>
  <c r="I182" i="3"/>
  <c r="D2002" i="2" l="1"/>
  <c r="D1996" i="2"/>
  <c r="D1995" i="2"/>
  <c r="D1991" i="2"/>
  <c r="D1949" i="2"/>
  <c r="D1871" i="2" l="1"/>
  <c r="D1689" i="2"/>
  <c r="D1663" i="2"/>
  <c r="D1637" i="2"/>
  <c r="D1943" i="2"/>
  <c r="D1942" i="2"/>
  <c r="D1938" i="2"/>
  <c r="D1865" i="2"/>
  <c r="D1864" i="2"/>
  <c r="D1860" i="2"/>
  <c r="D1626" i="2"/>
  <c r="D1652" i="2"/>
  <c r="D1678" i="2"/>
  <c r="D1683" i="2"/>
  <c r="D1682" i="2"/>
  <c r="D1657" i="2"/>
  <c r="D1656" i="2"/>
  <c r="D1631" i="2"/>
  <c r="D1630" i="2"/>
  <c r="F768" i="2"/>
  <c r="F586" i="2"/>
  <c r="F638" i="2"/>
  <c r="F664" i="2"/>
  <c r="D2262" i="2" l="1"/>
  <c r="D2255" i="2"/>
  <c r="D1975" i="2"/>
  <c r="D1968" i="2"/>
  <c r="D1558" i="2"/>
  <c r="D1557" i="2"/>
  <c r="D1550" i="2"/>
  <c r="D2256" i="2" l="1"/>
  <c r="D1969" i="2"/>
  <c r="D1964" i="2"/>
  <c r="D1551" i="2"/>
  <c r="D1546" i="2"/>
  <c r="D2706" i="2"/>
  <c r="D2698" i="2"/>
  <c r="F2697" i="2"/>
  <c r="F2699" i="2" s="1"/>
  <c r="G2699" i="2" s="1"/>
  <c r="D2697" i="2"/>
  <c r="D2694" i="2"/>
  <c r="B2693" i="2"/>
  <c r="D2690" i="2"/>
  <c r="D2708" i="2" l="1"/>
  <c r="D2568" i="2"/>
  <c r="D2567" i="2"/>
  <c r="D2564" i="2"/>
  <c r="B2563" i="2"/>
  <c r="G2569" i="2" l="1"/>
  <c r="D2576" i="2"/>
  <c r="D2560" i="2"/>
  <c r="D2578" i="2" s="1"/>
  <c r="D1917" i="2" l="1"/>
  <c r="D1916" i="2"/>
  <c r="D1912" i="2"/>
  <c r="D1605" i="2"/>
  <c r="D1600" i="2"/>
  <c r="D1604" i="2"/>
  <c r="L194" i="3"/>
  <c r="M194" i="3" s="1"/>
  <c r="L186" i="3"/>
  <c r="M186" i="3" s="1"/>
  <c r="L185" i="3"/>
  <c r="M185" i="3" s="1"/>
  <c r="F2516" i="2"/>
  <c r="F2515" i="2"/>
  <c r="F2438" i="2"/>
  <c r="F2437" i="2"/>
  <c r="F2464" i="2"/>
  <c r="F2672" i="2"/>
  <c r="F2671" i="2"/>
  <c r="F2620" i="2"/>
  <c r="F2619" i="2"/>
  <c r="F2594" i="2"/>
  <c r="F2646" i="2"/>
  <c r="F2542" i="2"/>
  <c r="F2541" i="2"/>
  <c r="F2490" i="2"/>
  <c r="M193" i="3"/>
  <c r="L193" i="3"/>
  <c r="L189" i="3"/>
  <c r="M189" i="3" s="1"/>
  <c r="M64" i="3"/>
  <c r="L64" i="3"/>
  <c r="K64" i="3"/>
  <c r="M62" i="3"/>
  <c r="L62" i="3"/>
  <c r="K62" i="3"/>
  <c r="L66" i="3"/>
  <c r="K66" i="3"/>
  <c r="M66" i="3" s="1"/>
  <c r="L65" i="3"/>
  <c r="K65" i="3"/>
  <c r="M65" i="3" s="1"/>
  <c r="K24" i="3"/>
  <c r="K176" i="3"/>
  <c r="K175" i="3"/>
  <c r="K174" i="3"/>
  <c r="D1471" i="2"/>
  <c r="D1467" i="2"/>
  <c r="F2517" i="2" l="1"/>
  <c r="F2621" i="2"/>
  <c r="F2673" i="2"/>
  <c r="G2673" i="2" s="1"/>
  <c r="F2543" i="2"/>
  <c r="F2439" i="2"/>
  <c r="D1185" i="2"/>
  <c r="D1181" i="2"/>
  <c r="D1180" i="2"/>
  <c r="B2667" i="2"/>
  <c r="F2645" i="2"/>
  <c r="F2647" i="2" s="1"/>
  <c r="G2647" i="2" s="1"/>
  <c r="B2641" i="2"/>
  <c r="D2612" i="2"/>
  <c r="D2616" i="2"/>
  <c r="B2615" i="2"/>
  <c r="F2593" i="2"/>
  <c r="F2595" i="2" s="1"/>
  <c r="G2595" i="2" s="1"/>
  <c r="B2589" i="2"/>
  <c r="I194" i="3"/>
  <c r="I193" i="3"/>
  <c r="I192" i="3"/>
  <c r="I191" i="3"/>
  <c r="D2680" i="2" l="1"/>
  <c r="D2602" i="2"/>
  <c r="D2628" i="2"/>
  <c r="D2630" i="2" s="1"/>
  <c r="D2654" i="2"/>
  <c r="D2664" i="2"/>
  <c r="D2638" i="2"/>
  <c r="G2621" i="2"/>
  <c r="D2586" i="2"/>
  <c r="D2534" i="2"/>
  <c r="B2537" i="2"/>
  <c r="G2517" i="2"/>
  <c r="D2512" i="2"/>
  <c r="B2511" i="2"/>
  <c r="F2489" i="2"/>
  <c r="D2482" i="2" s="1"/>
  <c r="B2485" i="2"/>
  <c r="F2463" i="2"/>
  <c r="F2465" i="2" s="1"/>
  <c r="G2465" i="2" s="1"/>
  <c r="B2459" i="2"/>
  <c r="G2439" i="2"/>
  <c r="D2434" i="2"/>
  <c r="B2433" i="2"/>
  <c r="D2656" i="2" l="1"/>
  <c r="D2682" i="2"/>
  <c r="D2604" i="2"/>
  <c r="D2456" i="2"/>
  <c r="D2550" i="2"/>
  <c r="D2552" i="2" s="1"/>
  <c r="D2446" i="2"/>
  <c r="D2430" i="2"/>
  <c r="D2472" i="2"/>
  <c r="D2524" i="2"/>
  <c r="D2508" i="2"/>
  <c r="D2498" i="2"/>
  <c r="D2500" i="2" s="1"/>
  <c r="G2543" i="2"/>
  <c r="F2491" i="2"/>
  <c r="G2491" i="2" s="1"/>
  <c r="D2526" i="2" l="1"/>
  <c r="D2448" i="2"/>
  <c r="D2474" i="2"/>
  <c r="F2412" i="2"/>
  <c r="D2412" i="2"/>
  <c r="F2411" i="2"/>
  <c r="D2404" i="2" s="1"/>
  <c r="D2411" i="2"/>
  <c r="D2408" i="2"/>
  <c r="B2407" i="2"/>
  <c r="F2386" i="2"/>
  <c r="F2385" i="2"/>
  <c r="D2378" i="2" s="1"/>
  <c r="D2386" i="2"/>
  <c r="D2385" i="2"/>
  <c r="D2382" i="2"/>
  <c r="B2381" i="2"/>
  <c r="F2334" i="2"/>
  <c r="F2333" i="2"/>
  <c r="F2335" i="2" s="1"/>
  <c r="F2360" i="2"/>
  <c r="K96" i="3"/>
  <c r="K95" i="3"/>
  <c r="K94" i="3"/>
  <c r="F977" i="2"/>
  <c r="F716" i="2"/>
  <c r="F508" i="2"/>
  <c r="F404" i="2"/>
  <c r="Q76" i="3"/>
  <c r="R76" i="3" s="1"/>
  <c r="R52" i="3"/>
  <c r="Q52" i="3"/>
  <c r="Q44" i="3"/>
  <c r="R44" i="3" s="1"/>
  <c r="F1029" i="2"/>
  <c r="F820" i="2"/>
  <c r="F482" i="2"/>
  <c r="F378" i="2"/>
  <c r="D2420" i="2" l="1"/>
  <c r="D2422" i="2" s="1"/>
  <c r="F2387" i="2"/>
  <c r="G2387" i="2" s="1"/>
  <c r="D2394" i="2"/>
  <c r="D2396" i="2" s="1"/>
  <c r="F2413" i="2"/>
  <c r="G2413" i="2" s="1"/>
  <c r="Q78" i="3"/>
  <c r="R78" i="3" s="1"/>
  <c r="R56" i="3"/>
  <c r="Q56" i="3"/>
  <c r="D1368" i="2"/>
  <c r="D1367" i="2"/>
  <c r="D1364" i="2"/>
  <c r="D1363" i="2"/>
  <c r="D1263" i="2"/>
  <c r="D1262" i="2"/>
  <c r="D1259" i="2"/>
  <c r="D1258" i="2"/>
  <c r="D1376" i="2" l="1"/>
  <c r="D1236" i="2"/>
  <c r="D1237" i="2"/>
  <c r="D1232" i="2"/>
  <c r="D1132" i="2"/>
  <c r="F2359" i="2" l="1"/>
  <c r="F2361" i="2" s="1"/>
  <c r="G2361" i="2" s="1"/>
  <c r="D2356" i="2"/>
  <c r="B2355" i="2"/>
  <c r="G2335" i="2"/>
  <c r="D2330" i="2"/>
  <c r="B2329" i="2"/>
  <c r="D2326" i="2"/>
  <c r="F2308" i="2"/>
  <c r="F2307" i="2"/>
  <c r="F2282" i="2"/>
  <c r="F2281" i="2"/>
  <c r="F2255" i="2"/>
  <c r="F2257" i="2" s="1"/>
  <c r="F2230" i="2"/>
  <c r="L168" i="3"/>
  <c r="M168" i="3" s="1"/>
  <c r="M167" i="3"/>
  <c r="L167" i="3"/>
  <c r="D1446" i="2"/>
  <c r="D1445" i="2"/>
  <c r="D1442" i="2"/>
  <c r="D1441" i="2"/>
  <c r="D1420" i="2"/>
  <c r="D1419" i="2"/>
  <c r="D1416" i="2"/>
  <c r="D1415" i="2"/>
  <c r="D1393" i="2"/>
  <c r="D1389" i="2"/>
  <c r="D1342" i="2"/>
  <c r="D1341" i="2"/>
  <c r="D1338" i="2"/>
  <c r="D1337" i="2"/>
  <c r="D1315" i="2"/>
  <c r="D1314" i="2"/>
  <c r="D1311" i="2"/>
  <c r="D1310" i="2"/>
  <c r="D1288" i="2"/>
  <c r="D1284" i="2"/>
  <c r="D1102" i="2"/>
  <c r="D1128" i="2"/>
  <c r="D1106" i="2"/>
  <c r="D1107" i="2"/>
  <c r="F2309" i="2" l="1"/>
  <c r="G2309" i="2" s="1"/>
  <c r="F2283" i="2"/>
  <c r="D2368" i="2"/>
  <c r="D2342" i="2"/>
  <c r="D2344" i="2" s="1"/>
  <c r="D2352" i="2"/>
  <c r="D2304" i="2"/>
  <c r="B2303" i="2"/>
  <c r="D2300" i="2"/>
  <c r="K102" i="3"/>
  <c r="D2316" i="2" l="1"/>
  <c r="D2318" i="2" s="1"/>
  <c r="D2370" i="2"/>
  <c r="L111" i="3"/>
  <c r="M111" i="3" s="1"/>
  <c r="L122" i="3"/>
  <c r="M122" i="3" s="1"/>
  <c r="L129" i="3"/>
  <c r="M129" i="3" s="1"/>
  <c r="L120" i="3"/>
  <c r="M120" i="3" s="1"/>
  <c r="L127" i="3"/>
  <c r="M127" i="3" s="1"/>
  <c r="L126" i="3"/>
  <c r="M126" i="3" s="1"/>
  <c r="L125" i="3"/>
  <c r="M125" i="3" s="1"/>
  <c r="M130" i="3"/>
  <c r="L130" i="3"/>
  <c r="L131" i="3"/>
  <c r="M131" i="3" s="1"/>
  <c r="L128" i="3"/>
  <c r="M128" i="3" s="1"/>
  <c r="L114" i="3"/>
  <c r="M114" i="3" s="1"/>
  <c r="L115" i="3"/>
  <c r="M115" i="3" s="1"/>
  <c r="L116" i="3"/>
  <c r="M116" i="3" s="1"/>
  <c r="M112" i="3"/>
  <c r="L112" i="3"/>
  <c r="M117" i="3"/>
  <c r="L117" i="3"/>
  <c r="D1087" i="2" l="1"/>
  <c r="D1081" i="2"/>
  <c r="D1080" i="2"/>
  <c r="D1076" i="2"/>
  <c r="D2274" i="2"/>
  <c r="D2278" i="2"/>
  <c r="B2277" i="2"/>
  <c r="D2252" i="2"/>
  <c r="G2257" i="2"/>
  <c r="B2251" i="2"/>
  <c r="D2248" i="2"/>
  <c r="D2226" i="2"/>
  <c r="F2229" i="2"/>
  <c r="F2231" i="2" s="1"/>
  <c r="G2231" i="2" s="1"/>
  <c r="B2225" i="2"/>
  <c r="I166" i="3"/>
  <c r="F2204" i="2"/>
  <c r="F2203" i="2"/>
  <c r="D2196" i="2" s="1"/>
  <c r="B2199" i="2"/>
  <c r="D2290" i="2" l="1"/>
  <c r="D2292" i="2" s="1"/>
  <c r="F2205" i="2"/>
  <c r="G2205" i="2" s="1"/>
  <c r="D2264" i="2"/>
  <c r="D2266" i="2" s="1"/>
  <c r="D2212" i="2"/>
  <c r="D2214" i="2" s="1"/>
  <c r="D2238" i="2"/>
  <c r="G2283" i="2"/>
  <c r="D2222" i="2"/>
  <c r="D1504" i="2"/>
  <c r="D1499" i="2"/>
  <c r="D1498" i="2"/>
  <c r="D1494" i="2"/>
  <c r="D1159" i="2"/>
  <c r="D1158" i="2"/>
  <c r="D1154" i="2"/>
  <c r="D1061" i="2"/>
  <c r="D1055" i="2"/>
  <c r="D1054" i="2"/>
  <c r="D1050" i="2"/>
  <c r="D1024" i="2"/>
  <c r="F794" i="2"/>
  <c r="F612" i="2"/>
  <c r="F430" i="2"/>
  <c r="F222" i="2"/>
  <c r="Q54" i="3"/>
  <c r="R54" i="3" s="1"/>
  <c r="F1003" i="2"/>
  <c r="F898" i="2"/>
  <c r="F690" i="2"/>
  <c r="Q77" i="3"/>
  <c r="R77" i="3" s="1"/>
  <c r="Q59" i="3"/>
  <c r="R59" i="3" s="1"/>
  <c r="Q57" i="3"/>
  <c r="R57" i="3" s="1"/>
  <c r="F560" i="2"/>
  <c r="F534" i="2"/>
  <c r="R61" i="3"/>
  <c r="Q61" i="3"/>
  <c r="R60" i="3"/>
  <c r="Q60" i="3"/>
  <c r="F274" i="2"/>
  <c r="F248" i="2"/>
  <c r="K155" i="3"/>
  <c r="K154" i="3"/>
  <c r="K153" i="3"/>
  <c r="F2178" i="2"/>
  <c r="D2186" i="2"/>
  <c r="F2177" i="2"/>
  <c r="B2173" i="2"/>
  <c r="F2152" i="2"/>
  <c r="F2151" i="2"/>
  <c r="D2144" i="2" s="1"/>
  <c r="B2147" i="2"/>
  <c r="F1656" i="2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F2179" i="2" l="1"/>
  <c r="G2179" i="2" s="1"/>
  <c r="D2170" i="2"/>
  <c r="D2240" i="2"/>
  <c r="D2160" i="2"/>
  <c r="D2162" i="2" s="1"/>
  <c r="F1658" i="2"/>
  <c r="F2153" i="2"/>
  <c r="G2153" i="2" s="1"/>
  <c r="D2188" i="2"/>
  <c r="F2126" i="2"/>
  <c r="F2125" i="2"/>
  <c r="D2118" i="2" s="1"/>
  <c r="B2121" i="2"/>
  <c r="F2100" i="2"/>
  <c r="F2099" i="2"/>
  <c r="D2092" i="2" s="1"/>
  <c r="B2095" i="2"/>
  <c r="F2074" i="2"/>
  <c r="F2073" i="2"/>
  <c r="F2075" i="2" s="1"/>
  <c r="G2075" i="2" s="1"/>
  <c r="B2069" i="2"/>
  <c r="D2082" i="2" l="1"/>
  <c r="F2127" i="2"/>
  <c r="G2127" i="2" s="1"/>
  <c r="D2134" i="2"/>
  <c r="D2136" i="2" s="1"/>
  <c r="D2066" i="2"/>
  <c r="D2108" i="2"/>
  <c r="D2110" i="2" s="1"/>
  <c r="F2101" i="2"/>
  <c r="G2101" i="2" s="1"/>
  <c r="F2048" i="2"/>
  <c r="F2047" i="2"/>
  <c r="D2040" i="2" s="1"/>
  <c r="B2043" i="2"/>
  <c r="D2084" i="2" l="1"/>
  <c r="D2056" i="2"/>
  <c r="D2058" i="2" s="1"/>
  <c r="F2049" i="2"/>
  <c r="G2049" i="2" s="1"/>
  <c r="D1527" i="2" l="1"/>
  <c r="D1524" i="2"/>
  <c r="D1525" i="2"/>
  <c r="D1521" i="2"/>
  <c r="D1520" i="2"/>
  <c r="D1217" i="2"/>
  <c r="D1211" i="2"/>
  <c r="D1210" i="2"/>
  <c r="D1206" i="2"/>
  <c r="F1419" i="2"/>
  <c r="F1367" i="2"/>
  <c r="F2022" i="2"/>
  <c r="F2021" i="2"/>
  <c r="D2014" i="2" s="1"/>
  <c r="B2017" i="2"/>
  <c r="F1996" i="2"/>
  <c r="F1995" i="2"/>
  <c r="D1992" i="2"/>
  <c r="B1991" i="2"/>
  <c r="D2004" i="2" l="1"/>
  <c r="F1997" i="2"/>
  <c r="G1997" i="2" s="1"/>
  <c r="F2023" i="2"/>
  <c r="G2023" i="2" s="1"/>
  <c r="D2030" i="2"/>
  <c r="D1988" i="2"/>
  <c r="D2032" i="2"/>
  <c r="D2006" i="2" l="1"/>
  <c r="F742" i="2"/>
  <c r="F741" i="2"/>
  <c r="F300" i="2"/>
  <c r="F299" i="2"/>
  <c r="F327" i="2"/>
  <c r="L53" i="3"/>
  <c r="M53" i="3" s="1"/>
  <c r="L35" i="3"/>
  <c r="M35" i="3" s="1"/>
  <c r="F353" i="2"/>
  <c r="F40" i="2"/>
  <c r="F66" i="2"/>
  <c r="F92" i="2"/>
  <c r="R8" i="3"/>
  <c r="Q8" i="3"/>
  <c r="F118" i="2"/>
  <c r="F196" i="2"/>
  <c r="F301" i="2" l="1"/>
  <c r="F743" i="2"/>
  <c r="F170" i="2"/>
  <c r="F144" i="2"/>
  <c r="K135" i="3"/>
  <c r="K134" i="3"/>
  <c r="K133" i="3"/>
  <c r="K132" i="3"/>
  <c r="D365" i="1"/>
  <c r="D368" i="1" s="1"/>
  <c r="E365" i="1"/>
  <c r="E369" i="1" s="1"/>
  <c r="F365" i="1"/>
  <c r="G365" i="1"/>
  <c r="G368" i="1" s="1"/>
  <c r="H365" i="1"/>
  <c r="H368" i="1" s="1"/>
  <c r="I365" i="1"/>
  <c r="J365" i="1"/>
  <c r="J369" i="1" s="1"/>
  <c r="K365" i="1"/>
  <c r="K368" i="1" s="1"/>
  <c r="L365" i="1"/>
  <c r="M365" i="1"/>
  <c r="N365" i="1"/>
  <c r="F368" i="1"/>
  <c r="I368" i="1"/>
  <c r="L368" i="1"/>
  <c r="M368" i="1"/>
  <c r="N368" i="1"/>
  <c r="F369" i="1"/>
  <c r="H369" i="1"/>
  <c r="I369" i="1"/>
  <c r="L369" i="1"/>
  <c r="M369" i="1"/>
  <c r="N369" i="1"/>
  <c r="C365" i="1"/>
  <c r="K369" i="1" l="1"/>
  <c r="G369" i="1"/>
  <c r="E368" i="1"/>
  <c r="D369" i="1"/>
  <c r="J368" i="1"/>
  <c r="C134" i="1" l="1"/>
  <c r="C135" i="1" s="1"/>
  <c r="C131" i="1"/>
  <c r="C132" i="1" s="1"/>
  <c r="C130" i="1"/>
  <c r="C126" i="1"/>
  <c r="C127" i="1" s="1"/>
  <c r="C122" i="1"/>
  <c r="C123" i="1" s="1"/>
  <c r="N268" i="1"/>
  <c r="M268" i="1"/>
  <c r="L268" i="1"/>
  <c r="K268" i="1"/>
  <c r="J268" i="1"/>
  <c r="I268" i="1"/>
  <c r="H268" i="1"/>
  <c r="G268" i="1"/>
  <c r="F268" i="1"/>
  <c r="C268" i="1"/>
  <c r="N264" i="1"/>
  <c r="M264" i="1"/>
  <c r="L264" i="1"/>
  <c r="K264" i="1"/>
  <c r="J264" i="1"/>
  <c r="I264" i="1"/>
  <c r="H264" i="1"/>
  <c r="G264" i="1"/>
  <c r="F264" i="1"/>
  <c r="N260" i="1"/>
  <c r="M260" i="1"/>
  <c r="L260" i="1"/>
  <c r="K260" i="1"/>
  <c r="J260" i="1"/>
  <c r="I260" i="1"/>
  <c r="H260" i="1"/>
  <c r="G260" i="1"/>
  <c r="F260" i="1"/>
  <c r="C260" i="1"/>
  <c r="N256" i="1"/>
  <c r="M256" i="1"/>
  <c r="L256" i="1"/>
  <c r="K256" i="1"/>
  <c r="J256" i="1"/>
  <c r="I256" i="1"/>
  <c r="H256" i="1"/>
  <c r="G256" i="1"/>
  <c r="F256" i="1"/>
  <c r="C256" i="1"/>
  <c r="N252" i="1"/>
  <c r="M252" i="1"/>
  <c r="L252" i="1"/>
  <c r="K252" i="1"/>
  <c r="J252" i="1"/>
  <c r="I252" i="1"/>
  <c r="H252" i="1"/>
  <c r="G252" i="1"/>
  <c r="F252" i="1"/>
  <c r="C252" i="1"/>
  <c r="N248" i="1"/>
  <c r="M248" i="1"/>
  <c r="L248" i="1"/>
  <c r="K248" i="1"/>
  <c r="J248" i="1"/>
  <c r="I248" i="1"/>
  <c r="H248" i="1"/>
  <c r="G248" i="1"/>
  <c r="F248" i="1"/>
  <c r="C248" i="1"/>
  <c r="N244" i="1"/>
  <c r="M244" i="1"/>
  <c r="L244" i="1"/>
  <c r="K244" i="1"/>
  <c r="J244" i="1"/>
  <c r="I244" i="1"/>
  <c r="H244" i="1"/>
  <c r="G244" i="1"/>
  <c r="F244" i="1"/>
  <c r="C244" i="1"/>
  <c r="N240" i="1"/>
  <c r="M240" i="1"/>
  <c r="L240" i="1"/>
  <c r="K240" i="1"/>
  <c r="J240" i="1"/>
  <c r="I240" i="1"/>
  <c r="H240" i="1"/>
  <c r="G240" i="1"/>
  <c r="F240" i="1"/>
  <c r="C240" i="1"/>
  <c r="N236" i="1"/>
  <c r="M236" i="1"/>
  <c r="L236" i="1"/>
  <c r="K236" i="1"/>
  <c r="J236" i="1"/>
  <c r="I236" i="1"/>
  <c r="H236" i="1"/>
  <c r="G236" i="1"/>
  <c r="F236" i="1"/>
  <c r="C236" i="1"/>
  <c r="N232" i="1"/>
  <c r="M232" i="1"/>
  <c r="L232" i="1"/>
  <c r="K232" i="1"/>
  <c r="J232" i="1"/>
  <c r="I232" i="1"/>
  <c r="H232" i="1"/>
  <c r="G232" i="1"/>
  <c r="F232" i="1"/>
  <c r="C232" i="1"/>
  <c r="N228" i="1"/>
  <c r="M228" i="1"/>
  <c r="L228" i="1"/>
  <c r="K228" i="1"/>
  <c r="J228" i="1"/>
  <c r="I228" i="1"/>
  <c r="H228" i="1"/>
  <c r="G228" i="1"/>
  <c r="F228" i="1"/>
  <c r="C228" i="1"/>
  <c r="N224" i="1"/>
  <c r="M224" i="1"/>
  <c r="L224" i="1"/>
  <c r="K224" i="1"/>
  <c r="J224" i="1"/>
  <c r="I224" i="1"/>
  <c r="H224" i="1"/>
  <c r="G224" i="1"/>
  <c r="F224" i="1"/>
  <c r="E224" i="1"/>
  <c r="C224" i="1"/>
  <c r="N220" i="1"/>
  <c r="M220" i="1"/>
  <c r="L220" i="1"/>
  <c r="K220" i="1"/>
  <c r="J220" i="1"/>
  <c r="I220" i="1"/>
  <c r="H220" i="1"/>
  <c r="G220" i="1"/>
  <c r="F220" i="1"/>
  <c r="C220" i="1"/>
  <c r="N216" i="1"/>
  <c r="M216" i="1"/>
  <c r="L216" i="1"/>
  <c r="K216" i="1"/>
  <c r="J216" i="1"/>
  <c r="I216" i="1"/>
  <c r="H216" i="1"/>
  <c r="G216" i="1"/>
  <c r="F216" i="1"/>
  <c r="C216" i="1"/>
  <c r="N208" i="1"/>
  <c r="M208" i="1"/>
  <c r="L208" i="1"/>
  <c r="K208" i="1"/>
  <c r="J208" i="1"/>
  <c r="I208" i="1"/>
  <c r="H208" i="1"/>
  <c r="G208" i="1"/>
  <c r="F208" i="1"/>
  <c r="C208" i="1"/>
  <c r="N204" i="1"/>
  <c r="M204" i="1"/>
  <c r="L204" i="1"/>
  <c r="K204" i="1"/>
  <c r="J204" i="1"/>
  <c r="I204" i="1"/>
  <c r="H204" i="1"/>
  <c r="G204" i="1"/>
  <c r="F204" i="1"/>
  <c r="E204" i="1"/>
  <c r="C204" i="1"/>
  <c r="N196" i="1"/>
  <c r="M196" i="1"/>
  <c r="L196" i="1"/>
  <c r="K196" i="1"/>
  <c r="J196" i="1"/>
  <c r="I196" i="1"/>
  <c r="H196" i="1"/>
  <c r="G196" i="1"/>
  <c r="F196" i="1"/>
  <c r="C196" i="1"/>
  <c r="N192" i="1"/>
  <c r="M192" i="1"/>
  <c r="L192" i="1"/>
  <c r="K192" i="1"/>
  <c r="J192" i="1"/>
  <c r="I192" i="1"/>
  <c r="H192" i="1"/>
  <c r="G192" i="1"/>
  <c r="F192" i="1"/>
  <c r="C192" i="1"/>
  <c r="N184" i="1"/>
  <c r="M184" i="1"/>
  <c r="L184" i="1"/>
  <c r="K184" i="1"/>
  <c r="J184" i="1"/>
  <c r="I184" i="1"/>
  <c r="H184" i="1"/>
  <c r="G184" i="1"/>
  <c r="F184" i="1"/>
  <c r="C184" i="1"/>
  <c r="N180" i="1"/>
  <c r="M180" i="1"/>
  <c r="L180" i="1"/>
  <c r="K180" i="1"/>
  <c r="J180" i="1"/>
  <c r="I180" i="1"/>
  <c r="H180" i="1"/>
  <c r="G180" i="1"/>
  <c r="F180" i="1"/>
  <c r="C180" i="1"/>
  <c r="N176" i="1"/>
  <c r="M176" i="1"/>
  <c r="L176" i="1"/>
  <c r="K176" i="1"/>
  <c r="J176" i="1"/>
  <c r="I176" i="1"/>
  <c r="H176" i="1"/>
  <c r="G176" i="1"/>
  <c r="F176" i="1"/>
  <c r="C176" i="1"/>
  <c r="N172" i="1"/>
  <c r="M172" i="1"/>
  <c r="L172" i="1"/>
  <c r="K172" i="1"/>
  <c r="J172" i="1"/>
  <c r="I172" i="1"/>
  <c r="H172" i="1"/>
  <c r="G172" i="1"/>
  <c r="F172" i="1"/>
  <c r="C172" i="1"/>
  <c r="N168" i="1"/>
  <c r="M168" i="1"/>
  <c r="L168" i="1"/>
  <c r="K168" i="1"/>
  <c r="J168" i="1"/>
  <c r="I168" i="1"/>
  <c r="H168" i="1"/>
  <c r="G168" i="1"/>
  <c r="F168" i="1"/>
  <c r="C168" i="1"/>
  <c r="N160" i="1"/>
  <c r="M160" i="1"/>
  <c r="L160" i="1"/>
  <c r="K160" i="1"/>
  <c r="J160" i="1"/>
  <c r="I160" i="1"/>
  <c r="H160" i="1"/>
  <c r="G160" i="1"/>
  <c r="F160" i="1"/>
  <c r="C160" i="1"/>
  <c r="N152" i="1"/>
  <c r="M152" i="1"/>
  <c r="L152" i="1"/>
  <c r="K152" i="1"/>
  <c r="J152" i="1"/>
  <c r="I152" i="1"/>
  <c r="H152" i="1"/>
  <c r="G152" i="1"/>
  <c r="F152" i="1"/>
  <c r="C152" i="1"/>
  <c r="N148" i="1"/>
  <c r="M148" i="1"/>
  <c r="L148" i="1"/>
  <c r="K148" i="1"/>
  <c r="J148" i="1"/>
  <c r="I148" i="1"/>
  <c r="H148" i="1"/>
  <c r="G148" i="1"/>
  <c r="F148" i="1"/>
  <c r="C148" i="1"/>
  <c r="N144" i="1"/>
  <c r="M144" i="1"/>
  <c r="L144" i="1"/>
  <c r="K144" i="1"/>
  <c r="J144" i="1"/>
  <c r="I144" i="1"/>
  <c r="H144" i="1"/>
  <c r="G144" i="1"/>
  <c r="F144" i="1"/>
  <c r="C144" i="1"/>
  <c r="N140" i="1"/>
  <c r="M140" i="1"/>
  <c r="L140" i="1"/>
  <c r="K140" i="1"/>
  <c r="J140" i="1"/>
  <c r="I140" i="1"/>
  <c r="H140" i="1"/>
  <c r="G140" i="1"/>
  <c r="F140" i="1"/>
  <c r="C140" i="1"/>
  <c r="N132" i="1"/>
  <c r="M132" i="1"/>
  <c r="L132" i="1"/>
  <c r="K132" i="1"/>
  <c r="J132" i="1"/>
  <c r="I132" i="1"/>
  <c r="H132" i="1"/>
  <c r="G132" i="1"/>
  <c r="F132" i="1"/>
  <c r="N128" i="1"/>
  <c r="M128" i="1"/>
  <c r="L128" i="1"/>
  <c r="K128" i="1"/>
  <c r="J128" i="1"/>
  <c r="I128" i="1"/>
  <c r="H128" i="1"/>
  <c r="G128" i="1"/>
  <c r="F128" i="1"/>
  <c r="N124" i="1"/>
  <c r="M124" i="1"/>
  <c r="L124" i="1"/>
  <c r="K124" i="1"/>
  <c r="J124" i="1"/>
  <c r="I124" i="1"/>
  <c r="H124" i="1"/>
  <c r="G124" i="1"/>
  <c r="F124" i="1"/>
  <c r="N116" i="1"/>
  <c r="M116" i="1"/>
  <c r="L116" i="1"/>
  <c r="K116" i="1"/>
  <c r="J116" i="1"/>
  <c r="I116" i="1"/>
  <c r="H116" i="1"/>
  <c r="G116" i="1"/>
  <c r="F116" i="1"/>
  <c r="C116" i="1"/>
  <c r="N120" i="1"/>
  <c r="M120" i="1"/>
  <c r="L120" i="1"/>
  <c r="K120" i="1"/>
  <c r="J120" i="1"/>
  <c r="I120" i="1"/>
  <c r="H120" i="1"/>
  <c r="G120" i="1"/>
  <c r="F120" i="1"/>
  <c r="C120" i="1"/>
  <c r="N112" i="1"/>
  <c r="M112" i="1"/>
  <c r="L112" i="1"/>
  <c r="K112" i="1"/>
  <c r="J112" i="1"/>
  <c r="I112" i="1"/>
  <c r="H112" i="1"/>
  <c r="G112" i="1"/>
  <c r="F112" i="1"/>
  <c r="C112" i="1"/>
  <c r="N108" i="1"/>
  <c r="M108" i="1"/>
  <c r="L108" i="1"/>
  <c r="K108" i="1"/>
  <c r="J108" i="1"/>
  <c r="I108" i="1"/>
  <c r="H108" i="1"/>
  <c r="G108" i="1"/>
  <c r="F108" i="1"/>
  <c r="C108" i="1"/>
  <c r="N104" i="1"/>
  <c r="M104" i="1"/>
  <c r="L104" i="1"/>
  <c r="K104" i="1"/>
  <c r="J104" i="1"/>
  <c r="I104" i="1"/>
  <c r="H104" i="1"/>
  <c r="G104" i="1"/>
  <c r="F104" i="1"/>
  <c r="C104" i="1"/>
  <c r="N100" i="1"/>
  <c r="M100" i="1"/>
  <c r="L100" i="1"/>
  <c r="K100" i="1"/>
  <c r="J100" i="1"/>
  <c r="I100" i="1"/>
  <c r="H100" i="1"/>
  <c r="G100" i="1"/>
  <c r="F100" i="1"/>
  <c r="C100" i="1"/>
  <c r="N96" i="1"/>
  <c r="M96" i="1"/>
  <c r="L96" i="1"/>
  <c r="K96" i="1"/>
  <c r="J96" i="1"/>
  <c r="I96" i="1"/>
  <c r="H96" i="1"/>
  <c r="G96" i="1"/>
  <c r="O96" i="1" s="1"/>
  <c r="F96" i="1"/>
  <c r="E96" i="1"/>
  <c r="D96" i="1"/>
  <c r="C96" i="1"/>
  <c r="N92" i="1"/>
  <c r="M92" i="1"/>
  <c r="L92" i="1"/>
  <c r="K92" i="1"/>
  <c r="J92" i="1"/>
  <c r="I92" i="1"/>
  <c r="H92" i="1"/>
  <c r="G92" i="1"/>
  <c r="F92" i="1"/>
  <c r="C92" i="1"/>
  <c r="N88" i="1"/>
  <c r="M88" i="1"/>
  <c r="L88" i="1"/>
  <c r="K88" i="1"/>
  <c r="J88" i="1"/>
  <c r="I88" i="1"/>
  <c r="H88" i="1"/>
  <c r="G88" i="1"/>
  <c r="F88" i="1"/>
  <c r="C88" i="1"/>
  <c r="N84" i="1"/>
  <c r="M84" i="1"/>
  <c r="L84" i="1"/>
  <c r="K84" i="1"/>
  <c r="J84" i="1"/>
  <c r="I84" i="1"/>
  <c r="H84" i="1"/>
  <c r="G84" i="1"/>
  <c r="F84" i="1"/>
  <c r="E84" i="1"/>
  <c r="C84" i="1"/>
  <c r="N80" i="1"/>
  <c r="M80" i="1"/>
  <c r="L80" i="1"/>
  <c r="K80" i="1"/>
  <c r="J80" i="1"/>
  <c r="I80" i="1"/>
  <c r="H80" i="1"/>
  <c r="G80" i="1"/>
  <c r="F80" i="1"/>
  <c r="C80" i="1"/>
  <c r="N76" i="1"/>
  <c r="M76" i="1"/>
  <c r="L76" i="1"/>
  <c r="K76" i="1"/>
  <c r="J76" i="1"/>
  <c r="I76" i="1"/>
  <c r="H76" i="1"/>
  <c r="G76" i="1"/>
  <c r="F76" i="1"/>
  <c r="C76" i="1"/>
  <c r="N72" i="1"/>
  <c r="M72" i="1"/>
  <c r="L72" i="1"/>
  <c r="K72" i="1"/>
  <c r="J72" i="1"/>
  <c r="I72" i="1"/>
  <c r="H72" i="1"/>
  <c r="G72" i="1"/>
  <c r="F72" i="1"/>
  <c r="C72" i="1"/>
  <c r="N68" i="1"/>
  <c r="M68" i="1"/>
  <c r="L68" i="1"/>
  <c r="K68" i="1"/>
  <c r="J68" i="1"/>
  <c r="I68" i="1"/>
  <c r="H68" i="1"/>
  <c r="G68" i="1"/>
  <c r="F68" i="1"/>
  <c r="C68" i="1"/>
  <c r="N64" i="1"/>
  <c r="M64" i="1"/>
  <c r="L64" i="1"/>
  <c r="K64" i="1"/>
  <c r="J64" i="1"/>
  <c r="I64" i="1"/>
  <c r="H64" i="1"/>
  <c r="G64" i="1"/>
  <c r="F64" i="1"/>
  <c r="C64" i="1"/>
  <c r="N60" i="1"/>
  <c r="M60" i="1"/>
  <c r="L60" i="1"/>
  <c r="K60" i="1"/>
  <c r="J60" i="1"/>
  <c r="I60" i="1"/>
  <c r="H60" i="1"/>
  <c r="G60" i="1"/>
  <c r="F60" i="1"/>
  <c r="C60" i="1"/>
  <c r="N56" i="1"/>
  <c r="M56" i="1"/>
  <c r="L56" i="1"/>
  <c r="K56" i="1"/>
  <c r="J56" i="1"/>
  <c r="I56" i="1"/>
  <c r="H56" i="1"/>
  <c r="G56" i="1"/>
  <c r="F56" i="1"/>
  <c r="C56" i="1"/>
  <c r="N52" i="1"/>
  <c r="M52" i="1"/>
  <c r="L52" i="1"/>
  <c r="K52" i="1"/>
  <c r="J52" i="1"/>
  <c r="I52" i="1"/>
  <c r="H52" i="1"/>
  <c r="G52" i="1"/>
  <c r="F52" i="1"/>
  <c r="C52" i="1"/>
  <c r="N48" i="1"/>
  <c r="M48" i="1"/>
  <c r="L48" i="1"/>
  <c r="K48" i="1"/>
  <c r="J48" i="1"/>
  <c r="I48" i="1"/>
  <c r="H48" i="1"/>
  <c r="G48" i="1"/>
  <c r="F48" i="1"/>
  <c r="C48" i="1"/>
  <c r="N44" i="1"/>
  <c r="M44" i="1"/>
  <c r="L44" i="1"/>
  <c r="K44" i="1"/>
  <c r="J44" i="1"/>
  <c r="I44" i="1"/>
  <c r="H44" i="1"/>
  <c r="G44" i="1"/>
  <c r="F44" i="1"/>
  <c r="C44" i="1"/>
  <c r="N40" i="1"/>
  <c r="M40" i="1"/>
  <c r="L40" i="1"/>
  <c r="K40" i="1"/>
  <c r="J40" i="1"/>
  <c r="I40" i="1"/>
  <c r="H40" i="1"/>
  <c r="G40" i="1"/>
  <c r="F40" i="1"/>
  <c r="C40" i="1"/>
  <c r="N36" i="1"/>
  <c r="M36" i="1"/>
  <c r="L36" i="1"/>
  <c r="K36" i="1"/>
  <c r="J36" i="1"/>
  <c r="I36" i="1"/>
  <c r="H36" i="1"/>
  <c r="G36" i="1"/>
  <c r="F36" i="1"/>
  <c r="C36" i="1"/>
  <c r="N32" i="1"/>
  <c r="M32" i="1"/>
  <c r="L32" i="1"/>
  <c r="K32" i="1"/>
  <c r="J32" i="1"/>
  <c r="I32" i="1"/>
  <c r="H32" i="1"/>
  <c r="G32" i="1"/>
  <c r="F32" i="1"/>
  <c r="C32" i="1"/>
  <c r="N28" i="1"/>
  <c r="M28" i="1"/>
  <c r="L28" i="1"/>
  <c r="K28" i="1"/>
  <c r="J28" i="1"/>
  <c r="I28" i="1"/>
  <c r="H28" i="1"/>
  <c r="G28" i="1"/>
  <c r="F28" i="1"/>
  <c r="C28" i="1"/>
  <c r="N24" i="1"/>
  <c r="M24" i="1"/>
  <c r="L24" i="1"/>
  <c r="K24" i="1"/>
  <c r="J24" i="1"/>
  <c r="I24" i="1"/>
  <c r="H24" i="1"/>
  <c r="G24" i="1"/>
  <c r="F24" i="1"/>
  <c r="C24" i="1"/>
  <c r="N20" i="1"/>
  <c r="M20" i="1"/>
  <c r="L20" i="1"/>
  <c r="K20" i="1"/>
  <c r="J20" i="1"/>
  <c r="I20" i="1"/>
  <c r="H20" i="1"/>
  <c r="G20" i="1"/>
  <c r="F20" i="1"/>
  <c r="C20" i="1"/>
  <c r="N16" i="1"/>
  <c r="M16" i="1"/>
  <c r="L16" i="1"/>
  <c r="K16" i="1"/>
  <c r="J16" i="1"/>
  <c r="I16" i="1"/>
  <c r="H16" i="1"/>
  <c r="G16" i="1"/>
  <c r="F16" i="1"/>
  <c r="C16" i="1"/>
  <c r="D12" i="1"/>
  <c r="F12" i="1"/>
  <c r="G12" i="1"/>
  <c r="H12" i="1"/>
  <c r="I12" i="1"/>
  <c r="J12" i="1"/>
  <c r="K12" i="1"/>
  <c r="L12" i="1"/>
  <c r="M12" i="1"/>
  <c r="N12" i="1"/>
  <c r="F8" i="1"/>
  <c r="G8" i="1"/>
  <c r="H8" i="1"/>
  <c r="I8" i="1"/>
  <c r="J8" i="1"/>
  <c r="K8" i="1"/>
  <c r="L8" i="1"/>
  <c r="M8" i="1"/>
  <c r="N8" i="1"/>
  <c r="C8" i="1"/>
  <c r="O9" i="1"/>
  <c r="O13" i="1"/>
  <c r="O17" i="1"/>
  <c r="O21" i="1"/>
  <c r="O25" i="1"/>
  <c r="O29" i="1"/>
  <c r="O33" i="1"/>
  <c r="O37" i="1"/>
  <c r="O41" i="1"/>
  <c r="O45" i="1"/>
  <c r="O49" i="1"/>
  <c r="O53" i="1"/>
  <c r="O57" i="1"/>
  <c r="O61" i="1"/>
  <c r="O65" i="1"/>
  <c r="O69" i="1"/>
  <c r="O73" i="1"/>
  <c r="O77" i="1"/>
  <c r="O81" i="1"/>
  <c r="O85" i="1"/>
  <c r="O89" i="1"/>
  <c r="O93" i="1"/>
  <c r="O94" i="1"/>
  <c r="O95" i="1"/>
  <c r="O97" i="1"/>
  <c r="O101" i="1"/>
  <c r="O105" i="1"/>
  <c r="O109" i="1"/>
  <c r="O113" i="1"/>
  <c r="O117" i="1"/>
  <c r="O121" i="1"/>
  <c r="O125" i="1"/>
  <c r="O129" i="1"/>
  <c r="O133" i="1"/>
  <c r="O137" i="1"/>
  <c r="O141" i="1"/>
  <c r="O145" i="1"/>
  <c r="O149" i="1"/>
  <c r="O153" i="1"/>
  <c r="O157" i="1"/>
  <c r="O161" i="1"/>
  <c r="O165" i="1"/>
  <c r="O169" i="1"/>
  <c r="O173" i="1"/>
  <c r="O177" i="1"/>
  <c r="O181" i="1"/>
  <c r="O185" i="1"/>
  <c r="O189" i="1"/>
  <c r="O193" i="1"/>
  <c r="O197" i="1"/>
  <c r="O201" i="1"/>
  <c r="O205" i="1"/>
  <c r="O209" i="1"/>
  <c r="O213" i="1"/>
  <c r="O217" i="1"/>
  <c r="O221" i="1"/>
  <c r="O225" i="1"/>
  <c r="O229" i="1"/>
  <c r="O233" i="1"/>
  <c r="O237" i="1"/>
  <c r="O241" i="1"/>
  <c r="O245" i="1"/>
  <c r="O249" i="1"/>
  <c r="O253" i="1"/>
  <c r="O257" i="1"/>
  <c r="O261" i="1"/>
  <c r="O265" i="1"/>
  <c r="O269" i="1"/>
  <c r="O273" i="1"/>
  <c r="O277" i="1"/>
  <c r="O281" i="1"/>
  <c r="O285" i="1"/>
  <c r="O289" i="1"/>
  <c r="O293" i="1"/>
  <c r="O297" i="1"/>
  <c r="O301" i="1"/>
  <c r="O305" i="1"/>
  <c r="O309" i="1"/>
  <c r="O313" i="1"/>
  <c r="O317" i="1"/>
  <c r="O321" i="1"/>
  <c r="O325" i="1"/>
  <c r="O329" i="1"/>
  <c r="O333" i="1"/>
  <c r="O337" i="1"/>
  <c r="O341" i="1"/>
  <c r="O345" i="1"/>
  <c r="O349" i="1"/>
  <c r="O353" i="1"/>
  <c r="O357" i="1"/>
  <c r="O361" i="1"/>
  <c r="C12" i="1"/>
  <c r="O365" i="1"/>
  <c r="F1969" i="2"/>
  <c r="F1968" i="2"/>
  <c r="D1961" i="2" s="1"/>
  <c r="D1965" i="2"/>
  <c r="B1964" i="2"/>
  <c r="D1977" i="2" l="1"/>
  <c r="D1979" i="2" s="1"/>
  <c r="F1970" i="2"/>
  <c r="G1970" i="2" s="1"/>
  <c r="C136" i="1"/>
  <c r="C128" i="1"/>
  <c r="C124" i="1"/>
  <c r="F1943" i="2"/>
  <c r="F1942" i="2"/>
  <c r="D1935" i="2" s="1"/>
  <c r="D1939" i="2"/>
  <c r="B1938" i="2"/>
  <c r="F1917" i="2"/>
  <c r="F1916" i="2"/>
  <c r="F1918" i="2" s="1"/>
  <c r="G1918" i="2" s="1"/>
  <c r="D1913" i="2"/>
  <c r="B1912" i="2"/>
  <c r="D1951" i="2" l="1"/>
  <c r="D1953" i="2" s="1"/>
  <c r="D1925" i="2"/>
  <c r="D1909" i="2"/>
  <c r="F1944" i="2"/>
  <c r="G1944" i="2" s="1"/>
  <c r="F1891" i="2"/>
  <c r="F1890" i="2"/>
  <c r="D1883" i="2" s="1"/>
  <c r="D1887" i="2"/>
  <c r="B1886" i="2"/>
  <c r="F1865" i="2"/>
  <c r="F1864" i="2"/>
  <c r="D1861" i="2"/>
  <c r="B1860" i="2"/>
  <c r="D1873" i="2" l="1"/>
  <c r="F1866" i="2"/>
  <c r="G1866" i="2" s="1"/>
  <c r="D1899" i="2"/>
  <c r="D1901" i="2" s="1"/>
  <c r="F1892" i="2"/>
  <c r="G1892" i="2" s="1"/>
  <c r="D1857" i="2"/>
  <c r="D1927" i="2"/>
  <c r="F1839" i="2"/>
  <c r="F1838" i="2"/>
  <c r="D1831" i="2" s="1"/>
  <c r="B1834" i="2"/>
  <c r="L152" i="3"/>
  <c r="M152" i="3" s="1"/>
  <c r="L151" i="3"/>
  <c r="M151" i="3" s="1"/>
  <c r="L150" i="3"/>
  <c r="M150" i="3" s="1"/>
  <c r="L149" i="3"/>
  <c r="M149" i="3" s="1"/>
  <c r="L148" i="3"/>
  <c r="M148" i="3" s="1"/>
  <c r="L147" i="3"/>
  <c r="M147" i="3" s="1"/>
  <c r="L146" i="3"/>
  <c r="M146" i="3" s="1"/>
  <c r="L145" i="3"/>
  <c r="M145" i="3" s="1"/>
  <c r="L144" i="3"/>
  <c r="M144" i="3" s="1"/>
  <c r="M143" i="3"/>
  <c r="L143" i="3"/>
  <c r="L142" i="3"/>
  <c r="M142" i="3" s="1"/>
  <c r="K70" i="3"/>
  <c r="L70" i="3"/>
  <c r="K69" i="3"/>
  <c r="L69" i="3"/>
  <c r="K68" i="3"/>
  <c r="L68" i="3"/>
  <c r="K67" i="3"/>
  <c r="L90" i="3"/>
  <c r="K90" i="3"/>
  <c r="L89" i="3"/>
  <c r="K89" i="3"/>
  <c r="M89" i="3" s="1"/>
  <c r="L88" i="3"/>
  <c r="K88" i="3"/>
  <c r="M88" i="3" s="1"/>
  <c r="K87" i="3"/>
  <c r="D1875" i="2" l="1"/>
  <c r="F1840" i="2"/>
  <c r="G1840" i="2" s="1"/>
  <c r="D1847" i="2"/>
  <c r="D1849" i="2" s="1"/>
  <c r="M68" i="3"/>
  <c r="M90" i="3"/>
  <c r="M70" i="3"/>
  <c r="M69" i="3"/>
  <c r="F1682" i="2"/>
  <c r="F1604" i="2"/>
  <c r="F1606" i="2" s="1"/>
  <c r="L141" i="3"/>
  <c r="M141" i="3" s="1"/>
  <c r="L138" i="3"/>
  <c r="M138" i="3" s="1"/>
  <c r="D327" i="2"/>
  <c r="D326" i="2"/>
  <c r="D323" i="2"/>
  <c r="D322" i="2"/>
  <c r="D742" i="2"/>
  <c r="D741" i="2"/>
  <c r="D738" i="2"/>
  <c r="D737" i="2"/>
  <c r="F1684" i="2" l="1"/>
  <c r="D455" i="2"/>
  <c r="D456" i="2"/>
  <c r="D452" i="2"/>
  <c r="D638" i="2" l="1"/>
  <c r="D637" i="2"/>
  <c r="D634" i="2"/>
  <c r="D633" i="2"/>
  <c r="D768" i="2"/>
  <c r="D767" i="2"/>
  <c r="D764" i="2"/>
  <c r="D763" i="2"/>
  <c r="D820" i="2"/>
  <c r="D819" i="2"/>
  <c r="D816" i="2"/>
  <c r="D815" i="2"/>
  <c r="D482" i="2"/>
  <c r="D481" i="2"/>
  <c r="D478" i="2"/>
  <c r="D477" i="2"/>
  <c r="D663" i="2"/>
  <c r="D664" i="2"/>
  <c r="D659" i="2"/>
  <c r="D353" i="2"/>
  <c r="D352" i="2"/>
  <c r="D348" i="2"/>
  <c r="D872" i="2" l="1"/>
  <c r="D871" i="2"/>
  <c r="D868" i="2"/>
  <c r="D867" i="2"/>
  <c r="D1003" i="2" l="1"/>
  <c r="D1002" i="2"/>
  <c r="D999" i="2"/>
  <c r="D998" i="2"/>
  <c r="D976" i="2"/>
  <c r="D977" i="2"/>
  <c r="D973" i="2"/>
  <c r="D972" i="2"/>
  <c r="D950" i="2"/>
  <c r="D949" i="2"/>
  <c r="D946" i="2"/>
  <c r="D945" i="2"/>
  <c r="D924" i="2"/>
  <c r="D923" i="2"/>
  <c r="D920" i="2"/>
  <c r="D919" i="2"/>
  <c r="D898" i="2"/>
  <c r="D897" i="2"/>
  <c r="D894" i="2"/>
  <c r="D893" i="2"/>
  <c r="D846" i="2"/>
  <c r="D845" i="2"/>
  <c r="D842" i="2"/>
  <c r="D841" i="2"/>
  <c r="D794" i="2" l="1"/>
  <c r="D793" i="2"/>
  <c r="D790" i="2"/>
  <c r="D789" i="2"/>
  <c r="D716" i="2" l="1"/>
  <c r="D715" i="2"/>
  <c r="D712" i="2"/>
  <c r="D711" i="2"/>
  <c r="D586" i="2"/>
  <c r="D585" i="2"/>
  <c r="D582" i="2"/>
  <c r="D581" i="2"/>
  <c r="D690" i="2"/>
  <c r="D689" i="2"/>
  <c r="D686" i="2"/>
  <c r="D685" i="2"/>
  <c r="F1813" i="2" l="1"/>
  <c r="F1812" i="2"/>
  <c r="D1809" i="2"/>
  <c r="B1808" i="2"/>
  <c r="F1787" i="2"/>
  <c r="F1786" i="2"/>
  <c r="D1779" i="2" s="1"/>
  <c r="B1782" i="2"/>
  <c r="I146" i="3"/>
  <c r="I145" i="3"/>
  <c r="F1761" i="2"/>
  <c r="F1760" i="2"/>
  <c r="D1753" i="2" s="1"/>
  <c r="B1756" i="2"/>
  <c r="F1735" i="2"/>
  <c r="F1734" i="2"/>
  <c r="D1727" i="2" s="1"/>
  <c r="D1731" i="2"/>
  <c r="B1730" i="2"/>
  <c r="F1709" i="2"/>
  <c r="F1708" i="2"/>
  <c r="D1705" i="2"/>
  <c r="B1704" i="2"/>
  <c r="D1679" i="2"/>
  <c r="D1653" i="2"/>
  <c r="D1627" i="2"/>
  <c r="D1601" i="2"/>
  <c r="D1547" i="2"/>
  <c r="D1495" i="2"/>
  <c r="D1468" i="2"/>
  <c r="D1573" i="2"/>
  <c r="D1585" i="2" s="1"/>
  <c r="F1577" i="2"/>
  <c r="F1576" i="2"/>
  <c r="D1569" i="2" s="1"/>
  <c r="B1572" i="2"/>
  <c r="F1710" i="2" l="1"/>
  <c r="G1710" i="2" s="1"/>
  <c r="F1762" i="2"/>
  <c r="G1762" i="2" s="1"/>
  <c r="F1814" i="2"/>
  <c r="G1814" i="2" s="1"/>
  <c r="D1717" i="2"/>
  <c r="F1788" i="2"/>
  <c r="G1788" i="2" s="1"/>
  <c r="D1805" i="2"/>
  <c r="D1769" i="2"/>
  <c r="D1771" i="2" s="1"/>
  <c r="D1743" i="2"/>
  <c r="D1745" i="2" s="1"/>
  <c r="D1795" i="2"/>
  <c r="D1797" i="2" s="1"/>
  <c r="D1821" i="2"/>
  <c r="D1701" i="2"/>
  <c r="F1736" i="2"/>
  <c r="G1736" i="2" s="1"/>
  <c r="D1587" i="2"/>
  <c r="F1578" i="2"/>
  <c r="G1578" i="2" s="1"/>
  <c r="D1719" i="2" l="1"/>
  <c r="D1823" i="2"/>
  <c r="G1684" i="2"/>
  <c r="B1678" i="2"/>
  <c r="D1675" i="2"/>
  <c r="D1649" i="2"/>
  <c r="B1652" i="2"/>
  <c r="F1630" i="2"/>
  <c r="D1623" i="2" s="1"/>
  <c r="B1626" i="2"/>
  <c r="D1597" i="2"/>
  <c r="B1600" i="2"/>
  <c r="D1639" i="2" l="1"/>
  <c r="D1641" i="2" s="1"/>
  <c r="D1613" i="2"/>
  <c r="D1615" i="2" s="1"/>
  <c r="D1691" i="2"/>
  <c r="D1693" i="2" s="1"/>
  <c r="D1665" i="2"/>
  <c r="D1667" i="2" s="1"/>
  <c r="G1658" i="2"/>
  <c r="F1632" i="2"/>
  <c r="G1632" i="2" s="1"/>
  <c r="G1606" i="2"/>
  <c r="F1550" i="2" l="1"/>
  <c r="F1552" i="2" s="1"/>
  <c r="G1552" i="2" s="1"/>
  <c r="D1559" i="2"/>
  <c r="B1546" i="2"/>
  <c r="D560" i="2"/>
  <c r="D559" i="2"/>
  <c r="D556" i="2"/>
  <c r="D555" i="2"/>
  <c r="D1543" i="2" l="1"/>
  <c r="D1561" i="2" s="1"/>
  <c r="D534" i="2"/>
  <c r="D533" i="2"/>
  <c r="D530" i="2"/>
  <c r="D529" i="2"/>
  <c r="D508" i="2"/>
  <c r="D507" i="2"/>
  <c r="D504" i="2"/>
  <c r="D503" i="2"/>
  <c r="D451" i="2"/>
  <c r="D403" i="2" l="1"/>
  <c r="D399" i="2"/>
  <c r="D377" i="2"/>
  <c r="D373" i="2"/>
  <c r="D306" i="2" l="1"/>
  <c r="D299" i="2"/>
  <c r="D300" i="2"/>
  <c r="D295" i="2"/>
  <c r="F1524" i="2"/>
  <c r="D1517" i="2" s="1"/>
  <c r="D1533" i="2"/>
  <c r="B1520" i="2"/>
  <c r="D1507" i="2"/>
  <c r="D1491" i="2"/>
  <c r="B1494" i="2"/>
  <c r="I110" i="3"/>
  <c r="D1535" i="2" l="1"/>
  <c r="G1500" i="2"/>
  <c r="F1526" i="2"/>
  <c r="G1526" i="2" s="1"/>
  <c r="D1509" i="2"/>
  <c r="D1472" i="2"/>
  <c r="D1480" i="2" s="1"/>
  <c r="F1471" i="2"/>
  <c r="F1473" i="2" s="1"/>
  <c r="G1473" i="2" s="1"/>
  <c r="B1467" i="2"/>
  <c r="D1464" i="2"/>
  <c r="D1482" i="2" l="1"/>
  <c r="D425" i="2"/>
  <c r="D436" i="2"/>
  <c r="D430" i="2"/>
  <c r="D1394" i="2"/>
  <c r="D1289" i="2"/>
  <c r="D1184" i="2"/>
  <c r="D1133" i="2"/>
  <c r="D1029" i="2"/>
  <c r="D1028" i="2"/>
  <c r="D618" i="2"/>
  <c r="D612" i="2"/>
  <c r="D611" i="2"/>
  <c r="D404" i="2"/>
  <c r="D378" i="2"/>
  <c r="D280" i="2"/>
  <c r="D274" i="2"/>
  <c r="D273" i="2"/>
  <c r="D254" i="2"/>
  <c r="D248" i="2"/>
  <c r="D247" i="2"/>
  <c r="D228" i="2"/>
  <c r="D222" i="2"/>
  <c r="D221" i="2"/>
  <c r="D196" i="2"/>
  <c r="D195" i="2"/>
  <c r="D176" i="2"/>
  <c r="D170" i="2"/>
  <c r="D169" i="2"/>
  <c r="D150" i="2"/>
  <c r="D144" i="2"/>
  <c r="D143" i="2"/>
  <c r="D124" i="2"/>
  <c r="D118" i="2"/>
  <c r="D117" i="2"/>
  <c r="D98" i="2"/>
  <c r="D92" i="2"/>
  <c r="D91" i="2"/>
  <c r="D72" i="2"/>
  <c r="D66" i="2"/>
  <c r="D65" i="2"/>
  <c r="D46" i="2"/>
  <c r="D40" i="2"/>
  <c r="D39" i="2"/>
  <c r="D14" i="2"/>
  <c r="D13" i="2"/>
  <c r="D429" i="2"/>
  <c r="L63" i="3" l="1"/>
  <c r="K63" i="3"/>
  <c r="M63" i="3" s="1"/>
  <c r="L34" i="3"/>
  <c r="K34" i="3"/>
  <c r="L33" i="3"/>
  <c r="K33" i="3"/>
  <c r="M33" i="3" s="1"/>
  <c r="L26" i="3"/>
  <c r="K26" i="3"/>
  <c r="L27" i="3"/>
  <c r="K27" i="3"/>
  <c r="M27" i="3" s="1"/>
  <c r="L25" i="3"/>
  <c r="K25" i="3"/>
  <c r="K23" i="3"/>
  <c r="D1454" i="2"/>
  <c r="F1445" i="2"/>
  <c r="D1438" i="2" s="1"/>
  <c r="B1441" i="2"/>
  <c r="L101" i="3"/>
  <c r="K101" i="3"/>
  <c r="M101" i="3" s="1"/>
  <c r="L100" i="3"/>
  <c r="K100" i="3"/>
  <c r="L99" i="3"/>
  <c r="K99" i="3"/>
  <c r="M99" i="3" s="1"/>
  <c r="L98" i="3"/>
  <c r="K98" i="3"/>
  <c r="L97" i="3"/>
  <c r="K97" i="3"/>
  <c r="M97" i="3" s="1"/>
  <c r="D1456" i="2" l="1"/>
  <c r="M98" i="3"/>
  <c r="M26" i="3"/>
  <c r="M34" i="3"/>
  <c r="M100" i="3"/>
  <c r="M25" i="3"/>
  <c r="F1447" i="2"/>
  <c r="G1447" i="2" s="1"/>
  <c r="L75" i="3"/>
  <c r="K75" i="3"/>
  <c r="M75" i="3" s="1"/>
  <c r="L74" i="3"/>
  <c r="K74" i="3"/>
  <c r="L73" i="3"/>
  <c r="M73" i="3" s="1"/>
  <c r="K73" i="3"/>
  <c r="L72" i="3"/>
  <c r="K72" i="3"/>
  <c r="M72" i="3" s="1"/>
  <c r="K71" i="3"/>
  <c r="M74" i="3" l="1"/>
  <c r="F1421" i="2"/>
  <c r="G1421" i="2" s="1"/>
  <c r="D1428" i="2"/>
  <c r="B1415" i="2"/>
  <c r="G1395" i="2"/>
  <c r="D1390" i="2"/>
  <c r="D1402" i="2" s="1"/>
  <c r="B1389" i="2"/>
  <c r="F1369" i="2"/>
  <c r="G1369" i="2" s="1"/>
  <c r="B1363" i="2"/>
  <c r="I106" i="3"/>
  <c r="F1341" i="2"/>
  <c r="D1334" i="2" s="1"/>
  <c r="D1350" i="2"/>
  <c r="B1337" i="2"/>
  <c r="F1314" i="2"/>
  <c r="F1262" i="2"/>
  <c r="F1264" i="2" s="1"/>
  <c r="L91" i="3"/>
  <c r="M91" i="3" s="1"/>
  <c r="F1210" i="2"/>
  <c r="F1158" i="2"/>
  <c r="L85" i="3"/>
  <c r="M85" i="3" s="1"/>
  <c r="L83" i="3"/>
  <c r="M83" i="3" s="1"/>
  <c r="D607" i="2"/>
  <c r="F1212" i="2" l="1"/>
  <c r="F1316" i="2"/>
  <c r="F1160" i="2"/>
  <c r="D1412" i="2"/>
  <c r="D1430" i="2" s="1"/>
  <c r="D1386" i="2"/>
  <c r="D1404" i="2" s="1"/>
  <c r="D1360" i="2"/>
  <c r="D1378" i="2" s="1"/>
  <c r="D1352" i="2"/>
  <c r="F1343" i="2"/>
  <c r="G1343" i="2" s="1"/>
  <c r="D270" i="2"/>
  <c r="D269" i="2"/>
  <c r="D217" i="2"/>
  <c r="D191" i="2"/>
  <c r="D140" i="2"/>
  <c r="D139" i="2"/>
  <c r="D9" i="2"/>
  <c r="D1307" i="2" l="1"/>
  <c r="D1323" i="2"/>
  <c r="B1310" i="2"/>
  <c r="F1288" i="2"/>
  <c r="D1281" i="2" s="1"/>
  <c r="D1285" i="2"/>
  <c r="D1297" i="2" s="1"/>
  <c r="B1284" i="2"/>
  <c r="D1271" i="2"/>
  <c r="G1264" i="2"/>
  <c r="B1258" i="2"/>
  <c r="D1255" i="2"/>
  <c r="F1106" i="2"/>
  <c r="F1132" i="2"/>
  <c r="F1002" i="2"/>
  <c r="F1004" i="2" s="1"/>
  <c r="L82" i="3"/>
  <c r="M82" i="3" s="1"/>
  <c r="L77" i="3"/>
  <c r="M77" i="3" s="1"/>
  <c r="F1054" i="2"/>
  <c r="L79" i="3"/>
  <c r="M79" i="3" s="1"/>
  <c r="L78" i="3"/>
  <c r="M78" i="3" s="1"/>
  <c r="F1184" i="2"/>
  <c r="D1155" i="2"/>
  <c r="D1077" i="2"/>
  <c r="F1236" i="2"/>
  <c r="D1273" i="2" l="1"/>
  <c r="F1290" i="2"/>
  <c r="G1290" i="2" s="1"/>
  <c r="F1056" i="2"/>
  <c r="F1134" i="2"/>
  <c r="D1325" i="2"/>
  <c r="G1316" i="2"/>
  <c r="D1299" i="2"/>
  <c r="F1108" i="2"/>
  <c r="D1229" i="2"/>
  <c r="D1233" i="2"/>
  <c r="D1245" i="2" s="1"/>
  <c r="B1232" i="2"/>
  <c r="D1203" i="2"/>
  <c r="D1221" i="2" s="1"/>
  <c r="D1207" i="2"/>
  <c r="D1219" i="2" s="1"/>
  <c r="B1206" i="2"/>
  <c r="F1186" i="2"/>
  <c r="G1186" i="2" s="1"/>
  <c r="D1193" i="2"/>
  <c r="B1180" i="2"/>
  <c r="D1177" i="2"/>
  <c r="G1160" i="2"/>
  <c r="D1167" i="2"/>
  <c r="B1154" i="2"/>
  <c r="D1195" i="2" l="1"/>
  <c r="D1247" i="2"/>
  <c r="F1238" i="2"/>
  <c r="G1238" i="2" s="1"/>
  <c r="G1212" i="2"/>
  <c r="D1151" i="2"/>
  <c r="D1169" i="2" s="1"/>
  <c r="D244" i="2" l="1"/>
  <c r="D243" i="2"/>
  <c r="D218" i="2"/>
  <c r="D166" i="2"/>
  <c r="D165" i="2"/>
  <c r="D113" i="2"/>
  <c r="D87" i="2" l="1"/>
  <c r="D61" i="2"/>
  <c r="D35" i="2"/>
  <c r="C254" i="1"/>
  <c r="C255" i="1" s="1"/>
  <c r="C250" i="1"/>
  <c r="C251" i="1" s="1"/>
  <c r="C246" i="1"/>
  <c r="C247" i="1" s="1"/>
  <c r="C242" i="1"/>
  <c r="C243" i="1" s="1"/>
  <c r="C238" i="1"/>
  <c r="C239" i="1" s="1"/>
  <c r="C235" i="1"/>
  <c r="C234" i="1"/>
  <c r="C231" i="1"/>
  <c r="C230" i="1"/>
  <c r="C226" i="1"/>
  <c r="C227" i="1" s="1"/>
  <c r="C222" i="1"/>
  <c r="C223" i="1" s="1"/>
  <c r="C218" i="1"/>
  <c r="C219" i="1" s="1"/>
  <c r="C214" i="1"/>
  <c r="C215" i="1" s="1"/>
  <c r="C211" i="1"/>
  <c r="C212" i="1" s="1"/>
  <c r="C210" i="1"/>
  <c r="C206" i="1"/>
  <c r="C207" i="1" s="1"/>
  <c r="C203" i="1"/>
  <c r="C202" i="1"/>
  <c r="C200" i="1"/>
  <c r="C199" i="1"/>
  <c r="C198" i="1"/>
  <c r="C194" i="1"/>
  <c r="C195" i="1" s="1"/>
  <c r="C190" i="1"/>
  <c r="C191" i="1" s="1"/>
  <c r="C186" i="1"/>
  <c r="C187" i="1" s="1"/>
  <c r="C188" i="1" s="1"/>
  <c r="C182" i="1"/>
  <c r="C183" i="1" s="1"/>
  <c r="C179" i="1"/>
  <c r="C178" i="1"/>
  <c r="C174" i="1"/>
  <c r="C175" i="1" s="1"/>
  <c r="C171" i="1"/>
  <c r="C170" i="1"/>
  <c r="C166" i="1"/>
  <c r="C167" i="1" s="1"/>
  <c r="C162" i="1"/>
  <c r="C163" i="1" s="1"/>
  <c r="C164" i="1" s="1"/>
  <c r="C158" i="1"/>
  <c r="C159" i="1" s="1"/>
  <c r="C154" i="1"/>
  <c r="C155" i="1" s="1"/>
  <c r="C156" i="1" s="1"/>
  <c r="C150" i="1"/>
  <c r="C151" i="1" s="1"/>
  <c r="C147" i="1"/>
  <c r="C146" i="1"/>
  <c r="C142" i="1"/>
  <c r="C143" i="1" s="1"/>
  <c r="C139" i="1"/>
  <c r="C138" i="1"/>
  <c r="D174" i="1"/>
  <c r="D175" i="1"/>
  <c r="D178" i="1"/>
  <c r="D182" i="1"/>
  <c r="D186" i="1"/>
  <c r="D190" i="1"/>
  <c r="D194" i="1"/>
  <c r="D198" i="1"/>
  <c r="D202" i="1"/>
  <c r="O202" i="1" s="1"/>
  <c r="D206" i="1"/>
  <c r="D210" i="1"/>
  <c r="D214" i="1"/>
  <c r="D218" i="1"/>
  <c r="D222" i="1"/>
  <c r="D226" i="1"/>
  <c r="D227" i="1"/>
  <c r="D230" i="1"/>
  <c r="C118" i="1"/>
  <c r="C119" i="1" s="1"/>
  <c r="C115" i="1"/>
  <c r="C114" i="1"/>
  <c r="C110" i="1"/>
  <c r="C111" i="1" s="1"/>
  <c r="C106" i="1"/>
  <c r="C107" i="1" s="1"/>
  <c r="C102" i="1"/>
  <c r="C103" i="1" s="1"/>
  <c r="C98" i="1"/>
  <c r="C99" i="1" s="1"/>
  <c r="C94" i="1"/>
  <c r="C95" i="1" s="1"/>
  <c r="C91" i="1"/>
  <c r="C90" i="1"/>
  <c r="C86" i="1"/>
  <c r="C87" i="1" s="1"/>
  <c r="C82" i="1"/>
  <c r="C83" i="1" s="1"/>
  <c r="C78" i="1"/>
  <c r="C79" i="1" s="1"/>
  <c r="C74" i="1"/>
  <c r="C75" i="1" s="1"/>
  <c r="C70" i="1"/>
  <c r="C71" i="1" s="1"/>
  <c r="C66" i="1"/>
  <c r="C67" i="1" s="1"/>
  <c r="C62" i="1"/>
  <c r="C63" i="1" s="1"/>
  <c r="C58" i="1"/>
  <c r="C59" i="1" s="1"/>
  <c r="C54" i="1"/>
  <c r="C55" i="1" s="1"/>
  <c r="C50" i="1"/>
  <c r="C51" i="1" s="1"/>
  <c r="C46" i="1"/>
  <c r="C47" i="1" s="1"/>
  <c r="C43" i="1"/>
  <c r="C42" i="1"/>
  <c r="C38" i="1"/>
  <c r="C39" i="1" s="1"/>
  <c r="C34" i="1"/>
  <c r="C35" i="1" s="1"/>
  <c r="C31" i="1"/>
  <c r="C30" i="1"/>
  <c r="C26" i="1"/>
  <c r="C27" i="1" s="1"/>
  <c r="C22" i="1"/>
  <c r="C23" i="1" s="1"/>
  <c r="C19" i="1"/>
  <c r="C18" i="1"/>
  <c r="C14" i="1"/>
  <c r="C15" i="1" s="1"/>
  <c r="C10" i="1"/>
  <c r="C11" i="1" s="1"/>
  <c r="D219" i="1" l="1"/>
  <c r="D191" i="1"/>
  <c r="D195" i="1"/>
  <c r="D203" i="1"/>
  <c r="D207" i="1"/>
  <c r="D179" i="1"/>
  <c r="D199" i="1"/>
  <c r="D228" i="1"/>
  <c r="D187" i="1"/>
  <c r="D231" i="1"/>
  <c r="D183" i="1"/>
  <c r="D176" i="1"/>
  <c r="D211" i="1"/>
  <c r="D223" i="1"/>
  <c r="O222" i="1"/>
  <c r="D215" i="1"/>
  <c r="G1134" i="2"/>
  <c r="D1129" i="2"/>
  <c r="D1141" i="2" s="1"/>
  <c r="B1128" i="2"/>
  <c r="D1125" i="2"/>
  <c r="D1103" i="2"/>
  <c r="B1102" i="2"/>
  <c r="D1099" i="2"/>
  <c r="G1108" i="2"/>
  <c r="D296" i="2"/>
  <c r="D220" i="1" l="1"/>
  <c r="D192" i="1"/>
  <c r="D196" i="1"/>
  <c r="O203" i="1"/>
  <c r="D204" i="1"/>
  <c r="O204" i="1" s="1"/>
  <c r="D208" i="1"/>
  <c r="D180" i="1"/>
  <c r="D200" i="1"/>
  <c r="D188" i="1"/>
  <c r="D232" i="1"/>
  <c r="D184" i="1"/>
  <c r="D212" i="1"/>
  <c r="O223" i="1"/>
  <c r="D224" i="1"/>
  <c r="O224" i="1" s="1"/>
  <c r="D216" i="1"/>
  <c r="D1143" i="2"/>
  <c r="D1115" i="2"/>
  <c r="D1117" i="2" s="1"/>
  <c r="D1089" i="2" l="1"/>
  <c r="F1080" i="2"/>
  <c r="D1073" i="2" s="1"/>
  <c r="B1076" i="2"/>
  <c r="D1047" i="2"/>
  <c r="D1051" i="2"/>
  <c r="D1063" i="2" s="1"/>
  <c r="B1050" i="2"/>
  <c r="F1028" i="2"/>
  <c r="D1021" i="2" s="1"/>
  <c r="D1025" i="2"/>
  <c r="B1024" i="2"/>
  <c r="D995" i="2"/>
  <c r="B998" i="2"/>
  <c r="F976" i="2"/>
  <c r="F978" i="2" s="1"/>
  <c r="G978" i="2" s="1"/>
  <c r="B972" i="2"/>
  <c r="D1037" i="2" l="1"/>
  <c r="D1039" i="2" s="1"/>
  <c r="G1056" i="2"/>
  <c r="D1011" i="2"/>
  <c r="D1013" i="2" s="1"/>
  <c r="G1004" i="2"/>
  <c r="F1030" i="2"/>
  <c r="G1030" i="2" s="1"/>
  <c r="D969" i="2"/>
  <c r="D1065" i="2"/>
  <c r="D1091" i="2"/>
  <c r="F1082" i="2"/>
  <c r="G1082" i="2" s="1"/>
  <c r="D985" i="2"/>
  <c r="F950" i="2"/>
  <c r="F949" i="2"/>
  <c r="F924" i="2"/>
  <c r="F923" i="2"/>
  <c r="L61" i="3"/>
  <c r="M61" i="3" s="1"/>
  <c r="L60" i="3"/>
  <c r="M60" i="3" s="1"/>
  <c r="L59" i="3"/>
  <c r="M59" i="3" s="1"/>
  <c r="F663" i="2"/>
  <c r="F665" i="2" s="1"/>
  <c r="F456" i="2"/>
  <c r="F455" i="2"/>
  <c r="F457" i="2" s="1"/>
  <c r="L50" i="3"/>
  <c r="M50" i="3" s="1"/>
  <c r="L42" i="3"/>
  <c r="M42" i="3" s="1"/>
  <c r="F951" i="2" l="1"/>
  <c r="F925" i="2"/>
  <c r="D987" i="2"/>
  <c r="F533" i="2"/>
  <c r="F481" i="2"/>
  <c r="D474" i="2" s="1"/>
  <c r="M45" i="3"/>
  <c r="L45" i="3"/>
  <c r="L43" i="3"/>
  <c r="M43" i="3" s="1"/>
  <c r="L40" i="3"/>
  <c r="M40" i="3" s="1"/>
  <c r="F585" i="2"/>
  <c r="D578" i="2" s="1"/>
  <c r="F559" i="2"/>
  <c r="L47" i="3"/>
  <c r="M47" i="3" s="1"/>
  <c r="L46" i="3"/>
  <c r="M46" i="3" s="1"/>
  <c r="L44" i="3"/>
  <c r="M44" i="3" s="1"/>
  <c r="F767" i="2"/>
  <c r="F715" i="2"/>
  <c r="F717" i="2" s="1"/>
  <c r="G717" i="2" s="1"/>
  <c r="F689" i="2"/>
  <c r="L54" i="3"/>
  <c r="M54" i="3" s="1"/>
  <c r="L52" i="3"/>
  <c r="M52" i="3" s="1"/>
  <c r="F846" i="2"/>
  <c r="F845" i="2"/>
  <c r="F819" i="2"/>
  <c r="D812" i="2" s="1"/>
  <c r="L57" i="3"/>
  <c r="M57" i="3" s="1"/>
  <c r="L56" i="3"/>
  <c r="M56" i="3" s="1"/>
  <c r="L55" i="3"/>
  <c r="M55" i="3" s="1"/>
  <c r="F637" i="2"/>
  <c r="F611" i="2"/>
  <c r="D604" i="2" s="1"/>
  <c r="L41" i="3"/>
  <c r="M41" i="3" s="1"/>
  <c r="L49" i="3"/>
  <c r="M49" i="3" s="1"/>
  <c r="D942" i="2"/>
  <c r="B945" i="2"/>
  <c r="D916" i="2"/>
  <c r="B919" i="2"/>
  <c r="F897" i="2"/>
  <c r="D890" i="2" s="1"/>
  <c r="B893" i="2"/>
  <c r="F871" i="2"/>
  <c r="F873" i="2" s="1"/>
  <c r="G873" i="2" s="1"/>
  <c r="D880" i="2"/>
  <c r="B867" i="2"/>
  <c r="B841" i="2"/>
  <c r="B815" i="2"/>
  <c r="F793" i="2"/>
  <c r="D786" i="2" s="1"/>
  <c r="D802" i="2"/>
  <c r="B789" i="2"/>
  <c r="B763" i="2"/>
  <c r="D734" i="2"/>
  <c r="B737" i="2"/>
  <c r="B711" i="2"/>
  <c r="D682" i="2"/>
  <c r="B685" i="2"/>
  <c r="D660" i="2"/>
  <c r="G665" i="2"/>
  <c r="B659" i="2"/>
  <c r="B633" i="2"/>
  <c r="D608" i="2"/>
  <c r="B607" i="2"/>
  <c r="B581" i="2"/>
  <c r="B555" i="2"/>
  <c r="D526" i="2"/>
  <c r="B529" i="2"/>
  <c r="F507" i="2"/>
  <c r="D500" i="2" s="1"/>
  <c r="B503" i="2"/>
  <c r="B477" i="2"/>
  <c r="D448" i="2"/>
  <c r="B451" i="2"/>
  <c r="F429" i="2"/>
  <c r="D426" i="2"/>
  <c r="B425" i="2"/>
  <c r="D400" i="2"/>
  <c r="B399" i="2"/>
  <c r="F403" i="2"/>
  <c r="D374" i="2"/>
  <c r="F377" i="2"/>
  <c r="F379" i="2" s="1"/>
  <c r="G379" i="2" s="1"/>
  <c r="B373" i="2"/>
  <c r="I37" i="3"/>
  <c r="L37" i="3"/>
  <c r="M37" i="3" s="1"/>
  <c r="Q37" i="3"/>
  <c r="R37" i="3" s="1"/>
  <c r="U37" i="3"/>
  <c r="L32" i="3"/>
  <c r="K32" i="3"/>
  <c r="L31" i="3"/>
  <c r="K31" i="3"/>
  <c r="L30" i="3"/>
  <c r="K30" i="3"/>
  <c r="L29" i="3"/>
  <c r="K29" i="3"/>
  <c r="K28" i="3"/>
  <c r="F352" i="2"/>
  <c r="D345" i="2" s="1"/>
  <c r="D349" i="2"/>
  <c r="B348" i="2"/>
  <c r="B322" i="2"/>
  <c r="F326" i="2"/>
  <c r="F328" i="2" s="1"/>
  <c r="G328" i="2" s="1"/>
  <c r="D292" i="2"/>
  <c r="B295" i="2"/>
  <c r="F639" i="2" l="1"/>
  <c r="G639" i="2" s="1"/>
  <c r="M30" i="3"/>
  <c r="F613" i="2"/>
  <c r="G613" i="2" s="1"/>
  <c r="F535" i="2"/>
  <c r="G535" i="2" s="1"/>
  <c r="F587" i="2"/>
  <c r="G587" i="2" s="1"/>
  <c r="F483" i="2"/>
  <c r="G483" i="2" s="1"/>
  <c r="D776" i="2"/>
  <c r="D828" i="2"/>
  <c r="D830" i="2" s="1"/>
  <c r="D864" i="2"/>
  <c r="D882" i="2" s="1"/>
  <c r="D630" i="2"/>
  <c r="D958" i="2"/>
  <c r="D960" i="2" s="1"/>
  <c r="F847" i="2"/>
  <c r="G847" i="2" s="1"/>
  <c r="F769" i="2"/>
  <c r="G769" i="2" s="1"/>
  <c r="F561" i="2"/>
  <c r="G561" i="2" s="1"/>
  <c r="D906" i="2"/>
  <c r="D908" i="2" s="1"/>
  <c r="G743" i="2"/>
  <c r="D760" i="2"/>
  <c r="F691" i="2"/>
  <c r="G691" i="2" s="1"/>
  <c r="D750" i="2"/>
  <c r="D752" i="2" s="1"/>
  <c r="D854" i="2"/>
  <c r="F405" i="2"/>
  <c r="G405" i="2" s="1"/>
  <c r="D932" i="2"/>
  <c r="D934" i="2" s="1"/>
  <c r="F821" i="2"/>
  <c r="G821" i="2" s="1"/>
  <c r="D552" i="2"/>
  <c r="D838" i="2"/>
  <c r="F431" i="2"/>
  <c r="G431" i="2" s="1"/>
  <c r="G951" i="2"/>
  <c r="G925" i="2"/>
  <c r="F899" i="2"/>
  <c r="G899" i="2" s="1"/>
  <c r="D804" i="2"/>
  <c r="F795" i="2"/>
  <c r="G795" i="2" s="1"/>
  <c r="D335" i="2"/>
  <c r="D422" i="2"/>
  <c r="D708" i="2"/>
  <c r="F354" i="2"/>
  <c r="G354" i="2" s="1"/>
  <c r="D308" i="2"/>
  <c r="D310" i="2" s="1"/>
  <c r="D360" i="2"/>
  <c r="D362" i="2" s="1"/>
  <c r="D646" i="2"/>
  <c r="D319" i="2"/>
  <c r="D490" i="2"/>
  <c r="D492" i="2" s="1"/>
  <c r="D464" i="2"/>
  <c r="D466" i="2" s="1"/>
  <c r="D386" i="2"/>
  <c r="D568" i="2"/>
  <c r="D698" i="2"/>
  <c r="D700" i="2" s="1"/>
  <c r="D516" i="2"/>
  <c r="D518" i="2" s="1"/>
  <c r="D620" i="2"/>
  <c r="D622" i="2" s="1"/>
  <c r="D438" i="2"/>
  <c r="G457" i="2"/>
  <c r="D542" i="2"/>
  <c r="D544" i="2" s="1"/>
  <c r="D656" i="2"/>
  <c r="D724" i="2"/>
  <c r="D412" i="2"/>
  <c r="D594" i="2"/>
  <c r="D596" i="2" s="1"/>
  <c r="D672" i="2"/>
  <c r="F509" i="2"/>
  <c r="G509" i="2" s="1"/>
  <c r="D396" i="2"/>
  <c r="D370" i="2"/>
  <c r="V37" i="3"/>
  <c r="M31" i="3"/>
  <c r="M29" i="3"/>
  <c r="M32" i="3"/>
  <c r="G301" i="2"/>
  <c r="D570" i="2" l="1"/>
  <c r="D648" i="2"/>
  <c r="D856" i="2"/>
  <c r="D337" i="2"/>
  <c r="D778" i="2"/>
  <c r="D440" i="2"/>
  <c r="D726" i="2"/>
  <c r="D674" i="2"/>
  <c r="D388" i="2"/>
  <c r="D414" i="2"/>
  <c r="F169" i="2"/>
  <c r="F171" i="2" s="1"/>
  <c r="F273" i="2"/>
  <c r="F247" i="2"/>
  <c r="B269" i="2"/>
  <c r="B243" i="2"/>
  <c r="F221" i="2"/>
  <c r="D214" i="2" s="1"/>
  <c r="B217" i="2"/>
  <c r="F275" i="2" l="1"/>
  <c r="G275" i="2" s="1"/>
  <c r="F249" i="2"/>
  <c r="G249" i="2" s="1"/>
  <c r="D282" i="2"/>
  <c r="D256" i="2"/>
  <c r="F223" i="2"/>
  <c r="G223" i="2" s="1"/>
  <c r="D230" i="2"/>
  <c r="D232" i="2" s="1"/>
  <c r="D240" i="2"/>
  <c r="D266" i="2"/>
  <c r="D192" i="2"/>
  <c r="F195" i="2"/>
  <c r="F197" i="2" s="1"/>
  <c r="G197" i="2" s="1"/>
  <c r="B191" i="2"/>
  <c r="D284" i="2" l="1"/>
  <c r="D258" i="2"/>
  <c r="D204" i="2"/>
  <c r="D188" i="2"/>
  <c r="G171" i="2"/>
  <c r="B165" i="2"/>
  <c r="D162" i="2"/>
  <c r="F143" i="2"/>
  <c r="F145" i="2" s="1"/>
  <c r="G145" i="2" s="1"/>
  <c r="B139" i="2"/>
  <c r="D136" i="2" l="1"/>
  <c r="D152" i="2"/>
  <c r="D206" i="2"/>
  <c r="D178" i="2"/>
  <c r="D180" i="2" s="1"/>
  <c r="N338" i="1"/>
  <c r="N339" i="1" s="1"/>
  <c r="N340" i="1" s="1"/>
  <c r="M338" i="1"/>
  <c r="M339" i="1" s="1"/>
  <c r="M340" i="1" s="1"/>
  <c r="L338" i="1"/>
  <c r="L339" i="1" s="1"/>
  <c r="L340" i="1" s="1"/>
  <c r="K338" i="1"/>
  <c r="K339" i="1" s="1"/>
  <c r="K340" i="1" s="1"/>
  <c r="J338" i="1"/>
  <c r="J339" i="1" s="1"/>
  <c r="J340" i="1" s="1"/>
  <c r="I338" i="1"/>
  <c r="I339" i="1" s="1"/>
  <c r="I340" i="1" s="1"/>
  <c r="H338" i="1"/>
  <c r="H339" i="1" s="1"/>
  <c r="H340" i="1" s="1"/>
  <c r="G338" i="1"/>
  <c r="G339" i="1" s="1"/>
  <c r="G340" i="1" s="1"/>
  <c r="F338" i="1"/>
  <c r="F339" i="1" s="1"/>
  <c r="F340" i="1" s="1"/>
  <c r="E338" i="1"/>
  <c r="E339" i="1" s="1"/>
  <c r="E340" i="1" s="1"/>
  <c r="D338" i="1"/>
  <c r="D339" i="1" s="1"/>
  <c r="D340" i="1" s="1"/>
  <c r="C338" i="1"/>
  <c r="C339" i="1" s="1"/>
  <c r="N334" i="1"/>
  <c r="N335" i="1" s="1"/>
  <c r="N336" i="1" s="1"/>
  <c r="M334" i="1"/>
  <c r="M335" i="1" s="1"/>
  <c r="M336" i="1" s="1"/>
  <c r="L334" i="1"/>
  <c r="L335" i="1" s="1"/>
  <c r="L336" i="1" s="1"/>
  <c r="K334" i="1"/>
  <c r="K335" i="1" s="1"/>
  <c r="K336" i="1" s="1"/>
  <c r="J334" i="1"/>
  <c r="J335" i="1" s="1"/>
  <c r="J336" i="1" s="1"/>
  <c r="I334" i="1"/>
  <c r="I335" i="1" s="1"/>
  <c r="I336" i="1" s="1"/>
  <c r="H334" i="1"/>
  <c r="H335" i="1" s="1"/>
  <c r="H336" i="1" s="1"/>
  <c r="G334" i="1"/>
  <c r="G335" i="1" s="1"/>
  <c r="G336" i="1" s="1"/>
  <c r="F334" i="1"/>
  <c r="F335" i="1" s="1"/>
  <c r="F336" i="1" s="1"/>
  <c r="E334" i="1"/>
  <c r="E335" i="1" s="1"/>
  <c r="E336" i="1" s="1"/>
  <c r="D334" i="1"/>
  <c r="D335" i="1" s="1"/>
  <c r="D336" i="1" s="1"/>
  <c r="C334" i="1"/>
  <c r="C335" i="1" s="1"/>
  <c r="N330" i="1"/>
  <c r="N331" i="1" s="1"/>
  <c r="N332" i="1" s="1"/>
  <c r="M330" i="1"/>
  <c r="M331" i="1" s="1"/>
  <c r="M332" i="1" s="1"/>
  <c r="L330" i="1"/>
  <c r="L331" i="1" s="1"/>
  <c r="L332" i="1" s="1"/>
  <c r="K330" i="1"/>
  <c r="K331" i="1" s="1"/>
  <c r="K332" i="1" s="1"/>
  <c r="J330" i="1"/>
  <c r="J331" i="1" s="1"/>
  <c r="J332" i="1" s="1"/>
  <c r="I330" i="1"/>
  <c r="I331" i="1" s="1"/>
  <c r="I332" i="1" s="1"/>
  <c r="H330" i="1"/>
  <c r="H331" i="1" s="1"/>
  <c r="H332" i="1" s="1"/>
  <c r="G330" i="1"/>
  <c r="G331" i="1" s="1"/>
  <c r="G332" i="1" s="1"/>
  <c r="F330" i="1"/>
  <c r="F331" i="1" s="1"/>
  <c r="F332" i="1" s="1"/>
  <c r="E330" i="1"/>
  <c r="E331" i="1" s="1"/>
  <c r="E332" i="1" s="1"/>
  <c r="D330" i="1"/>
  <c r="D331" i="1" s="1"/>
  <c r="D332" i="1" s="1"/>
  <c r="C330" i="1"/>
  <c r="N326" i="1"/>
  <c r="N327" i="1" s="1"/>
  <c r="N328" i="1" s="1"/>
  <c r="M326" i="1"/>
  <c r="M327" i="1" s="1"/>
  <c r="M328" i="1" s="1"/>
  <c r="L326" i="1"/>
  <c r="L327" i="1" s="1"/>
  <c r="L328" i="1" s="1"/>
  <c r="K326" i="1"/>
  <c r="K327" i="1" s="1"/>
  <c r="K328" i="1" s="1"/>
  <c r="J326" i="1"/>
  <c r="J327" i="1" s="1"/>
  <c r="J328" i="1" s="1"/>
  <c r="I326" i="1"/>
  <c r="I327" i="1" s="1"/>
  <c r="I328" i="1" s="1"/>
  <c r="H326" i="1"/>
  <c r="H327" i="1" s="1"/>
  <c r="H328" i="1" s="1"/>
  <c r="G326" i="1"/>
  <c r="G327" i="1" s="1"/>
  <c r="G328" i="1" s="1"/>
  <c r="F326" i="1"/>
  <c r="F327" i="1" s="1"/>
  <c r="F328" i="1" s="1"/>
  <c r="E326" i="1"/>
  <c r="E327" i="1" s="1"/>
  <c r="E328" i="1" s="1"/>
  <c r="D326" i="1"/>
  <c r="D327" i="1" s="1"/>
  <c r="D328" i="1" s="1"/>
  <c r="C326" i="1"/>
  <c r="O326" i="1" s="1"/>
  <c r="N322" i="1"/>
  <c r="N323" i="1" s="1"/>
  <c r="N324" i="1" s="1"/>
  <c r="M322" i="1"/>
  <c r="M323" i="1" s="1"/>
  <c r="M324" i="1" s="1"/>
  <c r="L322" i="1"/>
  <c r="L323" i="1" s="1"/>
  <c r="L324" i="1" s="1"/>
  <c r="K322" i="1"/>
  <c r="K323" i="1" s="1"/>
  <c r="K324" i="1" s="1"/>
  <c r="J322" i="1"/>
  <c r="J323" i="1" s="1"/>
  <c r="J324" i="1" s="1"/>
  <c r="I322" i="1"/>
  <c r="I323" i="1" s="1"/>
  <c r="I324" i="1" s="1"/>
  <c r="H322" i="1"/>
  <c r="H323" i="1" s="1"/>
  <c r="H324" i="1" s="1"/>
  <c r="G322" i="1"/>
  <c r="G323" i="1" s="1"/>
  <c r="G324" i="1" s="1"/>
  <c r="F322" i="1"/>
  <c r="F323" i="1" s="1"/>
  <c r="F324" i="1" s="1"/>
  <c r="E322" i="1"/>
  <c r="E323" i="1" s="1"/>
  <c r="E324" i="1" s="1"/>
  <c r="D322" i="1"/>
  <c r="D323" i="1" s="1"/>
  <c r="D324" i="1" s="1"/>
  <c r="C322" i="1"/>
  <c r="N318" i="1"/>
  <c r="N319" i="1" s="1"/>
  <c r="N320" i="1" s="1"/>
  <c r="M318" i="1"/>
  <c r="M319" i="1" s="1"/>
  <c r="M320" i="1" s="1"/>
  <c r="L318" i="1"/>
  <c r="L319" i="1" s="1"/>
  <c r="L320" i="1" s="1"/>
  <c r="K318" i="1"/>
  <c r="K319" i="1" s="1"/>
  <c r="K320" i="1" s="1"/>
  <c r="J318" i="1"/>
  <c r="J319" i="1" s="1"/>
  <c r="J320" i="1" s="1"/>
  <c r="I318" i="1"/>
  <c r="I319" i="1" s="1"/>
  <c r="I320" i="1" s="1"/>
  <c r="H318" i="1"/>
  <c r="H319" i="1" s="1"/>
  <c r="H320" i="1" s="1"/>
  <c r="G318" i="1"/>
  <c r="G319" i="1" s="1"/>
  <c r="G320" i="1" s="1"/>
  <c r="F318" i="1"/>
  <c r="F319" i="1" s="1"/>
  <c r="F320" i="1" s="1"/>
  <c r="E318" i="1"/>
  <c r="E319" i="1" s="1"/>
  <c r="E320" i="1" s="1"/>
  <c r="D318" i="1"/>
  <c r="D319" i="1" s="1"/>
  <c r="D320" i="1" s="1"/>
  <c r="C318" i="1"/>
  <c r="N314" i="1"/>
  <c r="N315" i="1" s="1"/>
  <c r="N316" i="1" s="1"/>
  <c r="M314" i="1"/>
  <c r="M315" i="1" s="1"/>
  <c r="M316" i="1" s="1"/>
  <c r="L314" i="1"/>
  <c r="L315" i="1" s="1"/>
  <c r="L316" i="1" s="1"/>
  <c r="K314" i="1"/>
  <c r="K315" i="1" s="1"/>
  <c r="K316" i="1" s="1"/>
  <c r="J314" i="1"/>
  <c r="J315" i="1" s="1"/>
  <c r="J316" i="1" s="1"/>
  <c r="I314" i="1"/>
  <c r="I315" i="1" s="1"/>
  <c r="I316" i="1" s="1"/>
  <c r="H314" i="1"/>
  <c r="H315" i="1" s="1"/>
  <c r="H316" i="1" s="1"/>
  <c r="G314" i="1"/>
  <c r="G315" i="1" s="1"/>
  <c r="G316" i="1" s="1"/>
  <c r="F314" i="1"/>
  <c r="F315" i="1" s="1"/>
  <c r="F316" i="1" s="1"/>
  <c r="E314" i="1"/>
  <c r="E315" i="1" s="1"/>
  <c r="E316" i="1" s="1"/>
  <c r="D314" i="1"/>
  <c r="D315" i="1" s="1"/>
  <c r="D316" i="1" s="1"/>
  <c r="C314" i="1"/>
  <c r="N310" i="1"/>
  <c r="N311" i="1" s="1"/>
  <c r="N312" i="1" s="1"/>
  <c r="M310" i="1"/>
  <c r="M311" i="1" s="1"/>
  <c r="M312" i="1" s="1"/>
  <c r="L310" i="1"/>
  <c r="L311" i="1" s="1"/>
  <c r="L312" i="1" s="1"/>
  <c r="K310" i="1"/>
  <c r="K311" i="1" s="1"/>
  <c r="K312" i="1" s="1"/>
  <c r="J310" i="1"/>
  <c r="J311" i="1" s="1"/>
  <c r="J312" i="1" s="1"/>
  <c r="I310" i="1"/>
  <c r="I311" i="1" s="1"/>
  <c r="I312" i="1" s="1"/>
  <c r="H310" i="1"/>
  <c r="H311" i="1" s="1"/>
  <c r="H312" i="1" s="1"/>
  <c r="G310" i="1"/>
  <c r="G311" i="1" s="1"/>
  <c r="G312" i="1" s="1"/>
  <c r="F310" i="1"/>
  <c r="F311" i="1" s="1"/>
  <c r="F312" i="1" s="1"/>
  <c r="E310" i="1"/>
  <c r="E311" i="1" s="1"/>
  <c r="E312" i="1" s="1"/>
  <c r="D310" i="1"/>
  <c r="D311" i="1" s="1"/>
  <c r="D312" i="1" s="1"/>
  <c r="C310" i="1"/>
  <c r="N306" i="1"/>
  <c r="N307" i="1" s="1"/>
  <c r="N308" i="1" s="1"/>
  <c r="M306" i="1"/>
  <c r="M307" i="1" s="1"/>
  <c r="M308" i="1" s="1"/>
  <c r="L306" i="1"/>
  <c r="L307" i="1" s="1"/>
  <c r="L308" i="1" s="1"/>
  <c r="K306" i="1"/>
  <c r="K307" i="1" s="1"/>
  <c r="K308" i="1" s="1"/>
  <c r="J306" i="1"/>
  <c r="J307" i="1" s="1"/>
  <c r="J308" i="1" s="1"/>
  <c r="I306" i="1"/>
  <c r="I307" i="1" s="1"/>
  <c r="I308" i="1" s="1"/>
  <c r="H306" i="1"/>
  <c r="H307" i="1" s="1"/>
  <c r="H308" i="1" s="1"/>
  <c r="G306" i="1"/>
  <c r="G307" i="1" s="1"/>
  <c r="G308" i="1" s="1"/>
  <c r="F306" i="1"/>
  <c r="F307" i="1" s="1"/>
  <c r="F308" i="1" s="1"/>
  <c r="E306" i="1"/>
  <c r="E307" i="1" s="1"/>
  <c r="E308" i="1" s="1"/>
  <c r="D306" i="1"/>
  <c r="D307" i="1" s="1"/>
  <c r="D308" i="1" s="1"/>
  <c r="C306" i="1"/>
  <c r="N302" i="1"/>
  <c r="N303" i="1" s="1"/>
  <c r="N304" i="1" s="1"/>
  <c r="M302" i="1"/>
  <c r="M303" i="1" s="1"/>
  <c r="M304" i="1" s="1"/>
  <c r="L302" i="1"/>
  <c r="L303" i="1" s="1"/>
  <c r="L304" i="1" s="1"/>
  <c r="K302" i="1"/>
  <c r="K303" i="1" s="1"/>
  <c r="K304" i="1" s="1"/>
  <c r="J302" i="1"/>
  <c r="J303" i="1" s="1"/>
  <c r="J304" i="1" s="1"/>
  <c r="I302" i="1"/>
  <c r="I303" i="1" s="1"/>
  <c r="I304" i="1" s="1"/>
  <c r="H302" i="1"/>
  <c r="H303" i="1" s="1"/>
  <c r="H304" i="1" s="1"/>
  <c r="G302" i="1"/>
  <c r="G303" i="1" s="1"/>
  <c r="G304" i="1" s="1"/>
  <c r="F302" i="1"/>
  <c r="F303" i="1" s="1"/>
  <c r="F304" i="1" s="1"/>
  <c r="E302" i="1"/>
  <c r="E303" i="1" s="1"/>
  <c r="E304" i="1" s="1"/>
  <c r="D302" i="1"/>
  <c r="D303" i="1" s="1"/>
  <c r="D304" i="1" s="1"/>
  <c r="C302" i="1"/>
  <c r="N299" i="1"/>
  <c r="N300" i="1" s="1"/>
  <c r="L299" i="1"/>
  <c r="L300" i="1" s="1"/>
  <c r="N298" i="1"/>
  <c r="M298" i="1"/>
  <c r="M299" i="1" s="1"/>
  <c r="M300" i="1" s="1"/>
  <c r="L298" i="1"/>
  <c r="K298" i="1"/>
  <c r="K299" i="1" s="1"/>
  <c r="K300" i="1" s="1"/>
  <c r="J298" i="1"/>
  <c r="J299" i="1" s="1"/>
  <c r="J300" i="1" s="1"/>
  <c r="I298" i="1"/>
  <c r="I299" i="1" s="1"/>
  <c r="I300" i="1" s="1"/>
  <c r="H298" i="1"/>
  <c r="H299" i="1" s="1"/>
  <c r="H300" i="1" s="1"/>
  <c r="G298" i="1"/>
  <c r="G299" i="1" s="1"/>
  <c r="G300" i="1" s="1"/>
  <c r="F298" i="1"/>
  <c r="F299" i="1" s="1"/>
  <c r="F300" i="1" s="1"/>
  <c r="E298" i="1"/>
  <c r="E299" i="1" s="1"/>
  <c r="E300" i="1" s="1"/>
  <c r="D298" i="1"/>
  <c r="D299" i="1" s="1"/>
  <c r="D300" i="1" s="1"/>
  <c r="C298" i="1"/>
  <c r="N294" i="1"/>
  <c r="N295" i="1" s="1"/>
  <c r="N296" i="1" s="1"/>
  <c r="M294" i="1"/>
  <c r="M295" i="1" s="1"/>
  <c r="M296" i="1" s="1"/>
  <c r="L294" i="1"/>
  <c r="L295" i="1" s="1"/>
  <c r="L296" i="1" s="1"/>
  <c r="K294" i="1"/>
  <c r="K295" i="1" s="1"/>
  <c r="K296" i="1" s="1"/>
  <c r="J294" i="1"/>
  <c r="J295" i="1" s="1"/>
  <c r="J296" i="1" s="1"/>
  <c r="I294" i="1"/>
  <c r="I295" i="1" s="1"/>
  <c r="I296" i="1" s="1"/>
  <c r="H294" i="1"/>
  <c r="H295" i="1" s="1"/>
  <c r="H296" i="1" s="1"/>
  <c r="G294" i="1"/>
  <c r="G295" i="1" s="1"/>
  <c r="G296" i="1" s="1"/>
  <c r="F294" i="1"/>
  <c r="F295" i="1" s="1"/>
  <c r="F296" i="1" s="1"/>
  <c r="E294" i="1"/>
  <c r="E295" i="1" s="1"/>
  <c r="E296" i="1" s="1"/>
  <c r="D294" i="1"/>
  <c r="D295" i="1" s="1"/>
  <c r="D296" i="1" s="1"/>
  <c r="C294" i="1"/>
  <c r="N290" i="1"/>
  <c r="N291" i="1" s="1"/>
  <c r="N292" i="1" s="1"/>
  <c r="M290" i="1"/>
  <c r="M291" i="1" s="1"/>
  <c r="M292" i="1" s="1"/>
  <c r="L290" i="1"/>
  <c r="L291" i="1" s="1"/>
  <c r="L292" i="1" s="1"/>
  <c r="K290" i="1"/>
  <c r="K291" i="1" s="1"/>
  <c r="K292" i="1" s="1"/>
  <c r="J290" i="1"/>
  <c r="J291" i="1" s="1"/>
  <c r="J292" i="1" s="1"/>
  <c r="I290" i="1"/>
  <c r="I291" i="1" s="1"/>
  <c r="I292" i="1" s="1"/>
  <c r="H290" i="1"/>
  <c r="H291" i="1" s="1"/>
  <c r="H292" i="1" s="1"/>
  <c r="G290" i="1"/>
  <c r="G291" i="1" s="1"/>
  <c r="G292" i="1" s="1"/>
  <c r="F290" i="1"/>
  <c r="F291" i="1" s="1"/>
  <c r="F292" i="1" s="1"/>
  <c r="E290" i="1"/>
  <c r="E291" i="1" s="1"/>
  <c r="E292" i="1" s="1"/>
  <c r="D290" i="1"/>
  <c r="D291" i="1" s="1"/>
  <c r="D292" i="1" s="1"/>
  <c r="C290" i="1"/>
  <c r="N286" i="1"/>
  <c r="N287" i="1" s="1"/>
  <c r="N288" i="1" s="1"/>
  <c r="M286" i="1"/>
  <c r="M287" i="1" s="1"/>
  <c r="M288" i="1" s="1"/>
  <c r="L286" i="1"/>
  <c r="L287" i="1" s="1"/>
  <c r="L288" i="1" s="1"/>
  <c r="K286" i="1"/>
  <c r="K287" i="1" s="1"/>
  <c r="K288" i="1" s="1"/>
  <c r="J286" i="1"/>
  <c r="J287" i="1" s="1"/>
  <c r="J288" i="1" s="1"/>
  <c r="I286" i="1"/>
  <c r="I287" i="1" s="1"/>
  <c r="I288" i="1" s="1"/>
  <c r="H286" i="1"/>
  <c r="H287" i="1" s="1"/>
  <c r="H288" i="1" s="1"/>
  <c r="G286" i="1"/>
  <c r="G287" i="1" s="1"/>
  <c r="G288" i="1" s="1"/>
  <c r="F286" i="1"/>
  <c r="F287" i="1" s="1"/>
  <c r="F288" i="1" s="1"/>
  <c r="E286" i="1"/>
  <c r="E287" i="1" s="1"/>
  <c r="E288" i="1" s="1"/>
  <c r="D286" i="1"/>
  <c r="D287" i="1" s="1"/>
  <c r="D288" i="1" s="1"/>
  <c r="C286" i="1"/>
  <c r="M283" i="1"/>
  <c r="M284" i="1" s="1"/>
  <c r="N282" i="1"/>
  <c r="N283" i="1" s="1"/>
  <c r="N284" i="1" s="1"/>
  <c r="M282" i="1"/>
  <c r="L282" i="1"/>
  <c r="L283" i="1" s="1"/>
  <c r="L284" i="1" s="1"/>
  <c r="K282" i="1"/>
  <c r="K283" i="1" s="1"/>
  <c r="K284" i="1" s="1"/>
  <c r="J282" i="1"/>
  <c r="J283" i="1" s="1"/>
  <c r="J284" i="1" s="1"/>
  <c r="I282" i="1"/>
  <c r="I283" i="1" s="1"/>
  <c r="I284" i="1" s="1"/>
  <c r="H282" i="1"/>
  <c r="H283" i="1" s="1"/>
  <c r="H284" i="1" s="1"/>
  <c r="G282" i="1"/>
  <c r="G283" i="1" s="1"/>
  <c r="G284" i="1" s="1"/>
  <c r="F282" i="1"/>
  <c r="F283" i="1" s="1"/>
  <c r="F284" i="1" s="1"/>
  <c r="E282" i="1"/>
  <c r="E283" i="1" s="1"/>
  <c r="E284" i="1" s="1"/>
  <c r="D282" i="1"/>
  <c r="D283" i="1" s="1"/>
  <c r="D284" i="1" s="1"/>
  <c r="C282" i="1"/>
  <c r="N279" i="1"/>
  <c r="N280" i="1" s="1"/>
  <c r="L279" i="1"/>
  <c r="L280" i="1" s="1"/>
  <c r="N278" i="1"/>
  <c r="M278" i="1"/>
  <c r="M279" i="1" s="1"/>
  <c r="M280" i="1" s="1"/>
  <c r="L278" i="1"/>
  <c r="K278" i="1"/>
  <c r="K279" i="1" s="1"/>
  <c r="K280" i="1" s="1"/>
  <c r="J278" i="1"/>
  <c r="J279" i="1" s="1"/>
  <c r="J280" i="1" s="1"/>
  <c r="I278" i="1"/>
  <c r="I279" i="1" s="1"/>
  <c r="I280" i="1" s="1"/>
  <c r="H278" i="1"/>
  <c r="H279" i="1" s="1"/>
  <c r="H280" i="1" s="1"/>
  <c r="G278" i="1"/>
  <c r="G279" i="1" s="1"/>
  <c r="G280" i="1" s="1"/>
  <c r="F278" i="1"/>
  <c r="F279" i="1" s="1"/>
  <c r="F280" i="1" s="1"/>
  <c r="E278" i="1"/>
  <c r="E279" i="1" s="1"/>
  <c r="E280" i="1" s="1"/>
  <c r="D278" i="1"/>
  <c r="D279" i="1" s="1"/>
  <c r="D280" i="1" s="1"/>
  <c r="C278" i="1"/>
  <c r="N274" i="1"/>
  <c r="N275" i="1" s="1"/>
  <c r="N276" i="1" s="1"/>
  <c r="M274" i="1"/>
  <c r="M275" i="1" s="1"/>
  <c r="M276" i="1" s="1"/>
  <c r="L274" i="1"/>
  <c r="L275" i="1" s="1"/>
  <c r="L276" i="1" s="1"/>
  <c r="K274" i="1"/>
  <c r="K275" i="1" s="1"/>
  <c r="K276" i="1" s="1"/>
  <c r="J274" i="1"/>
  <c r="J275" i="1" s="1"/>
  <c r="J276" i="1" s="1"/>
  <c r="I274" i="1"/>
  <c r="I275" i="1" s="1"/>
  <c r="I276" i="1" s="1"/>
  <c r="H274" i="1"/>
  <c r="H275" i="1" s="1"/>
  <c r="H276" i="1" s="1"/>
  <c r="G274" i="1"/>
  <c r="G275" i="1" s="1"/>
  <c r="G276" i="1" s="1"/>
  <c r="F274" i="1"/>
  <c r="F275" i="1" s="1"/>
  <c r="F276" i="1" s="1"/>
  <c r="E274" i="1"/>
  <c r="E275" i="1" s="1"/>
  <c r="E276" i="1" s="1"/>
  <c r="D274" i="1"/>
  <c r="D275" i="1" s="1"/>
  <c r="D276" i="1" s="1"/>
  <c r="C274" i="1"/>
  <c r="N270" i="1"/>
  <c r="N271" i="1" s="1"/>
  <c r="N272" i="1" s="1"/>
  <c r="M270" i="1"/>
  <c r="L270" i="1"/>
  <c r="K270" i="1"/>
  <c r="J270" i="1"/>
  <c r="I270" i="1"/>
  <c r="H270" i="1"/>
  <c r="G270" i="1"/>
  <c r="F270" i="1"/>
  <c r="E270" i="1"/>
  <c r="D270" i="1"/>
  <c r="D271" i="1" s="1"/>
  <c r="D272" i="1" s="1"/>
  <c r="C270" i="1"/>
  <c r="M267" i="1"/>
  <c r="J267" i="1"/>
  <c r="H267" i="1"/>
  <c r="E267" i="1"/>
  <c r="E268" i="1" s="1"/>
  <c r="N266" i="1"/>
  <c r="N267" i="1" s="1"/>
  <c r="M266" i="1"/>
  <c r="L266" i="1"/>
  <c r="L267" i="1" s="1"/>
  <c r="K266" i="1"/>
  <c r="K267" i="1" s="1"/>
  <c r="J266" i="1"/>
  <c r="I266" i="1"/>
  <c r="I267" i="1" s="1"/>
  <c r="H266" i="1"/>
  <c r="G266" i="1"/>
  <c r="G267" i="1" s="1"/>
  <c r="F266" i="1"/>
  <c r="F267" i="1" s="1"/>
  <c r="E266" i="1"/>
  <c r="D266" i="1"/>
  <c r="C266" i="1"/>
  <c r="C267" i="1" s="1"/>
  <c r="N263" i="1"/>
  <c r="L263" i="1"/>
  <c r="I263" i="1"/>
  <c r="F263" i="1"/>
  <c r="D263" i="1"/>
  <c r="D264" i="1" s="1"/>
  <c r="N262" i="1"/>
  <c r="M262" i="1"/>
  <c r="M263" i="1" s="1"/>
  <c r="L262" i="1"/>
  <c r="K262" i="1"/>
  <c r="K263" i="1" s="1"/>
  <c r="J262" i="1"/>
  <c r="J263" i="1" s="1"/>
  <c r="I262" i="1"/>
  <c r="H262" i="1"/>
  <c r="H263" i="1" s="1"/>
  <c r="G262" i="1"/>
  <c r="G263" i="1" s="1"/>
  <c r="F262" i="1"/>
  <c r="E262" i="1"/>
  <c r="E263" i="1" s="1"/>
  <c r="E264" i="1" s="1"/>
  <c r="D262" i="1"/>
  <c r="C262" i="1"/>
  <c r="M259" i="1"/>
  <c r="J259" i="1"/>
  <c r="H259" i="1"/>
  <c r="E259" i="1"/>
  <c r="E260" i="1" s="1"/>
  <c r="N258" i="1"/>
  <c r="N259" i="1" s="1"/>
  <c r="M258" i="1"/>
  <c r="L258" i="1"/>
  <c r="L259" i="1" s="1"/>
  <c r="K258" i="1"/>
  <c r="K259" i="1" s="1"/>
  <c r="J258" i="1"/>
  <c r="I258" i="1"/>
  <c r="I259" i="1" s="1"/>
  <c r="H258" i="1"/>
  <c r="G258" i="1"/>
  <c r="G259" i="1" s="1"/>
  <c r="F258" i="1"/>
  <c r="F259" i="1" s="1"/>
  <c r="E258" i="1"/>
  <c r="D258" i="1"/>
  <c r="C258" i="1"/>
  <c r="C259" i="1" s="1"/>
  <c r="N255" i="1"/>
  <c r="L255" i="1"/>
  <c r="I255" i="1"/>
  <c r="F255" i="1"/>
  <c r="N254" i="1"/>
  <c r="M254" i="1"/>
  <c r="M255" i="1" s="1"/>
  <c r="L254" i="1"/>
  <c r="K254" i="1"/>
  <c r="K255" i="1" s="1"/>
  <c r="J254" i="1"/>
  <c r="J255" i="1" s="1"/>
  <c r="I254" i="1"/>
  <c r="H254" i="1"/>
  <c r="H255" i="1" s="1"/>
  <c r="G254" i="1"/>
  <c r="G255" i="1" s="1"/>
  <c r="F254" i="1"/>
  <c r="E254" i="1"/>
  <c r="E255" i="1" s="1"/>
  <c r="E256" i="1" s="1"/>
  <c r="D254" i="1"/>
  <c r="O254" i="1" s="1"/>
  <c r="M251" i="1"/>
  <c r="J251" i="1"/>
  <c r="H251" i="1"/>
  <c r="E251" i="1"/>
  <c r="E252" i="1" s="1"/>
  <c r="N250" i="1"/>
  <c r="N251" i="1" s="1"/>
  <c r="M250" i="1"/>
  <c r="L250" i="1"/>
  <c r="L251" i="1" s="1"/>
  <c r="K250" i="1"/>
  <c r="K251" i="1" s="1"/>
  <c r="J250" i="1"/>
  <c r="I250" i="1"/>
  <c r="I251" i="1" s="1"/>
  <c r="H250" i="1"/>
  <c r="G250" i="1"/>
  <c r="G251" i="1" s="1"/>
  <c r="F250" i="1"/>
  <c r="F251" i="1" s="1"/>
  <c r="E250" i="1"/>
  <c r="D250" i="1"/>
  <c r="N247" i="1"/>
  <c r="L247" i="1"/>
  <c r="I247" i="1"/>
  <c r="F247" i="1"/>
  <c r="N246" i="1"/>
  <c r="M246" i="1"/>
  <c r="M247" i="1" s="1"/>
  <c r="L246" i="1"/>
  <c r="K246" i="1"/>
  <c r="K247" i="1" s="1"/>
  <c r="J246" i="1"/>
  <c r="J247" i="1" s="1"/>
  <c r="I246" i="1"/>
  <c r="H246" i="1"/>
  <c r="H247" i="1" s="1"/>
  <c r="G246" i="1"/>
  <c r="G247" i="1" s="1"/>
  <c r="F246" i="1"/>
  <c r="E246" i="1"/>
  <c r="E247" i="1" s="1"/>
  <c r="E248" i="1" s="1"/>
  <c r="D246" i="1"/>
  <c r="M243" i="1"/>
  <c r="J243" i="1"/>
  <c r="H243" i="1"/>
  <c r="N242" i="1"/>
  <c r="N243" i="1" s="1"/>
  <c r="M242" i="1"/>
  <c r="L242" i="1"/>
  <c r="L243" i="1" s="1"/>
  <c r="K242" i="1"/>
  <c r="K243" i="1" s="1"/>
  <c r="J242" i="1"/>
  <c r="I242" i="1"/>
  <c r="I243" i="1" s="1"/>
  <c r="H242" i="1"/>
  <c r="G242" i="1"/>
  <c r="G243" i="1" s="1"/>
  <c r="F242" i="1"/>
  <c r="F243" i="1" s="1"/>
  <c r="E242" i="1"/>
  <c r="E243" i="1" s="1"/>
  <c r="E244" i="1" s="1"/>
  <c r="D242" i="1"/>
  <c r="N239" i="1"/>
  <c r="M239" i="1"/>
  <c r="L239" i="1"/>
  <c r="K239" i="1"/>
  <c r="F239" i="1"/>
  <c r="E239" i="1"/>
  <c r="E240" i="1" s="1"/>
  <c r="D239" i="1"/>
  <c r="N238" i="1"/>
  <c r="M238" i="1"/>
  <c r="L238" i="1"/>
  <c r="K238" i="1"/>
  <c r="J238" i="1"/>
  <c r="J239" i="1" s="1"/>
  <c r="I238" i="1"/>
  <c r="I239" i="1" s="1"/>
  <c r="H238" i="1"/>
  <c r="H239" i="1" s="1"/>
  <c r="G238" i="1"/>
  <c r="G239" i="1" s="1"/>
  <c r="F238" i="1"/>
  <c r="E238" i="1"/>
  <c r="D238" i="1"/>
  <c r="O238" i="1" s="1"/>
  <c r="J235" i="1"/>
  <c r="I235" i="1"/>
  <c r="H235" i="1"/>
  <c r="G235" i="1"/>
  <c r="N234" i="1"/>
  <c r="N235" i="1" s="1"/>
  <c r="M234" i="1"/>
  <c r="M235" i="1" s="1"/>
  <c r="L234" i="1"/>
  <c r="L235" i="1" s="1"/>
  <c r="K234" i="1"/>
  <c r="K235" i="1" s="1"/>
  <c r="J234" i="1"/>
  <c r="I234" i="1"/>
  <c r="H234" i="1"/>
  <c r="G234" i="1"/>
  <c r="F234" i="1"/>
  <c r="F235" i="1" s="1"/>
  <c r="E234" i="1"/>
  <c r="E235" i="1" s="1"/>
  <c r="E236" i="1" s="1"/>
  <c r="D234" i="1"/>
  <c r="N231" i="1"/>
  <c r="M231" i="1"/>
  <c r="L231" i="1"/>
  <c r="K231" i="1"/>
  <c r="F231" i="1"/>
  <c r="E231" i="1"/>
  <c r="N230" i="1"/>
  <c r="M230" i="1"/>
  <c r="L230" i="1"/>
  <c r="K230" i="1"/>
  <c r="J230" i="1"/>
  <c r="J231" i="1" s="1"/>
  <c r="I230" i="1"/>
  <c r="I231" i="1" s="1"/>
  <c r="H230" i="1"/>
  <c r="H231" i="1" s="1"/>
  <c r="G230" i="1"/>
  <c r="G231" i="1" s="1"/>
  <c r="F230" i="1"/>
  <c r="E230" i="1"/>
  <c r="O230" i="1" s="1"/>
  <c r="J227" i="1"/>
  <c r="I227" i="1"/>
  <c r="H227" i="1"/>
  <c r="G227" i="1"/>
  <c r="N226" i="1"/>
  <c r="N227" i="1" s="1"/>
  <c r="M226" i="1"/>
  <c r="M227" i="1" s="1"/>
  <c r="L226" i="1"/>
  <c r="L227" i="1" s="1"/>
  <c r="K226" i="1"/>
  <c r="K227" i="1" s="1"/>
  <c r="J226" i="1"/>
  <c r="I226" i="1"/>
  <c r="H226" i="1"/>
  <c r="G226" i="1"/>
  <c r="F226" i="1"/>
  <c r="F227" i="1" s="1"/>
  <c r="E226" i="1"/>
  <c r="N223" i="1"/>
  <c r="M223" i="1"/>
  <c r="L223" i="1"/>
  <c r="K223" i="1"/>
  <c r="F223" i="1"/>
  <c r="E223" i="1"/>
  <c r="N222" i="1"/>
  <c r="M222" i="1"/>
  <c r="L222" i="1"/>
  <c r="K222" i="1"/>
  <c r="J222" i="1"/>
  <c r="J223" i="1" s="1"/>
  <c r="I222" i="1"/>
  <c r="I223" i="1" s="1"/>
  <c r="H222" i="1"/>
  <c r="H223" i="1" s="1"/>
  <c r="G222" i="1"/>
  <c r="G223" i="1" s="1"/>
  <c r="F222" i="1"/>
  <c r="E222" i="1"/>
  <c r="M219" i="1"/>
  <c r="L219" i="1"/>
  <c r="J219" i="1"/>
  <c r="G219" i="1"/>
  <c r="N218" i="1"/>
  <c r="N219" i="1" s="1"/>
  <c r="M218" i="1"/>
  <c r="L218" i="1"/>
  <c r="K218" i="1"/>
  <c r="K219" i="1" s="1"/>
  <c r="J218" i="1"/>
  <c r="I218" i="1"/>
  <c r="I219" i="1" s="1"/>
  <c r="H218" i="1"/>
  <c r="H219" i="1" s="1"/>
  <c r="G218" i="1"/>
  <c r="F218" i="1"/>
  <c r="F219" i="1" s="1"/>
  <c r="E218" i="1"/>
  <c r="O218" i="1" s="1"/>
  <c r="N215" i="1"/>
  <c r="K215" i="1"/>
  <c r="I215" i="1"/>
  <c r="H215" i="1"/>
  <c r="F215" i="1"/>
  <c r="N214" i="1"/>
  <c r="M214" i="1"/>
  <c r="M215" i="1" s="1"/>
  <c r="L214" i="1"/>
  <c r="L215" i="1" s="1"/>
  <c r="K214" i="1"/>
  <c r="J214" i="1"/>
  <c r="J215" i="1" s="1"/>
  <c r="I214" i="1"/>
  <c r="H214" i="1"/>
  <c r="G214" i="1"/>
  <c r="G215" i="1" s="1"/>
  <c r="F214" i="1"/>
  <c r="E214" i="1"/>
  <c r="M211" i="1"/>
  <c r="M212" i="1" s="1"/>
  <c r="L211" i="1"/>
  <c r="L212" i="1" s="1"/>
  <c r="J211" i="1"/>
  <c r="J212" i="1" s="1"/>
  <c r="G211" i="1"/>
  <c r="G212" i="1" s="1"/>
  <c r="E211" i="1"/>
  <c r="N210" i="1"/>
  <c r="N211" i="1" s="1"/>
  <c r="N212" i="1" s="1"/>
  <c r="M210" i="1"/>
  <c r="L210" i="1"/>
  <c r="K210" i="1"/>
  <c r="K211" i="1" s="1"/>
  <c r="K212" i="1" s="1"/>
  <c r="J210" i="1"/>
  <c r="I210" i="1"/>
  <c r="I211" i="1" s="1"/>
  <c r="I212" i="1" s="1"/>
  <c r="H210" i="1"/>
  <c r="H211" i="1" s="1"/>
  <c r="H212" i="1" s="1"/>
  <c r="G210" i="1"/>
  <c r="F210" i="1"/>
  <c r="F211" i="1" s="1"/>
  <c r="F212" i="1" s="1"/>
  <c r="E210" i="1"/>
  <c r="O210" i="1" s="1"/>
  <c r="N207" i="1"/>
  <c r="K207" i="1"/>
  <c r="I207" i="1"/>
  <c r="H207" i="1"/>
  <c r="F207" i="1"/>
  <c r="N206" i="1"/>
  <c r="M206" i="1"/>
  <c r="M207" i="1" s="1"/>
  <c r="L206" i="1"/>
  <c r="L207" i="1" s="1"/>
  <c r="K206" i="1"/>
  <c r="J206" i="1"/>
  <c r="J207" i="1" s="1"/>
  <c r="I206" i="1"/>
  <c r="H206" i="1"/>
  <c r="G206" i="1"/>
  <c r="G207" i="1" s="1"/>
  <c r="F206" i="1"/>
  <c r="E206" i="1"/>
  <c r="M203" i="1"/>
  <c r="L203" i="1"/>
  <c r="J203" i="1"/>
  <c r="G203" i="1"/>
  <c r="E203" i="1"/>
  <c r="N202" i="1"/>
  <c r="N203" i="1" s="1"/>
  <c r="M202" i="1"/>
  <c r="L202" i="1"/>
  <c r="K202" i="1"/>
  <c r="K203" i="1" s="1"/>
  <c r="J202" i="1"/>
  <c r="I202" i="1"/>
  <c r="I203" i="1" s="1"/>
  <c r="H202" i="1"/>
  <c r="H203" i="1" s="1"/>
  <c r="G202" i="1"/>
  <c r="F202" i="1"/>
  <c r="F203" i="1" s="1"/>
  <c r="E202" i="1"/>
  <c r="N199" i="1"/>
  <c r="N200" i="1" s="1"/>
  <c r="K199" i="1"/>
  <c r="K200" i="1" s="1"/>
  <c r="I199" i="1"/>
  <c r="I200" i="1" s="1"/>
  <c r="H199" i="1"/>
  <c r="H200" i="1" s="1"/>
  <c r="F199" i="1"/>
  <c r="F200" i="1" s="1"/>
  <c r="N198" i="1"/>
  <c r="M198" i="1"/>
  <c r="M199" i="1" s="1"/>
  <c r="M200" i="1" s="1"/>
  <c r="L198" i="1"/>
  <c r="L199" i="1" s="1"/>
  <c r="L200" i="1" s="1"/>
  <c r="K198" i="1"/>
  <c r="J198" i="1"/>
  <c r="J199" i="1" s="1"/>
  <c r="J200" i="1" s="1"/>
  <c r="I198" i="1"/>
  <c r="H198" i="1"/>
  <c r="G198" i="1"/>
  <c r="G199" i="1" s="1"/>
  <c r="G200" i="1" s="1"/>
  <c r="F198" i="1"/>
  <c r="E198" i="1"/>
  <c r="M195" i="1"/>
  <c r="L195" i="1"/>
  <c r="J195" i="1"/>
  <c r="G195" i="1"/>
  <c r="N194" i="1"/>
  <c r="N195" i="1" s="1"/>
  <c r="M194" i="1"/>
  <c r="L194" i="1"/>
  <c r="K194" i="1"/>
  <c r="K195" i="1" s="1"/>
  <c r="J194" i="1"/>
  <c r="I194" i="1"/>
  <c r="I195" i="1" s="1"/>
  <c r="H194" i="1"/>
  <c r="H195" i="1" s="1"/>
  <c r="G194" i="1"/>
  <c r="F194" i="1"/>
  <c r="F195" i="1" s="1"/>
  <c r="E194" i="1"/>
  <c r="O194" i="1" s="1"/>
  <c r="L191" i="1"/>
  <c r="J191" i="1"/>
  <c r="I191" i="1"/>
  <c r="N190" i="1"/>
  <c r="N191" i="1" s="1"/>
  <c r="M190" i="1"/>
  <c r="M191" i="1" s="1"/>
  <c r="L190" i="1"/>
  <c r="K190" i="1"/>
  <c r="K191" i="1" s="1"/>
  <c r="J190" i="1"/>
  <c r="I190" i="1"/>
  <c r="H190" i="1"/>
  <c r="H191" i="1" s="1"/>
  <c r="G190" i="1"/>
  <c r="G191" i="1" s="1"/>
  <c r="F190" i="1"/>
  <c r="F191" i="1" s="1"/>
  <c r="E190" i="1"/>
  <c r="L187" i="1"/>
  <c r="L188" i="1" s="1"/>
  <c r="N186" i="1"/>
  <c r="N187" i="1" s="1"/>
  <c r="N188" i="1" s="1"/>
  <c r="M186" i="1"/>
  <c r="M187" i="1" s="1"/>
  <c r="M188" i="1" s="1"/>
  <c r="L186" i="1"/>
  <c r="K186" i="1"/>
  <c r="K187" i="1" s="1"/>
  <c r="K188" i="1" s="1"/>
  <c r="J186" i="1"/>
  <c r="J187" i="1" s="1"/>
  <c r="J188" i="1" s="1"/>
  <c r="I186" i="1"/>
  <c r="I187" i="1" s="1"/>
  <c r="I188" i="1" s="1"/>
  <c r="H186" i="1"/>
  <c r="H187" i="1" s="1"/>
  <c r="H188" i="1" s="1"/>
  <c r="G186" i="1"/>
  <c r="G187" i="1" s="1"/>
  <c r="G188" i="1" s="1"/>
  <c r="F186" i="1"/>
  <c r="F187" i="1" s="1"/>
  <c r="F188" i="1" s="1"/>
  <c r="E186" i="1"/>
  <c r="L183" i="1"/>
  <c r="K183" i="1"/>
  <c r="I183" i="1"/>
  <c r="N182" i="1"/>
  <c r="N183" i="1" s="1"/>
  <c r="M182" i="1"/>
  <c r="M183" i="1" s="1"/>
  <c r="L182" i="1"/>
  <c r="K182" i="1"/>
  <c r="J182" i="1"/>
  <c r="J183" i="1" s="1"/>
  <c r="I182" i="1"/>
  <c r="H182" i="1"/>
  <c r="H183" i="1" s="1"/>
  <c r="G182" i="1"/>
  <c r="G183" i="1" s="1"/>
  <c r="F182" i="1"/>
  <c r="F183" i="1" s="1"/>
  <c r="E182" i="1"/>
  <c r="N179" i="1"/>
  <c r="M179" i="1"/>
  <c r="L179" i="1"/>
  <c r="F179" i="1"/>
  <c r="N178" i="1"/>
  <c r="M178" i="1"/>
  <c r="L178" i="1"/>
  <c r="K178" i="1"/>
  <c r="K179" i="1" s="1"/>
  <c r="J178" i="1"/>
  <c r="J179" i="1" s="1"/>
  <c r="I178" i="1"/>
  <c r="I179" i="1" s="1"/>
  <c r="H178" i="1"/>
  <c r="H179" i="1" s="1"/>
  <c r="G178" i="1"/>
  <c r="G179" i="1" s="1"/>
  <c r="F178" i="1"/>
  <c r="E178" i="1"/>
  <c r="O178" i="1" s="1"/>
  <c r="M175" i="1"/>
  <c r="L175" i="1"/>
  <c r="J175" i="1"/>
  <c r="G175" i="1"/>
  <c r="N174" i="1"/>
  <c r="N175" i="1" s="1"/>
  <c r="M174" i="1"/>
  <c r="L174" i="1"/>
  <c r="K174" i="1"/>
  <c r="K175" i="1" s="1"/>
  <c r="J174" i="1"/>
  <c r="I174" i="1"/>
  <c r="I175" i="1" s="1"/>
  <c r="H174" i="1"/>
  <c r="H175" i="1" s="1"/>
  <c r="G174" i="1"/>
  <c r="F174" i="1"/>
  <c r="F175" i="1" s="1"/>
  <c r="E174" i="1"/>
  <c r="O174" i="1" s="1"/>
  <c r="L171" i="1"/>
  <c r="I171" i="1"/>
  <c r="G171" i="1"/>
  <c r="N170" i="1"/>
  <c r="N171" i="1" s="1"/>
  <c r="M170" i="1"/>
  <c r="M171" i="1" s="1"/>
  <c r="L170" i="1"/>
  <c r="K170" i="1"/>
  <c r="K171" i="1" s="1"/>
  <c r="J170" i="1"/>
  <c r="J171" i="1" s="1"/>
  <c r="I170" i="1"/>
  <c r="H170" i="1"/>
  <c r="H171" i="1" s="1"/>
  <c r="G170" i="1"/>
  <c r="F170" i="1"/>
  <c r="F171" i="1" s="1"/>
  <c r="E170" i="1"/>
  <c r="E171" i="1" s="1"/>
  <c r="E172" i="1" s="1"/>
  <c r="D170" i="1"/>
  <c r="O170" i="1" s="1"/>
  <c r="K167" i="1"/>
  <c r="I167" i="1"/>
  <c r="N166" i="1"/>
  <c r="N167" i="1" s="1"/>
  <c r="M166" i="1"/>
  <c r="M167" i="1" s="1"/>
  <c r="L166" i="1"/>
  <c r="L167" i="1" s="1"/>
  <c r="K166" i="1"/>
  <c r="J166" i="1"/>
  <c r="J167" i="1" s="1"/>
  <c r="I166" i="1"/>
  <c r="H166" i="1"/>
  <c r="H167" i="1" s="1"/>
  <c r="G166" i="1"/>
  <c r="G167" i="1" s="1"/>
  <c r="F166" i="1"/>
  <c r="F167" i="1" s="1"/>
  <c r="E166" i="1"/>
  <c r="E167" i="1" s="1"/>
  <c r="E168" i="1" s="1"/>
  <c r="D166" i="1"/>
  <c r="M163" i="1"/>
  <c r="M164" i="1" s="1"/>
  <c r="L163" i="1"/>
  <c r="L164" i="1" s="1"/>
  <c r="K163" i="1"/>
  <c r="K164" i="1" s="1"/>
  <c r="N162" i="1"/>
  <c r="N163" i="1" s="1"/>
  <c r="N164" i="1" s="1"/>
  <c r="M162" i="1"/>
  <c r="L162" i="1"/>
  <c r="K162" i="1"/>
  <c r="J162" i="1"/>
  <c r="J163" i="1" s="1"/>
  <c r="J164" i="1" s="1"/>
  <c r="I162" i="1"/>
  <c r="I163" i="1" s="1"/>
  <c r="I164" i="1" s="1"/>
  <c r="H162" i="1"/>
  <c r="H163" i="1" s="1"/>
  <c r="H164" i="1" s="1"/>
  <c r="G162" i="1"/>
  <c r="G163" i="1" s="1"/>
  <c r="G164" i="1" s="1"/>
  <c r="F162" i="1"/>
  <c r="F163" i="1" s="1"/>
  <c r="F164" i="1" s="1"/>
  <c r="E162" i="1"/>
  <c r="E163" i="1" s="1"/>
  <c r="E164" i="1" s="1"/>
  <c r="D162" i="1"/>
  <c r="L159" i="1"/>
  <c r="J159" i="1"/>
  <c r="G159" i="1"/>
  <c r="N158" i="1"/>
  <c r="N159" i="1" s="1"/>
  <c r="M158" i="1"/>
  <c r="M159" i="1" s="1"/>
  <c r="L158" i="1"/>
  <c r="K158" i="1"/>
  <c r="K159" i="1" s="1"/>
  <c r="J158" i="1"/>
  <c r="I158" i="1"/>
  <c r="I159" i="1" s="1"/>
  <c r="H158" i="1"/>
  <c r="H159" i="1" s="1"/>
  <c r="G158" i="1"/>
  <c r="F158" i="1"/>
  <c r="F159" i="1" s="1"/>
  <c r="E158" i="1"/>
  <c r="E159" i="1" s="1"/>
  <c r="E160" i="1" s="1"/>
  <c r="D158" i="1"/>
  <c r="N155" i="1"/>
  <c r="N156" i="1" s="1"/>
  <c r="L155" i="1"/>
  <c r="L156" i="1" s="1"/>
  <c r="G155" i="1"/>
  <c r="G156" i="1" s="1"/>
  <c r="F155" i="1"/>
  <c r="F156" i="1" s="1"/>
  <c r="N154" i="1"/>
  <c r="M154" i="1"/>
  <c r="M155" i="1" s="1"/>
  <c r="M156" i="1" s="1"/>
  <c r="L154" i="1"/>
  <c r="K154" i="1"/>
  <c r="K155" i="1" s="1"/>
  <c r="K156" i="1" s="1"/>
  <c r="J154" i="1"/>
  <c r="J155" i="1" s="1"/>
  <c r="J156" i="1" s="1"/>
  <c r="I154" i="1"/>
  <c r="I155" i="1" s="1"/>
  <c r="I156" i="1" s="1"/>
  <c r="H154" i="1"/>
  <c r="H155" i="1" s="1"/>
  <c r="H156" i="1" s="1"/>
  <c r="G154" i="1"/>
  <c r="F154" i="1"/>
  <c r="E154" i="1"/>
  <c r="E155" i="1" s="1"/>
  <c r="E156" i="1" s="1"/>
  <c r="D154" i="1"/>
  <c r="O154" i="1" s="1"/>
  <c r="N151" i="1"/>
  <c r="M151" i="1"/>
  <c r="L151" i="1"/>
  <c r="K151" i="1"/>
  <c r="F151" i="1"/>
  <c r="E151" i="1"/>
  <c r="E152" i="1" s="1"/>
  <c r="D151" i="1"/>
  <c r="N150" i="1"/>
  <c r="M150" i="1"/>
  <c r="L150" i="1"/>
  <c r="K150" i="1"/>
  <c r="J150" i="1"/>
  <c r="J151" i="1" s="1"/>
  <c r="I150" i="1"/>
  <c r="I151" i="1" s="1"/>
  <c r="H150" i="1"/>
  <c r="H151" i="1" s="1"/>
  <c r="G150" i="1"/>
  <c r="G151" i="1" s="1"/>
  <c r="F150" i="1"/>
  <c r="E150" i="1"/>
  <c r="D150" i="1"/>
  <c r="O150" i="1" s="1"/>
  <c r="N147" i="1"/>
  <c r="M147" i="1"/>
  <c r="L147" i="1"/>
  <c r="K147" i="1"/>
  <c r="F147" i="1"/>
  <c r="D147" i="1"/>
  <c r="N146" i="1"/>
  <c r="M146" i="1"/>
  <c r="L146" i="1"/>
  <c r="K146" i="1"/>
  <c r="J146" i="1"/>
  <c r="J147" i="1" s="1"/>
  <c r="I146" i="1"/>
  <c r="I147" i="1" s="1"/>
  <c r="H146" i="1"/>
  <c r="H147" i="1" s="1"/>
  <c r="G146" i="1"/>
  <c r="G147" i="1" s="1"/>
  <c r="F146" i="1"/>
  <c r="E146" i="1"/>
  <c r="E147" i="1" s="1"/>
  <c r="E148" i="1" s="1"/>
  <c r="D146" i="1"/>
  <c r="O146" i="1" s="1"/>
  <c r="N143" i="1"/>
  <c r="M143" i="1"/>
  <c r="L143" i="1"/>
  <c r="K143" i="1"/>
  <c r="F143" i="1"/>
  <c r="N142" i="1"/>
  <c r="M142" i="1"/>
  <c r="L142" i="1"/>
  <c r="K142" i="1"/>
  <c r="J142" i="1"/>
  <c r="J143" i="1" s="1"/>
  <c r="I142" i="1"/>
  <c r="I143" i="1" s="1"/>
  <c r="H142" i="1"/>
  <c r="H143" i="1" s="1"/>
  <c r="G142" i="1"/>
  <c r="G143" i="1" s="1"/>
  <c r="F142" i="1"/>
  <c r="E142" i="1"/>
  <c r="E143" i="1" s="1"/>
  <c r="E144" i="1" s="1"/>
  <c r="D142" i="1"/>
  <c r="K139" i="1"/>
  <c r="J139" i="1"/>
  <c r="I139" i="1"/>
  <c r="N138" i="1"/>
  <c r="N139" i="1" s="1"/>
  <c r="M138" i="1"/>
  <c r="M139" i="1" s="1"/>
  <c r="L138" i="1"/>
  <c r="L139" i="1" s="1"/>
  <c r="K138" i="1"/>
  <c r="J138" i="1"/>
  <c r="I138" i="1"/>
  <c r="H138" i="1"/>
  <c r="H139" i="1" s="1"/>
  <c r="G138" i="1"/>
  <c r="G139" i="1" s="1"/>
  <c r="F138" i="1"/>
  <c r="F139" i="1" s="1"/>
  <c r="E138" i="1"/>
  <c r="E139" i="1" s="1"/>
  <c r="E140" i="1" s="1"/>
  <c r="D138" i="1"/>
  <c r="M135" i="1"/>
  <c r="M136" i="1" s="1"/>
  <c r="L135" i="1"/>
  <c r="L136" i="1" s="1"/>
  <c r="K135" i="1"/>
  <c r="K136" i="1" s="1"/>
  <c r="E135" i="1"/>
  <c r="E136" i="1" s="1"/>
  <c r="N134" i="1"/>
  <c r="N135" i="1" s="1"/>
  <c r="N136" i="1" s="1"/>
  <c r="M134" i="1"/>
  <c r="L134" i="1"/>
  <c r="K134" i="1"/>
  <c r="J134" i="1"/>
  <c r="J135" i="1" s="1"/>
  <c r="J136" i="1" s="1"/>
  <c r="I134" i="1"/>
  <c r="I135" i="1" s="1"/>
  <c r="I136" i="1" s="1"/>
  <c r="H134" i="1"/>
  <c r="H135" i="1" s="1"/>
  <c r="H136" i="1" s="1"/>
  <c r="G134" i="1"/>
  <c r="G135" i="1" s="1"/>
  <c r="G136" i="1" s="1"/>
  <c r="F134" i="1"/>
  <c r="F135" i="1" s="1"/>
  <c r="F136" i="1" s="1"/>
  <c r="E134" i="1"/>
  <c r="D134" i="1"/>
  <c r="O134" i="1" s="1"/>
  <c r="N131" i="1"/>
  <c r="M131" i="1"/>
  <c r="L131" i="1"/>
  <c r="K131" i="1"/>
  <c r="F131" i="1"/>
  <c r="E131" i="1"/>
  <c r="E132" i="1" s="1"/>
  <c r="N130" i="1"/>
  <c r="M130" i="1"/>
  <c r="L130" i="1"/>
  <c r="K130" i="1"/>
  <c r="J130" i="1"/>
  <c r="J131" i="1" s="1"/>
  <c r="I130" i="1"/>
  <c r="I131" i="1" s="1"/>
  <c r="H130" i="1"/>
  <c r="H131" i="1" s="1"/>
  <c r="G130" i="1"/>
  <c r="G131" i="1" s="1"/>
  <c r="F130" i="1"/>
  <c r="E130" i="1"/>
  <c r="D130" i="1"/>
  <c r="O130" i="1" s="1"/>
  <c r="M127" i="1"/>
  <c r="L127" i="1"/>
  <c r="K127" i="1"/>
  <c r="E127" i="1"/>
  <c r="E128" i="1" s="1"/>
  <c r="N126" i="1"/>
  <c r="N127" i="1" s="1"/>
  <c r="M126" i="1"/>
  <c r="L126" i="1"/>
  <c r="K126" i="1"/>
  <c r="J126" i="1"/>
  <c r="J127" i="1" s="1"/>
  <c r="I126" i="1"/>
  <c r="I127" i="1" s="1"/>
  <c r="H126" i="1"/>
  <c r="H127" i="1" s="1"/>
  <c r="G126" i="1"/>
  <c r="G127" i="1" s="1"/>
  <c r="F126" i="1"/>
  <c r="F127" i="1" s="1"/>
  <c r="E126" i="1"/>
  <c r="D126" i="1"/>
  <c r="O126" i="1" s="1"/>
  <c r="N123" i="1"/>
  <c r="K123" i="1"/>
  <c r="F123" i="1"/>
  <c r="N122" i="1"/>
  <c r="M122" i="1"/>
  <c r="M123" i="1" s="1"/>
  <c r="L122" i="1"/>
  <c r="L123" i="1" s="1"/>
  <c r="K122" i="1"/>
  <c r="J122" i="1"/>
  <c r="J123" i="1" s="1"/>
  <c r="I122" i="1"/>
  <c r="I123" i="1" s="1"/>
  <c r="H122" i="1"/>
  <c r="H123" i="1" s="1"/>
  <c r="G122" i="1"/>
  <c r="G123" i="1" s="1"/>
  <c r="F122" i="1"/>
  <c r="E122" i="1"/>
  <c r="E123" i="1" s="1"/>
  <c r="E124" i="1" s="1"/>
  <c r="D122" i="1"/>
  <c r="L119" i="1"/>
  <c r="J119" i="1"/>
  <c r="G119" i="1"/>
  <c r="N118" i="1"/>
  <c r="N119" i="1" s="1"/>
  <c r="M118" i="1"/>
  <c r="M119" i="1" s="1"/>
  <c r="L118" i="1"/>
  <c r="K118" i="1"/>
  <c r="K119" i="1" s="1"/>
  <c r="J118" i="1"/>
  <c r="I118" i="1"/>
  <c r="I119" i="1" s="1"/>
  <c r="H118" i="1"/>
  <c r="H119" i="1" s="1"/>
  <c r="G118" i="1"/>
  <c r="F118" i="1"/>
  <c r="F119" i="1" s="1"/>
  <c r="E118" i="1"/>
  <c r="E119" i="1" s="1"/>
  <c r="E120" i="1" s="1"/>
  <c r="D118" i="1"/>
  <c r="O118" i="1" s="1"/>
  <c r="N115" i="1"/>
  <c r="L115" i="1"/>
  <c r="K115" i="1"/>
  <c r="F115" i="1"/>
  <c r="D115" i="1"/>
  <c r="N114" i="1"/>
  <c r="M114" i="1"/>
  <c r="M115" i="1" s="1"/>
  <c r="L114" i="1"/>
  <c r="K114" i="1"/>
  <c r="J114" i="1"/>
  <c r="J115" i="1" s="1"/>
  <c r="I114" i="1"/>
  <c r="I115" i="1" s="1"/>
  <c r="H114" i="1"/>
  <c r="H115" i="1" s="1"/>
  <c r="G114" i="1"/>
  <c r="G115" i="1" s="1"/>
  <c r="F114" i="1"/>
  <c r="E114" i="1"/>
  <c r="E115" i="1" s="1"/>
  <c r="E116" i="1" s="1"/>
  <c r="D114" i="1"/>
  <c r="M111" i="1"/>
  <c r="K111" i="1"/>
  <c r="J111" i="1"/>
  <c r="H111" i="1"/>
  <c r="N110" i="1"/>
  <c r="N111" i="1" s="1"/>
  <c r="M110" i="1"/>
  <c r="L110" i="1"/>
  <c r="L111" i="1" s="1"/>
  <c r="K110" i="1"/>
  <c r="J110" i="1"/>
  <c r="I110" i="1"/>
  <c r="I111" i="1" s="1"/>
  <c r="H110" i="1"/>
  <c r="G110" i="1"/>
  <c r="G111" i="1" s="1"/>
  <c r="F110" i="1"/>
  <c r="F111" i="1" s="1"/>
  <c r="E110" i="1"/>
  <c r="E111" i="1" s="1"/>
  <c r="E112" i="1" s="1"/>
  <c r="D110" i="1"/>
  <c r="N107" i="1"/>
  <c r="M107" i="1"/>
  <c r="L107" i="1"/>
  <c r="K107" i="1"/>
  <c r="F107" i="1"/>
  <c r="N106" i="1"/>
  <c r="M106" i="1"/>
  <c r="L106" i="1"/>
  <c r="K106" i="1"/>
  <c r="J106" i="1"/>
  <c r="J107" i="1" s="1"/>
  <c r="I106" i="1"/>
  <c r="I107" i="1" s="1"/>
  <c r="H106" i="1"/>
  <c r="H107" i="1" s="1"/>
  <c r="G106" i="1"/>
  <c r="G107" i="1" s="1"/>
  <c r="F106" i="1"/>
  <c r="E106" i="1"/>
  <c r="E107" i="1" s="1"/>
  <c r="E108" i="1" s="1"/>
  <c r="D106" i="1"/>
  <c r="O106" i="1" s="1"/>
  <c r="M103" i="1"/>
  <c r="L103" i="1"/>
  <c r="K103" i="1"/>
  <c r="J103" i="1"/>
  <c r="N102" i="1"/>
  <c r="N103" i="1" s="1"/>
  <c r="M102" i="1"/>
  <c r="L102" i="1"/>
  <c r="K102" i="1"/>
  <c r="J102" i="1"/>
  <c r="I102" i="1"/>
  <c r="I103" i="1" s="1"/>
  <c r="H102" i="1"/>
  <c r="H103" i="1" s="1"/>
  <c r="G102" i="1"/>
  <c r="G103" i="1" s="1"/>
  <c r="F102" i="1"/>
  <c r="F103" i="1" s="1"/>
  <c r="E102" i="1"/>
  <c r="E103" i="1" s="1"/>
  <c r="E104" i="1" s="1"/>
  <c r="D102" i="1"/>
  <c r="M99" i="1"/>
  <c r="L99" i="1"/>
  <c r="J99" i="1"/>
  <c r="N98" i="1"/>
  <c r="N99" i="1" s="1"/>
  <c r="M98" i="1"/>
  <c r="L98" i="1"/>
  <c r="K98" i="1"/>
  <c r="K99" i="1" s="1"/>
  <c r="J98" i="1"/>
  <c r="I98" i="1"/>
  <c r="I99" i="1" s="1"/>
  <c r="H98" i="1"/>
  <c r="H99" i="1" s="1"/>
  <c r="G98" i="1"/>
  <c r="G99" i="1" s="1"/>
  <c r="F98" i="1"/>
  <c r="F99" i="1" s="1"/>
  <c r="E98" i="1"/>
  <c r="E99" i="1" s="1"/>
  <c r="E100" i="1" s="1"/>
  <c r="D98" i="1"/>
  <c r="O98" i="1" s="1"/>
  <c r="M95" i="1"/>
  <c r="L95" i="1"/>
  <c r="J95" i="1"/>
  <c r="G95" i="1"/>
  <c r="E95" i="1"/>
  <c r="D95" i="1"/>
  <c r="N94" i="1"/>
  <c r="N95" i="1" s="1"/>
  <c r="M94" i="1"/>
  <c r="L94" i="1"/>
  <c r="K94" i="1"/>
  <c r="K95" i="1" s="1"/>
  <c r="J94" i="1"/>
  <c r="I94" i="1"/>
  <c r="I95" i="1" s="1"/>
  <c r="H94" i="1"/>
  <c r="H95" i="1" s="1"/>
  <c r="G94" i="1"/>
  <c r="F94" i="1"/>
  <c r="F95" i="1" s="1"/>
  <c r="E94" i="1"/>
  <c r="D94" i="1"/>
  <c r="N91" i="1"/>
  <c r="M91" i="1"/>
  <c r="L91" i="1"/>
  <c r="K91" i="1"/>
  <c r="F91" i="1"/>
  <c r="D91" i="1"/>
  <c r="N90" i="1"/>
  <c r="M90" i="1"/>
  <c r="L90" i="1"/>
  <c r="K90" i="1"/>
  <c r="J90" i="1"/>
  <c r="J91" i="1" s="1"/>
  <c r="I90" i="1"/>
  <c r="I91" i="1" s="1"/>
  <c r="H90" i="1"/>
  <c r="H91" i="1" s="1"/>
  <c r="G90" i="1"/>
  <c r="G91" i="1" s="1"/>
  <c r="F90" i="1"/>
  <c r="E90" i="1"/>
  <c r="E91" i="1" s="1"/>
  <c r="E92" i="1" s="1"/>
  <c r="D90" i="1"/>
  <c r="N87" i="1"/>
  <c r="M87" i="1"/>
  <c r="L87" i="1"/>
  <c r="K87" i="1"/>
  <c r="G87" i="1"/>
  <c r="F87" i="1"/>
  <c r="N86" i="1"/>
  <c r="M86" i="1"/>
  <c r="L86" i="1"/>
  <c r="K86" i="1"/>
  <c r="J86" i="1"/>
  <c r="J87" i="1" s="1"/>
  <c r="I86" i="1"/>
  <c r="I87" i="1" s="1"/>
  <c r="H86" i="1"/>
  <c r="H87" i="1" s="1"/>
  <c r="G86" i="1"/>
  <c r="F86" i="1"/>
  <c r="E86" i="1"/>
  <c r="E87" i="1" s="1"/>
  <c r="E88" i="1" s="1"/>
  <c r="D86" i="1"/>
  <c r="M83" i="1"/>
  <c r="L83" i="1"/>
  <c r="K83" i="1"/>
  <c r="E83" i="1"/>
  <c r="N82" i="1"/>
  <c r="N83" i="1" s="1"/>
  <c r="M82" i="1"/>
  <c r="L82" i="1"/>
  <c r="K82" i="1"/>
  <c r="J82" i="1"/>
  <c r="J83" i="1" s="1"/>
  <c r="I82" i="1"/>
  <c r="I83" i="1" s="1"/>
  <c r="H82" i="1"/>
  <c r="H83" i="1" s="1"/>
  <c r="G82" i="1"/>
  <c r="G83" i="1" s="1"/>
  <c r="F82" i="1"/>
  <c r="F83" i="1" s="1"/>
  <c r="E82" i="1"/>
  <c r="D82" i="1"/>
  <c r="O82" i="1" s="1"/>
  <c r="L79" i="1"/>
  <c r="I79" i="1"/>
  <c r="G79" i="1"/>
  <c r="N78" i="1"/>
  <c r="N79" i="1" s="1"/>
  <c r="M78" i="1"/>
  <c r="M79" i="1" s="1"/>
  <c r="L78" i="1"/>
  <c r="K78" i="1"/>
  <c r="K79" i="1" s="1"/>
  <c r="J78" i="1"/>
  <c r="J79" i="1" s="1"/>
  <c r="I78" i="1"/>
  <c r="H78" i="1"/>
  <c r="G78" i="1"/>
  <c r="F78" i="1"/>
  <c r="F79" i="1" s="1"/>
  <c r="E78" i="1"/>
  <c r="E79" i="1" s="1"/>
  <c r="E80" i="1" s="1"/>
  <c r="D78" i="1"/>
  <c r="N75" i="1"/>
  <c r="M75" i="1"/>
  <c r="L75" i="1"/>
  <c r="K75" i="1"/>
  <c r="F75" i="1"/>
  <c r="D75" i="1"/>
  <c r="N74" i="1"/>
  <c r="M74" i="1"/>
  <c r="L74" i="1"/>
  <c r="K74" i="1"/>
  <c r="J74" i="1"/>
  <c r="J75" i="1" s="1"/>
  <c r="I74" i="1"/>
  <c r="I75" i="1" s="1"/>
  <c r="H74" i="1"/>
  <c r="H75" i="1" s="1"/>
  <c r="G74" i="1"/>
  <c r="G75" i="1" s="1"/>
  <c r="F74" i="1"/>
  <c r="E74" i="1"/>
  <c r="E75" i="1" s="1"/>
  <c r="E76" i="1" s="1"/>
  <c r="D74" i="1"/>
  <c r="N71" i="1"/>
  <c r="M71" i="1"/>
  <c r="L71" i="1"/>
  <c r="K71" i="1"/>
  <c r="F71" i="1"/>
  <c r="E71" i="1"/>
  <c r="E72" i="1" s="1"/>
  <c r="N70" i="1"/>
  <c r="M70" i="1"/>
  <c r="L70" i="1"/>
  <c r="K70" i="1"/>
  <c r="J70" i="1"/>
  <c r="J71" i="1" s="1"/>
  <c r="I70" i="1"/>
  <c r="I71" i="1" s="1"/>
  <c r="H70" i="1"/>
  <c r="H71" i="1" s="1"/>
  <c r="G70" i="1"/>
  <c r="G71" i="1" s="1"/>
  <c r="F70" i="1"/>
  <c r="E70" i="1"/>
  <c r="D70" i="1"/>
  <c r="N67" i="1"/>
  <c r="M67" i="1"/>
  <c r="L67" i="1"/>
  <c r="K67" i="1"/>
  <c r="F67" i="1"/>
  <c r="E67" i="1"/>
  <c r="E68" i="1" s="1"/>
  <c r="D67" i="1"/>
  <c r="N66" i="1"/>
  <c r="M66" i="1"/>
  <c r="L66" i="1"/>
  <c r="K66" i="1"/>
  <c r="J66" i="1"/>
  <c r="J67" i="1" s="1"/>
  <c r="I66" i="1"/>
  <c r="I67" i="1" s="1"/>
  <c r="H66" i="1"/>
  <c r="H67" i="1" s="1"/>
  <c r="G66" i="1"/>
  <c r="G67" i="1" s="1"/>
  <c r="F66" i="1"/>
  <c r="E66" i="1"/>
  <c r="D66" i="1"/>
  <c r="N63" i="1"/>
  <c r="M63" i="1"/>
  <c r="L63" i="1"/>
  <c r="K63" i="1"/>
  <c r="F63" i="1"/>
  <c r="N62" i="1"/>
  <c r="M62" i="1"/>
  <c r="L62" i="1"/>
  <c r="K62" i="1"/>
  <c r="J62" i="1"/>
  <c r="J63" i="1" s="1"/>
  <c r="I62" i="1"/>
  <c r="I63" i="1" s="1"/>
  <c r="H62" i="1"/>
  <c r="H63" i="1" s="1"/>
  <c r="G62" i="1"/>
  <c r="G63" i="1" s="1"/>
  <c r="F62" i="1"/>
  <c r="E62" i="1"/>
  <c r="E63" i="1" s="1"/>
  <c r="E64" i="1" s="1"/>
  <c r="D62" i="1"/>
  <c r="O62" i="1" s="1"/>
  <c r="M59" i="1"/>
  <c r="L59" i="1"/>
  <c r="J59" i="1"/>
  <c r="D59" i="1"/>
  <c r="N58" i="1"/>
  <c r="N59" i="1" s="1"/>
  <c r="M58" i="1"/>
  <c r="L58" i="1"/>
  <c r="K58" i="1"/>
  <c r="K59" i="1" s="1"/>
  <c r="J58" i="1"/>
  <c r="I58" i="1"/>
  <c r="I59" i="1" s="1"/>
  <c r="H58" i="1"/>
  <c r="H59" i="1" s="1"/>
  <c r="G58" i="1"/>
  <c r="G59" i="1" s="1"/>
  <c r="F58" i="1"/>
  <c r="F59" i="1" s="1"/>
  <c r="E58" i="1"/>
  <c r="E59" i="1" s="1"/>
  <c r="E60" i="1" s="1"/>
  <c r="D58" i="1"/>
  <c r="N55" i="1"/>
  <c r="L55" i="1"/>
  <c r="K55" i="1"/>
  <c r="F55" i="1"/>
  <c r="N54" i="1"/>
  <c r="M54" i="1"/>
  <c r="M55" i="1" s="1"/>
  <c r="L54" i="1"/>
  <c r="K54" i="1"/>
  <c r="J54" i="1"/>
  <c r="J55" i="1" s="1"/>
  <c r="I54" i="1"/>
  <c r="I55" i="1" s="1"/>
  <c r="H54" i="1"/>
  <c r="H55" i="1" s="1"/>
  <c r="G54" i="1"/>
  <c r="G55" i="1" s="1"/>
  <c r="F54" i="1"/>
  <c r="E54" i="1"/>
  <c r="E55" i="1" s="1"/>
  <c r="E56" i="1" s="1"/>
  <c r="D54" i="1"/>
  <c r="N51" i="1"/>
  <c r="M51" i="1"/>
  <c r="L51" i="1"/>
  <c r="K51" i="1"/>
  <c r="F51" i="1"/>
  <c r="N50" i="1"/>
  <c r="M50" i="1"/>
  <c r="L50" i="1"/>
  <c r="K50" i="1"/>
  <c r="J50" i="1"/>
  <c r="J51" i="1" s="1"/>
  <c r="I50" i="1"/>
  <c r="I51" i="1" s="1"/>
  <c r="H50" i="1"/>
  <c r="H51" i="1" s="1"/>
  <c r="G50" i="1"/>
  <c r="F50" i="1"/>
  <c r="E50" i="1"/>
  <c r="E51" i="1" s="1"/>
  <c r="E52" i="1" s="1"/>
  <c r="D50" i="1"/>
  <c r="O50" i="1" s="1"/>
  <c r="L47" i="1"/>
  <c r="N46" i="1"/>
  <c r="N47" i="1" s="1"/>
  <c r="M46" i="1"/>
  <c r="M47" i="1" s="1"/>
  <c r="L46" i="1"/>
  <c r="K46" i="1"/>
  <c r="K47" i="1" s="1"/>
  <c r="J46" i="1"/>
  <c r="J47" i="1" s="1"/>
  <c r="I46" i="1"/>
  <c r="I47" i="1" s="1"/>
  <c r="H46" i="1"/>
  <c r="H47" i="1" s="1"/>
  <c r="G46" i="1"/>
  <c r="G47" i="1" s="1"/>
  <c r="F46" i="1"/>
  <c r="F47" i="1" s="1"/>
  <c r="E46" i="1"/>
  <c r="E47" i="1" s="1"/>
  <c r="E48" i="1" s="1"/>
  <c r="D46" i="1"/>
  <c r="O46" i="1" s="1"/>
  <c r="N43" i="1"/>
  <c r="M43" i="1"/>
  <c r="L43" i="1"/>
  <c r="K43" i="1"/>
  <c r="F43" i="1"/>
  <c r="E43" i="1"/>
  <c r="E44" i="1" s="1"/>
  <c r="N42" i="1"/>
  <c r="M42" i="1"/>
  <c r="L42" i="1"/>
  <c r="K42" i="1"/>
  <c r="J42" i="1"/>
  <c r="J43" i="1" s="1"/>
  <c r="I42" i="1"/>
  <c r="I43" i="1" s="1"/>
  <c r="H42" i="1"/>
  <c r="H43" i="1" s="1"/>
  <c r="G42" i="1"/>
  <c r="G43" i="1" s="1"/>
  <c r="F42" i="1"/>
  <c r="E42" i="1"/>
  <c r="D42" i="1"/>
  <c r="O42" i="1" s="1"/>
  <c r="N39" i="1"/>
  <c r="L39" i="1"/>
  <c r="K39" i="1"/>
  <c r="F39" i="1"/>
  <c r="N38" i="1"/>
  <c r="M38" i="1"/>
  <c r="M39" i="1" s="1"/>
  <c r="L38" i="1"/>
  <c r="K38" i="1"/>
  <c r="J38" i="1"/>
  <c r="J39" i="1" s="1"/>
  <c r="I38" i="1"/>
  <c r="I39" i="1" s="1"/>
  <c r="H38" i="1"/>
  <c r="H39" i="1" s="1"/>
  <c r="G38" i="1"/>
  <c r="G39" i="1" s="1"/>
  <c r="F38" i="1"/>
  <c r="E38" i="1"/>
  <c r="E39" i="1" s="1"/>
  <c r="E40" i="1" s="1"/>
  <c r="D38" i="1"/>
  <c r="O38" i="1" s="1"/>
  <c r="N35" i="1"/>
  <c r="M35" i="1"/>
  <c r="L35" i="1"/>
  <c r="K35" i="1"/>
  <c r="F35" i="1"/>
  <c r="E35" i="1"/>
  <c r="E36" i="1" s="1"/>
  <c r="N34" i="1"/>
  <c r="M34" i="1"/>
  <c r="L34" i="1"/>
  <c r="K34" i="1"/>
  <c r="J34" i="1"/>
  <c r="J35" i="1" s="1"/>
  <c r="I34" i="1"/>
  <c r="I35" i="1" s="1"/>
  <c r="H34" i="1"/>
  <c r="H35" i="1" s="1"/>
  <c r="G34" i="1"/>
  <c r="G35" i="1" s="1"/>
  <c r="F34" i="1"/>
  <c r="E34" i="1"/>
  <c r="D34" i="1"/>
  <c r="O34" i="1" s="1"/>
  <c r="N31" i="1"/>
  <c r="M31" i="1"/>
  <c r="L31" i="1"/>
  <c r="K31" i="1"/>
  <c r="F31" i="1"/>
  <c r="E31" i="1"/>
  <c r="E32" i="1" s="1"/>
  <c r="N30" i="1"/>
  <c r="M30" i="1"/>
  <c r="L30" i="1"/>
  <c r="K30" i="1"/>
  <c r="J30" i="1"/>
  <c r="J31" i="1" s="1"/>
  <c r="I30" i="1"/>
  <c r="I31" i="1" s="1"/>
  <c r="H30" i="1"/>
  <c r="H31" i="1" s="1"/>
  <c r="G30" i="1"/>
  <c r="G31" i="1" s="1"/>
  <c r="F30" i="1"/>
  <c r="E30" i="1"/>
  <c r="D30" i="1"/>
  <c r="O30" i="1" s="1"/>
  <c r="K27" i="1"/>
  <c r="I27" i="1"/>
  <c r="N26" i="1"/>
  <c r="N27" i="1" s="1"/>
  <c r="M26" i="1"/>
  <c r="M27" i="1" s="1"/>
  <c r="L26" i="1"/>
  <c r="L27" i="1" s="1"/>
  <c r="K26" i="1"/>
  <c r="J26" i="1"/>
  <c r="J27" i="1" s="1"/>
  <c r="I26" i="1"/>
  <c r="H26" i="1"/>
  <c r="H27" i="1" s="1"/>
  <c r="G26" i="1"/>
  <c r="G27" i="1" s="1"/>
  <c r="F26" i="1"/>
  <c r="F27" i="1" s="1"/>
  <c r="E26" i="1"/>
  <c r="E27" i="1" s="1"/>
  <c r="E28" i="1" s="1"/>
  <c r="D26" i="1"/>
  <c r="L23" i="1"/>
  <c r="I23" i="1"/>
  <c r="N22" i="1"/>
  <c r="N23" i="1" s="1"/>
  <c r="M22" i="1"/>
  <c r="M23" i="1" s="1"/>
  <c r="L22" i="1"/>
  <c r="K22" i="1"/>
  <c r="K23" i="1" s="1"/>
  <c r="J22" i="1"/>
  <c r="J23" i="1" s="1"/>
  <c r="I22" i="1"/>
  <c r="H22" i="1"/>
  <c r="H23" i="1" s="1"/>
  <c r="G22" i="1"/>
  <c r="G23" i="1" s="1"/>
  <c r="F22" i="1"/>
  <c r="F23" i="1" s="1"/>
  <c r="E22" i="1"/>
  <c r="E23" i="1" s="1"/>
  <c r="E24" i="1" s="1"/>
  <c r="D22" i="1"/>
  <c r="M19" i="1"/>
  <c r="L19" i="1"/>
  <c r="K19" i="1"/>
  <c r="E19" i="1"/>
  <c r="E20" i="1" s="1"/>
  <c r="D19" i="1"/>
  <c r="N18" i="1"/>
  <c r="N19" i="1" s="1"/>
  <c r="M18" i="1"/>
  <c r="L18" i="1"/>
  <c r="K18" i="1"/>
  <c r="J18" i="1"/>
  <c r="J19" i="1" s="1"/>
  <c r="I18" i="1"/>
  <c r="I19" i="1" s="1"/>
  <c r="H18" i="1"/>
  <c r="H19" i="1" s="1"/>
  <c r="G18" i="1"/>
  <c r="G19" i="1" s="1"/>
  <c r="F18" i="1"/>
  <c r="F19" i="1" s="1"/>
  <c r="E18" i="1"/>
  <c r="D18" i="1"/>
  <c r="L15" i="1"/>
  <c r="J15" i="1"/>
  <c r="I15" i="1"/>
  <c r="G15" i="1"/>
  <c r="N14" i="1"/>
  <c r="N15" i="1" s="1"/>
  <c r="M14" i="1"/>
  <c r="M15" i="1" s="1"/>
  <c r="L14" i="1"/>
  <c r="K14" i="1"/>
  <c r="K15" i="1" s="1"/>
  <c r="J14" i="1"/>
  <c r="I14" i="1"/>
  <c r="H14" i="1"/>
  <c r="H15" i="1" s="1"/>
  <c r="G14" i="1"/>
  <c r="F14" i="1"/>
  <c r="F15" i="1" s="1"/>
  <c r="E14" i="1"/>
  <c r="E15" i="1" s="1"/>
  <c r="E16" i="1" s="1"/>
  <c r="D14" i="1"/>
  <c r="M11" i="1"/>
  <c r="L11" i="1"/>
  <c r="D11" i="1"/>
  <c r="N10" i="1"/>
  <c r="N11" i="1" s="1"/>
  <c r="M10" i="1"/>
  <c r="L10" i="1"/>
  <c r="K10" i="1"/>
  <c r="K11" i="1" s="1"/>
  <c r="J10" i="1"/>
  <c r="J11" i="1" s="1"/>
  <c r="I10" i="1"/>
  <c r="I11" i="1" s="1"/>
  <c r="H10" i="1"/>
  <c r="G10" i="1"/>
  <c r="G11" i="1" s="1"/>
  <c r="F10" i="1"/>
  <c r="F11" i="1" s="1"/>
  <c r="E10" i="1"/>
  <c r="O10" i="1" s="1"/>
  <c r="D10" i="1"/>
  <c r="L7" i="1"/>
  <c r="K7" i="1"/>
  <c r="J7" i="1"/>
  <c r="N6" i="1"/>
  <c r="N7" i="1" s="1"/>
  <c r="M6" i="1"/>
  <c r="M7" i="1" s="1"/>
  <c r="L6" i="1"/>
  <c r="K6" i="1"/>
  <c r="J6" i="1"/>
  <c r="I6" i="1"/>
  <c r="I7" i="1" s="1"/>
  <c r="H6" i="1"/>
  <c r="H7" i="1" s="1"/>
  <c r="G6" i="1"/>
  <c r="G7" i="1" s="1"/>
  <c r="F6" i="1"/>
  <c r="F7" i="1" s="1"/>
  <c r="E6" i="1"/>
  <c r="E7" i="1" s="1"/>
  <c r="E8" i="1" s="1"/>
  <c r="D6" i="1"/>
  <c r="F117" i="2"/>
  <c r="D110" i="2" s="1"/>
  <c r="F91" i="2"/>
  <c r="F93" i="2" s="1"/>
  <c r="F39" i="2"/>
  <c r="D32" i="2" s="1"/>
  <c r="F14" i="2"/>
  <c r="D114" i="2"/>
  <c r="D126" i="2" s="1"/>
  <c r="B113" i="2"/>
  <c r="D88" i="2"/>
  <c r="B87" i="2"/>
  <c r="F65" i="2"/>
  <c r="D58" i="2" s="1"/>
  <c r="D62" i="2"/>
  <c r="B61" i="2"/>
  <c r="I7" i="3"/>
  <c r="B35" i="2"/>
  <c r="D36" i="2"/>
  <c r="L7" i="3"/>
  <c r="M7" i="3" s="1"/>
  <c r="L8" i="3"/>
  <c r="M8" i="3" s="1"/>
  <c r="L9" i="3"/>
  <c r="M9" i="3" s="1"/>
  <c r="L10" i="3"/>
  <c r="M10" i="3" s="1"/>
  <c r="L11" i="3"/>
  <c r="M11" i="3" s="1"/>
  <c r="L12" i="3"/>
  <c r="M12" i="3" s="1"/>
  <c r="L13" i="3"/>
  <c r="M13" i="3" s="1"/>
  <c r="L14" i="3"/>
  <c r="M14" i="3" s="1"/>
  <c r="L15" i="3"/>
  <c r="M15" i="3" s="1"/>
  <c r="L16" i="3"/>
  <c r="M16" i="3" s="1"/>
  <c r="L17" i="3"/>
  <c r="M17" i="3" s="1"/>
  <c r="L18" i="3"/>
  <c r="M18" i="3" s="1"/>
  <c r="L19" i="3"/>
  <c r="M19" i="3" s="1"/>
  <c r="L20" i="3"/>
  <c r="M20" i="3" s="1"/>
  <c r="L21" i="3"/>
  <c r="M21" i="3" s="1"/>
  <c r="L22" i="3"/>
  <c r="M22" i="3" s="1"/>
  <c r="L23" i="3"/>
  <c r="M23" i="3" s="1"/>
  <c r="L24" i="3"/>
  <c r="M24" i="3" s="1"/>
  <c r="L28" i="3"/>
  <c r="M28" i="3" s="1"/>
  <c r="L36" i="3"/>
  <c r="M36" i="3" s="1"/>
  <c r="L38" i="3"/>
  <c r="M38" i="3" s="1"/>
  <c r="L39" i="3"/>
  <c r="M39" i="3" s="1"/>
  <c r="L48" i="3"/>
  <c r="M48" i="3" s="1"/>
  <c r="L51" i="3"/>
  <c r="M51" i="3" s="1"/>
  <c r="L58" i="3"/>
  <c r="M58" i="3" s="1"/>
  <c r="L67" i="3"/>
  <c r="M67" i="3" s="1"/>
  <c r="L71" i="3"/>
  <c r="M71" i="3" s="1"/>
  <c r="L76" i="3"/>
  <c r="M76" i="3" s="1"/>
  <c r="L80" i="3"/>
  <c r="M80" i="3" s="1"/>
  <c r="L81" i="3"/>
  <c r="M81" i="3" s="1"/>
  <c r="L84" i="3"/>
  <c r="M84" i="3" s="1"/>
  <c r="L86" i="3"/>
  <c r="M86" i="3" s="1"/>
  <c r="L87" i="3"/>
  <c r="M87" i="3" s="1"/>
  <c r="L92" i="3"/>
  <c r="M92" i="3" s="1"/>
  <c r="L93" i="3"/>
  <c r="M93" i="3" s="1"/>
  <c r="L94" i="3"/>
  <c r="M94" i="3" s="1"/>
  <c r="L95" i="3"/>
  <c r="M95" i="3" s="1"/>
  <c r="L96" i="3"/>
  <c r="M96" i="3" s="1"/>
  <c r="L102" i="3"/>
  <c r="M102" i="3" s="1"/>
  <c r="L103" i="3"/>
  <c r="M103" i="3" s="1"/>
  <c r="L104" i="3"/>
  <c r="M104" i="3" s="1"/>
  <c r="L105" i="3"/>
  <c r="M105" i="3" s="1"/>
  <c r="L106" i="3"/>
  <c r="M106" i="3" s="1"/>
  <c r="L107" i="3"/>
  <c r="M107" i="3" s="1"/>
  <c r="L108" i="3"/>
  <c r="M108" i="3" s="1"/>
  <c r="L110" i="3"/>
  <c r="M110" i="3" s="1"/>
  <c r="L113" i="3"/>
  <c r="M113" i="3" s="1"/>
  <c r="L118" i="3"/>
  <c r="M118" i="3" s="1"/>
  <c r="L132" i="3"/>
  <c r="M132" i="3" s="1"/>
  <c r="L133" i="3"/>
  <c r="M133" i="3" s="1"/>
  <c r="L134" i="3"/>
  <c r="M134" i="3" s="1"/>
  <c r="L135" i="3"/>
  <c r="M135" i="3" s="1"/>
  <c r="L136" i="3"/>
  <c r="M136" i="3" s="1"/>
  <c r="L137" i="3"/>
  <c r="M137" i="3" s="1"/>
  <c r="L139" i="3"/>
  <c r="M139" i="3" s="1"/>
  <c r="L140" i="3"/>
  <c r="M140" i="3" s="1"/>
  <c r="L153" i="3"/>
  <c r="M153" i="3" s="1"/>
  <c r="L154" i="3"/>
  <c r="M154" i="3" s="1"/>
  <c r="L155" i="3"/>
  <c r="M155" i="3" s="1"/>
  <c r="L163" i="3"/>
  <c r="M163" i="3" s="1"/>
  <c r="L164" i="3"/>
  <c r="M164" i="3" s="1"/>
  <c r="L165" i="3"/>
  <c r="M165" i="3" s="1"/>
  <c r="L166" i="3"/>
  <c r="M166" i="3" s="1"/>
  <c r="L169" i="3"/>
  <c r="M169" i="3" s="1"/>
  <c r="L170" i="3"/>
  <c r="M170" i="3" s="1"/>
  <c r="L174" i="3"/>
  <c r="M174" i="3" s="1"/>
  <c r="L175" i="3"/>
  <c r="M175" i="3" s="1"/>
  <c r="L176" i="3"/>
  <c r="M176" i="3" s="1"/>
  <c r="L183" i="3"/>
  <c r="M183" i="3" s="1"/>
  <c r="L184" i="3"/>
  <c r="M184" i="3" s="1"/>
  <c r="L187" i="3"/>
  <c r="M187" i="3" s="1"/>
  <c r="L188" i="3"/>
  <c r="M188" i="3" s="1"/>
  <c r="L190" i="3"/>
  <c r="M190" i="3" s="1"/>
  <c r="L191" i="3"/>
  <c r="M191" i="3" s="1"/>
  <c r="L192" i="3"/>
  <c r="M192" i="3" s="1"/>
  <c r="L196" i="3"/>
  <c r="M196" i="3" s="1"/>
  <c r="L197" i="3"/>
  <c r="M197" i="3" s="1"/>
  <c r="L198" i="3"/>
  <c r="M198" i="3" s="1"/>
  <c r="L199" i="3"/>
  <c r="M199" i="3" s="1"/>
  <c r="L200" i="3"/>
  <c r="M200" i="3" s="1"/>
  <c r="L201" i="3"/>
  <c r="M201" i="3" s="1"/>
  <c r="L202" i="3"/>
  <c r="M202" i="3" s="1"/>
  <c r="L203" i="3"/>
  <c r="M203" i="3" s="1"/>
  <c r="L204" i="3"/>
  <c r="M204" i="3" s="1"/>
  <c r="L205" i="3"/>
  <c r="M205" i="3" s="1"/>
  <c r="L206" i="3"/>
  <c r="M206" i="3" s="1"/>
  <c r="L207" i="3"/>
  <c r="M207" i="3" s="1"/>
  <c r="L220" i="3"/>
  <c r="M220" i="3" s="1"/>
  <c r="L221" i="3"/>
  <c r="M221" i="3" s="1"/>
  <c r="L222" i="3"/>
  <c r="M222" i="3" s="1"/>
  <c r="L223" i="3"/>
  <c r="M223" i="3" s="1"/>
  <c r="L224" i="3"/>
  <c r="M224" i="3" s="1"/>
  <c r="L227" i="3"/>
  <c r="M227" i="3" s="1"/>
  <c r="L231" i="3"/>
  <c r="M231" i="3" s="1"/>
  <c r="L232" i="3"/>
  <c r="M232" i="3" s="1"/>
  <c r="L233" i="3"/>
  <c r="M233" i="3" s="1"/>
  <c r="L234" i="3"/>
  <c r="M234" i="3" s="1"/>
  <c r="L235" i="3"/>
  <c r="M235" i="3" s="1"/>
  <c r="L236" i="3"/>
  <c r="M236" i="3" s="1"/>
  <c r="L237" i="3"/>
  <c r="M237" i="3" s="1"/>
  <c r="L241" i="3"/>
  <c r="M241" i="3" s="1"/>
  <c r="L242" i="3"/>
  <c r="M242" i="3" s="1"/>
  <c r="L244" i="3"/>
  <c r="M244" i="3" s="1"/>
  <c r="L247" i="3"/>
  <c r="M247" i="3" s="1"/>
  <c r="L248" i="3"/>
  <c r="M248" i="3" s="1"/>
  <c r="L249" i="3"/>
  <c r="M249" i="3" s="1"/>
  <c r="L251" i="3"/>
  <c r="M251" i="3" s="1"/>
  <c r="L252" i="3"/>
  <c r="M252" i="3" s="1"/>
  <c r="L253" i="3"/>
  <c r="M253" i="3" s="1"/>
  <c r="L255" i="3"/>
  <c r="M255" i="3" s="1"/>
  <c r="L256" i="3"/>
  <c r="M256" i="3" s="1"/>
  <c r="L257" i="3"/>
  <c r="M257" i="3" s="1"/>
  <c r="L258" i="3"/>
  <c r="M258" i="3" s="1"/>
  <c r="L259" i="3"/>
  <c r="M259" i="3" s="1"/>
  <c r="L260" i="3"/>
  <c r="M260" i="3" s="1"/>
  <c r="L261" i="3"/>
  <c r="M261" i="3" s="1"/>
  <c r="L262" i="3"/>
  <c r="M262" i="3" s="1"/>
  <c r="L263" i="3"/>
  <c r="M263" i="3" s="1"/>
  <c r="L264" i="3"/>
  <c r="M264" i="3" s="1"/>
  <c r="L265" i="3"/>
  <c r="M265" i="3" s="1"/>
  <c r="L266" i="3"/>
  <c r="M266" i="3" s="1"/>
  <c r="L267" i="3"/>
  <c r="M267" i="3" s="1"/>
  <c r="L268" i="3"/>
  <c r="M268" i="3" s="1"/>
  <c r="L269" i="3"/>
  <c r="M269" i="3" s="1"/>
  <c r="L270" i="3"/>
  <c r="M270" i="3" s="1"/>
  <c r="L271" i="3"/>
  <c r="M271" i="3" s="1"/>
  <c r="L272" i="3"/>
  <c r="M272" i="3" s="1"/>
  <c r="L273" i="3"/>
  <c r="M273" i="3" s="1"/>
  <c r="L274" i="3"/>
  <c r="M274" i="3" s="1"/>
  <c r="L275" i="3"/>
  <c r="M275" i="3" s="1"/>
  <c r="L276" i="3"/>
  <c r="M276" i="3" s="1"/>
  <c r="L277" i="3"/>
  <c r="M277" i="3" s="1"/>
  <c r="L278" i="3"/>
  <c r="M278" i="3" s="1"/>
  <c r="L279" i="3"/>
  <c r="M279" i="3" s="1"/>
  <c r="L280" i="3"/>
  <c r="M280" i="3" s="1"/>
  <c r="L281" i="3"/>
  <c r="M281" i="3" s="1"/>
  <c r="L282" i="3"/>
  <c r="M282" i="3" s="1"/>
  <c r="L283" i="3"/>
  <c r="M283" i="3" s="1"/>
  <c r="L284" i="3"/>
  <c r="M284" i="3" s="1"/>
  <c r="L285" i="3"/>
  <c r="M285" i="3" s="1"/>
  <c r="L286" i="3"/>
  <c r="M286" i="3" s="1"/>
  <c r="L287" i="3"/>
  <c r="M287" i="3" s="1"/>
  <c r="L288" i="3"/>
  <c r="M288" i="3" s="1"/>
  <c r="L289" i="3"/>
  <c r="M289" i="3" s="1"/>
  <c r="L290" i="3"/>
  <c r="M290" i="3" s="1"/>
  <c r="L291" i="3"/>
  <c r="M291" i="3" s="1"/>
  <c r="L292" i="3"/>
  <c r="M292" i="3" s="1"/>
  <c r="L293" i="3"/>
  <c r="M293" i="3" s="1"/>
  <c r="L294" i="3"/>
  <c r="M294" i="3" s="1"/>
  <c r="L295" i="3"/>
  <c r="M295" i="3" s="1"/>
  <c r="L296" i="3"/>
  <c r="M296" i="3" s="1"/>
  <c r="L297" i="3"/>
  <c r="M297" i="3" s="1"/>
  <c r="L298" i="3"/>
  <c r="M298" i="3" s="1"/>
  <c r="L299" i="3"/>
  <c r="M299" i="3" s="1"/>
  <c r="L300" i="3"/>
  <c r="M300" i="3" s="1"/>
  <c r="L301" i="3"/>
  <c r="M301" i="3" s="1"/>
  <c r="L302" i="3"/>
  <c r="M302" i="3" s="1"/>
  <c r="L303" i="3"/>
  <c r="M303" i="3" s="1"/>
  <c r="L304" i="3"/>
  <c r="M304" i="3" s="1"/>
  <c r="L305" i="3"/>
  <c r="M305" i="3" s="1"/>
  <c r="L306" i="3"/>
  <c r="M306" i="3" s="1"/>
  <c r="L307" i="3"/>
  <c r="M307" i="3" s="1"/>
  <c r="L308" i="3"/>
  <c r="M308" i="3" s="1"/>
  <c r="L309" i="3"/>
  <c r="M309" i="3" s="1"/>
  <c r="L310" i="3"/>
  <c r="M310" i="3" s="1"/>
  <c r="L311" i="3"/>
  <c r="M311" i="3" s="1"/>
  <c r="L312" i="3"/>
  <c r="M312" i="3" s="1"/>
  <c r="L313" i="3"/>
  <c r="M313" i="3" s="1"/>
  <c r="L314" i="3"/>
  <c r="M314" i="3" s="1"/>
  <c r="L315" i="3"/>
  <c r="M315" i="3" s="1"/>
  <c r="L316" i="3"/>
  <c r="M316" i="3" s="1"/>
  <c r="L317" i="3"/>
  <c r="M317" i="3" s="1"/>
  <c r="L318" i="3"/>
  <c r="M318" i="3" s="1"/>
  <c r="L319" i="3"/>
  <c r="M319" i="3" s="1"/>
  <c r="L320" i="3"/>
  <c r="M320" i="3" s="1"/>
  <c r="L321" i="3"/>
  <c r="M321" i="3" s="1"/>
  <c r="L322" i="3"/>
  <c r="M322" i="3" s="1"/>
  <c r="L323" i="3"/>
  <c r="M323" i="3" s="1"/>
  <c r="L324" i="3"/>
  <c r="M324" i="3" s="1"/>
  <c r="L325" i="3"/>
  <c r="M325" i="3" s="1"/>
  <c r="L326" i="3"/>
  <c r="M326" i="3" s="1"/>
  <c r="L327" i="3"/>
  <c r="M327" i="3" s="1"/>
  <c r="L328" i="3"/>
  <c r="M328" i="3" s="1"/>
  <c r="L329" i="3"/>
  <c r="M329" i="3" s="1"/>
  <c r="L330" i="3"/>
  <c r="M330" i="3" s="1"/>
  <c r="L331" i="3"/>
  <c r="M331" i="3" s="1"/>
  <c r="L332" i="3"/>
  <c r="M332" i="3" s="1"/>
  <c r="L333" i="3"/>
  <c r="M333" i="3" s="1"/>
  <c r="L334" i="3"/>
  <c r="M334" i="3" s="1"/>
  <c r="L335" i="3"/>
  <c r="M335" i="3" s="1"/>
  <c r="L336" i="3"/>
  <c r="M336" i="3" s="1"/>
  <c r="L337" i="3"/>
  <c r="M337" i="3" s="1"/>
  <c r="L338" i="3"/>
  <c r="M338" i="3" s="1"/>
  <c r="L339" i="3"/>
  <c r="M339" i="3" s="1"/>
  <c r="L340" i="3"/>
  <c r="M340" i="3" s="1"/>
  <c r="L341" i="3"/>
  <c r="M341" i="3" s="1"/>
  <c r="L342" i="3"/>
  <c r="M342" i="3" s="1"/>
  <c r="L343" i="3"/>
  <c r="M343" i="3" s="1"/>
  <c r="L344" i="3"/>
  <c r="M344" i="3" s="1"/>
  <c r="L345" i="3"/>
  <c r="M345" i="3" s="1"/>
  <c r="L346" i="3"/>
  <c r="M346" i="3" s="1"/>
  <c r="L347" i="3"/>
  <c r="M347" i="3" s="1"/>
  <c r="L348" i="3"/>
  <c r="M348" i="3" s="1"/>
  <c r="L349" i="3"/>
  <c r="M349" i="3" s="1"/>
  <c r="L350" i="3"/>
  <c r="M350" i="3" s="1"/>
  <c r="L351" i="3"/>
  <c r="M351" i="3" s="1"/>
  <c r="L352" i="3"/>
  <c r="M352" i="3" s="1"/>
  <c r="L353" i="3"/>
  <c r="M353" i="3" s="1"/>
  <c r="L354" i="3"/>
  <c r="M354" i="3" s="1"/>
  <c r="L355" i="3"/>
  <c r="M355" i="3" s="1"/>
  <c r="L356" i="3"/>
  <c r="M356" i="3" s="1"/>
  <c r="L357" i="3"/>
  <c r="M357" i="3" s="1"/>
  <c r="L358" i="3"/>
  <c r="M358" i="3" s="1"/>
  <c r="L359" i="3"/>
  <c r="M359" i="3" s="1"/>
  <c r="L360" i="3"/>
  <c r="M360" i="3" s="1"/>
  <c r="L361" i="3"/>
  <c r="M361" i="3" s="1"/>
  <c r="L362" i="3"/>
  <c r="M362" i="3" s="1"/>
  <c r="L363" i="3"/>
  <c r="M363" i="3" s="1"/>
  <c r="L364" i="3"/>
  <c r="M364" i="3" s="1"/>
  <c r="L365" i="3"/>
  <c r="M365" i="3" s="1"/>
  <c r="L366" i="3"/>
  <c r="M366" i="3" s="1"/>
  <c r="L367" i="3"/>
  <c r="M367" i="3" s="1"/>
  <c r="L368" i="3"/>
  <c r="M368" i="3" s="1"/>
  <c r="L369" i="3"/>
  <c r="M369" i="3" s="1"/>
  <c r="L370" i="3"/>
  <c r="M370" i="3" s="1"/>
  <c r="L371" i="3"/>
  <c r="M371" i="3" s="1"/>
  <c r="L372" i="3"/>
  <c r="M372" i="3" s="1"/>
  <c r="L373" i="3"/>
  <c r="M373" i="3" s="1"/>
  <c r="L374" i="3"/>
  <c r="M374" i="3" s="1"/>
  <c r="L375" i="3"/>
  <c r="M375" i="3" s="1"/>
  <c r="L376" i="3"/>
  <c r="M376" i="3" s="1"/>
  <c r="L377" i="3"/>
  <c r="M377" i="3" s="1"/>
  <c r="L378" i="3"/>
  <c r="M378" i="3" s="1"/>
  <c r="L379" i="3"/>
  <c r="M379" i="3" s="1"/>
  <c r="L380" i="3"/>
  <c r="M380" i="3" s="1"/>
  <c r="L381" i="3"/>
  <c r="M381" i="3" s="1"/>
  <c r="L382" i="3"/>
  <c r="M382" i="3" s="1"/>
  <c r="L383" i="3"/>
  <c r="M383" i="3" s="1"/>
  <c r="L384" i="3"/>
  <c r="M384" i="3" s="1"/>
  <c r="L385" i="3"/>
  <c r="M385" i="3" s="1"/>
  <c r="L386" i="3"/>
  <c r="M386" i="3" s="1"/>
  <c r="L387" i="3"/>
  <c r="M387" i="3" s="1"/>
  <c r="L388" i="3"/>
  <c r="M388" i="3" s="1"/>
  <c r="L389" i="3"/>
  <c r="M389" i="3" s="1"/>
  <c r="L390" i="3"/>
  <c r="M390" i="3" s="1"/>
  <c r="L391" i="3"/>
  <c r="M391" i="3" s="1"/>
  <c r="L392" i="3"/>
  <c r="M392" i="3" s="1"/>
  <c r="L393" i="3"/>
  <c r="M393" i="3" s="1"/>
  <c r="L394" i="3"/>
  <c r="M394" i="3" s="1"/>
  <c r="L395" i="3"/>
  <c r="M395" i="3" s="1"/>
  <c r="L396" i="3"/>
  <c r="M396" i="3" s="1"/>
  <c r="L397" i="3"/>
  <c r="M397" i="3" s="1"/>
  <c r="L398" i="3"/>
  <c r="M398" i="3" s="1"/>
  <c r="L399" i="3"/>
  <c r="M399" i="3" s="1"/>
  <c r="L400" i="3"/>
  <c r="M400" i="3" s="1"/>
  <c r="L401" i="3"/>
  <c r="M401" i="3" s="1"/>
  <c r="L402" i="3"/>
  <c r="M402" i="3" s="1"/>
  <c r="L403" i="3"/>
  <c r="M403" i="3" s="1"/>
  <c r="L404" i="3"/>
  <c r="M404" i="3" s="1"/>
  <c r="L405" i="3"/>
  <c r="M405" i="3" s="1"/>
  <c r="L406" i="3"/>
  <c r="M406" i="3" s="1"/>
  <c r="L407" i="3"/>
  <c r="M407" i="3" s="1"/>
  <c r="L408" i="3"/>
  <c r="M408" i="3" s="1"/>
  <c r="L409" i="3"/>
  <c r="M409" i="3" s="1"/>
  <c r="L410" i="3"/>
  <c r="M410" i="3" s="1"/>
  <c r="L411" i="3"/>
  <c r="M411" i="3" s="1"/>
  <c r="L412" i="3"/>
  <c r="M412" i="3" s="1"/>
  <c r="L413" i="3"/>
  <c r="M413" i="3" s="1"/>
  <c r="L414" i="3"/>
  <c r="M414" i="3" s="1"/>
  <c r="L415" i="3"/>
  <c r="M415" i="3" s="1"/>
  <c r="L416" i="3"/>
  <c r="M416" i="3" s="1"/>
  <c r="L417" i="3"/>
  <c r="M417" i="3" s="1"/>
  <c r="L418" i="3"/>
  <c r="M418" i="3" s="1"/>
  <c r="L419" i="3"/>
  <c r="M419" i="3" s="1"/>
  <c r="L420" i="3"/>
  <c r="M420" i="3" s="1"/>
  <c r="L421" i="3"/>
  <c r="M421" i="3" s="1"/>
  <c r="L422" i="3"/>
  <c r="M422" i="3" s="1"/>
  <c r="L423" i="3"/>
  <c r="M423" i="3" s="1"/>
  <c r="L424" i="3"/>
  <c r="M424" i="3" s="1"/>
  <c r="L425" i="3"/>
  <c r="M425" i="3" s="1"/>
  <c r="L426" i="3"/>
  <c r="M426" i="3" s="1"/>
  <c r="L427" i="3"/>
  <c r="M427" i="3" s="1"/>
  <c r="L428" i="3"/>
  <c r="M428" i="3" s="1"/>
  <c r="L429" i="3"/>
  <c r="M429" i="3" s="1"/>
  <c r="L430" i="3"/>
  <c r="M430" i="3" s="1"/>
  <c r="L431" i="3"/>
  <c r="M431" i="3" s="1"/>
  <c r="L432" i="3"/>
  <c r="M432" i="3" s="1"/>
  <c r="L433" i="3"/>
  <c r="M433" i="3" s="1"/>
  <c r="L434" i="3"/>
  <c r="M434" i="3" s="1"/>
  <c r="L435" i="3"/>
  <c r="M435" i="3" s="1"/>
  <c r="L436" i="3"/>
  <c r="M436" i="3" s="1"/>
  <c r="L437" i="3"/>
  <c r="M437" i="3" s="1"/>
  <c r="L438" i="3"/>
  <c r="M438" i="3" s="1"/>
  <c r="L439" i="3"/>
  <c r="M439" i="3" s="1"/>
  <c r="L440" i="3"/>
  <c r="M440" i="3" s="1"/>
  <c r="L441" i="3"/>
  <c r="M441" i="3" s="1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0" i="3"/>
  <c r="I189" i="3"/>
  <c r="I188" i="3"/>
  <c r="I187" i="3"/>
  <c r="I186" i="3"/>
  <c r="I185" i="3"/>
  <c r="I184" i="3"/>
  <c r="I183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09" i="3"/>
  <c r="I108" i="3"/>
  <c r="I107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U441" i="3"/>
  <c r="Q441" i="3"/>
  <c r="R441" i="3" s="1"/>
  <c r="I441" i="3"/>
  <c r="U440" i="3"/>
  <c r="Q440" i="3"/>
  <c r="R440" i="3" s="1"/>
  <c r="U439" i="3"/>
  <c r="Q439" i="3"/>
  <c r="R439" i="3" s="1"/>
  <c r="U438" i="3"/>
  <c r="Q438" i="3"/>
  <c r="R438" i="3" s="1"/>
  <c r="U437" i="3"/>
  <c r="Q437" i="3"/>
  <c r="R437" i="3" s="1"/>
  <c r="U436" i="3"/>
  <c r="Q436" i="3"/>
  <c r="R436" i="3" s="1"/>
  <c r="U435" i="3"/>
  <c r="Q435" i="3"/>
  <c r="R435" i="3" s="1"/>
  <c r="U434" i="3"/>
  <c r="Q434" i="3"/>
  <c r="R434" i="3" s="1"/>
  <c r="U433" i="3"/>
  <c r="Q433" i="3"/>
  <c r="R433" i="3" s="1"/>
  <c r="U432" i="3"/>
  <c r="Q432" i="3"/>
  <c r="R432" i="3" s="1"/>
  <c r="U431" i="3"/>
  <c r="Q431" i="3"/>
  <c r="R431" i="3" s="1"/>
  <c r="U430" i="3"/>
  <c r="Q430" i="3"/>
  <c r="R430" i="3" s="1"/>
  <c r="U429" i="3"/>
  <c r="Q429" i="3"/>
  <c r="R429" i="3" s="1"/>
  <c r="U428" i="3"/>
  <c r="Q428" i="3"/>
  <c r="R428" i="3" s="1"/>
  <c r="U427" i="3"/>
  <c r="Q427" i="3"/>
  <c r="R427" i="3" s="1"/>
  <c r="U426" i="3"/>
  <c r="Q426" i="3"/>
  <c r="R426" i="3" s="1"/>
  <c r="U425" i="3"/>
  <c r="Q425" i="3"/>
  <c r="R425" i="3" s="1"/>
  <c r="U424" i="3"/>
  <c r="Q424" i="3"/>
  <c r="R424" i="3" s="1"/>
  <c r="U423" i="3"/>
  <c r="Q423" i="3"/>
  <c r="R423" i="3" s="1"/>
  <c r="U422" i="3"/>
  <c r="Q422" i="3"/>
  <c r="R422" i="3" s="1"/>
  <c r="U421" i="3"/>
  <c r="Q421" i="3"/>
  <c r="R421" i="3" s="1"/>
  <c r="U420" i="3"/>
  <c r="Q420" i="3"/>
  <c r="R420" i="3" s="1"/>
  <c r="U419" i="3"/>
  <c r="Q419" i="3"/>
  <c r="R419" i="3" s="1"/>
  <c r="U418" i="3"/>
  <c r="Q418" i="3"/>
  <c r="R418" i="3" s="1"/>
  <c r="U417" i="3"/>
  <c r="Q417" i="3"/>
  <c r="R417" i="3" s="1"/>
  <c r="U416" i="3"/>
  <c r="Q416" i="3"/>
  <c r="R416" i="3" s="1"/>
  <c r="U415" i="3"/>
  <c r="Q415" i="3"/>
  <c r="R415" i="3" s="1"/>
  <c r="Q414" i="3"/>
  <c r="R414" i="3" s="1"/>
  <c r="U413" i="3"/>
  <c r="Q413" i="3"/>
  <c r="R413" i="3" s="1"/>
  <c r="U412" i="3"/>
  <c r="Q412" i="3"/>
  <c r="R412" i="3" s="1"/>
  <c r="U411" i="3"/>
  <c r="Q411" i="3"/>
  <c r="R411" i="3" s="1"/>
  <c r="U410" i="3"/>
  <c r="Q410" i="3"/>
  <c r="R410" i="3" s="1"/>
  <c r="U409" i="3"/>
  <c r="Q409" i="3"/>
  <c r="R409" i="3" s="1"/>
  <c r="U408" i="3"/>
  <c r="Q408" i="3"/>
  <c r="R408" i="3" s="1"/>
  <c r="U407" i="3"/>
  <c r="Q407" i="3"/>
  <c r="R407" i="3" s="1"/>
  <c r="U406" i="3"/>
  <c r="Q406" i="3"/>
  <c r="R406" i="3" s="1"/>
  <c r="U405" i="3"/>
  <c r="Q405" i="3"/>
  <c r="R405" i="3" s="1"/>
  <c r="U404" i="3"/>
  <c r="Q404" i="3"/>
  <c r="R404" i="3" s="1"/>
  <c r="U403" i="3"/>
  <c r="Q403" i="3"/>
  <c r="R403" i="3" s="1"/>
  <c r="U402" i="3"/>
  <c r="Q402" i="3"/>
  <c r="R402" i="3" s="1"/>
  <c r="Q401" i="3"/>
  <c r="R401" i="3" s="1"/>
  <c r="U400" i="3"/>
  <c r="Q400" i="3"/>
  <c r="R400" i="3" s="1"/>
  <c r="U399" i="3"/>
  <c r="Q399" i="3"/>
  <c r="R399" i="3" s="1"/>
  <c r="Q398" i="3"/>
  <c r="R398" i="3" s="1"/>
  <c r="Q397" i="3"/>
  <c r="R397" i="3" s="1"/>
  <c r="Q396" i="3"/>
  <c r="R396" i="3" s="1"/>
  <c r="U396" i="3"/>
  <c r="U395" i="3"/>
  <c r="Q395" i="3"/>
  <c r="R395" i="3" s="1"/>
  <c r="U394" i="3"/>
  <c r="Q394" i="3"/>
  <c r="R394" i="3" s="1"/>
  <c r="U393" i="3"/>
  <c r="Q393" i="3"/>
  <c r="R393" i="3" s="1"/>
  <c r="U392" i="3"/>
  <c r="Q392" i="3"/>
  <c r="R392" i="3" s="1"/>
  <c r="U391" i="3"/>
  <c r="Q391" i="3"/>
  <c r="R391" i="3" s="1"/>
  <c r="U390" i="3"/>
  <c r="Q390" i="3"/>
  <c r="R390" i="3" s="1"/>
  <c r="U389" i="3"/>
  <c r="Q389" i="3"/>
  <c r="R389" i="3" s="1"/>
  <c r="U388" i="3"/>
  <c r="Q388" i="3"/>
  <c r="R388" i="3" s="1"/>
  <c r="U387" i="3"/>
  <c r="Q387" i="3"/>
  <c r="R387" i="3" s="1"/>
  <c r="U386" i="3"/>
  <c r="Q386" i="3"/>
  <c r="R386" i="3" s="1"/>
  <c r="U385" i="3"/>
  <c r="Q385" i="3"/>
  <c r="R385" i="3" s="1"/>
  <c r="Q384" i="3"/>
  <c r="R384" i="3" s="1"/>
  <c r="U384" i="3"/>
  <c r="U383" i="3"/>
  <c r="Q383" i="3"/>
  <c r="R383" i="3" s="1"/>
  <c r="U382" i="3"/>
  <c r="Q382" i="3"/>
  <c r="R382" i="3" s="1"/>
  <c r="U381" i="3"/>
  <c r="Q381" i="3"/>
  <c r="R381" i="3" s="1"/>
  <c r="U380" i="3"/>
  <c r="Q380" i="3"/>
  <c r="R380" i="3" s="1"/>
  <c r="U379" i="3"/>
  <c r="Q379" i="3"/>
  <c r="R379" i="3" s="1"/>
  <c r="Q378" i="3"/>
  <c r="R378" i="3" s="1"/>
  <c r="U378" i="3"/>
  <c r="U377" i="3"/>
  <c r="Q377" i="3"/>
  <c r="R377" i="3" s="1"/>
  <c r="U376" i="3"/>
  <c r="Q376" i="3"/>
  <c r="R376" i="3" s="1"/>
  <c r="U375" i="3"/>
  <c r="Q375" i="3"/>
  <c r="R375" i="3" s="1"/>
  <c r="U374" i="3"/>
  <c r="Q374" i="3"/>
  <c r="R374" i="3" s="1"/>
  <c r="U373" i="3"/>
  <c r="Q373" i="3"/>
  <c r="R373" i="3" s="1"/>
  <c r="U372" i="3"/>
  <c r="Q372" i="3"/>
  <c r="R372" i="3" s="1"/>
  <c r="U371" i="3"/>
  <c r="Q371" i="3"/>
  <c r="R371" i="3" s="1"/>
  <c r="U370" i="3"/>
  <c r="Q370" i="3"/>
  <c r="R370" i="3" s="1"/>
  <c r="U369" i="3"/>
  <c r="Q369" i="3"/>
  <c r="R369" i="3" s="1"/>
  <c r="U368" i="3"/>
  <c r="Q368" i="3"/>
  <c r="R368" i="3" s="1"/>
  <c r="U367" i="3"/>
  <c r="Q367" i="3"/>
  <c r="R367" i="3" s="1"/>
  <c r="U366" i="3"/>
  <c r="Q366" i="3"/>
  <c r="R366" i="3" s="1"/>
  <c r="U365" i="3"/>
  <c r="Q365" i="3"/>
  <c r="R365" i="3" s="1"/>
  <c r="U364" i="3"/>
  <c r="Q364" i="3"/>
  <c r="R364" i="3" s="1"/>
  <c r="Q363" i="3"/>
  <c r="R363" i="3" s="1"/>
  <c r="Q362" i="3"/>
  <c r="R362" i="3" s="1"/>
  <c r="Q361" i="3"/>
  <c r="R361" i="3" s="1"/>
  <c r="Q360" i="3"/>
  <c r="R360" i="3" s="1"/>
  <c r="Q359" i="3"/>
  <c r="R359" i="3" s="1"/>
  <c r="Q358" i="3"/>
  <c r="R358" i="3" s="1"/>
  <c r="U357" i="3"/>
  <c r="Q357" i="3"/>
  <c r="R357" i="3" s="1"/>
  <c r="Q356" i="3"/>
  <c r="R356" i="3" s="1"/>
  <c r="U356" i="3"/>
  <c r="Q355" i="3"/>
  <c r="R355" i="3" s="1"/>
  <c r="U355" i="3"/>
  <c r="U354" i="3"/>
  <c r="Q354" i="3"/>
  <c r="R354" i="3" s="1"/>
  <c r="U353" i="3"/>
  <c r="Q353" i="3"/>
  <c r="R353" i="3" s="1"/>
  <c r="U352" i="3"/>
  <c r="Q352" i="3"/>
  <c r="R352" i="3" s="1"/>
  <c r="U351" i="3"/>
  <c r="Q351" i="3"/>
  <c r="R351" i="3" s="1"/>
  <c r="Q350" i="3"/>
  <c r="R350" i="3" s="1"/>
  <c r="U350" i="3"/>
  <c r="Q349" i="3"/>
  <c r="R349" i="3" s="1"/>
  <c r="U349" i="3"/>
  <c r="U348" i="3"/>
  <c r="Q348" i="3"/>
  <c r="R348" i="3" s="1"/>
  <c r="U347" i="3"/>
  <c r="Q347" i="3"/>
  <c r="R347" i="3" s="1"/>
  <c r="U346" i="3"/>
  <c r="Q346" i="3"/>
  <c r="R346" i="3" s="1"/>
  <c r="U345" i="3"/>
  <c r="Q345" i="3"/>
  <c r="R345" i="3" s="1"/>
  <c r="U344" i="3"/>
  <c r="Q344" i="3"/>
  <c r="R344" i="3" s="1"/>
  <c r="U343" i="3"/>
  <c r="Q343" i="3"/>
  <c r="R343" i="3" s="1"/>
  <c r="U342" i="3"/>
  <c r="Q342" i="3"/>
  <c r="R342" i="3" s="1"/>
  <c r="Q341" i="3"/>
  <c r="R341" i="3" s="1"/>
  <c r="Q340" i="3"/>
  <c r="R340" i="3" s="1"/>
  <c r="U339" i="3"/>
  <c r="Q339" i="3"/>
  <c r="R339" i="3" s="1"/>
  <c r="U338" i="3"/>
  <c r="Q338" i="3"/>
  <c r="R338" i="3" s="1"/>
  <c r="U337" i="3"/>
  <c r="Q337" i="3"/>
  <c r="R337" i="3" s="1"/>
  <c r="U336" i="3"/>
  <c r="Q336" i="3"/>
  <c r="R336" i="3" s="1"/>
  <c r="U335" i="3"/>
  <c r="Q335" i="3"/>
  <c r="R335" i="3" s="1"/>
  <c r="U334" i="3"/>
  <c r="Q334" i="3"/>
  <c r="R334" i="3" s="1"/>
  <c r="U333" i="3"/>
  <c r="Q333" i="3"/>
  <c r="R333" i="3" s="1"/>
  <c r="U332" i="3"/>
  <c r="Q332" i="3"/>
  <c r="R332" i="3" s="1"/>
  <c r="U331" i="3"/>
  <c r="Q331" i="3"/>
  <c r="R331" i="3" s="1"/>
  <c r="U330" i="3"/>
  <c r="Q330" i="3"/>
  <c r="R330" i="3" s="1"/>
  <c r="U329" i="3"/>
  <c r="Q329" i="3"/>
  <c r="R329" i="3" s="1"/>
  <c r="U328" i="3"/>
  <c r="Q328" i="3"/>
  <c r="R328" i="3" s="1"/>
  <c r="U327" i="3"/>
  <c r="Q327" i="3"/>
  <c r="R327" i="3" s="1"/>
  <c r="U326" i="3"/>
  <c r="Q326" i="3"/>
  <c r="R326" i="3" s="1"/>
  <c r="U325" i="3"/>
  <c r="Q325" i="3"/>
  <c r="R325" i="3" s="1"/>
  <c r="U324" i="3"/>
  <c r="Q324" i="3"/>
  <c r="R324" i="3" s="1"/>
  <c r="U323" i="3"/>
  <c r="Q323" i="3"/>
  <c r="R323" i="3" s="1"/>
  <c r="Q322" i="3"/>
  <c r="R322" i="3" s="1"/>
  <c r="U322" i="3"/>
  <c r="Q321" i="3"/>
  <c r="R321" i="3" s="1"/>
  <c r="U321" i="3"/>
  <c r="Q320" i="3"/>
  <c r="R320" i="3" s="1"/>
  <c r="U320" i="3"/>
  <c r="U319" i="3"/>
  <c r="Q319" i="3"/>
  <c r="R319" i="3" s="1"/>
  <c r="U318" i="3"/>
  <c r="Q318" i="3"/>
  <c r="R318" i="3" s="1"/>
  <c r="U317" i="3"/>
  <c r="Q317" i="3"/>
  <c r="R317" i="3" s="1"/>
  <c r="U316" i="3"/>
  <c r="Q316" i="3"/>
  <c r="R316" i="3" s="1"/>
  <c r="U315" i="3"/>
  <c r="Q315" i="3"/>
  <c r="R315" i="3" s="1"/>
  <c r="U314" i="3"/>
  <c r="Q314" i="3"/>
  <c r="R314" i="3" s="1"/>
  <c r="Q313" i="3"/>
  <c r="R313" i="3" s="1"/>
  <c r="U313" i="3"/>
  <c r="Q312" i="3"/>
  <c r="R312" i="3" s="1"/>
  <c r="Q311" i="3"/>
  <c r="R311" i="3" s="1"/>
  <c r="U311" i="3"/>
  <c r="U310" i="3"/>
  <c r="Q310" i="3"/>
  <c r="R310" i="3" s="1"/>
  <c r="U309" i="3"/>
  <c r="Q309" i="3"/>
  <c r="R309" i="3" s="1"/>
  <c r="U308" i="3"/>
  <c r="Q308" i="3"/>
  <c r="R308" i="3" s="1"/>
  <c r="U307" i="3"/>
  <c r="Q307" i="3"/>
  <c r="R307" i="3" s="1"/>
  <c r="U306" i="3"/>
  <c r="Q306" i="3"/>
  <c r="R306" i="3" s="1"/>
  <c r="U305" i="3"/>
  <c r="Q305" i="3"/>
  <c r="R305" i="3" s="1"/>
  <c r="Q304" i="3"/>
  <c r="R304" i="3" s="1"/>
  <c r="U304" i="3"/>
  <c r="U303" i="3"/>
  <c r="Q303" i="3"/>
  <c r="R303" i="3" s="1"/>
  <c r="Q302" i="3"/>
  <c r="R302" i="3" s="1"/>
  <c r="U302" i="3"/>
  <c r="Q301" i="3"/>
  <c r="R301" i="3" s="1"/>
  <c r="U301" i="3"/>
  <c r="Q300" i="3"/>
  <c r="R300" i="3" s="1"/>
  <c r="U300" i="3"/>
  <c r="Q299" i="3"/>
  <c r="R299" i="3" s="1"/>
  <c r="U299" i="3"/>
  <c r="Q298" i="3"/>
  <c r="R298" i="3" s="1"/>
  <c r="U298" i="3"/>
  <c r="Q297" i="3"/>
  <c r="R297" i="3" s="1"/>
  <c r="U297" i="3"/>
  <c r="Q296" i="3"/>
  <c r="R296" i="3" s="1"/>
  <c r="U296" i="3"/>
  <c r="U295" i="3"/>
  <c r="Q295" i="3"/>
  <c r="R295" i="3" s="1"/>
  <c r="U294" i="3"/>
  <c r="Q294" i="3"/>
  <c r="R294" i="3" s="1"/>
  <c r="U293" i="3"/>
  <c r="Q293" i="3"/>
  <c r="R293" i="3" s="1"/>
  <c r="Q292" i="3"/>
  <c r="R292" i="3" s="1"/>
  <c r="Q291" i="3"/>
  <c r="R291" i="3" s="1"/>
  <c r="Q290" i="3"/>
  <c r="R290" i="3" s="1"/>
  <c r="U289" i="3"/>
  <c r="Q289" i="3"/>
  <c r="R289" i="3" s="1"/>
  <c r="U288" i="3"/>
  <c r="Q288" i="3"/>
  <c r="R288" i="3" s="1"/>
  <c r="U287" i="3"/>
  <c r="Q287" i="3"/>
  <c r="R287" i="3" s="1"/>
  <c r="Q286" i="3"/>
  <c r="R286" i="3" s="1"/>
  <c r="U285" i="3"/>
  <c r="Q285" i="3"/>
  <c r="R285" i="3" s="1"/>
  <c r="U284" i="3"/>
  <c r="Q284" i="3"/>
  <c r="R284" i="3" s="1"/>
  <c r="U283" i="3"/>
  <c r="Q283" i="3"/>
  <c r="R283" i="3" s="1"/>
  <c r="U282" i="3"/>
  <c r="Q282" i="3"/>
  <c r="R282" i="3" s="1"/>
  <c r="Q281" i="3"/>
  <c r="R281" i="3" s="1"/>
  <c r="Q280" i="3"/>
  <c r="R280" i="3" s="1"/>
  <c r="U280" i="3"/>
  <c r="Q279" i="3"/>
  <c r="R279" i="3" s="1"/>
  <c r="Q278" i="3"/>
  <c r="R278" i="3" s="1"/>
  <c r="U278" i="3"/>
  <c r="Q277" i="3"/>
  <c r="R277" i="3" s="1"/>
  <c r="U277" i="3"/>
  <c r="Q276" i="3"/>
  <c r="R276" i="3" s="1"/>
  <c r="U276" i="3"/>
  <c r="Q275" i="3"/>
  <c r="R275" i="3" s="1"/>
  <c r="U275" i="3"/>
  <c r="U274" i="3"/>
  <c r="Q274" i="3"/>
  <c r="R274" i="3" s="1"/>
  <c r="Q273" i="3"/>
  <c r="R273" i="3" s="1"/>
  <c r="Q272" i="3"/>
  <c r="R272" i="3" s="1"/>
  <c r="U271" i="3"/>
  <c r="Q271" i="3"/>
  <c r="R271" i="3" s="1"/>
  <c r="U270" i="3"/>
  <c r="Q270" i="3"/>
  <c r="R270" i="3" s="1"/>
  <c r="U269" i="3"/>
  <c r="Q269" i="3"/>
  <c r="R269" i="3" s="1"/>
  <c r="U268" i="3"/>
  <c r="Q268" i="3"/>
  <c r="R268" i="3" s="1"/>
  <c r="U267" i="3"/>
  <c r="Q267" i="3"/>
  <c r="R267" i="3" s="1"/>
  <c r="U266" i="3"/>
  <c r="Q266" i="3"/>
  <c r="R266" i="3" s="1"/>
  <c r="Q265" i="3"/>
  <c r="R265" i="3" s="1"/>
  <c r="Q264" i="3"/>
  <c r="R264" i="3" s="1"/>
  <c r="Q263" i="3"/>
  <c r="R263" i="3" s="1"/>
  <c r="U263" i="3"/>
  <c r="Q262" i="3"/>
  <c r="R262" i="3" s="1"/>
  <c r="U262" i="3"/>
  <c r="Q261" i="3"/>
  <c r="R261" i="3" s="1"/>
  <c r="U261" i="3"/>
  <c r="Q260" i="3"/>
  <c r="R260" i="3" s="1"/>
  <c r="Q259" i="3"/>
  <c r="R259" i="3" s="1"/>
  <c r="Q258" i="3"/>
  <c r="R258" i="3" s="1"/>
  <c r="Q257" i="3"/>
  <c r="R257" i="3" s="1"/>
  <c r="Q256" i="3"/>
  <c r="R256" i="3" s="1"/>
  <c r="Q255" i="3"/>
  <c r="R255" i="3" s="1"/>
  <c r="Q254" i="3"/>
  <c r="R254" i="3" s="1"/>
  <c r="Q253" i="3"/>
  <c r="R253" i="3" s="1"/>
  <c r="Q252" i="3"/>
  <c r="R252" i="3" s="1"/>
  <c r="U251" i="3"/>
  <c r="Q251" i="3"/>
  <c r="R251" i="3" s="1"/>
  <c r="U250" i="3"/>
  <c r="Q250" i="3"/>
  <c r="R250" i="3" s="1"/>
  <c r="U249" i="3"/>
  <c r="Q249" i="3"/>
  <c r="R249" i="3" s="1"/>
  <c r="U248" i="3"/>
  <c r="Q248" i="3"/>
  <c r="R248" i="3" s="1"/>
  <c r="U247" i="3"/>
  <c r="Q247" i="3"/>
  <c r="R247" i="3" s="1"/>
  <c r="U246" i="3"/>
  <c r="Q246" i="3"/>
  <c r="R246" i="3" s="1"/>
  <c r="Q245" i="3"/>
  <c r="R245" i="3" s="1"/>
  <c r="U245" i="3"/>
  <c r="U244" i="3"/>
  <c r="Q244" i="3"/>
  <c r="R244" i="3" s="1"/>
  <c r="U243" i="3"/>
  <c r="Q243" i="3"/>
  <c r="R243" i="3" s="1"/>
  <c r="Q242" i="3"/>
  <c r="R242" i="3" s="1"/>
  <c r="Q241" i="3"/>
  <c r="R241" i="3" s="1"/>
  <c r="U240" i="3"/>
  <c r="Q240" i="3"/>
  <c r="R240" i="3" s="1"/>
  <c r="U239" i="3"/>
  <c r="Q239" i="3"/>
  <c r="R239" i="3" s="1"/>
  <c r="U238" i="3"/>
  <c r="Q238" i="3"/>
  <c r="R238" i="3" s="1"/>
  <c r="U237" i="3"/>
  <c r="Q237" i="3"/>
  <c r="R237" i="3" s="1"/>
  <c r="U236" i="3"/>
  <c r="Q236" i="3"/>
  <c r="R236" i="3" s="1"/>
  <c r="U235" i="3"/>
  <c r="Q235" i="3"/>
  <c r="R235" i="3" s="1"/>
  <c r="U234" i="3"/>
  <c r="Q234" i="3"/>
  <c r="R234" i="3" s="1"/>
  <c r="U233" i="3"/>
  <c r="Q233" i="3"/>
  <c r="R233" i="3" s="1"/>
  <c r="U232" i="3"/>
  <c r="Q232" i="3"/>
  <c r="R232" i="3" s="1"/>
  <c r="U231" i="3"/>
  <c r="Q231" i="3"/>
  <c r="R231" i="3" s="1"/>
  <c r="U230" i="3"/>
  <c r="Q230" i="3"/>
  <c r="R230" i="3" s="1"/>
  <c r="U229" i="3"/>
  <c r="Q229" i="3"/>
  <c r="R229" i="3" s="1"/>
  <c r="U228" i="3"/>
  <c r="Q228" i="3"/>
  <c r="R228" i="3" s="1"/>
  <c r="U227" i="3"/>
  <c r="Q227" i="3"/>
  <c r="R227" i="3" s="1"/>
  <c r="U226" i="3"/>
  <c r="Q226" i="3"/>
  <c r="R226" i="3" s="1"/>
  <c r="U225" i="3"/>
  <c r="Q225" i="3"/>
  <c r="R225" i="3" s="1"/>
  <c r="U224" i="3"/>
  <c r="Q224" i="3"/>
  <c r="R224" i="3" s="1"/>
  <c r="U223" i="3"/>
  <c r="Q223" i="3"/>
  <c r="R223" i="3" s="1"/>
  <c r="U222" i="3"/>
  <c r="Q222" i="3"/>
  <c r="R222" i="3" s="1"/>
  <c r="U221" i="3"/>
  <c r="Q221" i="3"/>
  <c r="R221" i="3" s="1"/>
  <c r="U220" i="3"/>
  <c r="Q220" i="3"/>
  <c r="R220" i="3" s="1"/>
  <c r="Q219" i="3"/>
  <c r="R219" i="3" s="1"/>
  <c r="U219" i="3"/>
  <c r="Q218" i="3"/>
  <c r="R218" i="3" s="1"/>
  <c r="U218" i="3"/>
  <c r="U217" i="3"/>
  <c r="Q217" i="3"/>
  <c r="R217" i="3" s="1"/>
  <c r="U216" i="3"/>
  <c r="Q216" i="3"/>
  <c r="R216" i="3" s="1"/>
  <c r="Q215" i="3"/>
  <c r="R215" i="3" s="1"/>
  <c r="U215" i="3"/>
  <c r="Q214" i="3"/>
  <c r="R214" i="3" s="1"/>
  <c r="U214" i="3"/>
  <c r="Q213" i="3"/>
  <c r="R213" i="3" s="1"/>
  <c r="U213" i="3"/>
  <c r="U212" i="3"/>
  <c r="Q212" i="3"/>
  <c r="R212" i="3" s="1"/>
  <c r="U211" i="3"/>
  <c r="Q211" i="3"/>
  <c r="R211" i="3" s="1"/>
  <c r="U210" i="3"/>
  <c r="Q210" i="3"/>
  <c r="R210" i="3" s="1"/>
  <c r="U209" i="3"/>
  <c r="Q209" i="3"/>
  <c r="R209" i="3" s="1"/>
  <c r="Q208" i="3"/>
  <c r="R208" i="3" s="1"/>
  <c r="U208" i="3"/>
  <c r="Q207" i="3"/>
  <c r="R207" i="3" s="1"/>
  <c r="Q206" i="3"/>
  <c r="R206" i="3" s="1"/>
  <c r="U205" i="3"/>
  <c r="Q205" i="3"/>
  <c r="R205" i="3" s="1"/>
  <c r="U204" i="3"/>
  <c r="Q204" i="3"/>
  <c r="R204" i="3" s="1"/>
  <c r="U203" i="3"/>
  <c r="Q203" i="3"/>
  <c r="R203" i="3" s="1"/>
  <c r="U202" i="3"/>
  <c r="Q202" i="3"/>
  <c r="R202" i="3" s="1"/>
  <c r="U201" i="3"/>
  <c r="Q201" i="3"/>
  <c r="R201" i="3" s="1"/>
  <c r="U200" i="3"/>
  <c r="Q200" i="3"/>
  <c r="R200" i="3" s="1"/>
  <c r="U199" i="3"/>
  <c r="Q199" i="3"/>
  <c r="R199" i="3" s="1"/>
  <c r="U198" i="3"/>
  <c r="Q198" i="3"/>
  <c r="R198" i="3" s="1"/>
  <c r="U197" i="3"/>
  <c r="Q197" i="3"/>
  <c r="R197" i="3" s="1"/>
  <c r="U196" i="3"/>
  <c r="Q196" i="3"/>
  <c r="R196" i="3" s="1"/>
  <c r="U195" i="3"/>
  <c r="Q195" i="3"/>
  <c r="R195" i="3" s="1"/>
  <c r="U194" i="3"/>
  <c r="Q194" i="3"/>
  <c r="R194" i="3" s="1"/>
  <c r="U193" i="3"/>
  <c r="Q193" i="3"/>
  <c r="R193" i="3" s="1"/>
  <c r="U192" i="3"/>
  <c r="Q192" i="3"/>
  <c r="R192" i="3" s="1"/>
  <c r="U191" i="3"/>
  <c r="Q191" i="3"/>
  <c r="R191" i="3" s="1"/>
  <c r="U190" i="3"/>
  <c r="Q190" i="3"/>
  <c r="R190" i="3" s="1"/>
  <c r="U189" i="3"/>
  <c r="Q189" i="3"/>
  <c r="R189" i="3" s="1"/>
  <c r="U188" i="3"/>
  <c r="Q188" i="3"/>
  <c r="R188" i="3" s="1"/>
  <c r="U187" i="3"/>
  <c r="Q187" i="3"/>
  <c r="R187" i="3" s="1"/>
  <c r="Q186" i="3"/>
  <c r="R186" i="3" s="1"/>
  <c r="U186" i="3"/>
  <c r="Q185" i="3"/>
  <c r="R185" i="3" s="1"/>
  <c r="U184" i="3"/>
  <c r="Q184" i="3"/>
  <c r="R184" i="3" s="1"/>
  <c r="Q183" i="3"/>
  <c r="R183" i="3" s="1"/>
  <c r="U183" i="3"/>
  <c r="Q182" i="3"/>
  <c r="R182" i="3" s="1"/>
  <c r="U182" i="3"/>
  <c r="Q181" i="3"/>
  <c r="R181" i="3" s="1"/>
  <c r="U181" i="3"/>
  <c r="Q180" i="3"/>
  <c r="R180" i="3" s="1"/>
  <c r="U180" i="3"/>
  <c r="Q179" i="3"/>
  <c r="R179" i="3" s="1"/>
  <c r="U179" i="3"/>
  <c r="U178" i="3"/>
  <c r="Q178" i="3"/>
  <c r="R178" i="3" s="1"/>
  <c r="U177" i="3"/>
  <c r="Q177" i="3"/>
  <c r="R177" i="3" s="1"/>
  <c r="U176" i="3"/>
  <c r="Q176" i="3"/>
  <c r="R176" i="3" s="1"/>
  <c r="U175" i="3"/>
  <c r="Q175" i="3"/>
  <c r="R175" i="3" s="1"/>
  <c r="U174" i="3"/>
  <c r="Q174" i="3"/>
  <c r="R174" i="3" s="1"/>
  <c r="U173" i="3"/>
  <c r="Q173" i="3"/>
  <c r="R173" i="3" s="1"/>
  <c r="Q172" i="3"/>
  <c r="R172" i="3" s="1"/>
  <c r="U172" i="3"/>
  <c r="U171" i="3"/>
  <c r="Q171" i="3"/>
  <c r="R171" i="3" s="1"/>
  <c r="Q170" i="3"/>
  <c r="R170" i="3" s="1"/>
  <c r="Q169" i="3"/>
  <c r="R169" i="3" s="1"/>
  <c r="U169" i="3"/>
  <c r="U168" i="3"/>
  <c r="Q168" i="3"/>
  <c r="R168" i="3" s="1"/>
  <c r="U167" i="3"/>
  <c r="Q167" i="3"/>
  <c r="R167" i="3" s="1"/>
  <c r="U166" i="3"/>
  <c r="Q166" i="3"/>
  <c r="R166" i="3" s="1"/>
  <c r="U165" i="3"/>
  <c r="Q165" i="3"/>
  <c r="R165" i="3" s="1"/>
  <c r="Q164" i="3"/>
  <c r="R164" i="3" s="1"/>
  <c r="U164" i="3"/>
  <c r="U163" i="3"/>
  <c r="Q163" i="3"/>
  <c r="R163" i="3" s="1"/>
  <c r="U162" i="3"/>
  <c r="Q162" i="3"/>
  <c r="R162" i="3" s="1"/>
  <c r="U161" i="3"/>
  <c r="Q161" i="3"/>
  <c r="R161" i="3" s="1"/>
  <c r="U160" i="3"/>
  <c r="Q160" i="3"/>
  <c r="R160" i="3" s="1"/>
  <c r="U159" i="3"/>
  <c r="Q159" i="3"/>
  <c r="R159" i="3" s="1"/>
  <c r="U158" i="3"/>
  <c r="Q158" i="3"/>
  <c r="R158" i="3" s="1"/>
  <c r="U157" i="3"/>
  <c r="Q157" i="3"/>
  <c r="R157" i="3" s="1"/>
  <c r="U156" i="3"/>
  <c r="Q156" i="3"/>
  <c r="R156" i="3" s="1"/>
  <c r="Q155" i="3"/>
  <c r="U154" i="3"/>
  <c r="Q154" i="3"/>
  <c r="R154" i="3" s="1"/>
  <c r="Q153" i="3"/>
  <c r="R153" i="3" s="1"/>
  <c r="Q152" i="3"/>
  <c r="R152" i="3" s="1"/>
  <c r="U152" i="3"/>
  <c r="Q151" i="3"/>
  <c r="R151" i="3" s="1"/>
  <c r="U151" i="3"/>
  <c r="Q150" i="3"/>
  <c r="R150" i="3" s="1"/>
  <c r="U149" i="3"/>
  <c r="Q149" i="3"/>
  <c r="R149" i="3" s="1"/>
  <c r="U148" i="3"/>
  <c r="Q148" i="3"/>
  <c r="R148" i="3" s="1"/>
  <c r="U147" i="3"/>
  <c r="Q147" i="3"/>
  <c r="R147" i="3" s="1"/>
  <c r="U146" i="3"/>
  <c r="Q146" i="3"/>
  <c r="R146" i="3" s="1"/>
  <c r="U145" i="3"/>
  <c r="Q145" i="3"/>
  <c r="R145" i="3" s="1"/>
  <c r="U144" i="3"/>
  <c r="Q144" i="3"/>
  <c r="R144" i="3" s="1"/>
  <c r="Q143" i="3"/>
  <c r="R143" i="3" s="1"/>
  <c r="Q142" i="3"/>
  <c r="R142" i="3" s="1"/>
  <c r="U142" i="3"/>
  <c r="U141" i="3"/>
  <c r="Q141" i="3"/>
  <c r="R141" i="3" s="1"/>
  <c r="U140" i="3"/>
  <c r="Q139" i="3"/>
  <c r="R139" i="3" s="1"/>
  <c r="U139" i="3"/>
  <c r="U138" i="3"/>
  <c r="U137" i="3"/>
  <c r="Q137" i="3"/>
  <c r="R137" i="3" s="1"/>
  <c r="Q136" i="3"/>
  <c r="R136" i="3" s="1"/>
  <c r="U136" i="3"/>
  <c r="Q135" i="3"/>
  <c r="R135" i="3" s="1"/>
  <c r="U135" i="3"/>
  <c r="U134" i="3"/>
  <c r="Q134" i="3"/>
  <c r="R134" i="3" s="1"/>
  <c r="U133" i="3"/>
  <c r="Q133" i="3"/>
  <c r="R133" i="3" s="1"/>
  <c r="Q132" i="3"/>
  <c r="R132" i="3" s="1"/>
  <c r="U131" i="3"/>
  <c r="Q131" i="3"/>
  <c r="R131" i="3" s="1"/>
  <c r="U130" i="3"/>
  <c r="Q130" i="3"/>
  <c r="R130" i="3" s="1"/>
  <c r="U129" i="3"/>
  <c r="Q129" i="3"/>
  <c r="R129" i="3" s="1"/>
  <c r="U128" i="3"/>
  <c r="Q128" i="3"/>
  <c r="R128" i="3" s="1"/>
  <c r="U127" i="3"/>
  <c r="Q127" i="3"/>
  <c r="R127" i="3" s="1"/>
  <c r="U126" i="3"/>
  <c r="Q126" i="3"/>
  <c r="R126" i="3" s="1"/>
  <c r="U125" i="3"/>
  <c r="Q125" i="3"/>
  <c r="R125" i="3" s="1"/>
  <c r="U124" i="3"/>
  <c r="Q124" i="3"/>
  <c r="R124" i="3" s="1"/>
  <c r="U123" i="3"/>
  <c r="Q123" i="3"/>
  <c r="R123" i="3" s="1"/>
  <c r="Q122" i="3"/>
  <c r="R122" i="3" s="1"/>
  <c r="U121" i="3"/>
  <c r="Q121" i="3"/>
  <c r="R121" i="3" s="1"/>
  <c r="Q120" i="3"/>
  <c r="R120" i="3" s="1"/>
  <c r="U120" i="3"/>
  <c r="Q119" i="3"/>
  <c r="R119" i="3" s="1"/>
  <c r="U119" i="3"/>
  <c r="U118" i="3"/>
  <c r="Q118" i="3"/>
  <c r="R118" i="3" s="1"/>
  <c r="Q117" i="3"/>
  <c r="R117" i="3" s="1"/>
  <c r="Q116" i="3"/>
  <c r="R116" i="3" s="1"/>
  <c r="U116" i="3"/>
  <c r="Q115" i="3"/>
  <c r="R115" i="3" s="1"/>
  <c r="U115" i="3"/>
  <c r="Q114" i="3"/>
  <c r="R114" i="3" s="1"/>
  <c r="U114" i="3"/>
  <c r="Q113" i="3"/>
  <c r="R113" i="3" s="1"/>
  <c r="U113" i="3"/>
  <c r="Q112" i="3"/>
  <c r="R112" i="3" s="1"/>
  <c r="U112" i="3"/>
  <c r="Q111" i="3"/>
  <c r="R111" i="3" s="1"/>
  <c r="Q110" i="3"/>
  <c r="R110" i="3" s="1"/>
  <c r="Q109" i="3"/>
  <c r="R109" i="3" s="1"/>
  <c r="Q108" i="3"/>
  <c r="R108" i="3" s="1"/>
  <c r="Q107" i="3"/>
  <c r="R107" i="3" s="1"/>
  <c r="U106" i="3"/>
  <c r="Q106" i="3"/>
  <c r="R106" i="3" s="1"/>
  <c r="U105" i="3"/>
  <c r="Q105" i="3"/>
  <c r="R105" i="3" s="1"/>
  <c r="U104" i="3"/>
  <c r="Q104" i="3"/>
  <c r="R104" i="3" s="1"/>
  <c r="Q103" i="3"/>
  <c r="R103" i="3" s="1"/>
  <c r="Q102" i="3"/>
  <c r="R102" i="3" s="1"/>
  <c r="U101" i="3"/>
  <c r="Q101" i="3"/>
  <c r="R101" i="3" s="1"/>
  <c r="U100" i="3"/>
  <c r="Q100" i="3"/>
  <c r="R100" i="3" s="1"/>
  <c r="U99" i="3"/>
  <c r="Q99" i="3"/>
  <c r="R99" i="3" s="1"/>
  <c r="U98" i="3"/>
  <c r="Q98" i="3"/>
  <c r="R98" i="3" s="1"/>
  <c r="U97" i="3"/>
  <c r="Q97" i="3"/>
  <c r="R97" i="3" s="1"/>
  <c r="U96" i="3"/>
  <c r="Q96" i="3"/>
  <c r="R96" i="3" s="1"/>
  <c r="U95" i="3"/>
  <c r="Q95" i="3"/>
  <c r="R95" i="3" s="1"/>
  <c r="Q94" i="3"/>
  <c r="R94" i="3" s="1"/>
  <c r="U93" i="3"/>
  <c r="Q93" i="3"/>
  <c r="R93" i="3" s="1"/>
  <c r="Q92" i="3"/>
  <c r="U91" i="3"/>
  <c r="Q91" i="3"/>
  <c r="R91" i="3" s="1"/>
  <c r="Q90" i="3"/>
  <c r="R90" i="3" s="1"/>
  <c r="U90" i="3"/>
  <c r="U89" i="3"/>
  <c r="Q89" i="3"/>
  <c r="R89" i="3" s="1"/>
  <c r="U88" i="3"/>
  <c r="Q88" i="3"/>
  <c r="R88" i="3" s="1"/>
  <c r="Q87" i="3"/>
  <c r="R87" i="3" s="1"/>
  <c r="U86" i="3"/>
  <c r="Q86" i="3"/>
  <c r="R86" i="3" s="1"/>
  <c r="U85" i="3"/>
  <c r="Q85" i="3"/>
  <c r="R85" i="3" s="1"/>
  <c r="U84" i="3"/>
  <c r="Q84" i="3"/>
  <c r="R84" i="3" s="1"/>
  <c r="U83" i="3"/>
  <c r="Q83" i="3"/>
  <c r="R83" i="3" s="1"/>
  <c r="U82" i="3"/>
  <c r="Q82" i="3"/>
  <c r="R82" i="3" s="1"/>
  <c r="U81" i="3"/>
  <c r="Q81" i="3"/>
  <c r="R81" i="3" s="1"/>
  <c r="U80" i="3"/>
  <c r="Q80" i="3"/>
  <c r="R80" i="3" s="1"/>
  <c r="U79" i="3"/>
  <c r="Q79" i="3"/>
  <c r="R79" i="3" s="1"/>
  <c r="U78" i="3"/>
  <c r="U77" i="3"/>
  <c r="U76" i="3"/>
  <c r="U75" i="3"/>
  <c r="Q75" i="3"/>
  <c r="R75" i="3" s="1"/>
  <c r="U74" i="3"/>
  <c r="Q74" i="3"/>
  <c r="R74" i="3" s="1"/>
  <c r="U73" i="3"/>
  <c r="Q73" i="3"/>
  <c r="R73" i="3" s="1"/>
  <c r="U72" i="3"/>
  <c r="Q72" i="3"/>
  <c r="R72" i="3" s="1"/>
  <c r="U71" i="3"/>
  <c r="Q71" i="3"/>
  <c r="R71" i="3" s="1"/>
  <c r="U70" i="3"/>
  <c r="Q70" i="3"/>
  <c r="R70" i="3" s="1"/>
  <c r="U69" i="3"/>
  <c r="Q69" i="3"/>
  <c r="R69" i="3" s="1"/>
  <c r="U68" i="3"/>
  <c r="Q68" i="3"/>
  <c r="R68" i="3" s="1"/>
  <c r="Q67" i="3"/>
  <c r="R67" i="3" s="1"/>
  <c r="U67" i="3"/>
  <c r="U66" i="3"/>
  <c r="Q66" i="3"/>
  <c r="R66" i="3" s="1"/>
  <c r="Q65" i="3"/>
  <c r="R65" i="3" s="1"/>
  <c r="U65" i="3"/>
  <c r="Q64" i="3"/>
  <c r="R64" i="3" s="1"/>
  <c r="U64" i="3"/>
  <c r="Q63" i="3"/>
  <c r="R63" i="3" s="1"/>
  <c r="U63" i="3"/>
  <c r="U62" i="3"/>
  <c r="Q62" i="3"/>
  <c r="R62" i="3" s="1"/>
  <c r="U61" i="3"/>
  <c r="U60" i="3"/>
  <c r="U59" i="3"/>
  <c r="U58" i="3"/>
  <c r="Q58" i="3"/>
  <c r="R58" i="3" s="1"/>
  <c r="U57" i="3"/>
  <c r="U56" i="3"/>
  <c r="Q55" i="3"/>
  <c r="R55" i="3" s="1"/>
  <c r="U54" i="3"/>
  <c r="U53" i="3"/>
  <c r="Q53" i="3"/>
  <c r="R53" i="3" s="1"/>
  <c r="Q51" i="3"/>
  <c r="R51" i="3" s="1"/>
  <c r="U51" i="3"/>
  <c r="U50" i="3"/>
  <c r="Q50" i="3"/>
  <c r="R50" i="3" s="1"/>
  <c r="U49" i="3"/>
  <c r="Q49" i="3"/>
  <c r="R49" i="3" s="1"/>
  <c r="U48" i="3"/>
  <c r="Q48" i="3"/>
  <c r="R48" i="3" s="1"/>
  <c r="U47" i="3"/>
  <c r="Q47" i="3"/>
  <c r="R47" i="3" s="1"/>
  <c r="U46" i="3"/>
  <c r="Q46" i="3"/>
  <c r="R46" i="3" s="1"/>
  <c r="U45" i="3"/>
  <c r="Q45" i="3"/>
  <c r="R45" i="3" s="1"/>
  <c r="U44" i="3"/>
  <c r="U43" i="3"/>
  <c r="Q43" i="3"/>
  <c r="R43" i="3" s="1"/>
  <c r="U42" i="3"/>
  <c r="Q42" i="3"/>
  <c r="R42" i="3" s="1"/>
  <c r="U41" i="3"/>
  <c r="Q41" i="3"/>
  <c r="R41" i="3" s="1"/>
  <c r="U40" i="3"/>
  <c r="Q40" i="3"/>
  <c r="R40" i="3" s="1"/>
  <c r="U39" i="3"/>
  <c r="Q39" i="3"/>
  <c r="R39" i="3" s="1"/>
  <c r="U38" i="3"/>
  <c r="Q38" i="3"/>
  <c r="R38" i="3" s="1"/>
  <c r="U36" i="3"/>
  <c r="Q36" i="3"/>
  <c r="R36" i="3" s="1"/>
  <c r="Q35" i="3"/>
  <c r="R35" i="3" s="1"/>
  <c r="U35" i="3"/>
  <c r="U34" i="3"/>
  <c r="Q34" i="3"/>
  <c r="R34" i="3" s="1"/>
  <c r="U33" i="3"/>
  <c r="Q33" i="3"/>
  <c r="R33" i="3" s="1"/>
  <c r="U32" i="3"/>
  <c r="Q32" i="3"/>
  <c r="R32" i="3" s="1"/>
  <c r="U31" i="3"/>
  <c r="Q31" i="3"/>
  <c r="R31" i="3" s="1"/>
  <c r="U30" i="3"/>
  <c r="Q30" i="3"/>
  <c r="R30" i="3" s="1"/>
  <c r="U29" i="3"/>
  <c r="Q29" i="3"/>
  <c r="R29" i="3" s="1"/>
  <c r="U28" i="3"/>
  <c r="Q28" i="3"/>
  <c r="R28" i="3" s="1"/>
  <c r="U27" i="3"/>
  <c r="Q27" i="3"/>
  <c r="R27" i="3" s="1"/>
  <c r="U26" i="3"/>
  <c r="Q26" i="3"/>
  <c r="R26" i="3" s="1"/>
  <c r="U25" i="3"/>
  <c r="Q25" i="3"/>
  <c r="R25" i="3" s="1"/>
  <c r="U24" i="3"/>
  <c r="Q24" i="3"/>
  <c r="R24" i="3" s="1"/>
  <c r="U23" i="3"/>
  <c r="Q23" i="3"/>
  <c r="R23" i="3" s="1"/>
  <c r="U22" i="3"/>
  <c r="Q22" i="3"/>
  <c r="R22" i="3" s="1"/>
  <c r="U21" i="3"/>
  <c r="Q21" i="3"/>
  <c r="R21" i="3" s="1"/>
  <c r="U20" i="3"/>
  <c r="Q20" i="3"/>
  <c r="R20" i="3" s="1"/>
  <c r="U19" i="3"/>
  <c r="Q19" i="3"/>
  <c r="R19" i="3" s="1"/>
  <c r="U18" i="3"/>
  <c r="Q18" i="3"/>
  <c r="R18" i="3" s="1"/>
  <c r="U17" i="3"/>
  <c r="Q17" i="3"/>
  <c r="R17" i="3" s="1"/>
  <c r="U16" i="3"/>
  <c r="Q16" i="3"/>
  <c r="R16" i="3" s="1"/>
  <c r="U15" i="3"/>
  <c r="Q15" i="3"/>
  <c r="R15" i="3" s="1"/>
  <c r="U14" i="3"/>
  <c r="Q14" i="3"/>
  <c r="R14" i="3" s="1"/>
  <c r="U13" i="3"/>
  <c r="Q13" i="3"/>
  <c r="R13" i="3" s="1"/>
  <c r="U12" i="3"/>
  <c r="Q12" i="3"/>
  <c r="R12" i="3" s="1"/>
  <c r="U11" i="3"/>
  <c r="Q11" i="3"/>
  <c r="R11" i="3" s="1"/>
  <c r="U10" i="3"/>
  <c r="Q10" i="3"/>
  <c r="R10" i="3" s="1"/>
  <c r="U9" i="3"/>
  <c r="Q9" i="3"/>
  <c r="R9" i="3" s="1"/>
  <c r="U8" i="3"/>
  <c r="U7" i="3"/>
  <c r="Q7" i="3"/>
  <c r="R7" i="3" s="1"/>
  <c r="U6" i="3"/>
  <c r="Q6" i="3"/>
  <c r="R6" i="3" s="1"/>
  <c r="L6" i="3"/>
  <c r="M6" i="3" s="1"/>
  <c r="I6" i="3"/>
  <c r="U5" i="3"/>
  <c r="Q5" i="3"/>
  <c r="R5" i="3" s="1"/>
  <c r="L5" i="3"/>
  <c r="M5" i="3" s="1"/>
  <c r="I5" i="3"/>
  <c r="F13" i="2"/>
  <c r="D6" i="2" s="1"/>
  <c r="D10" i="2"/>
  <c r="B9" i="2"/>
  <c r="G407" i="1"/>
  <c r="O388" i="1"/>
  <c r="G388" i="1"/>
  <c r="K386" i="1"/>
  <c r="P386" i="1" s="1"/>
  <c r="K385" i="1"/>
  <c r="P385" i="1" s="1"/>
  <c r="K384" i="1"/>
  <c r="P384" i="1" s="1"/>
  <c r="K383" i="1"/>
  <c r="P383" i="1" s="1"/>
  <c r="K401" i="1"/>
  <c r="P401" i="1" s="1"/>
  <c r="K400" i="1"/>
  <c r="P400" i="1" s="1"/>
  <c r="K379" i="1"/>
  <c r="P379" i="1" s="1"/>
  <c r="K378" i="1"/>
  <c r="P378" i="1" s="1"/>
  <c r="K377" i="1"/>
  <c r="P377" i="1" s="1"/>
  <c r="K376" i="1"/>
  <c r="P376" i="1" s="1"/>
  <c r="C368" i="1"/>
  <c r="N362" i="1"/>
  <c r="N363" i="1" s="1"/>
  <c r="N364" i="1" s="1"/>
  <c r="M362" i="1"/>
  <c r="M363" i="1" s="1"/>
  <c r="M364" i="1" s="1"/>
  <c r="L362" i="1"/>
  <c r="L363" i="1" s="1"/>
  <c r="L364" i="1" s="1"/>
  <c r="K362" i="1"/>
  <c r="K363" i="1" s="1"/>
  <c r="K364" i="1" s="1"/>
  <c r="J362" i="1"/>
  <c r="J363" i="1" s="1"/>
  <c r="J364" i="1" s="1"/>
  <c r="I362" i="1"/>
  <c r="I363" i="1" s="1"/>
  <c r="I364" i="1" s="1"/>
  <c r="H362" i="1"/>
  <c r="H363" i="1" s="1"/>
  <c r="H364" i="1" s="1"/>
  <c r="G362" i="1"/>
  <c r="G363" i="1" s="1"/>
  <c r="G364" i="1" s="1"/>
  <c r="F362" i="1"/>
  <c r="F363" i="1" s="1"/>
  <c r="F364" i="1" s="1"/>
  <c r="E362" i="1"/>
  <c r="E363" i="1" s="1"/>
  <c r="E364" i="1" s="1"/>
  <c r="D362" i="1"/>
  <c r="D363" i="1" s="1"/>
  <c r="D364" i="1" s="1"/>
  <c r="C362" i="1"/>
  <c r="N358" i="1"/>
  <c r="N359" i="1" s="1"/>
  <c r="N360" i="1" s="1"/>
  <c r="M358" i="1"/>
  <c r="M359" i="1" s="1"/>
  <c r="M360" i="1" s="1"/>
  <c r="L358" i="1"/>
  <c r="L359" i="1" s="1"/>
  <c r="L360" i="1" s="1"/>
  <c r="K358" i="1"/>
  <c r="K359" i="1" s="1"/>
  <c r="K360" i="1" s="1"/>
  <c r="J358" i="1"/>
  <c r="J359" i="1" s="1"/>
  <c r="J360" i="1" s="1"/>
  <c r="I358" i="1"/>
  <c r="I359" i="1" s="1"/>
  <c r="I360" i="1" s="1"/>
  <c r="H358" i="1"/>
  <c r="H359" i="1" s="1"/>
  <c r="H360" i="1" s="1"/>
  <c r="G358" i="1"/>
  <c r="G359" i="1" s="1"/>
  <c r="G360" i="1" s="1"/>
  <c r="F358" i="1"/>
  <c r="F359" i="1" s="1"/>
  <c r="F360" i="1" s="1"/>
  <c r="E358" i="1"/>
  <c r="E359" i="1" s="1"/>
  <c r="E360" i="1" s="1"/>
  <c r="D358" i="1"/>
  <c r="D359" i="1" s="1"/>
  <c r="D360" i="1" s="1"/>
  <c r="C358" i="1"/>
  <c r="H355" i="1"/>
  <c r="H356" i="1" s="1"/>
  <c r="N354" i="1"/>
  <c r="N355" i="1" s="1"/>
  <c r="N356" i="1" s="1"/>
  <c r="M354" i="1"/>
  <c r="M355" i="1" s="1"/>
  <c r="M356" i="1" s="1"/>
  <c r="L354" i="1"/>
  <c r="L355" i="1" s="1"/>
  <c r="L356" i="1" s="1"/>
  <c r="K354" i="1"/>
  <c r="K355" i="1" s="1"/>
  <c r="K356" i="1" s="1"/>
  <c r="J354" i="1"/>
  <c r="J355" i="1" s="1"/>
  <c r="J356" i="1" s="1"/>
  <c r="I354" i="1"/>
  <c r="I355" i="1" s="1"/>
  <c r="I356" i="1" s="1"/>
  <c r="H354" i="1"/>
  <c r="G354" i="1"/>
  <c r="G355" i="1" s="1"/>
  <c r="G356" i="1" s="1"/>
  <c r="F354" i="1"/>
  <c r="F355" i="1" s="1"/>
  <c r="F356" i="1" s="1"/>
  <c r="E354" i="1"/>
  <c r="E355" i="1" s="1"/>
  <c r="E356" i="1" s="1"/>
  <c r="D354" i="1"/>
  <c r="D355" i="1" s="1"/>
  <c r="D356" i="1" s="1"/>
  <c r="C354" i="1"/>
  <c r="F351" i="1"/>
  <c r="F352" i="1" s="1"/>
  <c r="N350" i="1"/>
  <c r="N351" i="1" s="1"/>
  <c r="N352" i="1" s="1"/>
  <c r="M350" i="1"/>
  <c r="M351" i="1" s="1"/>
  <c r="M352" i="1" s="1"/>
  <c r="L350" i="1"/>
  <c r="L351" i="1" s="1"/>
  <c r="L352" i="1" s="1"/>
  <c r="K350" i="1"/>
  <c r="K351" i="1" s="1"/>
  <c r="K352" i="1" s="1"/>
  <c r="J350" i="1"/>
  <c r="J351" i="1" s="1"/>
  <c r="J352" i="1" s="1"/>
  <c r="I350" i="1"/>
  <c r="I351" i="1" s="1"/>
  <c r="I352" i="1" s="1"/>
  <c r="H350" i="1"/>
  <c r="H351" i="1" s="1"/>
  <c r="H352" i="1" s="1"/>
  <c r="G350" i="1"/>
  <c r="G351" i="1" s="1"/>
  <c r="G352" i="1" s="1"/>
  <c r="F350" i="1"/>
  <c r="E350" i="1"/>
  <c r="E351" i="1" s="1"/>
  <c r="E352" i="1" s="1"/>
  <c r="D350" i="1"/>
  <c r="D351" i="1" s="1"/>
  <c r="D352" i="1" s="1"/>
  <c r="C350" i="1"/>
  <c r="N347" i="1"/>
  <c r="N348" i="1" s="1"/>
  <c r="F347" i="1"/>
  <c r="F348" i="1" s="1"/>
  <c r="N346" i="1"/>
  <c r="M346" i="1"/>
  <c r="M347" i="1" s="1"/>
  <c r="M348" i="1" s="1"/>
  <c r="L346" i="1"/>
  <c r="L347" i="1" s="1"/>
  <c r="L348" i="1" s="1"/>
  <c r="K346" i="1"/>
  <c r="K347" i="1" s="1"/>
  <c r="K348" i="1" s="1"/>
  <c r="J346" i="1"/>
  <c r="J347" i="1" s="1"/>
  <c r="J348" i="1" s="1"/>
  <c r="I346" i="1"/>
  <c r="I347" i="1" s="1"/>
  <c r="I348" i="1" s="1"/>
  <c r="H346" i="1"/>
  <c r="H347" i="1" s="1"/>
  <c r="H348" i="1" s="1"/>
  <c r="G346" i="1"/>
  <c r="G347" i="1" s="1"/>
  <c r="G348" i="1" s="1"/>
  <c r="F346" i="1"/>
  <c r="E346" i="1"/>
  <c r="E347" i="1" s="1"/>
  <c r="E348" i="1" s="1"/>
  <c r="D346" i="1"/>
  <c r="D347" i="1" s="1"/>
  <c r="D348" i="1" s="1"/>
  <c r="C346" i="1"/>
  <c r="N343" i="1"/>
  <c r="N344" i="1" s="1"/>
  <c r="N342" i="1"/>
  <c r="M342" i="1"/>
  <c r="M343" i="1" s="1"/>
  <c r="M344" i="1" s="1"/>
  <c r="L342" i="1"/>
  <c r="L343" i="1" s="1"/>
  <c r="L344" i="1" s="1"/>
  <c r="K342" i="1"/>
  <c r="K343" i="1" s="1"/>
  <c r="K344" i="1" s="1"/>
  <c r="J342" i="1"/>
  <c r="J343" i="1" s="1"/>
  <c r="J344" i="1" s="1"/>
  <c r="I342" i="1"/>
  <c r="I343" i="1" s="1"/>
  <c r="I344" i="1" s="1"/>
  <c r="H342" i="1"/>
  <c r="H343" i="1" s="1"/>
  <c r="H344" i="1" s="1"/>
  <c r="G342" i="1"/>
  <c r="G343" i="1" s="1"/>
  <c r="G344" i="1" s="1"/>
  <c r="F342" i="1"/>
  <c r="F343" i="1" s="1"/>
  <c r="F344" i="1" s="1"/>
  <c r="E342" i="1"/>
  <c r="E343" i="1" s="1"/>
  <c r="E344" i="1" s="1"/>
  <c r="D342" i="1"/>
  <c r="D343" i="1" s="1"/>
  <c r="D344" i="1" s="1"/>
  <c r="C342" i="1"/>
  <c r="C6" i="1"/>
  <c r="O5" i="1"/>
  <c r="O246" i="1" l="1"/>
  <c r="O162" i="1"/>
  <c r="E219" i="1"/>
  <c r="E191" i="1"/>
  <c r="O190" i="1"/>
  <c r="O158" i="1"/>
  <c r="O18" i="1"/>
  <c r="O14" i="1"/>
  <c r="E195" i="1"/>
  <c r="O78" i="1"/>
  <c r="E207" i="1"/>
  <c r="O206" i="1"/>
  <c r="O66" i="1"/>
  <c r="O142" i="1"/>
  <c r="E179" i="1"/>
  <c r="O58" i="1"/>
  <c r="E199" i="1"/>
  <c r="O198" i="1"/>
  <c r="E227" i="1"/>
  <c r="O226" i="1"/>
  <c r="E187" i="1"/>
  <c r="O186" i="1"/>
  <c r="E232" i="1"/>
  <c r="O232" i="1" s="1"/>
  <c r="O231" i="1"/>
  <c r="O22" i="1"/>
  <c r="E183" i="1"/>
  <c r="O182" i="1"/>
  <c r="E175" i="1"/>
  <c r="O6" i="1"/>
  <c r="O114" i="1"/>
  <c r="E212" i="1"/>
  <c r="O212" i="1" s="1"/>
  <c r="O211" i="1"/>
  <c r="O90" i="1"/>
  <c r="O74" i="1"/>
  <c r="O102" i="1"/>
  <c r="E215" i="1"/>
  <c r="O214" i="1"/>
  <c r="O54" i="1"/>
  <c r="O86" i="1"/>
  <c r="E11" i="1"/>
  <c r="N367" i="1"/>
  <c r="C340" i="1"/>
  <c r="O340" i="1" s="1"/>
  <c r="O339" i="1"/>
  <c r="C359" i="1"/>
  <c r="O359" i="1" s="1"/>
  <c r="O358" i="1"/>
  <c r="G271" i="1"/>
  <c r="G272" i="1" s="1"/>
  <c r="G367" i="1" s="1"/>
  <c r="G366" i="1"/>
  <c r="G370" i="1" s="1"/>
  <c r="C311" i="1"/>
  <c r="O310" i="1"/>
  <c r="C351" i="1"/>
  <c r="O351" i="1" s="1"/>
  <c r="O350" i="1"/>
  <c r="H271" i="1"/>
  <c r="H272" i="1" s="1"/>
  <c r="H367" i="1" s="1"/>
  <c r="H366" i="1"/>
  <c r="H370" i="1" s="1"/>
  <c r="C275" i="1"/>
  <c r="O274" i="1"/>
  <c r="C287" i="1"/>
  <c r="O286" i="1"/>
  <c r="C307" i="1"/>
  <c r="O306" i="1"/>
  <c r="C343" i="1"/>
  <c r="O343" i="1" s="1"/>
  <c r="O342" i="1"/>
  <c r="I271" i="1"/>
  <c r="I272" i="1" s="1"/>
  <c r="I367" i="1" s="1"/>
  <c r="C381" i="1" s="1"/>
  <c r="H381" i="1" s="1"/>
  <c r="I366" i="1"/>
  <c r="I370" i="1" s="1"/>
  <c r="C295" i="1"/>
  <c r="O294" i="1"/>
  <c r="C323" i="1"/>
  <c r="O322" i="1"/>
  <c r="C336" i="1"/>
  <c r="O336" i="1" s="1"/>
  <c r="O335" i="1"/>
  <c r="C271" i="1"/>
  <c r="C366" i="1"/>
  <c r="O270" i="1"/>
  <c r="K271" i="1"/>
  <c r="K272" i="1" s="1"/>
  <c r="K367" i="1" s="1"/>
  <c r="K366" i="1"/>
  <c r="K370" i="1" s="1"/>
  <c r="C283" i="1"/>
  <c r="O282" i="1"/>
  <c r="C303" i="1"/>
  <c r="O302" i="1"/>
  <c r="C331" i="1"/>
  <c r="O330" i="1"/>
  <c r="C347" i="1"/>
  <c r="O347" i="1" s="1"/>
  <c r="O346" i="1"/>
  <c r="C355" i="1"/>
  <c r="O355" i="1" s="1"/>
  <c r="O354" i="1"/>
  <c r="C363" i="1"/>
  <c r="O363" i="1" s="1"/>
  <c r="O362" i="1"/>
  <c r="L271" i="1"/>
  <c r="L272" i="1" s="1"/>
  <c r="L367" i="1" s="1"/>
  <c r="C384" i="1" s="1"/>
  <c r="H384" i="1" s="1"/>
  <c r="L366" i="1"/>
  <c r="L370" i="1" s="1"/>
  <c r="C291" i="1"/>
  <c r="O290" i="1"/>
  <c r="C315" i="1"/>
  <c r="O314" i="1"/>
  <c r="C319" i="1"/>
  <c r="O318" i="1"/>
  <c r="E271" i="1"/>
  <c r="E272" i="1" s="1"/>
  <c r="E366" i="1"/>
  <c r="E370" i="1" s="1"/>
  <c r="M271" i="1"/>
  <c r="M272" i="1" s="1"/>
  <c r="M367" i="1" s="1"/>
  <c r="M366" i="1"/>
  <c r="M370" i="1" s="1"/>
  <c r="C279" i="1"/>
  <c r="O278" i="1"/>
  <c r="C299" i="1"/>
  <c r="O298" i="1"/>
  <c r="J271" i="1"/>
  <c r="J272" i="1" s="1"/>
  <c r="J367" i="1" s="1"/>
  <c r="C382" i="1" s="1"/>
  <c r="H382" i="1" s="1"/>
  <c r="J366" i="1"/>
  <c r="J370" i="1" s="1"/>
  <c r="F271" i="1"/>
  <c r="F272" i="1" s="1"/>
  <c r="F367" i="1" s="1"/>
  <c r="C378" i="1" s="1"/>
  <c r="H378" i="1" s="1"/>
  <c r="F366" i="1"/>
  <c r="F370" i="1" s="1"/>
  <c r="N366" i="1"/>
  <c r="N370" i="1" s="1"/>
  <c r="C327" i="1"/>
  <c r="O334" i="1"/>
  <c r="O338" i="1"/>
  <c r="D154" i="2"/>
  <c r="D267" i="1"/>
  <c r="O266" i="1"/>
  <c r="D247" i="1"/>
  <c r="D243" i="1"/>
  <c r="O242" i="1"/>
  <c r="D31" i="1"/>
  <c r="D163" i="1"/>
  <c r="D155" i="1"/>
  <c r="D27" i="1"/>
  <c r="O26" i="1"/>
  <c r="D159" i="1"/>
  <c r="D20" i="1"/>
  <c r="O20" i="1" s="1"/>
  <c r="O19" i="1"/>
  <c r="D255" i="1"/>
  <c r="D15" i="1"/>
  <c r="D167" i="1"/>
  <c r="O166" i="1"/>
  <c r="D235" i="1"/>
  <c r="O234" i="1"/>
  <c r="D79" i="1"/>
  <c r="D240" i="1"/>
  <c r="O240" i="1" s="1"/>
  <c r="O239" i="1"/>
  <c r="D171" i="1"/>
  <c r="D35" i="1"/>
  <c r="D68" i="1"/>
  <c r="O68" i="1" s="1"/>
  <c r="O67" i="1"/>
  <c r="D135" i="1"/>
  <c r="D259" i="1"/>
  <c r="O258" i="1"/>
  <c r="D47" i="1"/>
  <c r="D43" i="1"/>
  <c r="D143" i="1"/>
  <c r="D251" i="1"/>
  <c r="O250" i="1"/>
  <c r="D60" i="1"/>
  <c r="O60" i="1" s="1"/>
  <c r="O59" i="1"/>
  <c r="O151" i="1"/>
  <c r="D152" i="1"/>
  <c r="O152" i="1" s="1"/>
  <c r="D111" i="1"/>
  <c r="O110" i="1"/>
  <c r="D119" i="1"/>
  <c r="D23" i="1"/>
  <c r="D127" i="1"/>
  <c r="D131" i="1"/>
  <c r="O115" i="1"/>
  <c r="D116" i="1"/>
  <c r="O116" i="1" s="1"/>
  <c r="D107" i="1"/>
  <c r="D7" i="1"/>
  <c r="D99" i="1"/>
  <c r="D92" i="1"/>
  <c r="O92" i="1" s="1"/>
  <c r="O91" i="1"/>
  <c r="D63" i="1"/>
  <c r="D76" i="1"/>
  <c r="O76" i="1" s="1"/>
  <c r="O75" i="1"/>
  <c r="D123" i="1"/>
  <c r="O122" i="1"/>
  <c r="D103" i="1"/>
  <c r="D55" i="1"/>
  <c r="D39" i="1"/>
  <c r="D51" i="1"/>
  <c r="D139" i="1"/>
  <c r="O138" i="1"/>
  <c r="D83" i="1"/>
  <c r="D87" i="1"/>
  <c r="O147" i="1"/>
  <c r="D148" i="1"/>
  <c r="O148" i="1" s="1"/>
  <c r="D366" i="1"/>
  <c r="D370" i="1" s="1"/>
  <c r="O70" i="1"/>
  <c r="D71" i="1"/>
  <c r="C263" i="1"/>
  <c r="O262" i="1"/>
  <c r="F41" i="2"/>
  <c r="G41" i="2" s="1"/>
  <c r="F119" i="2"/>
  <c r="G119" i="2" s="1"/>
  <c r="D84" i="2"/>
  <c r="H79" i="1"/>
  <c r="G51" i="1"/>
  <c r="H11" i="1"/>
  <c r="K403" i="1"/>
  <c r="P403" i="1" s="1"/>
  <c r="C386" i="1"/>
  <c r="H386" i="1" s="1"/>
  <c r="C379" i="1"/>
  <c r="H379" i="1" s="1"/>
  <c r="K381" i="1"/>
  <c r="P381" i="1" s="1"/>
  <c r="K395" i="1"/>
  <c r="P395" i="1" s="1"/>
  <c r="V238" i="3"/>
  <c r="D48" i="2"/>
  <c r="D50" i="2" s="1"/>
  <c r="D100" i="2"/>
  <c r="D74" i="2"/>
  <c r="D76" i="2" s="1"/>
  <c r="D128" i="2"/>
  <c r="V232" i="3"/>
  <c r="G93" i="2"/>
  <c r="F67" i="2"/>
  <c r="G67" i="2" s="1"/>
  <c r="D22" i="2"/>
  <c r="D24" i="2" s="1"/>
  <c r="V407" i="3"/>
  <c r="U312" i="3"/>
  <c r="V441" i="3"/>
  <c r="V35" i="3"/>
  <c r="V87" i="3"/>
  <c r="V190" i="3"/>
  <c r="V179" i="3"/>
  <c r="V377" i="3"/>
  <c r="V147" i="3"/>
  <c r="V201" i="3"/>
  <c r="V207" i="3"/>
  <c r="V270" i="3"/>
  <c r="V343" i="3"/>
  <c r="V184" i="3"/>
  <c r="V380" i="3"/>
  <c r="V61" i="3"/>
  <c r="U87" i="3"/>
  <c r="V132" i="3"/>
  <c r="U281" i="3"/>
  <c r="V333" i="3"/>
  <c r="V82" i="3"/>
  <c r="V106" i="3"/>
  <c r="V319" i="3"/>
  <c r="V406" i="3"/>
  <c r="V102" i="3"/>
  <c r="V341" i="3"/>
  <c r="V375" i="3"/>
  <c r="V398" i="3"/>
  <c r="V19" i="3"/>
  <c r="V133" i="3"/>
  <c r="V246" i="3"/>
  <c r="V387" i="3"/>
  <c r="V95" i="3"/>
  <c r="V97" i="3"/>
  <c r="V160" i="3"/>
  <c r="V293" i="3"/>
  <c r="V295" i="3"/>
  <c r="V395" i="3"/>
  <c r="V211" i="3"/>
  <c r="V344" i="3"/>
  <c r="V397" i="3"/>
  <c r="V429" i="3"/>
  <c r="V49" i="3"/>
  <c r="V289" i="3"/>
  <c r="V46" i="3"/>
  <c r="U55" i="3"/>
  <c r="V118" i="3"/>
  <c r="V194" i="3"/>
  <c r="V314" i="3"/>
  <c r="V355" i="3"/>
  <c r="V9" i="3"/>
  <c r="V428" i="3"/>
  <c r="U102" i="3"/>
  <c r="V139" i="3"/>
  <c r="V145" i="3"/>
  <c r="V175" i="3"/>
  <c r="V274" i="3"/>
  <c r="V297" i="3"/>
  <c r="V299" i="3"/>
  <c r="V78" i="3"/>
  <c r="V129" i="3"/>
  <c r="U150" i="3"/>
  <c r="V152" i="3"/>
  <c r="U340" i="3"/>
  <c r="V416" i="3"/>
  <c r="V425" i="3"/>
  <c r="V91" i="3"/>
  <c r="V18" i="3"/>
  <c r="V126" i="3"/>
  <c r="V128" i="3"/>
  <c r="V168" i="3"/>
  <c r="V188" i="3"/>
  <c r="V193" i="3"/>
  <c r="V215" i="3"/>
  <c r="V245" i="3"/>
  <c r="V268" i="3"/>
  <c r="V276" i="3"/>
  <c r="V369" i="3"/>
  <c r="U397" i="3"/>
  <c r="V209" i="3"/>
  <c r="V14" i="3"/>
  <c r="V73" i="3"/>
  <c r="V98" i="3"/>
  <c r="V231" i="3"/>
  <c r="V366" i="3"/>
  <c r="V381" i="3"/>
  <c r="V167" i="3"/>
  <c r="V29" i="3"/>
  <c r="V275" i="3"/>
  <c r="V115" i="3"/>
  <c r="V123" i="3"/>
  <c r="V135" i="3"/>
  <c r="V170" i="3"/>
  <c r="V203" i="3"/>
  <c r="V287" i="3"/>
  <c r="V302" i="3"/>
  <c r="V306" i="3"/>
  <c r="V308" i="3"/>
  <c r="V310" i="3"/>
  <c r="V323" i="3"/>
  <c r="V347" i="3"/>
  <c r="V356" i="3"/>
  <c r="V370" i="3"/>
  <c r="V396" i="3"/>
  <c r="V420" i="3"/>
  <c r="V426" i="3"/>
  <c r="V27" i="3"/>
  <c r="V53" i="3"/>
  <c r="V66" i="3"/>
  <c r="V67" i="3"/>
  <c r="V69" i="3"/>
  <c r="V83" i="3"/>
  <c r="V122" i="3"/>
  <c r="V138" i="3"/>
  <c r="V140" i="3"/>
  <c r="V222" i="3"/>
  <c r="V264" i="3"/>
  <c r="U264" i="3"/>
  <c r="V301" i="3"/>
  <c r="V303" i="3"/>
  <c r="V13" i="3"/>
  <c r="V36" i="3"/>
  <c r="V57" i="3"/>
  <c r="V124" i="3"/>
  <c r="V154" i="3"/>
  <c r="V156" i="3"/>
  <c r="V176" i="3"/>
  <c r="V191" i="3"/>
  <c r="V262" i="3"/>
  <c r="V266" i="3"/>
  <c r="V326" i="3"/>
  <c r="V342" i="3"/>
  <c r="V206" i="3"/>
  <c r="U206" i="3"/>
  <c r="V64" i="3"/>
  <c r="V117" i="3"/>
  <c r="U170" i="3"/>
  <c r="V182" i="3"/>
  <c r="V198" i="3"/>
  <c r="V212" i="3"/>
  <c r="V217" i="3"/>
  <c r="V249" i="3"/>
  <c r="V278" i="3"/>
  <c r="V388" i="3"/>
  <c r="V32" i="3"/>
  <c r="V239" i="3"/>
  <c r="V317" i="3"/>
  <c r="V368" i="3"/>
  <c r="V5" i="3"/>
  <c r="V89" i="3"/>
  <c r="V119" i="3"/>
  <c r="U153" i="3"/>
  <c r="V153" i="3"/>
  <c r="V171" i="3"/>
  <c r="V178" i="3"/>
  <c r="V296" i="3"/>
  <c r="V415" i="3"/>
  <c r="V44" i="3"/>
  <c r="U52" i="3"/>
  <c r="V52" i="3"/>
  <c r="V77" i="3"/>
  <c r="U94" i="3"/>
  <c r="V114" i="3"/>
  <c r="U117" i="3"/>
  <c r="V186" i="3"/>
  <c r="V204" i="3"/>
  <c r="V225" i="3"/>
  <c r="V279" i="3"/>
  <c r="U279" i="3"/>
  <c r="V282" i="3"/>
  <c r="V354" i="3"/>
  <c r="V385" i="3"/>
  <c r="V399" i="3"/>
  <c r="U185" i="3"/>
  <c r="V185" i="3"/>
  <c r="R92" i="3"/>
  <c r="V92" i="3" s="1"/>
  <c r="U92" i="3"/>
  <c r="V103" i="3"/>
  <c r="V105" i="3"/>
  <c r="U143" i="3"/>
  <c r="V143" i="3"/>
  <c r="V150" i="3"/>
  <c r="V163" i="3"/>
  <c r="V183" i="3"/>
  <c r="V199" i="3"/>
  <c r="U207" i="3"/>
  <c r="V214" i="3"/>
  <c r="V284" i="3"/>
  <c r="V311" i="3"/>
  <c r="V336" i="3"/>
  <c r="V412" i="3"/>
  <c r="V417" i="3"/>
  <c r="V419" i="3"/>
  <c r="V11" i="3"/>
  <c r="V16" i="3"/>
  <c r="V31" i="3"/>
  <c r="V48" i="3"/>
  <c r="V54" i="3"/>
  <c r="V68" i="3"/>
  <c r="V75" i="3"/>
  <c r="V80" i="3"/>
  <c r="V88" i="3"/>
  <c r="V120" i="3"/>
  <c r="V137" i="3"/>
  <c r="V181" i="3"/>
  <c r="V208" i="3"/>
  <c r="V210" i="3"/>
  <c r="V223" i="3"/>
  <c r="V228" i="3"/>
  <c r="V243" i="3"/>
  <c r="V248" i="3"/>
  <c r="V298" i="3"/>
  <c r="V300" i="3"/>
  <c r="V340" i="3"/>
  <c r="V431" i="3"/>
  <c r="V421" i="3"/>
  <c r="V436" i="3"/>
  <c r="V439" i="3"/>
  <c r="V21" i="3"/>
  <c r="V38" i="3"/>
  <c r="V50" i="3"/>
  <c r="V58" i="3"/>
  <c r="V85" i="3"/>
  <c r="V94" i="3"/>
  <c r="V101" i="3"/>
  <c r="V104" i="3"/>
  <c r="V125" i="3"/>
  <c r="V213" i="3"/>
  <c r="V216" i="3"/>
  <c r="V233" i="3"/>
  <c r="V250" i="3"/>
  <c r="V261" i="3"/>
  <c r="V325" i="3"/>
  <c r="V332" i="3"/>
  <c r="V346" i="3"/>
  <c r="V353" i="3"/>
  <c r="V372" i="3"/>
  <c r="V379" i="3"/>
  <c r="V438" i="3"/>
  <c r="V328" i="3"/>
  <c r="V378" i="3"/>
  <c r="V390" i="3"/>
  <c r="V408" i="3"/>
  <c r="V8" i="3"/>
  <c r="V23" i="3"/>
  <c r="V28" i="3"/>
  <c r="V40" i="3"/>
  <c r="V45" i="3"/>
  <c r="V51" i="3"/>
  <c r="V60" i="3"/>
  <c r="V63" i="3"/>
  <c r="V65" i="3"/>
  <c r="V72" i="3"/>
  <c r="V90" i="3"/>
  <c r="V93" i="3"/>
  <c r="V100" i="3"/>
  <c r="V131" i="3"/>
  <c r="R155" i="3"/>
  <c r="V155" i="3" s="1"/>
  <c r="V159" i="3"/>
  <c r="V164" i="3"/>
  <c r="V166" i="3"/>
  <c r="V180" i="3"/>
  <c r="V189" i="3"/>
  <c r="V192" i="3"/>
  <c r="V220" i="3"/>
  <c r="V313" i="3"/>
  <c r="V315" i="3"/>
  <c r="V327" i="3"/>
  <c r="V348" i="3"/>
  <c r="V382" i="3"/>
  <c r="V386" i="3"/>
  <c r="V389" i="3"/>
  <c r="V410" i="3"/>
  <c r="V423" i="3"/>
  <c r="V435" i="3"/>
  <c r="V440" i="3"/>
  <c r="V230" i="3"/>
  <c r="V237" i="3"/>
  <c r="V265" i="3"/>
  <c r="V283" i="3"/>
  <c r="V294" i="3"/>
  <c r="V304" i="3"/>
  <c r="V334" i="3"/>
  <c r="U341" i="3"/>
  <c r="V364" i="3"/>
  <c r="V376" i="3"/>
  <c r="V402" i="3"/>
  <c r="V430" i="3"/>
  <c r="V34" i="3"/>
  <c r="V6" i="3"/>
  <c r="V26" i="3"/>
  <c r="V33" i="3"/>
  <c r="V43" i="3"/>
  <c r="V70" i="3"/>
  <c r="V25" i="3"/>
  <c r="V30" i="3"/>
  <c r="V42" i="3"/>
  <c r="V47" i="3"/>
  <c r="V15" i="3"/>
  <c r="V20" i="3"/>
  <c r="V79" i="3"/>
  <c r="V84" i="3"/>
  <c r="V10" i="3"/>
  <c r="V17" i="3"/>
  <c r="V22" i="3"/>
  <c r="V39" i="3"/>
  <c r="V62" i="3"/>
  <c r="V74" i="3"/>
  <c r="V81" i="3"/>
  <c r="V86" i="3"/>
  <c r="V7" i="3"/>
  <c r="V12" i="3"/>
  <c r="V24" i="3"/>
  <c r="V41" i="3"/>
  <c r="V59" i="3"/>
  <c r="V71" i="3"/>
  <c r="V76" i="3"/>
  <c r="V96" i="3"/>
  <c r="V116" i="3"/>
  <c r="V121" i="3"/>
  <c r="V144" i="3"/>
  <c r="V151" i="3"/>
  <c r="V174" i="3"/>
  <c r="V177" i="3"/>
  <c r="V187" i="3"/>
  <c r="V197" i="3"/>
  <c r="V200" i="3"/>
  <c r="V226" i="3"/>
  <c r="V236" i="3"/>
  <c r="V267" i="3"/>
  <c r="U132" i="3"/>
  <c r="V149" i="3"/>
  <c r="U241" i="3"/>
  <c r="V241" i="3"/>
  <c r="V251" i="3"/>
  <c r="V269" i="3"/>
  <c r="V134" i="3"/>
  <c r="V55" i="3"/>
  <c r="V56" i="3"/>
  <c r="V99" i="3"/>
  <c r="U103" i="3"/>
  <c r="U110" i="3"/>
  <c r="V110" i="3"/>
  <c r="V113" i="3"/>
  <c r="V158" i="3"/>
  <c r="V165" i="3"/>
  <c r="V173" i="3"/>
  <c r="V196" i="3"/>
  <c r="V202" i="3"/>
  <c r="U253" i="3"/>
  <c r="V253" i="3"/>
  <c r="U255" i="3"/>
  <c r="V255" i="3"/>
  <c r="U257" i="3"/>
  <c r="V257" i="3"/>
  <c r="U259" i="3"/>
  <c r="V259" i="3"/>
  <c r="U122" i="3"/>
  <c r="V142" i="3"/>
  <c r="V162" i="3"/>
  <c r="V235" i="3"/>
  <c r="V271" i="3"/>
  <c r="V286" i="3"/>
  <c r="U286" i="3"/>
  <c r="U414" i="3"/>
  <c r="V414" i="3"/>
  <c r="U111" i="3"/>
  <c r="V111" i="3"/>
  <c r="U272" i="3"/>
  <c r="V272" i="3"/>
  <c r="U109" i="3"/>
  <c r="V109" i="3"/>
  <c r="V146" i="3"/>
  <c r="V148" i="3"/>
  <c r="V227" i="3"/>
  <c r="V240" i="3"/>
  <c r="V247" i="3"/>
  <c r="V127" i="3"/>
  <c r="V136" i="3"/>
  <c r="V141" i="3"/>
  <c r="V229" i="3"/>
  <c r="U242" i="3"/>
  <c r="V242" i="3"/>
  <c r="V244" i="3"/>
  <c r="U107" i="3"/>
  <c r="V107" i="3"/>
  <c r="V130" i="3"/>
  <c r="U108" i="3"/>
  <c r="V108" i="3"/>
  <c r="V112" i="3"/>
  <c r="V157" i="3"/>
  <c r="V161" i="3"/>
  <c r="V169" i="3"/>
  <c r="V195" i="3"/>
  <c r="V205" i="3"/>
  <c r="V221" i="3"/>
  <c r="V224" i="3"/>
  <c r="V234" i="3"/>
  <c r="U252" i="3"/>
  <c r="V252" i="3"/>
  <c r="U254" i="3"/>
  <c r="V254" i="3"/>
  <c r="U256" i="3"/>
  <c r="V256" i="3"/>
  <c r="U258" i="3"/>
  <c r="V258" i="3"/>
  <c r="U260" i="3"/>
  <c r="V260" i="3"/>
  <c r="U155" i="3"/>
  <c r="V172" i="3"/>
  <c r="V218" i="3"/>
  <c r="V219" i="3"/>
  <c r="V263" i="3"/>
  <c r="U265" i="3"/>
  <c r="V280" i="3"/>
  <c r="U292" i="3"/>
  <c r="V292" i="3"/>
  <c r="V331" i="3"/>
  <c r="V345" i="3"/>
  <c r="U358" i="3"/>
  <c r="V358" i="3"/>
  <c r="U360" i="3"/>
  <c r="V360" i="3"/>
  <c r="U362" i="3"/>
  <c r="V362" i="3"/>
  <c r="V374" i="3"/>
  <c r="V392" i="3"/>
  <c r="V394" i="3"/>
  <c r="V405" i="3"/>
  <c r="V424" i="3"/>
  <c r="V434" i="3"/>
  <c r="V351" i="3"/>
  <c r="V371" i="3"/>
  <c r="V391" i="3"/>
  <c r="V400" i="3"/>
  <c r="V418" i="3"/>
  <c r="V288" i="3"/>
  <c r="U291" i="3"/>
  <c r="V291" i="3"/>
  <c r="V305" i="3"/>
  <c r="V316" i="3"/>
  <c r="V338" i="3"/>
  <c r="V357" i="3"/>
  <c r="V373" i="3"/>
  <c r="V393" i="3"/>
  <c r="V285" i="3"/>
  <c r="V307" i="3"/>
  <c r="V318" i="3"/>
  <c r="V330" i="3"/>
  <c r="U359" i="3"/>
  <c r="V359" i="3"/>
  <c r="U361" i="3"/>
  <c r="V361" i="3"/>
  <c r="U363" i="3"/>
  <c r="V363" i="3"/>
  <c r="V365" i="3"/>
  <c r="V413" i="3"/>
  <c r="V277" i="3"/>
  <c r="V281" i="3"/>
  <c r="V309" i="3"/>
  <c r="V335" i="3"/>
  <c r="V367" i="3"/>
  <c r="V383" i="3"/>
  <c r="V404" i="3"/>
  <c r="V409" i="3"/>
  <c r="V433" i="3"/>
  <c r="U290" i="3"/>
  <c r="V290" i="3"/>
  <c r="V312" i="3"/>
  <c r="V324" i="3"/>
  <c r="V337" i="3"/>
  <c r="V411" i="3"/>
  <c r="V427" i="3"/>
  <c r="V437" i="3"/>
  <c r="U273" i="3"/>
  <c r="V273" i="3"/>
  <c r="V329" i="3"/>
  <c r="V339" i="3"/>
  <c r="V352" i="3"/>
  <c r="U401" i="3"/>
  <c r="V401" i="3"/>
  <c r="V403" i="3"/>
  <c r="V422" i="3"/>
  <c r="V432" i="3"/>
  <c r="V320" i="3"/>
  <c r="V321" i="3"/>
  <c r="V322" i="3"/>
  <c r="V349" i="3"/>
  <c r="V350" i="3"/>
  <c r="V384" i="3"/>
  <c r="U398" i="3"/>
  <c r="F15" i="2"/>
  <c r="G15" i="2" s="1"/>
  <c r="C380" i="1"/>
  <c r="H380" i="1" s="1"/>
  <c r="C383" i="1"/>
  <c r="H383" i="1" s="1"/>
  <c r="C385" i="1"/>
  <c r="H385" i="1" s="1"/>
  <c r="C7" i="1"/>
  <c r="C360" i="1"/>
  <c r="O360" i="1" s="1"/>
  <c r="C364" i="1"/>
  <c r="O364" i="1" s="1"/>
  <c r="K399" i="1"/>
  <c r="P399" i="1" s="1"/>
  <c r="K380" i="1"/>
  <c r="P380" i="1" s="1"/>
  <c r="C356" i="1"/>
  <c r="O356" i="1" s="1"/>
  <c r="C352" i="1"/>
  <c r="O352" i="1" s="1"/>
  <c r="K375" i="1"/>
  <c r="C348" i="1"/>
  <c r="O348" i="1" s="1"/>
  <c r="C344" i="1"/>
  <c r="O344" i="1" s="1"/>
  <c r="C369" i="1"/>
  <c r="K402" i="1"/>
  <c r="P402" i="1" s="1"/>
  <c r="K382" i="1"/>
  <c r="P382" i="1" s="1"/>
  <c r="K396" i="1"/>
  <c r="P396" i="1" s="1"/>
  <c r="K404" i="1"/>
  <c r="P404" i="1" s="1"/>
  <c r="K397" i="1"/>
  <c r="K405" i="1"/>
  <c r="P405" i="1" s="1"/>
  <c r="K398" i="1"/>
  <c r="C403" i="1" l="1"/>
  <c r="H403" i="1" s="1"/>
  <c r="E220" i="1"/>
  <c r="O220" i="1" s="1"/>
  <c r="O219" i="1"/>
  <c r="E192" i="1"/>
  <c r="O192" i="1" s="1"/>
  <c r="O191" i="1"/>
  <c r="E196" i="1"/>
  <c r="O196" i="1" s="1"/>
  <c r="O195" i="1"/>
  <c r="E208" i="1"/>
  <c r="O208" i="1" s="1"/>
  <c r="O207" i="1"/>
  <c r="E180" i="1"/>
  <c r="O180" i="1" s="1"/>
  <c r="O179" i="1"/>
  <c r="E200" i="1"/>
  <c r="O200" i="1" s="1"/>
  <c r="O199" i="1"/>
  <c r="E228" i="1"/>
  <c r="O228" i="1" s="1"/>
  <c r="O227" i="1"/>
  <c r="E188" i="1"/>
  <c r="O188" i="1" s="1"/>
  <c r="O187" i="1"/>
  <c r="E184" i="1"/>
  <c r="O184" i="1" s="1"/>
  <c r="O183" i="1"/>
  <c r="E176" i="1"/>
  <c r="O176" i="1" s="1"/>
  <c r="O175" i="1"/>
  <c r="E216" i="1"/>
  <c r="O216" i="1" s="1"/>
  <c r="O215" i="1"/>
  <c r="O11" i="1"/>
  <c r="E12" i="1"/>
  <c r="O12" i="1" s="1"/>
  <c r="C332" i="1"/>
  <c r="O332" i="1" s="1"/>
  <c r="O331" i="1"/>
  <c r="C296" i="1"/>
  <c r="O296" i="1" s="1"/>
  <c r="O295" i="1"/>
  <c r="C288" i="1"/>
  <c r="O288" i="1" s="1"/>
  <c r="O287" i="1"/>
  <c r="C312" i="1"/>
  <c r="O312" i="1" s="1"/>
  <c r="O311" i="1"/>
  <c r="C272" i="1"/>
  <c r="O271" i="1"/>
  <c r="C300" i="1"/>
  <c r="O300" i="1" s="1"/>
  <c r="O299" i="1"/>
  <c r="C320" i="1"/>
  <c r="O320" i="1" s="1"/>
  <c r="O319" i="1"/>
  <c r="C304" i="1"/>
  <c r="O304" i="1" s="1"/>
  <c r="O303" i="1"/>
  <c r="C276" i="1"/>
  <c r="O276" i="1" s="1"/>
  <c r="O275" i="1"/>
  <c r="C328" i="1"/>
  <c r="O328" i="1" s="1"/>
  <c r="O327" i="1"/>
  <c r="C400" i="1"/>
  <c r="H400" i="1" s="1"/>
  <c r="C280" i="1"/>
  <c r="O280" i="1" s="1"/>
  <c r="O279" i="1"/>
  <c r="C316" i="1"/>
  <c r="O316" i="1" s="1"/>
  <c r="O315" i="1"/>
  <c r="C284" i="1"/>
  <c r="O284" i="1" s="1"/>
  <c r="O283" i="1"/>
  <c r="C324" i="1"/>
  <c r="O324" i="1" s="1"/>
  <c r="O323" i="1"/>
  <c r="C308" i="1"/>
  <c r="O308" i="1" s="1"/>
  <c r="O307" i="1"/>
  <c r="C292" i="1"/>
  <c r="O292" i="1" s="1"/>
  <c r="O291" i="1"/>
  <c r="O267" i="1"/>
  <c r="D268" i="1"/>
  <c r="O268" i="1" s="1"/>
  <c r="D248" i="1"/>
  <c r="O248" i="1" s="1"/>
  <c r="O247" i="1"/>
  <c r="O243" i="1"/>
  <c r="D244" i="1"/>
  <c r="O244" i="1" s="1"/>
  <c r="O31" i="1"/>
  <c r="D32" i="1"/>
  <c r="O32" i="1" s="1"/>
  <c r="D164" i="1"/>
  <c r="O164" i="1" s="1"/>
  <c r="O163" i="1"/>
  <c r="D156" i="1"/>
  <c r="O156" i="1" s="1"/>
  <c r="O155" i="1"/>
  <c r="D28" i="1"/>
  <c r="O28" i="1" s="1"/>
  <c r="O27" i="1"/>
  <c r="D160" i="1"/>
  <c r="O160" i="1" s="1"/>
  <c r="O159" i="1"/>
  <c r="D256" i="1"/>
  <c r="O256" i="1" s="1"/>
  <c r="O255" i="1"/>
  <c r="O15" i="1"/>
  <c r="D16" i="1"/>
  <c r="O16" i="1" s="1"/>
  <c r="O167" i="1"/>
  <c r="D168" i="1"/>
  <c r="O168" i="1" s="1"/>
  <c r="O235" i="1"/>
  <c r="D236" i="1"/>
  <c r="O236" i="1" s="1"/>
  <c r="D80" i="1"/>
  <c r="O80" i="1" s="1"/>
  <c r="O79" i="1"/>
  <c r="D172" i="1"/>
  <c r="O172" i="1" s="1"/>
  <c r="O171" i="1"/>
  <c r="D36" i="1"/>
  <c r="O36" i="1" s="1"/>
  <c r="O35" i="1"/>
  <c r="D136" i="1"/>
  <c r="O136" i="1" s="1"/>
  <c r="O135" i="1"/>
  <c r="O259" i="1"/>
  <c r="D260" i="1"/>
  <c r="O260" i="1" s="1"/>
  <c r="D48" i="1"/>
  <c r="O48" i="1" s="1"/>
  <c r="O47" i="1"/>
  <c r="O43" i="1"/>
  <c r="D44" i="1"/>
  <c r="O44" i="1" s="1"/>
  <c r="D144" i="1"/>
  <c r="O144" i="1" s="1"/>
  <c r="O143" i="1"/>
  <c r="D252" i="1"/>
  <c r="O252" i="1" s="1"/>
  <c r="O251" i="1"/>
  <c r="D112" i="1"/>
  <c r="O112" i="1" s="1"/>
  <c r="O111" i="1"/>
  <c r="D120" i="1"/>
  <c r="O120" i="1" s="1"/>
  <c r="O119" i="1"/>
  <c r="D24" i="1"/>
  <c r="O24" i="1" s="1"/>
  <c r="O23" i="1"/>
  <c r="D128" i="1"/>
  <c r="O128" i="1" s="1"/>
  <c r="O127" i="1"/>
  <c r="D132" i="1"/>
  <c r="O132" i="1" s="1"/>
  <c r="O131" i="1"/>
  <c r="O107" i="1"/>
  <c r="D108" i="1"/>
  <c r="O108" i="1" s="1"/>
  <c r="O7" i="1"/>
  <c r="D8" i="1"/>
  <c r="O8" i="1" s="1"/>
  <c r="O99" i="1"/>
  <c r="D100" i="1"/>
  <c r="O100" i="1" s="1"/>
  <c r="O63" i="1"/>
  <c r="D64" i="1"/>
  <c r="O64" i="1" s="1"/>
  <c r="D124" i="1"/>
  <c r="O124" i="1" s="1"/>
  <c r="O123" i="1"/>
  <c r="O103" i="1"/>
  <c r="D104" i="1"/>
  <c r="O104" i="1" s="1"/>
  <c r="D56" i="1"/>
  <c r="O56" i="1" s="1"/>
  <c r="O55" i="1"/>
  <c r="D40" i="1"/>
  <c r="O40" i="1" s="1"/>
  <c r="O39" i="1"/>
  <c r="O51" i="1"/>
  <c r="D52" i="1"/>
  <c r="O52" i="1" s="1"/>
  <c r="O139" i="1"/>
  <c r="D140" i="1"/>
  <c r="O140" i="1" s="1"/>
  <c r="O83" i="1"/>
  <c r="D84" i="1"/>
  <c r="O84" i="1" s="1"/>
  <c r="O366" i="1"/>
  <c r="D88" i="1"/>
  <c r="O88" i="1" s="1"/>
  <c r="O87" i="1"/>
  <c r="C395" i="1"/>
  <c r="H395" i="1" s="1"/>
  <c r="O71" i="1"/>
  <c r="D72" i="1"/>
  <c r="O369" i="1"/>
  <c r="O368" i="1"/>
  <c r="C264" i="1"/>
  <c r="O263" i="1"/>
  <c r="D102" i="2"/>
  <c r="P397" i="1"/>
  <c r="P398" i="1"/>
  <c r="C396" i="1"/>
  <c r="H396" i="1" s="1"/>
  <c r="C404" i="1"/>
  <c r="H404" i="1" s="1"/>
  <c r="C401" i="1"/>
  <c r="H401" i="1" s="1"/>
  <c r="C398" i="1"/>
  <c r="H398" i="1" s="1"/>
  <c r="C405" i="1"/>
  <c r="H405" i="1" s="1"/>
  <c r="K394" i="1"/>
  <c r="C397" i="1"/>
  <c r="H397" i="1" s="1"/>
  <c r="C402" i="1"/>
  <c r="H402" i="1" s="1"/>
  <c r="K388" i="1"/>
  <c r="P375" i="1"/>
  <c r="P388" i="1" s="1"/>
  <c r="C399" i="1"/>
  <c r="H399" i="1" s="1"/>
  <c r="C370" i="1"/>
  <c r="O370" i="1" s="1"/>
  <c r="E367" i="1" l="1"/>
  <c r="C377" i="1" s="1"/>
  <c r="H377" i="1" s="1"/>
  <c r="C367" i="1"/>
  <c r="O272" i="1"/>
  <c r="D367" i="1"/>
  <c r="O72" i="1"/>
  <c r="O264" i="1"/>
  <c r="C394" i="1"/>
  <c r="C407" i="1" s="1"/>
  <c r="K407" i="1"/>
  <c r="P394" i="1"/>
  <c r="P407" i="1" s="1"/>
  <c r="O407" i="1"/>
  <c r="H394" i="1" l="1"/>
  <c r="H407" i="1" s="1"/>
  <c r="C375" i="1" l="1"/>
  <c r="H375" i="1" l="1"/>
  <c r="O367" i="1" l="1"/>
  <c r="C376" i="1" l="1"/>
  <c r="H376" i="1" l="1"/>
  <c r="H388" i="1" s="1"/>
  <c r="C388" i="1"/>
</calcChain>
</file>

<file path=xl/sharedStrings.xml><?xml version="1.0" encoding="utf-8"?>
<sst xmlns="http://schemas.openxmlformats.org/spreadsheetml/2006/main" count="8241" uniqueCount="997">
  <si>
    <t>SH MALIK LOGISTICS COMPANY LIMITED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</si>
  <si>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</si>
  <si>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</si>
  <si>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</si>
  <si>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</si>
  <si>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</si>
  <si>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</si>
  <si>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</si>
  <si>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</si>
  <si>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</si>
  <si>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</si>
  <si>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</si>
  <si>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</si>
  <si>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</si>
  <si>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NSSF</t>
  </si>
  <si>
    <t>TAXABLE</t>
  </si>
  <si>
    <t>PAYE</t>
  </si>
  <si>
    <t>GROSS SALARY</t>
  </si>
  <si>
    <t>SDL</t>
  </si>
  <si>
    <t>WCF</t>
  </si>
  <si>
    <t>NSSF Empl</t>
  </si>
  <si>
    <t>PAYE TAX</t>
  </si>
  <si>
    <t>PAYMENT DETAILS</t>
  </si>
  <si>
    <t>SDL TAX</t>
  </si>
  <si>
    <t>MONTHS</t>
  </si>
  <si>
    <t>BALANCE</t>
  </si>
  <si>
    <t>DATE</t>
  </si>
  <si>
    <t>CONTROL #</t>
  </si>
  <si>
    <t>BANK</t>
  </si>
  <si>
    <t>AMOUNT</t>
  </si>
  <si>
    <t>ARREARS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</si>
  <si>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</si>
  <si>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</si>
  <si>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</si>
  <si>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</si>
  <si>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</si>
  <si>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</si>
  <si>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</si>
  <si>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</si>
  <si>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</si>
  <si>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</si>
  <si>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</si>
  <si>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MRSU5087400</t>
  </si>
  <si>
    <t>T458DZS</t>
  </si>
  <si>
    <t>MSKU9591316</t>
  </si>
  <si>
    <t>T874DZX</t>
  </si>
  <si>
    <t>MRKU2280075</t>
  </si>
  <si>
    <t>INCOME AND LOSS PER VEHICLE &amp; TRIP</t>
  </si>
  <si>
    <t>MONTH</t>
  </si>
  <si>
    <t>DESCRIPTION</t>
  </si>
  <si>
    <t>HONEST LOGISTICS LIMITED</t>
  </si>
  <si>
    <t>EXPENSES &amp; ON TRIP SERVICE ( TZS )</t>
  </si>
  <si>
    <t>AMOUNT ( TZS )</t>
  </si>
  <si>
    <t>ROAD TOLL ( $325 @ Tsh 2,450 )</t>
  </si>
  <si>
    <t>DAR ES SALAAM</t>
  </si>
  <si>
    <t>MILEAGE</t>
  </si>
  <si>
    <t>TO</t>
  </si>
  <si>
    <t>KING'AMUZI</t>
  </si>
  <si>
    <t>INCOME</t>
  </si>
  <si>
    <t>LUSAKA</t>
  </si>
  <si>
    <t>COUNCIL ZAMBIA</t>
  </si>
  <si>
    <t>GOING</t>
  </si>
  <si>
    <t>TOLL GATE</t>
  </si>
  <si>
    <t xml:space="preserve">ADV RECEIVED </t>
  </si>
  <si>
    <t>CONTAINER NO:</t>
  </si>
  <si>
    <t>CAR WASH</t>
  </si>
  <si>
    <t>BAL REMAIN</t>
  </si>
  <si>
    <t>OFFLOADING CONTAINER</t>
  </si>
  <si>
    <t>COUNCIL TUNDUMA</t>
  </si>
  <si>
    <t>RETURN</t>
  </si>
  <si>
    <t>POSHO CONTAINER</t>
  </si>
  <si>
    <t>PARKING FEE</t>
  </si>
  <si>
    <t>RECEIVED CHEQUE</t>
  </si>
  <si>
    <t>Extention Road Toll Expenses</t>
  </si>
  <si>
    <t>TOTAL=</t>
  </si>
  <si>
    <t>PROFIT OR LOSS GAIN</t>
  </si>
  <si>
    <t>SMLCL-2026/TR0001</t>
  </si>
  <si>
    <t>TRIP NO:</t>
  </si>
  <si>
    <t>TRUCK NO:</t>
  </si>
  <si>
    <t>DESTINATION</t>
  </si>
  <si>
    <t>AGENT NAME</t>
  </si>
  <si>
    <t>INVOICE AMOUNT</t>
  </si>
  <si>
    <t>ADVANCE RECEIVED</t>
  </si>
  <si>
    <t>CHEQUE NO</t>
  </si>
  <si>
    <t>FINAL PAYMENT</t>
  </si>
  <si>
    <t>BALANCE REMAIN</t>
  </si>
  <si>
    <t>STATUS IF ANY</t>
  </si>
  <si>
    <t>USD</t>
  </si>
  <si>
    <t>RATE</t>
  </si>
  <si>
    <t>TSH</t>
  </si>
  <si>
    <t>TR0001</t>
  </si>
  <si>
    <t>TR0002</t>
  </si>
  <si>
    <t>0</t>
  </si>
  <si>
    <t>T530DPK</t>
  </si>
  <si>
    <t>TCLU9846960</t>
  </si>
  <si>
    <t>TRUCK # T530DPK/T724EAQ</t>
  </si>
  <si>
    <t>T942EDK</t>
  </si>
  <si>
    <t>EITU9436257</t>
  </si>
  <si>
    <t>SMLCL-2026/TR0002</t>
  </si>
  <si>
    <t>TRUCK # T942EDK/T453BHG</t>
  </si>
  <si>
    <t>TR0003</t>
  </si>
  <si>
    <t>T901EMF</t>
  </si>
  <si>
    <t>TEMU6685432</t>
  </si>
  <si>
    <t>HONEST EXPEDITORS LIMITED</t>
  </si>
  <si>
    <t>SMLCL-2026/TR0003</t>
  </si>
  <si>
    <t>TRUCK # T901EMF/T104EMF</t>
  </si>
  <si>
    <t>TR0004</t>
  </si>
  <si>
    <t>T765EAE</t>
  </si>
  <si>
    <t>ECMU7416580</t>
  </si>
  <si>
    <t>TRUCK # T765EAE/T770EAE</t>
  </si>
  <si>
    <t>TR0005</t>
  </si>
  <si>
    <t>T493EMG</t>
  </si>
  <si>
    <t>ECMU5188602</t>
  </si>
  <si>
    <t>SMLCL-2026/TR0005</t>
  </si>
  <si>
    <t>SMLCL-2026/TR0004</t>
  </si>
  <si>
    <t>TRUCK # T493EMG/T109EMF</t>
  </si>
  <si>
    <t>T955EMC</t>
  </si>
  <si>
    <t>T457DZS</t>
  </si>
  <si>
    <t>T496EMG</t>
  </si>
  <si>
    <t>DSM</t>
  </si>
  <si>
    <t>AFRICA WAKAWAKA LOGISTICS  CO LTD</t>
  </si>
  <si>
    <t>TR0006</t>
  </si>
  <si>
    <t>JXLU4407355</t>
  </si>
  <si>
    <t>TCNU5241500</t>
  </si>
  <si>
    <t>MAEU4192064</t>
  </si>
  <si>
    <t>MSBU3493921</t>
  </si>
  <si>
    <t>MSMU357131</t>
  </si>
  <si>
    <t>TGBU2390897</t>
  </si>
  <si>
    <t>SELU4473240</t>
  </si>
  <si>
    <t>684919, dtd 13/01/2026</t>
  </si>
  <si>
    <t>TISS, DTD 09/01/2026</t>
  </si>
  <si>
    <t>873860, DTD 13/01/2026</t>
  </si>
  <si>
    <t>873861, DTD 13/01/2026</t>
  </si>
  <si>
    <t>PAYROL FOR EMPLOYEE,2026</t>
  </si>
  <si>
    <t>TR0007</t>
  </si>
  <si>
    <t>T492EMG</t>
  </si>
  <si>
    <t>PCIU9436192</t>
  </si>
  <si>
    <t>SMLCL-2026/TR0007</t>
  </si>
  <si>
    <t>TRUCK # T492EMG/T116EMF</t>
  </si>
  <si>
    <t>05th January,2026</t>
  </si>
  <si>
    <t>06th January,2026</t>
  </si>
  <si>
    <t>07th January,2026</t>
  </si>
  <si>
    <t>TR0008</t>
  </si>
  <si>
    <t>T239EFT</t>
  </si>
  <si>
    <t>OOCU7062330</t>
  </si>
  <si>
    <t>SMLCL-2026/TR0008</t>
  </si>
  <si>
    <t>TRUCK # T239EFT/T751EFT</t>
  </si>
  <si>
    <t>13th January,2026</t>
  </si>
  <si>
    <t>TR0009</t>
  </si>
  <si>
    <t>T932ECB</t>
  </si>
  <si>
    <t>TCKU7029856</t>
  </si>
  <si>
    <t>KITWE</t>
  </si>
  <si>
    <t>SMLCL-2026/TR0009</t>
  </si>
  <si>
    <t>TRUCK # T932ECB/T912EBX</t>
  </si>
  <si>
    <t>FUEL  1,850 LITRE @ Tsh 2,750</t>
  </si>
  <si>
    <t>ROAD TOLL ( $319 @ Tsh 2,450 )</t>
  </si>
  <si>
    <t>TR0010</t>
  </si>
  <si>
    <t>T487EHW</t>
  </si>
  <si>
    <t>CMAU4349485</t>
  </si>
  <si>
    <t>SMLCL-2026/TR0010</t>
  </si>
  <si>
    <t>TRUCK # T487EHW/T120EHF</t>
  </si>
  <si>
    <t>TR0011</t>
  </si>
  <si>
    <t>T407EAS</t>
  </si>
  <si>
    <t>TGHU6755531</t>
  </si>
  <si>
    <t>SMLCL-2026/TR0011</t>
  </si>
  <si>
    <t>TRUCK # T407EAS/T763EAS</t>
  </si>
  <si>
    <t>TR0012</t>
  </si>
  <si>
    <t>T252EHS</t>
  </si>
  <si>
    <t>MRSU61144552</t>
  </si>
  <si>
    <t>SMLCL-2026/TR0012</t>
  </si>
  <si>
    <t>TRUCK # T252EHS/T897EHL</t>
  </si>
  <si>
    <t>TR0013</t>
  </si>
  <si>
    <t>TR0014</t>
  </si>
  <si>
    <t>TR0015</t>
  </si>
  <si>
    <t>TR0016</t>
  </si>
  <si>
    <t>TR0017</t>
  </si>
  <si>
    <t>MRSU5226980</t>
  </si>
  <si>
    <t>MAGU5771031</t>
  </si>
  <si>
    <t>UETU6001691</t>
  </si>
  <si>
    <t>MSKU0702717</t>
  </si>
  <si>
    <t>UETU8355098</t>
  </si>
  <si>
    <t>684952, DTD 16/01/2026</t>
  </si>
  <si>
    <t>875061, DTD 17/01/2026</t>
  </si>
  <si>
    <t>TR0018</t>
  </si>
  <si>
    <t>LOOSE CARGO</t>
  </si>
  <si>
    <t>T330EFH</t>
  </si>
  <si>
    <t>T900EMF</t>
  </si>
  <si>
    <t>T255EGJ</t>
  </si>
  <si>
    <t>T813DTR</t>
  </si>
  <si>
    <t>PCIU8877378</t>
  </si>
  <si>
    <t>TR0021</t>
  </si>
  <si>
    <t>TR0022</t>
  </si>
  <si>
    <t>T235EFT</t>
  </si>
  <si>
    <t>PCIU9102600</t>
  </si>
  <si>
    <t>TR0023</t>
  </si>
  <si>
    <t>TR0024</t>
  </si>
  <si>
    <t>TR0025</t>
  </si>
  <si>
    <t>TR0026</t>
  </si>
  <si>
    <t>T539EPV</t>
  </si>
  <si>
    <t>MRSU5290953</t>
  </si>
  <si>
    <t>TRANSFREIGHT LOGISTICS (TZ) LTD</t>
  </si>
  <si>
    <t>T542EPV</t>
  </si>
  <si>
    <t>TGHU9635951</t>
  </si>
  <si>
    <t>T541EPV</t>
  </si>
  <si>
    <t>TEMU6019375</t>
  </si>
  <si>
    <t>SMLCL-2026/TR0023</t>
  </si>
  <si>
    <t>TRUCK # T539EPV/T469EPZ</t>
  </si>
  <si>
    <t>20th January,2026</t>
  </si>
  <si>
    <t>SMLCL-2026/TR0024</t>
  </si>
  <si>
    <t>TRUCK # T542EPV/T472EPZ</t>
  </si>
  <si>
    <t>SMLCL-2026/TR0026</t>
  </si>
  <si>
    <t>TRUCK # T541EPV/T471EPZ</t>
  </si>
  <si>
    <t>TISS, DTD 24/01/2026</t>
  </si>
  <si>
    <t>TR0027</t>
  </si>
  <si>
    <t>TLLU5272353</t>
  </si>
  <si>
    <t>SMLCL-2026/TR0027</t>
  </si>
  <si>
    <t>TRUCK # T900EMF/T102EMF</t>
  </si>
  <si>
    <t>22nd January,2026</t>
  </si>
  <si>
    <t>TR0028</t>
  </si>
  <si>
    <t>BSIU8000344</t>
  </si>
  <si>
    <t>SMLCL-2026/TR0028</t>
  </si>
  <si>
    <t>TRUCK # T458DZS/T107EHF</t>
  </si>
  <si>
    <t>TR0029</t>
  </si>
  <si>
    <t>T357EHQ</t>
  </si>
  <si>
    <t>FFAU5647327</t>
  </si>
  <si>
    <t>SMLCL-2026/TR0029</t>
  </si>
  <si>
    <t>TRUCK # T357EHQ/T898EHL</t>
  </si>
  <si>
    <t>TR0030</t>
  </si>
  <si>
    <t>MRSU3767604</t>
  </si>
  <si>
    <t>SMLCL-2026/TR0030</t>
  </si>
  <si>
    <t>TRUCK # T235EFT/T755EFT</t>
  </si>
  <si>
    <t>TR0031</t>
  </si>
  <si>
    <t>T899EMF</t>
  </si>
  <si>
    <t>CMAU8628446</t>
  </si>
  <si>
    <t>TRUCK # T899EMF/T107EMF</t>
  </si>
  <si>
    <t>24th January,2026</t>
  </si>
  <si>
    <t>SMLCL-2026/TR0031</t>
  </si>
  <si>
    <t>TR0032</t>
  </si>
  <si>
    <t>T249EFT</t>
  </si>
  <si>
    <t>SEGU4827167</t>
  </si>
  <si>
    <t>SMLCL-2026/TR0032</t>
  </si>
  <si>
    <t>TRUCK # T249EFT/T752EFT</t>
  </si>
  <si>
    <t>TR0033</t>
  </si>
  <si>
    <t>T190EDH</t>
  </si>
  <si>
    <t>EGSU6309441</t>
  </si>
  <si>
    <t>SMLCL-2026/TR0033</t>
  </si>
  <si>
    <t>TRUCK # T190EDH/T653EAN</t>
  </si>
  <si>
    <t>TR0034</t>
  </si>
  <si>
    <t>T545EPV</t>
  </si>
  <si>
    <t>TXGU8806407</t>
  </si>
  <si>
    <t>SMLCL-2026/TR0034</t>
  </si>
  <si>
    <t>TRUCK # T545EPV/T473EPZ</t>
  </si>
  <si>
    <t>TR0035</t>
  </si>
  <si>
    <t>T546EPV</t>
  </si>
  <si>
    <t>TRHU5569318</t>
  </si>
  <si>
    <t>SMLCL-2026/TR0035</t>
  </si>
  <si>
    <t>TRUCK # T546EPV/T474EPZ</t>
  </si>
  <si>
    <t>TR0036</t>
  </si>
  <si>
    <t>MRSU7383546</t>
  </si>
  <si>
    <t>SMLCL-2026/TR0036</t>
  </si>
  <si>
    <t>TRUCK # T255EGJ/T387EGE</t>
  </si>
  <si>
    <t>TR0037</t>
  </si>
  <si>
    <t>CMAU4693551</t>
  </si>
  <si>
    <t>SMLCL-2026/TR0037</t>
  </si>
  <si>
    <t>TRUCK # T330EFH/T856EEP</t>
  </si>
  <si>
    <t>TR0038</t>
  </si>
  <si>
    <t>T547EPV</t>
  </si>
  <si>
    <t>MRSU6670768</t>
  </si>
  <si>
    <t>CHAMBISH</t>
  </si>
  <si>
    <t>SMLCL-2026/TR0038</t>
  </si>
  <si>
    <t>TRUCK # T547EPV/T470EPZ</t>
  </si>
  <si>
    <t>26th January,2026</t>
  </si>
  <si>
    <t>ROAD TOLL ( $323 @ Tsh 2,450 )</t>
  </si>
  <si>
    <t>TR0039</t>
  </si>
  <si>
    <t>T320EFH</t>
  </si>
  <si>
    <t>EGSU6289983</t>
  </si>
  <si>
    <t>SMLCL-2026/TR0039</t>
  </si>
  <si>
    <t>TRUCK # T320EFH/T850EEP</t>
  </si>
  <si>
    <t>TR0040</t>
  </si>
  <si>
    <t>T931ECB</t>
  </si>
  <si>
    <t>GCXU6257365</t>
  </si>
  <si>
    <t>SMLCL-2026/TR0040</t>
  </si>
  <si>
    <t>TRUCK # T931ECB/T909EBX</t>
  </si>
  <si>
    <t>TR0041</t>
  </si>
  <si>
    <t>CAAU7638059</t>
  </si>
  <si>
    <t>SMLCL-2026/TR0041</t>
  </si>
  <si>
    <t>TRUCK # T813DTR/T343EBE</t>
  </si>
  <si>
    <t>TR0042</t>
  </si>
  <si>
    <t>T250EGJ</t>
  </si>
  <si>
    <t>GAOU5102063</t>
  </si>
  <si>
    <t>SMLCL-2026/TR0042</t>
  </si>
  <si>
    <t>TRUCK # T250EGJ/T412EGE</t>
  </si>
  <si>
    <t>TR0043</t>
  </si>
  <si>
    <t>T652EAN</t>
  </si>
  <si>
    <t>MRSU5973076</t>
  </si>
  <si>
    <t>SMLCL-2026/TR0043</t>
  </si>
  <si>
    <t>TRUCK # T652EAN/T372ECV</t>
  </si>
  <si>
    <t>27th January,2026</t>
  </si>
  <si>
    <t>TR0044</t>
  </si>
  <si>
    <t>T548EPV</t>
  </si>
  <si>
    <t>CAAU9480810</t>
  </si>
  <si>
    <t>SMLCL-2026/TR0044</t>
  </si>
  <si>
    <t>TRUCK # T548EPV/T468EPZ</t>
  </si>
  <si>
    <t>TR0045</t>
  </si>
  <si>
    <t>T253EHS</t>
  </si>
  <si>
    <t>MRSU6126081</t>
  </si>
  <si>
    <t>SMLCL-2026/TR0045</t>
  </si>
  <si>
    <t>TRUCK # T253EHS/T894EHL</t>
  </si>
  <si>
    <t>TR0046</t>
  </si>
  <si>
    <t>T735DZL</t>
  </si>
  <si>
    <t>ECMU7402689</t>
  </si>
  <si>
    <t>SMLCL-2026/TR0046</t>
  </si>
  <si>
    <t>TRUCK # T735DZL/T630DZL</t>
  </si>
  <si>
    <t>28th January,2026</t>
  </si>
  <si>
    <t>TR0047</t>
  </si>
  <si>
    <t>PCIU8850459</t>
  </si>
  <si>
    <t>SMLCL-2026/TR0047</t>
  </si>
  <si>
    <t>TRUCK # T496EMG/T118EMF</t>
  </si>
  <si>
    <t>29th January,2026</t>
  </si>
  <si>
    <t>TR0048</t>
  </si>
  <si>
    <t>EITU1131400</t>
  </si>
  <si>
    <t>SMLCL-2026/TR0048</t>
  </si>
  <si>
    <t>TRUCK # T457DZS/T106EHF</t>
  </si>
  <si>
    <t>TR0049</t>
  </si>
  <si>
    <t>T653EAL</t>
  </si>
  <si>
    <t>FSCU8214590</t>
  </si>
  <si>
    <t>SMLCL-2026/TR0049</t>
  </si>
  <si>
    <t>TRUCK # T653EAL/T105EHF</t>
  </si>
  <si>
    <t>TR0050</t>
  </si>
  <si>
    <t>TR0051</t>
  </si>
  <si>
    <t>TR0052</t>
  </si>
  <si>
    <t>TR0053</t>
  </si>
  <si>
    <t>PIDU4185203</t>
  </si>
  <si>
    <t>T766EAE</t>
  </si>
  <si>
    <t>PCIU9149382</t>
  </si>
  <si>
    <t>TCLU5193451</t>
  </si>
  <si>
    <t>PCIU8465262</t>
  </si>
  <si>
    <t>TR0054</t>
  </si>
  <si>
    <t>T497EMG</t>
  </si>
  <si>
    <t>TR0055</t>
  </si>
  <si>
    <t>TR0056</t>
  </si>
  <si>
    <t>TR0057</t>
  </si>
  <si>
    <t>TR0058</t>
  </si>
  <si>
    <t>PIDU4333620</t>
  </si>
  <si>
    <t>CAIU7103790</t>
  </si>
  <si>
    <t>TEMU7165040</t>
  </si>
  <si>
    <t>PCIU8718632</t>
  </si>
  <si>
    <t>GCXU5049407</t>
  </si>
  <si>
    <t>684994, DTD 03/02/2026</t>
  </si>
  <si>
    <t>684998, DTD 30/01/2026</t>
  </si>
  <si>
    <t>684997, DTD 30/01/2026</t>
  </si>
  <si>
    <t>684996, DTD 02/02/2026</t>
  </si>
  <si>
    <t>684995, DTD 02/02/2026</t>
  </si>
  <si>
    <t>TR0061</t>
  </si>
  <si>
    <t>SEGU1431399</t>
  </si>
  <si>
    <t>TR0062</t>
  </si>
  <si>
    <t>APHU7360221</t>
  </si>
  <si>
    <t>TCNU3604756</t>
  </si>
  <si>
    <t>685258, DTD 02/02/2026</t>
  </si>
  <si>
    <t>685261, DTD 03/02/2026</t>
  </si>
  <si>
    <t>685260, DTD 04/02/2026</t>
  </si>
  <si>
    <t>TR0064</t>
  </si>
  <si>
    <t>GESU6476088</t>
  </si>
  <si>
    <t>MWENSE</t>
  </si>
  <si>
    <t>SMLCL-2026/TR0064</t>
  </si>
  <si>
    <t>TRUCK # T955EMC/T470ECR</t>
  </si>
  <si>
    <t>02nd February,2026</t>
  </si>
  <si>
    <t>ROAD TOLL ( $306 @ Tsh 2,450 )</t>
  </si>
  <si>
    <t>TR0065</t>
  </si>
  <si>
    <t>FFAU6057135</t>
  </si>
  <si>
    <t>TR0066</t>
  </si>
  <si>
    <t>GCXU5533875</t>
  </si>
  <si>
    <t>SMLCL-2026/TR0066</t>
  </si>
  <si>
    <t>SMLCL-2026/TR0065</t>
  </si>
  <si>
    <t>TRUCK # T497EMG/T119EMF</t>
  </si>
  <si>
    <t>TRUCK # T766EAE/T287EAJ</t>
  </si>
  <si>
    <t>TR0067</t>
  </si>
  <si>
    <t>T101DWY</t>
  </si>
  <si>
    <t>EGSU6601432</t>
  </si>
  <si>
    <t>SMLCL-2026/TR0067</t>
  </si>
  <si>
    <t>TRUCK # T101DWY/T287EAJ</t>
  </si>
  <si>
    <t>TR0068</t>
  </si>
  <si>
    <t>T623EDH</t>
  </si>
  <si>
    <t>PCIU9554765</t>
  </si>
  <si>
    <t>KAFUE</t>
  </si>
  <si>
    <t>SMLCL-2026/TR0068</t>
  </si>
  <si>
    <t>TRUCK # T623EDH/T216EDL</t>
  </si>
  <si>
    <t>ROAD TOLL ( $351 @ Tsh 2,450 )</t>
  </si>
  <si>
    <t>TR0069</t>
  </si>
  <si>
    <t>T538EPV</t>
  </si>
  <si>
    <t>FFAU6285752</t>
  </si>
  <si>
    <t>SMLCL-2026/TR0069</t>
  </si>
  <si>
    <t>TRUCK # T538EPV/T212EDL</t>
  </si>
  <si>
    <t>TR0070</t>
  </si>
  <si>
    <t>ESDU4046799</t>
  </si>
  <si>
    <t>SMLCL-2026/TR0070</t>
  </si>
  <si>
    <t>ABDULMALIK SULEIMAN AHMED</t>
  </si>
  <si>
    <t>MAHSEIN SELEMANI AHMED</t>
  </si>
  <si>
    <t>SALIM HILAL SALIM</t>
  </si>
  <si>
    <t>RAMADHANI SALIMU RAMADHANI</t>
  </si>
  <si>
    <t>ABDALLA SIJA ABDALLA</t>
  </si>
  <si>
    <t>HAMIS HAMIS ATHUMAN</t>
  </si>
  <si>
    <t>RAMADHANI ASHIBAE SALUM</t>
  </si>
  <si>
    <t>SHABANI HUSSEIN ABBASI</t>
  </si>
  <si>
    <t>ABASI HATIBU WAZIRI</t>
  </si>
  <si>
    <t>FAUSTIN BONIFAS DANIEL</t>
  </si>
  <si>
    <t>SALIMU AMOURY JUMA</t>
  </si>
  <si>
    <t>MWALIMU JAKA SHABANI</t>
  </si>
  <si>
    <t>MECKFASON JARED MAWALA</t>
  </si>
  <si>
    <t>FADHILI ABUBAKAR GWILA</t>
  </si>
  <si>
    <t>SHABANI IBRAHIM HASSANI</t>
  </si>
  <si>
    <t>HAMZA KONDO MIJAFA</t>
  </si>
  <si>
    <t>BAKARI SAHEEDE SABUNI</t>
  </si>
  <si>
    <t>ABEID SHABAN MOHAMED</t>
  </si>
  <si>
    <t>OMARY SAID KABELWA</t>
  </si>
  <si>
    <t>RASHID YUSUPH MBOGO</t>
  </si>
  <si>
    <t>JOSEPH LUCAS MBWANA</t>
  </si>
  <si>
    <t>NYANDA AMON NASON</t>
  </si>
  <si>
    <t>SHUKURU AMRI KIBWANA</t>
  </si>
  <si>
    <t>GODFREY HUSSEIN KIONDO</t>
  </si>
  <si>
    <t>MIRAJI RAMADHANI ALUTE</t>
  </si>
  <si>
    <t>BILALY ALLY BILALY</t>
  </si>
  <si>
    <t>ISAYA PAULO KIDUGO</t>
  </si>
  <si>
    <t>ABDALLA HAMISI ABDALLA</t>
  </si>
  <si>
    <t>SALUM SAID LIGONJARA</t>
  </si>
  <si>
    <t>ABDALLAH SAID MKAGILE</t>
  </si>
  <si>
    <t>HASHIM MOHAMED RASHID</t>
  </si>
  <si>
    <t>KADILU RASHID SHOMARI</t>
  </si>
  <si>
    <t>HUSEN SAID BAADAYE</t>
  </si>
  <si>
    <t>HASSAN MNANKA MARWA</t>
  </si>
  <si>
    <t xml:space="preserve"> RAMADHANI SHABANI NYANGALA</t>
  </si>
  <si>
    <t>FADHILI ATHUMANI KIWANDA</t>
  </si>
  <si>
    <t>ATHUMANI OMARI ABDALLAH</t>
  </si>
  <si>
    <t>KOMBO SHALI MZEE</t>
  </si>
  <si>
    <t>JUMA HUSSEIN SHINDO</t>
  </si>
  <si>
    <t>MOHAMED NDUKU JUMA</t>
  </si>
  <si>
    <t>FRANK RAPHAEL MANDANDA</t>
  </si>
  <si>
    <t>RASHIDI MOHAMED CHABAI-KIJUBA</t>
  </si>
  <si>
    <t>ARON JOSEPH MLAMBO</t>
  </si>
  <si>
    <t>ABDALLAH BAKARI ATHUMANI</t>
  </si>
  <si>
    <t>SADIKI HASSANI KHERI</t>
  </si>
  <si>
    <t>CHRISTOPHER EMMANUEL EUNYO</t>
  </si>
  <si>
    <t>AIDANI YUSUFU LOMBWE</t>
  </si>
  <si>
    <t>HAMZA HAMISI ALAWI</t>
  </si>
  <si>
    <t>JUMBE JUMANNE RAMADHANI</t>
  </si>
  <si>
    <t>SALUM ABUBAKARI KOMBO</t>
  </si>
  <si>
    <t>IDDI ABUBAKARI HAMISI</t>
  </si>
  <si>
    <t>MUSSA YUSUFU IBRAHIM</t>
  </si>
  <si>
    <t>BAKARI GUBE BAKARI</t>
  </si>
  <si>
    <t>JUMA ABASI MUHIDINI</t>
  </si>
  <si>
    <t>IMANI KONDO NASSORO</t>
  </si>
  <si>
    <t>ATHUMANI RASHIDI ATHUMANI</t>
  </si>
  <si>
    <t>HEMEDI RASHIDI MMURE</t>
  </si>
  <si>
    <t>ALLY GHANIM ALLY</t>
  </si>
  <si>
    <t>ARKAM ALLY SALUM</t>
  </si>
  <si>
    <t>TADU HEMED SAID</t>
  </si>
  <si>
    <t>AWADHI HASSANI KANIKI</t>
  </si>
  <si>
    <t>AZIZI HASSAN SELEMAN</t>
  </si>
  <si>
    <t>03.02.2026</t>
  </si>
  <si>
    <t>9984125751310</t>
  </si>
  <si>
    <t>NMB BANK-CASH</t>
  </si>
  <si>
    <t>FUEL  1,900 LITRE @ Tsh 2,779</t>
  </si>
  <si>
    <t>TR0071</t>
  </si>
  <si>
    <t>ZGXU6002627</t>
  </si>
  <si>
    <t>SMLCL-2026/TR0071</t>
  </si>
  <si>
    <t>04th February,2026</t>
  </si>
  <si>
    <t>TR0072</t>
  </si>
  <si>
    <t>TRHU7001902</t>
  </si>
  <si>
    <t>SMLCL-2026/TR0072</t>
  </si>
  <si>
    <t>TR0073</t>
  </si>
  <si>
    <t>SEGU6710210</t>
  </si>
  <si>
    <t>SMLCL-2026/TR0073</t>
  </si>
  <si>
    <t>TR0075</t>
  </si>
  <si>
    <t>T321EFH</t>
  </si>
  <si>
    <t>ESDU7018657</t>
  </si>
  <si>
    <t>MOKAMBO</t>
  </si>
  <si>
    <t>SMLCL-2026/TR0075</t>
  </si>
  <si>
    <t>TRUCK # T321EFH/T301EEZ</t>
  </si>
  <si>
    <t>05th February,2026</t>
  </si>
  <si>
    <t>ROAD TOLL ( $356 @ Tsh 2,450 )</t>
  </si>
  <si>
    <t>SOLOWEZI</t>
  </si>
  <si>
    <t>TR0076</t>
  </si>
  <si>
    <t>TR0077</t>
  </si>
  <si>
    <t>TR0078</t>
  </si>
  <si>
    <t>TR0079</t>
  </si>
  <si>
    <t>PCIU8533095</t>
  </si>
  <si>
    <t>685210, DTD 07/02/2026</t>
  </si>
  <si>
    <t>685209, DTD 08/02/2026</t>
  </si>
  <si>
    <t>TR0080</t>
  </si>
  <si>
    <t>MSMU6507878</t>
  </si>
  <si>
    <t>SMLCL-2026/TR0080</t>
  </si>
  <si>
    <t>09th February,2026</t>
  </si>
  <si>
    <t>TR0081</t>
  </si>
  <si>
    <t>T540EPV</t>
  </si>
  <si>
    <t>TXGU7112459</t>
  </si>
  <si>
    <t>SMLCL-2026/TR0081</t>
  </si>
  <si>
    <t>TRUCK # T540EPV/T724EAQ</t>
  </si>
  <si>
    <t>TR0082</t>
  </si>
  <si>
    <t>PCIU1263212</t>
  </si>
  <si>
    <t>SMLCL-2026/TR0082</t>
  </si>
  <si>
    <t>TR0083</t>
  </si>
  <si>
    <t>TR0084</t>
  </si>
  <si>
    <t>TR0085</t>
  </si>
  <si>
    <t>IRINGA</t>
  </si>
  <si>
    <t>MRSU6144552</t>
  </si>
  <si>
    <t>MEZANI</t>
  </si>
  <si>
    <t>TR0091</t>
  </si>
  <si>
    <t>GESU6469520</t>
  </si>
  <si>
    <t>CSNU6915545</t>
  </si>
  <si>
    <t>TR0094</t>
  </si>
  <si>
    <t>684853, DTD 12/02/2026</t>
  </si>
  <si>
    <t>684854, DTD 12/02/2026</t>
  </si>
  <si>
    <t>684865, DTD 12/02/2026</t>
  </si>
  <si>
    <t>684866, DTD 13/02/2026</t>
  </si>
  <si>
    <t>TR0095</t>
  </si>
  <si>
    <t>T549EPV</t>
  </si>
  <si>
    <t>PCIU9032009</t>
  </si>
  <si>
    <t>SMLCL-2026/TR0095</t>
  </si>
  <si>
    <t>TR0096</t>
  </si>
  <si>
    <t>TR0097</t>
  </si>
  <si>
    <t>TR0098</t>
  </si>
  <si>
    <t>T324EFH</t>
  </si>
  <si>
    <t>BMOU5428652</t>
  </si>
  <si>
    <t>NDOLA</t>
  </si>
  <si>
    <t>SMLCL-2026/TR0096</t>
  </si>
  <si>
    <t>TRUCK # T324EFH/T116EMF</t>
  </si>
  <si>
    <t>12th February,2026</t>
  </si>
  <si>
    <t>ROAD TOLL ( $299 @ Tsh 2,450 )</t>
  </si>
  <si>
    <t>ECMU4773644</t>
  </si>
  <si>
    <t>SMLCL-2026/TR0097</t>
  </si>
  <si>
    <t>BEAU5216181</t>
  </si>
  <si>
    <t>SMLCL-2026/TR0098</t>
  </si>
  <si>
    <t>TISS, DTD 13/02/2026</t>
  </si>
  <si>
    <t>685285, DTD 14/02/2026</t>
  </si>
  <si>
    <t>TR0100</t>
  </si>
  <si>
    <t>CMAU6359760</t>
  </si>
  <si>
    <t>SMLCL-2026/TR0100</t>
  </si>
  <si>
    <t>14th February,2026</t>
  </si>
  <si>
    <t>685304, DTD 17/02/2026</t>
  </si>
  <si>
    <t>685303, DTD 16/02/2026</t>
  </si>
  <si>
    <t>TCNU5190017</t>
  </si>
  <si>
    <t>TR0101</t>
  </si>
  <si>
    <t>SMLCL-2026/TR0101</t>
  </si>
  <si>
    <t>TR0102</t>
  </si>
  <si>
    <t>TR0103</t>
  </si>
  <si>
    <t>TR0104</t>
  </si>
  <si>
    <t>TR0105</t>
  </si>
  <si>
    <t>TR0106</t>
  </si>
  <si>
    <t>TR0107</t>
  </si>
  <si>
    <t>TR0108</t>
  </si>
  <si>
    <t>TR0109</t>
  </si>
  <si>
    <t>TR0110</t>
  </si>
  <si>
    <t>TR0111</t>
  </si>
  <si>
    <t>UETU7202670</t>
  </si>
  <si>
    <t>MSMU4382696</t>
  </si>
  <si>
    <t>SMLCL-2026/TR0102</t>
  </si>
  <si>
    <t>SMLCL-2026/TR0103</t>
  </si>
  <si>
    <t>SREE KRISHNA CARGO LIMITED</t>
  </si>
  <si>
    <t>FUEL  1,850 LITRE @ Tsh 2,726</t>
  </si>
  <si>
    <t>GAOU6102063</t>
  </si>
  <si>
    <t>TR0112</t>
  </si>
  <si>
    <t>GCXU5333875</t>
  </si>
  <si>
    <t>TR0113</t>
  </si>
  <si>
    <t>TCNU7355287</t>
  </si>
  <si>
    <t>TR0114</t>
  </si>
  <si>
    <t>TR0115</t>
  </si>
  <si>
    <t>TR0116</t>
  </si>
  <si>
    <t>TR0117</t>
  </si>
  <si>
    <t>TR0118</t>
  </si>
  <si>
    <t>TR0119</t>
  </si>
  <si>
    <t>TR0120</t>
  </si>
  <si>
    <t>TR0121</t>
  </si>
  <si>
    <t>TR0122</t>
  </si>
  <si>
    <t>TR0123</t>
  </si>
  <si>
    <t>TR0124</t>
  </si>
  <si>
    <t>TR0125</t>
  </si>
  <si>
    <t>TR0126</t>
  </si>
  <si>
    <t>TR0127</t>
  </si>
  <si>
    <t>SMLCL-2026/TR0127</t>
  </si>
  <si>
    <t>24th February,2026</t>
  </si>
  <si>
    <t>FFAU6023500</t>
  </si>
  <si>
    <t>TR0128</t>
  </si>
  <si>
    <t>TR0129</t>
  </si>
  <si>
    <t>CAAU9024208</t>
  </si>
  <si>
    <t>SMLCL-2026/TR0129</t>
  </si>
  <si>
    <t>TR0130</t>
  </si>
  <si>
    <t>PCIU9414059</t>
  </si>
  <si>
    <t>SMLCL-2026/TR0130</t>
  </si>
  <si>
    <t>25th February,2026</t>
  </si>
  <si>
    <t>TR0131</t>
  </si>
  <si>
    <t>TR0132</t>
  </si>
  <si>
    <t>TR0133</t>
  </si>
  <si>
    <t>PCIU9223793</t>
  </si>
  <si>
    <t>SMLCL-2026/TR0131</t>
  </si>
  <si>
    <t>MSNU9598296</t>
  </si>
  <si>
    <t>SMLCL-2026/TR0132</t>
  </si>
  <si>
    <t>TRUCK # T546EPZ/T474EPZ</t>
  </si>
  <si>
    <t>APHU7050756</t>
  </si>
  <si>
    <t>MAAMBA</t>
  </si>
  <si>
    <t>AFRICAN QUEEN LOGISTICS LTD</t>
  </si>
  <si>
    <t>SMLCL-2026/TR0128</t>
  </si>
  <si>
    <t>AFRICAN QUEEN LOGISTICS LIMITED</t>
  </si>
  <si>
    <t xml:space="preserve">CASH </t>
  </si>
  <si>
    <t>MAAMBA-LUSAKA</t>
  </si>
  <si>
    <t>ROAD TOLL ( $428 @ Tsh 2,500 )</t>
  </si>
  <si>
    <t>ROAD TOLL ( $299 @ Tsh 2,500 )</t>
  </si>
  <si>
    <t>ROAD TOLL ( $325 @ Tsh 2,500 )</t>
  </si>
  <si>
    <t>CMAU3643129</t>
  </si>
  <si>
    <t>SMLCL-2026/TR0133</t>
  </si>
  <si>
    <t>TR0134</t>
  </si>
  <si>
    <t>TR0135</t>
  </si>
  <si>
    <t>TR0136</t>
  </si>
  <si>
    <t>TR0137</t>
  </si>
  <si>
    <t>BSIU9537791</t>
  </si>
  <si>
    <t>SMLCL-2026/TR0134</t>
  </si>
  <si>
    <t>CMAU5746949</t>
  </si>
  <si>
    <t>SMLCL-2026/TR0135</t>
  </si>
  <si>
    <t>CMAU4323140</t>
  </si>
  <si>
    <t>CMAU8836898</t>
  </si>
  <si>
    <t>SMLCL-2026/TR0136</t>
  </si>
  <si>
    <t>SMLCL-2026/TR0137</t>
  </si>
  <si>
    <t>ROAD TOLL ( $219 @ Tsh 2,450 )</t>
  </si>
  <si>
    <t>685047, DTD 27/02/2026</t>
  </si>
  <si>
    <t>873353, DTD 04/03/2026</t>
  </si>
  <si>
    <t>685309, DTD 28/02/2026</t>
  </si>
  <si>
    <t>TR0139</t>
  </si>
  <si>
    <t>FWRU0117040</t>
  </si>
  <si>
    <t>CASH, DTD 20/02/2026</t>
  </si>
  <si>
    <t>SMLCL-2026/TR0139</t>
  </si>
  <si>
    <t>27th February,2026</t>
  </si>
  <si>
    <t>TR0140</t>
  </si>
  <si>
    <t>GCXU5373885</t>
  </si>
  <si>
    <t>SMLCL-2026/TR0140</t>
  </si>
  <si>
    <t>TR0141</t>
  </si>
  <si>
    <t>TLLU4354396</t>
  </si>
  <si>
    <t>SMLCL-2026/TR0141</t>
  </si>
  <si>
    <t>TR0142</t>
  </si>
  <si>
    <t>BEAU5951123</t>
  </si>
  <si>
    <t>SMLCL-2026/TR0142</t>
  </si>
  <si>
    <t>TR0143</t>
  </si>
  <si>
    <t>BMOU6706634</t>
  </si>
  <si>
    <t>SMLCL-2026/TR0143</t>
  </si>
  <si>
    <t>TRUCK # T492EMG/T107EMF</t>
  </si>
  <si>
    <t>TR0144</t>
  </si>
  <si>
    <t>TGBU6115126</t>
  </si>
  <si>
    <t>SMLCL-2026/TR0144</t>
  </si>
  <si>
    <t>17.02.2026</t>
  </si>
  <si>
    <t>AMANA BANK</t>
  </si>
  <si>
    <t>HAMAD JUMA CHANDE</t>
  </si>
  <si>
    <t>MASUDI ALLY ALMASI</t>
  </si>
  <si>
    <t>SALIMU YUSUFU MGANGA</t>
  </si>
  <si>
    <t>TISS, DTD 04/03/2026</t>
  </si>
  <si>
    <t>873664, dtd 04/03/2026</t>
  </si>
  <si>
    <t>873662, DTD 09/03/2026</t>
  </si>
  <si>
    <t>873661, DTD 07/03/2026</t>
  </si>
  <si>
    <t>006127, DTD 28/02/2026</t>
  </si>
  <si>
    <t>006137, DTD 05/03/2026</t>
  </si>
  <si>
    <t>006138, DTD 05/03/2026</t>
  </si>
  <si>
    <t>006136, DTD 05/03/2026</t>
  </si>
  <si>
    <t>TR0145</t>
  </si>
  <si>
    <t>TR0146</t>
  </si>
  <si>
    <t>TLLU4432204</t>
  </si>
  <si>
    <t>SMLCL-2026/TR0146</t>
  </si>
  <si>
    <t>28th February,2026</t>
  </si>
  <si>
    <t>TR0147</t>
  </si>
  <si>
    <t>CMAU7935513</t>
  </si>
  <si>
    <t>SMLCL-2026/TR0147</t>
  </si>
  <si>
    <t>TR0148</t>
  </si>
  <si>
    <t>CMAU4265023</t>
  </si>
  <si>
    <t>SMLCL-2026/TR0148</t>
  </si>
  <si>
    <t>TR0149</t>
  </si>
  <si>
    <t>CMAU8477083</t>
  </si>
  <si>
    <t>SMLCL-2026/TR0149</t>
  </si>
  <si>
    <t>05th March,2026</t>
  </si>
  <si>
    <t>TR0150</t>
  </si>
  <si>
    <t>SEKU4527462</t>
  </si>
  <si>
    <t>SMLCL-2026/TR0150</t>
  </si>
  <si>
    <t>CMAU4570834</t>
  </si>
  <si>
    <t>TR0151</t>
  </si>
  <si>
    <t>SMLCL-2026/TR0151</t>
  </si>
  <si>
    <t>TR0152</t>
  </si>
  <si>
    <t>CMAU7561559</t>
  </si>
  <si>
    <t>685048, DTD 27/02/2026</t>
  </si>
  <si>
    <t>SMLCL-2026/TR0152</t>
  </si>
  <si>
    <t>07th March,2026</t>
  </si>
  <si>
    <t>TR0153</t>
  </si>
  <si>
    <t>TCNU1568177</t>
  </si>
  <si>
    <t>SMLCL-2026/TR0153</t>
  </si>
  <si>
    <t>TISS, DTD 10/03/2026</t>
  </si>
  <si>
    <t>685666, DTD 11/03/2026</t>
  </si>
  <si>
    <t>685663, DTD 13/02/2026</t>
  </si>
  <si>
    <t>685664, dtd 17/03/2026</t>
  </si>
  <si>
    <t>KUBADILISHA KIBALI</t>
  </si>
  <si>
    <t>2 DAYS DEMURAGE</t>
  </si>
  <si>
    <t>685665, DTD 19/03/2026</t>
  </si>
  <si>
    <t>TR0154</t>
  </si>
  <si>
    <t>TR0155</t>
  </si>
  <si>
    <t>TR0156</t>
  </si>
  <si>
    <t>TR0157</t>
  </si>
  <si>
    <t>BEAU4144852</t>
  </si>
  <si>
    <t>SMLCL-2026/TR0154</t>
  </si>
  <si>
    <t>10th March,2026</t>
  </si>
  <si>
    <t>TCKU1110739</t>
  </si>
  <si>
    <t>11th March,2026</t>
  </si>
  <si>
    <t>CAAU9043316</t>
  </si>
  <si>
    <t>SMLCL-2026/TR0156</t>
  </si>
  <si>
    <t>SMLCL-2026/TR0155</t>
  </si>
  <si>
    <t>PONU8251517</t>
  </si>
  <si>
    <t>SMLCL-2026/TR0157</t>
  </si>
  <si>
    <t>TISS, DTD 03/03/2026</t>
  </si>
  <si>
    <t>873368, DTD 13/03/2026</t>
  </si>
  <si>
    <t>TR0158</t>
  </si>
  <si>
    <t>TCNU2194554</t>
  </si>
  <si>
    <t>SMLCL-2026/TR0158</t>
  </si>
  <si>
    <t>13th March,2026</t>
  </si>
  <si>
    <t>TR0159</t>
  </si>
  <si>
    <t>TCNU3313468</t>
  </si>
  <si>
    <t>006149, DTD 17/03/2026</t>
  </si>
  <si>
    <t>TR0160</t>
  </si>
  <si>
    <t>T229EBE</t>
  </si>
  <si>
    <t>ESDU7042843</t>
  </si>
  <si>
    <t>SMLCL-2026/TR0159</t>
  </si>
  <si>
    <t>16th March,2026</t>
  </si>
  <si>
    <t>SMLCL-2026/TR0160</t>
  </si>
  <si>
    <t>TRUCK # T229EBE/T459DZS</t>
  </si>
  <si>
    <t>TR0161</t>
  </si>
  <si>
    <t>TR0162</t>
  </si>
  <si>
    <t>TR0163</t>
  </si>
  <si>
    <t>TR0164</t>
  </si>
  <si>
    <t>TR0165</t>
  </si>
  <si>
    <t>FUEL  2,000 LITRE @ Tsh 2,726</t>
  </si>
  <si>
    <t>TR0166</t>
  </si>
  <si>
    <t>19.03.2026</t>
  </si>
  <si>
    <t>CRDB BANK</t>
  </si>
  <si>
    <t>9984126375677</t>
  </si>
  <si>
    <t>05.03.2026</t>
  </si>
  <si>
    <t>998421849604</t>
  </si>
  <si>
    <t>03.03.2026</t>
  </si>
  <si>
    <t>685907, DTD 25/03/2026</t>
  </si>
  <si>
    <t>685908, DTD 23/03/2026</t>
  </si>
  <si>
    <t>873396, DTD 23/03/2026</t>
  </si>
  <si>
    <t>006151, DTD 23/03/2026</t>
  </si>
  <si>
    <t>TR0170</t>
  </si>
  <si>
    <t>TR0170-1</t>
  </si>
  <si>
    <t>TR0171</t>
  </si>
  <si>
    <t>CMAU4183033</t>
  </si>
  <si>
    <t>ADEMARK</t>
  </si>
  <si>
    <t>CMAU6317980</t>
  </si>
  <si>
    <t>CASH, DTD 18/03/2026</t>
  </si>
  <si>
    <t>SMLCL-2026/TR0170-1</t>
  </si>
  <si>
    <t>19th March,2026</t>
  </si>
  <si>
    <t>ADEMARK COMPANY LIMITED</t>
  </si>
  <si>
    <t>SMLCL-2026/TR0171</t>
  </si>
  <si>
    <t>TR0172</t>
  </si>
  <si>
    <t>TR0173</t>
  </si>
  <si>
    <t>TR0174</t>
  </si>
  <si>
    <t>TR0175</t>
  </si>
  <si>
    <t>ESDU4034464</t>
  </si>
  <si>
    <t>DRYU9937279</t>
  </si>
  <si>
    <t>CAIU4274022</t>
  </si>
  <si>
    <t>DRYU9942640</t>
  </si>
  <si>
    <t>SMLCL-2026/TR0172</t>
  </si>
  <si>
    <t>SMLCL-2026/TR0173</t>
  </si>
  <si>
    <t>SMLCL-2026/TR0174</t>
  </si>
  <si>
    <t>TRUCK # T549EPV/T290EAJ</t>
  </si>
  <si>
    <t>SMLCL-2026/TR0175</t>
  </si>
  <si>
    <t>TR0177</t>
  </si>
  <si>
    <t>ESDU4025971</t>
  </si>
  <si>
    <t>SMLCL-2026/TR0177</t>
  </si>
  <si>
    <t>TR0178</t>
  </si>
  <si>
    <t>TR0179</t>
  </si>
  <si>
    <t>TXGU8463437</t>
  </si>
  <si>
    <t>GCXU6081229</t>
  </si>
  <si>
    <t>TGBU6709600</t>
  </si>
  <si>
    <t>TCNU6222633</t>
  </si>
  <si>
    <t>TR0180</t>
  </si>
  <si>
    <t>TR0181</t>
  </si>
  <si>
    <t>TR0182</t>
  </si>
  <si>
    <t>T676EGP</t>
  </si>
  <si>
    <t>SMLCL-2026/TR0179</t>
  </si>
  <si>
    <t>25th March,2026</t>
  </si>
  <si>
    <t>SMLCL-2026/TR0180</t>
  </si>
  <si>
    <t>SMLCL-2026/TR0181</t>
  </si>
  <si>
    <t>SMLCL-2026/TR0182</t>
  </si>
  <si>
    <t>TRUCK # T676EGP/T103EMF</t>
  </si>
  <si>
    <t>ROAD TOLL ( $391 @ Tsh 2,450 )</t>
  </si>
  <si>
    <t>TISS, DTD 26/03/2026</t>
  </si>
  <si>
    <t>685316, DTD 31/03/2026</t>
  </si>
  <si>
    <t>685313, DTD 27/03/2026</t>
  </si>
  <si>
    <t>006163, dtd 27/03/2026</t>
  </si>
  <si>
    <t>006164, dtd 27/03/2026</t>
  </si>
  <si>
    <t>006162, dtd 27/03/2026</t>
  </si>
  <si>
    <t>ESDU4330240</t>
  </si>
  <si>
    <t>SMLCL-2026/TR0178</t>
  </si>
  <si>
    <t>TRUCK # T932ECB/T909EBX</t>
  </si>
  <si>
    <t>30th March,2026</t>
  </si>
  <si>
    <t>TR0183</t>
  </si>
  <si>
    <t>BEAU5794467</t>
  </si>
  <si>
    <t>SMLCL-2026/TR0183</t>
  </si>
  <si>
    <t>Overloading Charged</t>
  </si>
  <si>
    <t>685402, DTD 31/03/2026</t>
  </si>
  <si>
    <t>3 DAYS DEMURAGE</t>
  </si>
  <si>
    <t>685401, DTD 02/04/2026</t>
  </si>
  <si>
    <t>RAMADHANI SHABANI RAMADAHNI</t>
  </si>
  <si>
    <t>NGALAMA ANTONY  TENGA</t>
  </si>
  <si>
    <t xml:space="preserve">MICHAEL VENANCE SIOGO </t>
  </si>
  <si>
    <t>ABDI MOHAMED RASHIDI</t>
  </si>
  <si>
    <t>SELEMANI MATUMAINI KUNDI</t>
  </si>
  <si>
    <t>ISSA KASSIMU MICHAEL</t>
  </si>
  <si>
    <t>ROBSON MABULA SUMISUMI</t>
  </si>
  <si>
    <t>SHABANI SAIDI SELEMANI</t>
  </si>
  <si>
    <t>BATTON CLEMENT CHAMHENE</t>
  </si>
  <si>
    <t>ABUBAKARI JUMA LIGONJARA</t>
  </si>
  <si>
    <t>07.04.2026</t>
  </si>
  <si>
    <t>CRDB BANK - CASH</t>
  </si>
  <si>
    <t>TISS, DTD 28/03/2026</t>
  </si>
  <si>
    <t>TISS, DTD 02/04/2026</t>
  </si>
  <si>
    <t>006167, DTD 02/04/2026</t>
  </si>
  <si>
    <t xml:space="preserve"> </t>
  </si>
  <si>
    <t>TR0184</t>
  </si>
  <si>
    <t>FFAU6023285</t>
  </si>
  <si>
    <t>TR0185</t>
  </si>
  <si>
    <t>CMAU7935514</t>
  </si>
  <si>
    <t>EXTENSION ROAD TOLL</t>
  </si>
  <si>
    <t>686125, DTD 10/04/2026</t>
  </si>
  <si>
    <t>685423, DTD 10/04/2026</t>
  </si>
  <si>
    <t>TR0186</t>
  </si>
  <si>
    <t>ECMU7321170</t>
  </si>
  <si>
    <t>SMLCL-2026/TR0186</t>
  </si>
  <si>
    <t>11th April,2026</t>
  </si>
  <si>
    <t>TR0187</t>
  </si>
  <si>
    <t>ECMU5218029</t>
  </si>
  <si>
    <t>SMLCL-2026/TR0187</t>
  </si>
  <si>
    <t>TR0188</t>
  </si>
  <si>
    <t>SELU4246360</t>
  </si>
  <si>
    <t>SMLCL-2026/TR0188</t>
  </si>
  <si>
    <t>TR0189</t>
  </si>
  <si>
    <t>TR0190</t>
  </si>
  <si>
    <t>MAGU5745979</t>
  </si>
  <si>
    <t>SMLCL-2026/TR0189</t>
  </si>
  <si>
    <t>CMAU4452343</t>
  </si>
  <si>
    <t>SMLCL-2026/TR0190</t>
  </si>
  <si>
    <t>TR0191</t>
  </si>
  <si>
    <t>CMAU8626382</t>
  </si>
  <si>
    <t>SMLCL-2026/TR0191</t>
  </si>
  <si>
    <t>14th April,2026</t>
  </si>
  <si>
    <t>TR0192</t>
  </si>
  <si>
    <t>TRUCK # T547EPZ/T470EPZ</t>
  </si>
  <si>
    <t>TR0193</t>
  </si>
  <si>
    <t>SMLCL-2026/TR0192</t>
  </si>
  <si>
    <t>SMLCL-2026/TR0193</t>
  </si>
  <si>
    <t>TRUCK # T190EDH/T214EDL</t>
  </si>
  <si>
    <t>TR0194</t>
  </si>
  <si>
    <t>SMLCL-2026/TR0194</t>
  </si>
  <si>
    <t>TR0195</t>
  </si>
  <si>
    <t>SMLCL-2026/TR0195</t>
  </si>
  <si>
    <t>TR0196</t>
  </si>
  <si>
    <t>SMLCL-2026/TR0196</t>
  </si>
  <si>
    <t>686054, DTD 22/04/2026</t>
  </si>
  <si>
    <t>686053, DTD 20/04/2026</t>
  </si>
  <si>
    <t>686051, DTD 17/04/2026</t>
  </si>
  <si>
    <t>686052, DTD 21/04/2026</t>
  </si>
  <si>
    <t>006172, DTD 16/04/2026</t>
  </si>
  <si>
    <t>TR0197</t>
  </si>
  <si>
    <t>CAAU4570834</t>
  </si>
  <si>
    <t>TR0198</t>
  </si>
  <si>
    <t>BSIU9744525</t>
  </si>
  <si>
    <t>SMLCL-2026/TR0198</t>
  </si>
  <si>
    <t>17th April,2026</t>
  </si>
  <si>
    <t>FUEL  1,850 LITRE @ Tsh 3,806</t>
  </si>
  <si>
    <t>TR0199</t>
  </si>
  <si>
    <t>T860ERK</t>
  </si>
  <si>
    <t>MRKU3744334</t>
  </si>
  <si>
    <t>SMLCL-2026/TR0199</t>
  </si>
  <si>
    <t>TRUCK # T860ERK/T108ERD</t>
  </si>
  <si>
    <t>TR0200</t>
  </si>
  <si>
    <t>TCNU6998740</t>
  </si>
  <si>
    <t>SMLCL-2026/TR0200</t>
  </si>
  <si>
    <t>TR0201</t>
  </si>
  <si>
    <t>T252ERA</t>
  </si>
  <si>
    <t>GCXU5624126</t>
  </si>
  <si>
    <t>SMLCL-2026/TR0201</t>
  </si>
  <si>
    <t>686058, dtd 18/04/2026</t>
  </si>
  <si>
    <t>686057, dtd 18/04/2026</t>
  </si>
  <si>
    <t>686059, dtd 18/04/2026</t>
  </si>
  <si>
    <t>006196, DTD 18/04/2026</t>
  </si>
  <si>
    <t>006174, DTD 18/04/2026</t>
  </si>
  <si>
    <t>006175, DTD 18/04/2026</t>
  </si>
  <si>
    <t>006173, DTD 18/04/2026</t>
  </si>
  <si>
    <t>006180, DTD 18/04/2026</t>
  </si>
  <si>
    <t>006181, DTD 18/04/2026</t>
  </si>
  <si>
    <t>006182, DTD 18/04/2026</t>
  </si>
  <si>
    <t>006183, DTD 18/04/2026</t>
  </si>
  <si>
    <t>ESDU4116140</t>
  </si>
  <si>
    <t>SMLCL-2026/TR0203</t>
  </si>
  <si>
    <t>18th April,2026</t>
  </si>
  <si>
    <t>TR0203</t>
  </si>
  <si>
    <t>EGHU9804574</t>
  </si>
  <si>
    <t>SMLCL-2026/TR0204</t>
  </si>
  <si>
    <t>TR0204</t>
  </si>
  <si>
    <t>TR0205</t>
  </si>
  <si>
    <t>TR0206</t>
  </si>
  <si>
    <t>T253ERA</t>
  </si>
  <si>
    <t>CSNU7651278</t>
  </si>
  <si>
    <t>T254ERA</t>
  </si>
  <si>
    <t>CSGU6315460</t>
  </si>
  <si>
    <t>SMLCL-2026/TR0205</t>
  </si>
  <si>
    <t>SMLCL-2026/TR0206</t>
  </si>
  <si>
    <t>TRUCK # T254ERK/T107ERD</t>
  </si>
  <si>
    <t>TR0207</t>
  </si>
  <si>
    <t>TR0208</t>
  </si>
  <si>
    <t>TR0209</t>
  </si>
  <si>
    <t>CSGU6315310</t>
  </si>
  <si>
    <t>SMLCL-2026/TR0207</t>
  </si>
  <si>
    <t>TRHU2626498</t>
  </si>
  <si>
    <t>SMLCL-2026/TR0208</t>
  </si>
  <si>
    <t>MRKU5886826</t>
  </si>
  <si>
    <t>SMLCL-2026/TR0209</t>
  </si>
  <si>
    <t>19th April,2026</t>
  </si>
  <si>
    <t>TR0210</t>
  </si>
  <si>
    <t>CMAU7808280</t>
  </si>
  <si>
    <t>SMLCL-2026/TR0210</t>
  </si>
  <si>
    <t>TR0211</t>
  </si>
  <si>
    <t>UETU6928924</t>
  </si>
  <si>
    <t>SMLCL-2026/TR0211</t>
  </si>
  <si>
    <t>TR0212</t>
  </si>
  <si>
    <t>CMAU8906125</t>
  </si>
  <si>
    <t>SMLCL-2026/TR0212</t>
  </si>
  <si>
    <t>TR0213</t>
  </si>
  <si>
    <t>TR0214</t>
  </si>
  <si>
    <t>TR0215</t>
  </si>
  <si>
    <t>CMAU6440953</t>
  </si>
  <si>
    <t>SMLCL-2026/TR0213</t>
  </si>
  <si>
    <t>TIIU6203340</t>
  </si>
  <si>
    <t>SMLCL-2026/TR0214</t>
  </si>
  <si>
    <t>TCNU3319770</t>
  </si>
  <si>
    <t>SMLCL-2026/TR0215</t>
  </si>
  <si>
    <t>TR0216</t>
  </si>
  <si>
    <t>TCNU1237733</t>
  </si>
  <si>
    <t>SMLCL-2026/TR0216</t>
  </si>
  <si>
    <t>TR0217</t>
  </si>
  <si>
    <t>TR0218</t>
  </si>
  <si>
    <t>BEAU4848661</t>
  </si>
  <si>
    <t>TXGU8854745</t>
  </si>
  <si>
    <t>SMLCL-2026/TR0217</t>
  </si>
  <si>
    <t>SMLCL-2026/TR0218</t>
  </si>
  <si>
    <t>TR0219</t>
  </si>
  <si>
    <t>TRHU5879268</t>
  </si>
  <si>
    <t>SMLCL-2026/TR0219</t>
  </si>
  <si>
    <t>TRUCK # T252ERA/T112ERD</t>
  </si>
  <si>
    <t>TRUCK # T253ERA/T105ERD</t>
  </si>
  <si>
    <t>FUEL  1,850 LITRE @ Tsh 2,858</t>
  </si>
  <si>
    <t>20.04.2026</t>
  </si>
  <si>
    <t>TISS, DTD 20/04/2026</t>
  </si>
  <si>
    <t>TR0221</t>
  </si>
  <si>
    <t>MSDU6465638</t>
  </si>
  <si>
    <t>SMLCL-2026/TR0221</t>
  </si>
  <si>
    <t>21st April,2026</t>
  </si>
  <si>
    <t>TISS DTD 22/04/2026</t>
  </si>
  <si>
    <t>FUEL  2,200 LITRE @ Tsh 3,820</t>
  </si>
  <si>
    <t>TR0222</t>
  </si>
  <si>
    <t>TGBU9921001</t>
  </si>
  <si>
    <t>SMLCL-2026/TR0222</t>
  </si>
  <si>
    <t>TRUCK # T538EPV/212EDL</t>
  </si>
  <si>
    <t>22nd April,2026</t>
  </si>
  <si>
    <t>TR0223</t>
  </si>
  <si>
    <t>TR0224</t>
  </si>
  <si>
    <t>MSDU8313064</t>
  </si>
  <si>
    <t>TGBU5848601</t>
  </si>
  <si>
    <t>TISS, DTD 22/04/2026</t>
  </si>
  <si>
    <t>SMLCL-2026/TR0223</t>
  </si>
  <si>
    <t>SMLCL-2026/TR0224</t>
  </si>
  <si>
    <t>686079, DTD 22/04/2026</t>
  </si>
  <si>
    <t>686080, DTD 22/04/2026</t>
  </si>
  <si>
    <t>FUEL  1,950 LITRE @ Tsh 3,806</t>
  </si>
  <si>
    <t>TR0225</t>
  </si>
  <si>
    <t>BEAU5094524</t>
  </si>
  <si>
    <t>SMLCL-2026/TR0226</t>
  </si>
  <si>
    <t>23rd April,2026</t>
  </si>
  <si>
    <t>TR0226</t>
  </si>
  <si>
    <t>TR0227</t>
  </si>
  <si>
    <t>TR0228</t>
  </si>
  <si>
    <t>TCLU2666972</t>
  </si>
  <si>
    <t>T119EMD</t>
  </si>
  <si>
    <t>MSBU5508804</t>
  </si>
  <si>
    <t>SMLCL-2026/TR0227</t>
  </si>
  <si>
    <t>24th April,2026</t>
  </si>
  <si>
    <t>SMLCL-2026/TR0228</t>
  </si>
  <si>
    <t>TRUCK # T119EMD/T108EMF</t>
  </si>
  <si>
    <t>686141, dtd 25/04/2026</t>
  </si>
  <si>
    <t>686140, DTD 25/04/2026</t>
  </si>
  <si>
    <t>686139, DTD 25/04/2026</t>
  </si>
  <si>
    <t>006198, DTD 25/06/2026</t>
  </si>
  <si>
    <t>006202, DTD 25/06/2026</t>
  </si>
  <si>
    <t>006203, DTD 25/04/2026</t>
  </si>
  <si>
    <t>006199, DTD 25/06/2026</t>
  </si>
  <si>
    <t>006200, DTD 25/06/2026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</si>
</sst>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-* #,##0.0_-;\-* #,##0.0_-;_-* &quot;-&quot;?_-;_-@_-"/>
    <numFmt numFmtId="167" formatCode="_-* #,##0.000_-;\-* #,##0.000_-;_-* &quot;-&quot;???_-;_-@_-"/>
    <numFmt numFmtId="168" formatCode="_(* #,##0_);_(* \(#,##0\);_(* &quot;-&quot;??_);_(@_)"/>
    <numFmt numFmtId="169" formatCode="0_ ;\-0\ "/>
    <numFmt numFmtId="170" formatCode="#,##0.00;[Red]#,##0.00"/>
    <numFmt numFmtId="171" formatCode="_-[$$-409]* #,##0.00_ ;_-[$$-409]* \-#,##0.00\ ;_-[$$-409]* &quot;-&quot;??_ ;_-@_ 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Book Antiqua"/>
      <family val="1"/>
    </font>
    <font>
      <sz val="11"/>
      <color rgb="FFFF0000"/>
      <name val="Book Antiqua"/>
      <family val="1"/>
    </font>
    <font>
      <b/>
      <sz val="14"/>
      <name val="Book Antiqua"/>
      <family val="1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11"/>
      <name val="Book Antiqua"/>
      <family val="1"/>
    </font>
    <font>
      <sz val="11"/>
      <name val="Book Antiqua"/>
      <family val="1"/>
    </font>
    <font>
      <i/>
      <sz val="11"/>
      <name val="Book Antiqua"/>
      <family val="1"/>
    </font>
    <font>
      <sz val="9"/>
      <name val="Book Antiqua"/>
      <family val="1"/>
    </font>
    <font>
      <b/>
      <sz val="11"/>
      <color rgb="FFFF0000"/>
      <name val="Book Antiqua"/>
      <family val="1"/>
    </font>
    <font>
      <b/>
      <sz val="12"/>
      <name val="Book Antiqua"/>
      <family val="1"/>
    </font>
    <font>
      <b/>
      <u val="double"/>
      <sz val="18"/>
      <name val="Calibri"/>
      <family val="2"/>
      <scheme val="minor"/>
    </font>
    <font>
      <b/>
      <u val="double"/>
      <sz val="16"/>
      <color rgb="FFFF0000"/>
      <name val="Calibri"/>
      <family val="2"/>
      <scheme val="minor"/>
    </font>
    <font>
      <b/>
      <u val="double"/>
      <sz val="12"/>
      <name val="Book Antiqua"/>
      <family val="1"/>
    </font>
    <font>
      <b/>
      <u val="double"/>
      <sz val="14"/>
      <name val="Book Antiqua"/>
      <family val="1"/>
    </font>
    <font>
      <b/>
      <u val="double"/>
      <sz val="16"/>
      <color rgb="FFFF0000"/>
      <name val="Book Antiqua"/>
      <family val="1"/>
    </font>
    <font>
      <b/>
      <sz val="36"/>
      <color theme="1"/>
      <name val="Book Antiqua"/>
      <family val="1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0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3">
    <xf numFmtId="0" fontId="0" fillId="0" borderId="0" xfId="0"/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17" fontId="8" fillId="4" borderId="5" xfId="0" applyNumberFormat="1" applyFont="1" applyFill="1" applyBorder="1" applyAlignment="1">
      <alignment horizontal="center" wrapText="1"/>
    </xf>
    <xf numFmtId="0" fontId="8" fillId="5" borderId="5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165" fontId="9" fillId="6" borderId="5" xfId="1" applyNumberFormat="1" applyFont="1" applyFill="1" applyBorder="1" applyAlignment="1">
      <alignment horizontal="left"/>
    </xf>
    <xf numFmtId="165" fontId="10" fillId="6" borderId="5" xfId="1" applyNumberFormat="1" applyFont="1" applyFill="1" applyBorder="1" applyAlignment="1">
      <alignment horizontal="left"/>
    </xf>
    <xf numFmtId="165" fontId="10" fillId="5" borderId="5" xfId="1" applyNumberFormat="1" applyFont="1" applyFill="1" applyBorder="1" applyAlignment="1">
      <alignment wrapText="1"/>
    </xf>
    <xf numFmtId="165" fontId="5" fillId="0" borderId="0" xfId="0" applyNumberFormat="1" applyFont="1"/>
    <xf numFmtId="165" fontId="11" fillId="0" borderId="5" xfId="1" applyNumberFormat="1" applyFont="1" applyBorder="1" applyAlignment="1">
      <alignment horizontal="left"/>
    </xf>
    <xf numFmtId="165" fontId="10" fillId="0" borderId="5" xfId="1" applyNumberFormat="1" applyFont="1" applyBorder="1" applyAlignment="1">
      <alignment horizontal="left"/>
    </xf>
    <xf numFmtId="0" fontId="12" fillId="0" borderId="0" xfId="0" applyFont="1"/>
    <xf numFmtId="165" fontId="10" fillId="7" borderId="5" xfId="1" applyNumberFormat="1" applyFont="1" applyFill="1" applyBorder="1" applyAlignment="1">
      <alignment wrapText="1"/>
    </xf>
    <xf numFmtId="165" fontId="9" fillId="0" borderId="6" xfId="1" applyNumberFormat="1" applyFont="1" applyBorder="1" applyAlignment="1">
      <alignment wrapText="1"/>
    </xf>
    <xf numFmtId="165" fontId="9" fillId="0" borderId="6" xfId="1" applyNumberFormat="1" applyFont="1" applyBorder="1"/>
    <xf numFmtId="165" fontId="9" fillId="0" borderId="6" xfId="1" applyNumberFormat="1" applyFont="1" applyBorder="1" applyAlignment="1">
      <alignment horizontal="left" wrapText="1"/>
    </xf>
    <xf numFmtId="165" fontId="9" fillId="6" borderId="6" xfId="1" applyNumberFormat="1" applyFont="1" applyFill="1" applyBorder="1" applyAlignment="1">
      <alignment horizontal="center"/>
    </xf>
    <xf numFmtId="166" fontId="5" fillId="0" borderId="0" xfId="0" applyNumberFormat="1" applyFont="1"/>
    <xf numFmtId="0" fontId="10" fillId="0" borderId="0" xfId="0" applyFont="1"/>
    <xf numFmtId="165" fontId="9" fillId="0" borderId="6" xfId="1" applyNumberFormat="1" applyFont="1" applyBorder="1" applyAlignment="1">
      <alignment horizontal="left"/>
    </xf>
    <xf numFmtId="165" fontId="14" fillId="0" borderId="6" xfId="1" applyNumberFormat="1" applyFont="1" applyBorder="1" applyAlignment="1">
      <alignment horizontal="left"/>
    </xf>
    <xf numFmtId="165" fontId="5" fillId="0" borderId="0" xfId="1" applyNumberFormat="1" applyFont="1"/>
    <xf numFmtId="165" fontId="9" fillId="8" borderId="6" xfId="0" applyNumberFormat="1" applyFont="1" applyFill="1" applyBorder="1"/>
    <xf numFmtId="167" fontId="5" fillId="0" borderId="0" xfId="0" applyNumberFormat="1" applyFont="1"/>
    <xf numFmtId="0" fontId="7" fillId="0" borderId="0" xfId="0" applyFont="1"/>
    <xf numFmtId="0" fontId="8" fillId="6" borderId="7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5" xfId="0" applyFont="1" applyBorder="1" applyAlignment="1">
      <alignment horizontal="left"/>
    </xf>
    <xf numFmtId="168" fontId="10" fillId="0" borderId="5" xfId="1" applyNumberFormat="1" applyFont="1" applyBorder="1"/>
    <xf numFmtId="49" fontId="10" fillId="0" borderId="5" xfId="1" applyNumberFormat="1" applyFont="1" applyBorder="1" applyAlignment="1">
      <alignment horizontal="center"/>
    </xf>
    <xf numFmtId="43" fontId="7" fillId="0" borderId="5" xfId="1" applyFont="1" applyBorder="1" applyAlignment="1">
      <alignment horizontal="right"/>
    </xf>
    <xf numFmtId="43" fontId="7" fillId="0" borderId="0" xfId="0" applyNumberFormat="1" applyFont="1"/>
    <xf numFmtId="43" fontId="7" fillId="0" borderId="5" xfId="1" applyFont="1" applyBorder="1" applyAlignment="1">
      <alignment horizontal="left"/>
    </xf>
    <xf numFmtId="1" fontId="10" fillId="0" borderId="5" xfId="1" applyNumberFormat="1" applyFont="1" applyBorder="1" applyAlignment="1">
      <alignment horizontal="center"/>
    </xf>
    <xf numFmtId="43" fontId="10" fillId="0" borderId="5" xfId="1" applyFont="1" applyBorder="1" applyAlignment="1">
      <alignment horizontal="center"/>
    </xf>
    <xf numFmtId="168" fontId="7" fillId="0" borderId="5" xfId="1" applyNumberFormat="1" applyFont="1" applyBorder="1" applyAlignment="1">
      <alignment horizontal="left"/>
    </xf>
    <xf numFmtId="43" fontId="7" fillId="0" borderId="5" xfId="1" applyFont="1" applyBorder="1"/>
    <xf numFmtId="49" fontId="7" fillId="0" borderId="5" xfId="1" applyNumberFormat="1" applyFont="1" applyBorder="1" applyAlignment="1">
      <alignment horizontal="center"/>
    </xf>
    <xf numFmtId="43" fontId="7" fillId="0" borderId="5" xfId="1" applyFont="1" applyBorder="1" applyAlignment="1">
      <alignment horizontal="center"/>
    </xf>
    <xf numFmtId="0" fontId="7" fillId="0" borderId="0" xfId="0" applyFont="1" applyAlignment="1">
      <alignment horizontal="left"/>
    </xf>
    <xf numFmtId="168" fontId="7" fillId="0" borderId="0" xfId="1" applyNumberFormat="1" applyFont="1" applyAlignment="1">
      <alignment horizontal="left"/>
    </xf>
    <xf numFmtId="43" fontId="7" fillId="0" borderId="0" xfId="1" applyFont="1" applyAlignment="1">
      <alignment horizontal="left"/>
    </xf>
    <xf numFmtId="43" fontId="7" fillId="0" borderId="0" xfId="1" applyFont="1"/>
    <xf numFmtId="168" fontId="7" fillId="0" borderId="0" xfId="1" applyNumberFormat="1" applyFont="1"/>
    <xf numFmtId="0" fontId="8" fillId="0" borderId="0" xfId="0" applyFont="1"/>
    <xf numFmtId="0" fontId="8" fillId="0" borderId="11" xfId="0" applyFont="1" applyBorder="1" applyAlignment="1">
      <alignment horizontal="left"/>
    </xf>
    <xf numFmtId="168" fontId="8" fillId="0" borderId="12" xfId="1" applyNumberFormat="1" applyFont="1" applyBorder="1" applyAlignment="1">
      <alignment horizontal="left"/>
    </xf>
    <xf numFmtId="43" fontId="8" fillId="0" borderId="12" xfId="1" applyFont="1" applyBorder="1" applyAlignment="1">
      <alignment horizontal="left"/>
    </xf>
    <xf numFmtId="43" fontId="8" fillId="0" borderId="12" xfId="1" applyFont="1" applyBorder="1"/>
    <xf numFmtId="0" fontId="13" fillId="0" borderId="0" xfId="0" applyFont="1"/>
    <xf numFmtId="168" fontId="5" fillId="0" borderId="0" xfId="0" applyNumberFormat="1" applyFont="1"/>
    <xf numFmtId="43" fontId="10" fillId="0" borderId="5" xfId="1" applyFont="1" applyBorder="1"/>
    <xf numFmtId="169" fontId="10" fillId="0" borderId="5" xfId="2" applyNumberFormat="1" applyFont="1" applyBorder="1" applyAlignment="1">
      <alignment horizontal="center"/>
    </xf>
    <xf numFmtId="1" fontId="7" fillId="0" borderId="5" xfId="1" applyNumberFormat="1" applyFont="1" applyBorder="1" applyAlignment="1">
      <alignment horizontal="center"/>
    </xf>
    <xf numFmtId="43" fontId="5" fillId="0" borderId="5" xfId="1" applyFont="1" applyBorder="1" applyAlignment="1">
      <alignment horizontal="left"/>
    </xf>
    <xf numFmtId="49" fontId="5" fillId="0" borderId="5" xfId="1" applyNumberFormat="1" applyFont="1" applyBorder="1" applyAlignment="1">
      <alignment horizontal="center"/>
    </xf>
    <xf numFmtId="1" fontId="5" fillId="0" borderId="5" xfId="1" applyNumberFormat="1" applyFont="1" applyBorder="1" applyAlignment="1">
      <alignment horizontal="center"/>
    </xf>
    <xf numFmtId="43" fontId="5" fillId="0" borderId="5" xfId="1" applyFont="1" applyBorder="1" applyAlignment="1">
      <alignment horizontal="center"/>
    </xf>
    <xf numFmtId="43" fontId="5" fillId="0" borderId="5" xfId="1" applyFont="1" applyBorder="1"/>
    <xf numFmtId="43" fontId="8" fillId="3" borderId="13" xfId="1" applyFont="1" applyFill="1" applyBorder="1" applyAlignment="1">
      <alignment horizontal="left"/>
    </xf>
    <xf numFmtId="168" fontId="8" fillId="3" borderId="13" xfId="1" applyNumberFormat="1" applyFont="1" applyFill="1" applyBorder="1" applyAlignment="1">
      <alignment horizontal="left"/>
    </xf>
    <xf numFmtId="0" fontId="16" fillId="0" borderId="0" xfId="0" applyFont="1"/>
    <xf numFmtId="43" fontId="16" fillId="0" borderId="0" xfId="1" applyFont="1"/>
    <xf numFmtId="0" fontId="17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170" fontId="19" fillId="0" borderId="0" xfId="0" applyNumberFormat="1" applyFont="1" applyAlignment="1">
      <alignment horizontal="center"/>
    </xf>
    <xf numFmtId="43" fontId="8" fillId="0" borderId="0" xfId="1" applyFont="1"/>
    <xf numFmtId="0" fontId="17" fillId="0" borderId="0" xfId="0" applyFont="1" applyAlignment="1">
      <alignment horizontal="center"/>
    </xf>
    <xf numFmtId="0" fontId="8" fillId="0" borderId="6" xfId="0" applyFont="1" applyBorder="1"/>
    <xf numFmtId="0" fontId="3" fillId="0" borderId="6" xfId="0" applyFont="1" applyBorder="1" applyAlignment="1">
      <alignment horizontal="center"/>
    </xf>
    <xf numFmtId="170" fontId="3" fillId="0" borderId="6" xfId="0" applyNumberFormat="1" applyFont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21" fillId="5" borderId="15" xfId="0" applyFont="1" applyFill="1" applyBorder="1"/>
    <xf numFmtId="170" fontId="3" fillId="5" borderId="15" xfId="0" applyNumberFormat="1" applyFont="1" applyFill="1" applyBorder="1" applyAlignment="1">
      <alignment horizontal="right"/>
    </xf>
    <xf numFmtId="0" fontId="8" fillId="0" borderId="13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170" fontId="13" fillId="0" borderId="6" xfId="0" applyNumberFormat="1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7" xfId="0" applyFont="1" applyBorder="1"/>
    <xf numFmtId="170" fontId="8" fillId="0" borderId="18" xfId="0" applyNumberFormat="1" applyFont="1" applyBorder="1"/>
    <xf numFmtId="0" fontId="8" fillId="0" borderId="0" xfId="0" applyFont="1" applyAlignment="1">
      <alignment horizontal="center"/>
    </xf>
    <xf numFmtId="43" fontId="8" fillId="0" borderId="0" xfId="1" applyFont="1" applyAlignment="1">
      <alignment horizontal="center"/>
    </xf>
    <xf numFmtId="0" fontId="8" fillId="0" borderId="19" xfId="0" applyFont="1" applyBorder="1" applyAlignment="1">
      <alignment horizontal="center" vertical="center"/>
    </xf>
    <xf numFmtId="0" fontId="8" fillId="0" borderId="19" xfId="0" applyFont="1" applyBorder="1"/>
    <xf numFmtId="170" fontId="8" fillId="0" borderId="20" xfId="0" applyNumberFormat="1" applyFont="1" applyBorder="1"/>
    <xf numFmtId="0" fontId="8" fillId="6" borderId="0" xfId="0" applyFont="1" applyFill="1" applyAlignment="1">
      <alignment horizontal="right"/>
    </xf>
    <xf numFmtId="43" fontId="8" fillId="6" borderId="0" xfId="1" applyFont="1" applyFill="1"/>
    <xf numFmtId="0" fontId="8" fillId="0" borderId="0" xfId="0" applyFont="1" applyAlignment="1">
      <alignment horizontal="right"/>
    </xf>
    <xf numFmtId="170" fontId="9" fillId="0" borderId="20" xfId="0" applyNumberFormat="1" applyFont="1" applyBorder="1"/>
    <xf numFmtId="0" fontId="8" fillId="10" borderId="21" xfId="0" applyFont="1" applyFill="1" applyBorder="1" applyAlignment="1">
      <alignment horizontal="right"/>
    </xf>
    <xf numFmtId="43" fontId="13" fillId="10" borderId="21" xfId="1" applyFont="1" applyFill="1" applyBorder="1"/>
    <xf numFmtId="164" fontId="8" fillId="0" borderId="0" xfId="0" applyNumberFormat="1" applyFont="1"/>
    <xf numFmtId="0" fontId="8" fillId="0" borderId="22" xfId="0" applyFont="1" applyBorder="1"/>
    <xf numFmtId="0" fontId="8" fillId="0" borderId="22" xfId="0" applyFont="1" applyBorder="1" applyAlignment="1">
      <alignment horizontal="center" vertical="center"/>
    </xf>
    <xf numFmtId="170" fontId="8" fillId="0" borderId="22" xfId="0" applyNumberFormat="1" applyFont="1" applyBorder="1"/>
    <xf numFmtId="0" fontId="8" fillId="0" borderId="0" xfId="0" applyFont="1" applyAlignment="1">
      <alignment horizontal="left"/>
    </xf>
    <xf numFmtId="43" fontId="8" fillId="0" borderId="0" xfId="1" applyFont="1" applyFill="1"/>
    <xf numFmtId="170" fontId="8" fillId="0" borderId="19" xfId="0" applyNumberFormat="1" applyFont="1" applyBorder="1"/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/>
    <xf numFmtId="170" fontId="8" fillId="0" borderId="24" xfId="0" applyNumberFormat="1" applyFont="1" applyBorder="1"/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right"/>
    </xf>
    <xf numFmtId="170" fontId="8" fillId="5" borderId="27" xfId="0" applyNumberFormat="1" applyFont="1" applyFill="1" applyBorder="1"/>
    <xf numFmtId="170" fontId="8" fillId="0" borderId="0" xfId="0" applyNumberFormat="1" applyFont="1"/>
    <xf numFmtId="0" fontId="8" fillId="11" borderId="0" xfId="0" applyFont="1" applyFill="1"/>
    <xf numFmtId="0" fontId="8" fillId="11" borderId="0" xfId="0" applyFont="1" applyFill="1" applyAlignment="1">
      <alignment horizontal="center"/>
    </xf>
    <xf numFmtId="170" fontId="8" fillId="11" borderId="0" xfId="0" applyNumberFormat="1" applyFont="1" applyFill="1"/>
    <xf numFmtId="43" fontId="8" fillId="11" borderId="0" xfId="1" applyFont="1" applyFill="1"/>
    <xf numFmtId="43" fontId="0" fillId="0" borderId="0" xfId="1" applyFont="1"/>
    <xf numFmtId="49" fontId="0" fillId="0" borderId="0" xfId="0" applyNumberFormat="1"/>
    <xf numFmtId="0" fontId="0" fillId="0" borderId="0" xfId="0" applyAlignment="1">
      <alignment horizontal="center"/>
    </xf>
    <xf numFmtId="171" fontId="0" fillId="0" borderId="0" xfId="0" applyNumberFormat="1"/>
    <xf numFmtId="0" fontId="0" fillId="0" borderId="0" xfId="0" applyAlignment="1">
      <alignment wrapText="1"/>
    </xf>
    <xf numFmtId="171" fontId="0" fillId="0" borderId="0" xfId="3" applyNumberFormat="1" applyFont="1"/>
    <xf numFmtId="171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3" fontId="0" fillId="0" borderId="0" xfId="1" applyFont="1" applyFill="1" applyBorder="1" applyAlignment="1">
      <alignment horizontal="center" wrapText="1"/>
    </xf>
    <xf numFmtId="171" fontId="0" fillId="12" borderId="7" xfId="0" applyNumberFormat="1" applyFill="1" applyBorder="1" applyAlignment="1">
      <alignment horizontal="center" vertical="center" wrapText="1"/>
    </xf>
    <xf numFmtId="0" fontId="0" fillId="12" borderId="7" xfId="0" applyFill="1" applyBorder="1" applyAlignment="1">
      <alignment horizontal="center" vertical="center" wrapText="1"/>
    </xf>
    <xf numFmtId="171" fontId="0" fillId="12" borderId="7" xfId="3" applyNumberFormat="1" applyFont="1" applyFill="1" applyBorder="1" applyAlignment="1">
      <alignment horizontal="center" vertical="center" wrapText="1"/>
    </xf>
    <xf numFmtId="43" fontId="0" fillId="12" borderId="7" xfId="1" applyFont="1" applyFill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1" fontId="0" fillId="0" borderId="17" xfId="3" applyNumberFormat="1" applyFont="1" applyBorder="1" applyAlignment="1">
      <alignment horizontal="center" vertical="center"/>
    </xf>
    <xf numFmtId="43" fontId="0" fillId="0" borderId="17" xfId="1" applyFont="1" applyBorder="1" applyAlignment="1">
      <alignment horizontal="center" vertical="center"/>
    </xf>
    <xf numFmtId="171" fontId="0" fillId="0" borderId="17" xfId="3" applyNumberFormat="1" applyFont="1" applyBorder="1"/>
    <xf numFmtId="43" fontId="0" fillId="0" borderId="17" xfId="0" applyNumberFormat="1" applyBorder="1" applyAlignment="1">
      <alignment horizontal="center" vertical="center"/>
    </xf>
    <xf numFmtId="49" fontId="0" fillId="0" borderId="19" xfId="1" applyNumberFormat="1" applyFont="1" applyBorder="1" applyAlignment="1">
      <alignment horizontal="center" vertical="center"/>
    </xf>
    <xf numFmtId="49" fontId="0" fillId="0" borderId="17" xfId="1" applyNumberFormat="1" applyFon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1" fontId="0" fillId="0" borderId="29" xfId="3" applyNumberFormat="1" applyFont="1" applyBorder="1" applyAlignment="1">
      <alignment horizontal="center" vertical="center"/>
    </xf>
    <xf numFmtId="43" fontId="0" fillId="0" borderId="29" xfId="1" applyFont="1" applyBorder="1" applyAlignment="1">
      <alignment horizontal="center" vertical="center"/>
    </xf>
    <xf numFmtId="43" fontId="0" fillId="0" borderId="19" xfId="0" applyNumberFormat="1" applyBorder="1" applyAlignment="1">
      <alignment horizontal="center" vertical="center"/>
    </xf>
    <xf numFmtId="43" fontId="0" fillId="0" borderId="19" xfId="1" applyFont="1" applyBorder="1" applyAlignment="1">
      <alignment horizontal="center" vertical="center"/>
    </xf>
    <xf numFmtId="171" fontId="0" fillId="0" borderId="19" xfId="3" applyNumberFormat="1" applyFont="1" applyBorder="1" applyAlignment="1">
      <alignment horizontal="center" vertical="center"/>
    </xf>
    <xf numFmtId="49" fontId="0" fillId="0" borderId="29" xfId="1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71" fontId="0" fillId="0" borderId="19" xfId="3" applyNumberFormat="1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71" fontId="2" fillId="0" borderId="19" xfId="3" applyNumberFormat="1" applyFont="1" applyBorder="1" applyAlignment="1">
      <alignment horizontal="center" vertical="center"/>
    </xf>
    <xf numFmtId="43" fontId="2" fillId="0" borderId="19" xfId="1" applyFont="1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49" fontId="0" fillId="0" borderId="30" xfId="0" applyNumberFormat="1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49" fontId="0" fillId="0" borderId="23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71" fontId="0" fillId="0" borderId="24" xfId="3" applyNumberFormat="1" applyFont="1" applyBorder="1" applyAlignment="1">
      <alignment horizontal="center" vertical="center"/>
    </xf>
    <xf numFmtId="43" fontId="0" fillId="0" borderId="24" xfId="1" applyFont="1" applyBorder="1" applyAlignment="1">
      <alignment horizontal="center" vertical="center"/>
    </xf>
    <xf numFmtId="43" fontId="0" fillId="0" borderId="23" xfId="1" applyFont="1" applyBorder="1" applyAlignment="1">
      <alignment horizontal="center" vertical="center"/>
    </xf>
    <xf numFmtId="171" fontId="0" fillId="0" borderId="23" xfId="3" applyNumberFormat="1" applyFont="1" applyBorder="1"/>
    <xf numFmtId="43" fontId="0" fillId="0" borderId="23" xfId="0" applyNumberFormat="1" applyBorder="1" applyAlignment="1">
      <alignment horizontal="center" vertical="center"/>
    </xf>
    <xf numFmtId="49" fontId="0" fillId="0" borderId="23" xfId="1" applyNumberFormat="1" applyFont="1" applyBorder="1" applyAlignment="1">
      <alignment horizontal="center" vertical="center"/>
    </xf>
    <xf numFmtId="171" fontId="0" fillId="0" borderId="23" xfId="3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49" fontId="3" fillId="0" borderId="0" xfId="1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168" fontId="23" fillId="7" borderId="5" xfId="4" applyNumberFormat="1" applyFont="1" applyFill="1" applyBorder="1" applyAlignment="1">
      <alignment wrapText="1"/>
    </xf>
    <xf numFmtId="49" fontId="0" fillId="0" borderId="22" xfId="0" applyNumberFormat="1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/>
    </xf>
    <xf numFmtId="49" fontId="0" fillId="0" borderId="29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5" borderId="8" xfId="0" applyFill="1" applyBorder="1" applyAlignment="1">
      <alignment horizontal="center" wrapText="1"/>
    </xf>
    <xf numFmtId="0" fontId="0" fillId="5" borderId="9" xfId="0" applyFill="1" applyBorder="1" applyAlignment="1">
      <alignment horizontal="center" wrapText="1"/>
    </xf>
    <xf numFmtId="0" fontId="0" fillId="5" borderId="10" xfId="0" applyFill="1" applyBorder="1" applyAlignment="1">
      <alignment horizontal="center" wrapText="1"/>
    </xf>
    <xf numFmtId="49" fontId="0" fillId="6" borderId="7" xfId="0" applyNumberFormat="1" applyFill="1" applyBorder="1" applyAlignment="1">
      <alignment horizontal="center" vertical="center" wrapText="1"/>
    </xf>
    <xf numFmtId="49" fontId="0" fillId="6" borderId="16" xfId="0" applyNumberForma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0" fontId="0" fillId="11" borderId="9" xfId="0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11" borderId="31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 wrapText="1"/>
    </xf>
    <xf numFmtId="0" fontId="0" fillId="6" borderId="28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/>
    </xf>
    <xf numFmtId="0" fontId="8" fillId="6" borderId="9" xfId="0" applyFont="1" applyFill="1" applyBorder="1" applyAlignment="1">
      <alignment horizontal="center"/>
    </xf>
    <xf numFmtId="0" fontId="8" fillId="6" borderId="10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20" fillId="9" borderId="7" xfId="0" applyFont="1" applyFill="1" applyBorder="1" applyAlignment="1">
      <alignment horizontal="center" vertical="center" textRotation="90"/>
    </xf>
    <xf numFmtId="0" fontId="20" fillId="9" borderId="16" xfId="0" applyFont="1" applyFill="1" applyBorder="1" applyAlignment="1">
      <alignment horizontal="center" vertical="center" textRotation="90"/>
    </xf>
    <xf numFmtId="0" fontId="20" fillId="9" borderId="24" xfId="0" applyFont="1" applyFill="1" applyBorder="1" applyAlignment="1">
      <alignment horizontal="center" vertical="center" textRotation="90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8" fillId="0" borderId="32" xfId="0" applyFont="1" applyBorder="1" applyAlignment="1">
      <alignment horizontal="center"/>
    </xf>
  </cellXfs>
  <cellStyles count="5">
    <cellStyle name="Comma" xfId="1" builtinId="3"/>
    <cellStyle name="Comma [0]" xfId="2" builtinId="6"/>
    <cellStyle name="Comma 2" xfId="4" xr:uid="{7BB998E7-6507-4A37-B7B4-3DEAD5933183}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474"/>
  <sheetViews>
    <sheetView workbookViewId="0">
      <selection activeCell="G397" sqref="G397"/>
    </sheetView>
  </sheetViews>
  <sheetFormatPr defaultRowHeight="14.5" x14ac:dyDescent="0.35"/>
  <cols>
    <col min="1" max="1" width="4.54296875" style="24" customWidth="1"/>
    <col min="2" max="2" width="40.1796875" style="4" bestFit="1" customWidth="1"/>
    <col min="3" max="3" width="14.54296875" style="4" bestFit="1" customWidth="1"/>
    <col min="4" max="4" width="12.81640625" style="4" bestFit="1" customWidth="1"/>
    <col min="5" max="5" width="21" style="4" bestFit="1" customWidth="1"/>
    <col min="6" max="6" width="21.7265625" style="3" bestFit="1" customWidth="1"/>
    <col min="7" max="8" width="14.54296875" style="3" bestFit="1" customWidth="1"/>
    <col min="9" max="9" width="11.90625" style="3" bestFit="1" customWidth="1"/>
    <col min="10" max="10" width="13.453125" style="3" bestFit="1" customWidth="1"/>
    <col min="11" max="11" width="11.81640625" style="3" bestFit="1" customWidth="1"/>
    <col min="12" max="12" width="12.81640625" style="3" bestFit="1" customWidth="1"/>
    <col min="13" max="13" width="15.453125" style="3" bestFit="1" customWidth="1"/>
    <col min="14" max="14" width="21.7265625" style="3" bestFit="1" customWidth="1"/>
    <col min="15" max="15" width="13.453125" style="3" bestFit="1" customWidth="1"/>
    <col min="16" max="16" width="11.7265625" style="3" bestFit="1" customWidth="1"/>
    <col min="17" max="17" width="9.81640625" style="3" bestFit="1" customWidth="1"/>
    <col min="18" max="18" width="11.54296875" style="3" bestFit="1" customWidth="1"/>
    <col min="19" max="256" width="8.7265625" style="3"/>
    <col min="257" max="257" width="4.54296875" style="3" customWidth="1"/>
    <col min="258" max="258" width="35" style="3" bestFit="1" customWidth="1"/>
    <col min="259" max="259" width="14.54296875" style="3" bestFit="1" customWidth="1"/>
    <col min="260" max="260" width="12.81640625" style="3" bestFit="1" customWidth="1"/>
    <col min="261" max="261" width="21" style="3" bestFit="1" customWidth="1"/>
    <col min="262" max="262" width="18.453125" style="3" bestFit="1" customWidth="1"/>
    <col min="263" max="264" width="14.54296875" style="3" bestFit="1" customWidth="1"/>
    <col min="265" max="265" width="11.54296875" style="3" bestFit="1" customWidth="1"/>
    <col min="266" max="266" width="13.453125" style="3" bestFit="1" customWidth="1"/>
    <col min="267" max="267" width="11.81640625" style="3" bestFit="1" customWidth="1"/>
    <col min="268" max="268" width="12.81640625" style="3" bestFit="1" customWidth="1"/>
    <col min="269" max="269" width="15.453125" style="3" bestFit="1" customWidth="1"/>
    <col min="270" max="270" width="18.453125" style="3" bestFit="1" customWidth="1"/>
    <col min="271" max="271" width="12.81640625" style="3" bestFit="1" customWidth="1"/>
    <col min="272" max="272" width="11.7265625" style="3" bestFit="1" customWidth="1"/>
    <col min="273" max="512" width="8.7265625" style="3"/>
    <col min="513" max="513" width="4.54296875" style="3" customWidth="1"/>
    <col min="514" max="514" width="35" style="3" bestFit="1" customWidth="1"/>
    <col min="515" max="515" width="14.54296875" style="3" bestFit="1" customWidth="1"/>
    <col min="516" max="516" width="12.81640625" style="3" bestFit="1" customWidth="1"/>
    <col min="517" max="517" width="21" style="3" bestFit="1" customWidth="1"/>
    <col min="518" max="518" width="18.453125" style="3" bestFit="1" customWidth="1"/>
    <col min="519" max="520" width="14.54296875" style="3" bestFit="1" customWidth="1"/>
    <col min="521" max="521" width="11.54296875" style="3" bestFit="1" customWidth="1"/>
    <col min="522" max="522" width="13.453125" style="3" bestFit="1" customWidth="1"/>
    <col min="523" max="523" width="11.81640625" style="3" bestFit="1" customWidth="1"/>
    <col min="524" max="524" width="12.81640625" style="3" bestFit="1" customWidth="1"/>
    <col min="525" max="525" width="15.453125" style="3" bestFit="1" customWidth="1"/>
    <col min="526" max="526" width="18.453125" style="3" bestFit="1" customWidth="1"/>
    <col min="527" max="527" width="12.81640625" style="3" bestFit="1" customWidth="1"/>
    <col min="528" max="528" width="11.7265625" style="3" bestFit="1" customWidth="1"/>
    <col min="529" max="768" width="8.7265625" style="3"/>
    <col min="769" max="769" width="4.54296875" style="3" customWidth="1"/>
    <col min="770" max="770" width="35" style="3" bestFit="1" customWidth="1"/>
    <col min="771" max="771" width="14.54296875" style="3" bestFit="1" customWidth="1"/>
    <col min="772" max="772" width="12.81640625" style="3" bestFit="1" customWidth="1"/>
    <col min="773" max="773" width="21" style="3" bestFit="1" customWidth="1"/>
    <col min="774" max="774" width="18.453125" style="3" bestFit="1" customWidth="1"/>
    <col min="775" max="776" width="14.54296875" style="3" bestFit="1" customWidth="1"/>
    <col min="777" max="777" width="11.54296875" style="3" bestFit="1" customWidth="1"/>
    <col min="778" max="778" width="13.453125" style="3" bestFit="1" customWidth="1"/>
    <col min="779" max="779" width="11.81640625" style="3" bestFit="1" customWidth="1"/>
    <col min="780" max="780" width="12.81640625" style="3" bestFit="1" customWidth="1"/>
    <col min="781" max="781" width="15.453125" style="3" bestFit="1" customWidth="1"/>
    <col min="782" max="782" width="18.453125" style="3" bestFit="1" customWidth="1"/>
    <col min="783" max="783" width="12.81640625" style="3" bestFit="1" customWidth="1"/>
    <col min="784" max="784" width="11.7265625" style="3" bestFit="1" customWidth="1"/>
    <col min="785" max="1024" width="8.7265625" style="3"/>
    <col min="1025" max="1025" width="4.54296875" style="3" customWidth="1"/>
    <col min="1026" max="1026" width="35" style="3" bestFit="1" customWidth="1"/>
    <col min="1027" max="1027" width="14.54296875" style="3" bestFit="1" customWidth="1"/>
    <col min="1028" max="1028" width="12.81640625" style="3" bestFit="1" customWidth="1"/>
    <col min="1029" max="1029" width="21" style="3" bestFit="1" customWidth="1"/>
    <col min="1030" max="1030" width="18.453125" style="3" bestFit="1" customWidth="1"/>
    <col min="1031" max="1032" width="14.54296875" style="3" bestFit="1" customWidth="1"/>
    <col min="1033" max="1033" width="11.54296875" style="3" bestFit="1" customWidth="1"/>
    <col min="1034" max="1034" width="13.453125" style="3" bestFit="1" customWidth="1"/>
    <col min="1035" max="1035" width="11.81640625" style="3" bestFit="1" customWidth="1"/>
    <col min="1036" max="1036" width="12.81640625" style="3" bestFit="1" customWidth="1"/>
    <col min="1037" max="1037" width="15.453125" style="3" bestFit="1" customWidth="1"/>
    <col min="1038" max="1038" width="18.453125" style="3" bestFit="1" customWidth="1"/>
    <col min="1039" max="1039" width="12.81640625" style="3" bestFit="1" customWidth="1"/>
    <col min="1040" max="1040" width="11.7265625" style="3" bestFit="1" customWidth="1"/>
    <col min="1041" max="1280" width="8.7265625" style="3"/>
    <col min="1281" max="1281" width="4.54296875" style="3" customWidth="1"/>
    <col min="1282" max="1282" width="35" style="3" bestFit="1" customWidth="1"/>
    <col min="1283" max="1283" width="14.54296875" style="3" bestFit="1" customWidth="1"/>
    <col min="1284" max="1284" width="12.81640625" style="3" bestFit="1" customWidth="1"/>
    <col min="1285" max="1285" width="21" style="3" bestFit="1" customWidth="1"/>
    <col min="1286" max="1286" width="18.453125" style="3" bestFit="1" customWidth="1"/>
    <col min="1287" max="1288" width="14.54296875" style="3" bestFit="1" customWidth="1"/>
    <col min="1289" max="1289" width="11.54296875" style="3" bestFit="1" customWidth="1"/>
    <col min="1290" max="1290" width="13.453125" style="3" bestFit="1" customWidth="1"/>
    <col min="1291" max="1291" width="11.81640625" style="3" bestFit="1" customWidth="1"/>
    <col min="1292" max="1292" width="12.81640625" style="3" bestFit="1" customWidth="1"/>
    <col min="1293" max="1293" width="15.453125" style="3" bestFit="1" customWidth="1"/>
    <col min="1294" max="1294" width="18.453125" style="3" bestFit="1" customWidth="1"/>
    <col min="1295" max="1295" width="12.81640625" style="3" bestFit="1" customWidth="1"/>
    <col min="1296" max="1296" width="11.7265625" style="3" bestFit="1" customWidth="1"/>
    <col min="1297" max="1536" width="8.7265625" style="3"/>
    <col min="1537" max="1537" width="4.54296875" style="3" customWidth="1"/>
    <col min="1538" max="1538" width="35" style="3" bestFit="1" customWidth="1"/>
    <col min="1539" max="1539" width="14.54296875" style="3" bestFit="1" customWidth="1"/>
    <col min="1540" max="1540" width="12.81640625" style="3" bestFit="1" customWidth="1"/>
    <col min="1541" max="1541" width="21" style="3" bestFit="1" customWidth="1"/>
    <col min="1542" max="1542" width="18.453125" style="3" bestFit="1" customWidth="1"/>
    <col min="1543" max="1544" width="14.54296875" style="3" bestFit="1" customWidth="1"/>
    <col min="1545" max="1545" width="11.54296875" style="3" bestFit="1" customWidth="1"/>
    <col min="1546" max="1546" width="13.453125" style="3" bestFit="1" customWidth="1"/>
    <col min="1547" max="1547" width="11.81640625" style="3" bestFit="1" customWidth="1"/>
    <col min="1548" max="1548" width="12.81640625" style="3" bestFit="1" customWidth="1"/>
    <col min="1549" max="1549" width="15.453125" style="3" bestFit="1" customWidth="1"/>
    <col min="1550" max="1550" width="18.453125" style="3" bestFit="1" customWidth="1"/>
    <col min="1551" max="1551" width="12.81640625" style="3" bestFit="1" customWidth="1"/>
    <col min="1552" max="1552" width="11.7265625" style="3" bestFit="1" customWidth="1"/>
    <col min="1553" max="1792" width="8.7265625" style="3"/>
    <col min="1793" max="1793" width="4.54296875" style="3" customWidth="1"/>
    <col min="1794" max="1794" width="35" style="3" bestFit="1" customWidth="1"/>
    <col min="1795" max="1795" width="14.54296875" style="3" bestFit="1" customWidth="1"/>
    <col min="1796" max="1796" width="12.81640625" style="3" bestFit="1" customWidth="1"/>
    <col min="1797" max="1797" width="21" style="3" bestFit="1" customWidth="1"/>
    <col min="1798" max="1798" width="18.453125" style="3" bestFit="1" customWidth="1"/>
    <col min="1799" max="1800" width="14.54296875" style="3" bestFit="1" customWidth="1"/>
    <col min="1801" max="1801" width="11.54296875" style="3" bestFit="1" customWidth="1"/>
    <col min="1802" max="1802" width="13.453125" style="3" bestFit="1" customWidth="1"/>
    <col min="1803" max="1803" width="11.81640625" style="3" bestFit="1" customWidth="1"/>
    <col min="1804" max="1804" width="12.81640625" style="3" bestFit="1" customWidth="1"/>
    <col min="1805" max="1805" width="15.453125" style="3" bestFit="1" customWidth="1"/>
    <col min="1806" max="1806" width="18.453125" style="3" bestFit="1" customWidth="1"/>
    <col min="1807" max="1807" width="12.81640625" style="3" bestFit="1" customWidth="1"/>
    <col min="1808" max="1808" width="11.7265625" style="3" bestFit="1" customWidth="1"/>
    <col min="1809" max="2048" width="8.7265625" style="3"/>
    <col min="2049" max="2049" width="4.54296875" style="3" customWidth="1"/>
    <col min="2050" max="2050" width="35" style="3" bestFit="1" customWidth="1"/>
    <col min="2051" max="2051" width="14.54296875" style="3" bestFit="1" customWidth="1"/>
    <col min="2052" max="2052" width="12.81640625" style="3" bestFit="1" customWidth="1"/>
    <col min="2053" max="2053" width="21" style="3" bestFit="1" customWidth="1"/>
    <col min="2054" max="2054" width="18.453125" style="3" bestFit="1" customWidth="1"/>
    <col min="2055" max="2056" width="14.54296875" style="3" bestFit="1" customWidth="1"/>
    <col min="2057" max="2057" width="11.54296875" style="3" bestFit="1" customWidth="1"/>
    <col min="2058" max="2058" width="13.453125" style="3" bestFit="1" customWidth="1"/>
    <col min="2059" max="2059" width="11.81640625" style="3" bestFit="1" customWidth="1"/>
    <col min="2060" max="2060" width="12.81640625" style="3" bestFit="1" customWidth="1"/>
    <col min="2061" max="2061" width="15.453125" style="3" bestFit="1" customWidth="1"/>
    <col min="2062" max="2062" width="18.453125" style="3" bestFit="1" customWidth="1"/>
    <col min="2063" max="2063" width="12.81640625" style="3" bestFit="1" customWidth="1"/>
    <col min="2064" max="2064" width="11.7265625" style="3" bestFit="1" customWidth="1"/>
    <col min="2065" max="2304" width="8.7265625" style="3"/>
    <col min="2305" max="2305" width="4.54296875" style="3" customWidth="1"/>
    <col min="2306" max="2306" width="35" style="3" bestFit="1" customWidth="1"/>
    <col min="2307" max="2307" width="14.54296875" style="3" bestFit="1" customWidth="1"/>
    <col min="2308" max="2308" width="12.81640625" style="3" bestFit="1" customWidth="1"/>
    <col min="2309" max="2309" width="21" style="3" bestFit="1" customWidth="1"/>
    <col min="2310" max="2310" width="18.453125" style="3" bestFit="1" customWidth="1"/>
    <col min="2311" max="2312" width="14.54296875" style="3" bestFit="1" customWidth="1"/>
    <col min="2313" max="2313" width="11.54296875" style="3" bestFit="1" customWidth="1"/>
    <col min="2314" max="2314" width="13.453125" style="3" bestFit="1" customWidth="1"/>
    <col min="2315" max="2315" width="11.81640625" style="3" bestFit="1" customWidth="1"/>
    <col min="2316" max="2316" width="12.81640625" style="3" bestFit="1" customWidth="1"/>
    <col min="2317" max="2317" width="15.453125" style="3" bestFit="1" customWidth="1"/>
    <col min="2318" max="2318" width="18.453125" style="3" bestFit="1" customWidth="1"/>
    <col min="2319" max="2319" width="12.81640625" style="3" bestFit="1" customWidth="1"/>
    <col min="2320" max="2320" width="11.7265625" style="3" bestFit="1" customWidth="1"/>
    <col min="2321" max="2560" width="8.7265625" style="3"/>
    <col min="2561" max="2561" width="4.54296875" style="3" customWidth="1"/>
    <col min="2562" max="2562" width="35" style="3" bestFit="1" customWidth="1"/>
    <col min="2563" max="2563" width="14.54296875" style="3" bestFit="1" customWidth="1"/>
    <col min="2564" max="2564" width="12.81640625" style="3" bestFit="1" customWidth="1"/>
    <col min="2565" max="2565" width="21" style="3" bestFit="1" customWidth="1"/>
    <col min="2566" max="2566" width="18.453125" style="3" bestFit="1" customWidth="1"/>
    <col min="2567" max="2568" width="14.54296875" style="3" bestFit="1" customWidth="1"/>
    <col min="2569" max="2569" width="11.54296875" style="3" bestFit="1" customWidth="1"/>
    <col min="2570" max="2570" width="13.453125" style="3" bestFit="1" customWidth="1"/>
    <col min="2571" max="2571" width="11.81640625" style="3" bestFit="1" customWidth="1"/>
    <col min="2572" max="2572" width="12.81640625" style="3" bestFit="1" customWidth="1"/>
    <col min="2573" max="2573" width="15.453125" style="3" bestFit="1" customWidth="1"/>
    <col min="2574" max="2574" width="18.453125" style="3" bestFit="1" customWidth="1"/>
    <col min="2575" max="2575" width="12.81640625" style="3" bestFit="1" customWidth="1"/>
    <col min="2576" max="2576" width="11.7265625" style="3" bestFit="1" customWidth="1"/>
    <col min="2577" max="2816" width="8.7265625" style="3"/>
    <col min="2817" max="2817" width="4.54296875" style="3" customWidth="1"/>
    <col min="2818" max="2818" width="35" style="3" bestFit="1" customWidth="1"/>
    <col min="2819" max="2819" width="14.54296875" style="3" bestFit="1" customWidth="1"/>
    <col min="2820" max="2820" width="12.81640625" style="3" bestFit="1" customWidth="1"/>
    <col min="2821" max="2821" width="21" style="3" bestFit="1" customWidth="1"/>
    <col min="2822" max="2822" width="18.453125" style="3" bestFit="1" customWidth="1"/>
    <col min="2823" max="2824" width="14.54296875" style="3" bestFit="1" customWidth="1"/>
    <col min="2825" max="2825" width="11.54296875" style="3" bestFit="1" customWidth="1"/>
    <col min="2826" max="2826" width="13.453125" style="3" bestFit="1" customWidth="1"/>
    <col min="2827" max="2827" width="11.81640625" style="3" bestFit="1" customWidth="1"/>
    <col min="2828" max="2828" width="12.81640625" style="3" bestFit="1" customWidth="1"/>
    <col min="2829" max="2829" width="15.453125" style="3" bestFit="1" customWidth="1"/>
    <col min="2830" max="2830" width="18.453125" style="3" bestFit="1" customWidth="1"/>
    <col min="2831" max="2831" width="12.81640625" style="3" bestFit="1" customWidth="1"/>
    <col min="2832" max="2832" width="11.7265625" style="3" bestFit="1" customWidth="1"/>
    <col min="2833" max="3072" width="8.7265625" style="3"/>
    <col min="3073" max="3073" width="4.54296875" style="3" customWidth="1"/>
    <col min="3074" max="3074" width="35" style="3" bestFit="1" customWidth="1"/>
    <col min="3075" max="3075" width="14.54296875" style="3" bestFit="1" customWidth="1"/>
    <col min="3076" max="3076" width="12.81640625" style="3" bestFit="1" customWidth="1"/>
    <col min="3077" max="3077" width="21" style="3" bestFit="1" customWidth="1"/>
    <col min="3078" max="3078" width="18.453125" style="3" bestFit="1" customWidth="1"/>
    <col min="3079" max="3080" width="14.54296875" style="3" bestFit="1" customWidth="1"/>
    <col min="3081" max="3081" width="11.54296875" style="3" bestFit="1" customWidth="1"/>
    <col min="3082" max="3082" width="13.453125" style="3" bestFit="1" customWidth="1"/>
    <col min="3083" max="3083" width="11.81640625" style="3" bestFit="1" customWidth="1"/>
    <col min="3084" max="3084" width="12.81640625" style="3" bestFit="1" customWidth="1"/>
    <col min="3085" max="3085" width="15.453125" style="3" bestFit="1" customWidth="1"/>
    <col min="3086" max="3086" width="18.453125" style="3" bestFit="1" customWidth="1"/>
    <col min="3087" max="3087" width="12.81640625" style="3" bestFit="1" customWidth="1"/>
    <col min="3088" max="3088" width="11.7265625" style="3" bestFit="1" customWidth="1"/>
    <col min="3089" max="3328" width="8.7265625" style="3"/>
    <col min="3329" max="3329" width="4.54296875" style="3" customWidth="1"/>
    <col min="3330" max="3330" width="35" style="3" bestFit="1" customWidth="1"/>
    <col min="3331" max="3331" width="14.54296875" style="3" bestFit="1" customWidth="1"/>
    <col min="3332" max="3332" width="12.81640625" style="3" bestFit="1" customWidth="1"/>
    <col min="3333" max="3333" width="21" style="3" bestFit="1" customWidth="1"/>
    <col min="3334" max="3334" width="18.453125" style="3" bestFit="1" customWidth="1"/>
    <col min="3335" max="3336" width="14.54296875" style="3" bestFit="1" customWidth="1"/>
    <col min="3337" max="3337" width="11.54296875" style="3" bestFit="1" customWidth="1"/>
    <col min="3338" max="3338" width="13.453125" style="3" bestFit="1" customWidth="1"/>
    <col min="3339" max="3339" width="11.81640625" style="3" bestFit="1" customWidth="1"/>
    <col min="3340" max="3340" width="12.81640625" style="3" bestFit="1" customWidth="1"/>
    <col min="3341" max="3341" width="15.453125" style="3" bestFit="1" customWidth="1"/>
    <col min="3342" max="3342" width="18.453125" style="3" bestFit="1" customWidth="1"/>
    <col min="3343" max="3343" width="12.81640625" style="3" bestFit="1" customWidth="1"/>
    <col min="3344" max="3344" width="11.7265625" style="3" bestFit="1" customWidth="1"/>
    <col min="3345" max="3584" width="8.7265625" style="3"/>
    <col min="3585" max="3585" width="4.54296875" style="3" customWidth="1"/>
    <col min="3586" max="3586" width="35" style="3" bestFit="1" customWidth="1"/>
    <col min="3587" max="3587" width="14.54296875" style="3" bestFit="1" customWidth="1"/>
    <col min="3588" max="3588" width="12.81640625" style="3" bestFit="1" customWidth="1"/>
    <col min="3589" max="3589" width="21" style="3" bestFit="1" customWidth="1"/>
    <col min="3590" max="3590" width="18.453125" style="3" bestFit="1" customWidth="1"/>
    <col min="3591" max="3592" width="14.54296875" style="3" bestFit="1" customWidth="1"/>
    <col min="3593" max="3593" width="11.54296875" style="3" bestFit="1" customWidth="1"/>
    <col min="3594" max="3594" width="13.453125" style="3" bestFit="1" customWidth="1"/>
    <col min="3595" max="3595" width="11.81640625" style="3" bestFit="1" customWidth="1"/>
    <col min="3596" max="3596" width="12.81640625" style="3" bestFit="1" customWidth="1"/>
    <col min="3597" max="3597" width="15.453125" style="3" bestFit="1" customWidth="1"/>
    <col min="3598" max="3598" width="18.453125" style="3" bestFit="1" customWidth="1"/>
    <col min="3599" max="3599" width="12.81640625" style="3" bestFit="1" customWidth="1"/>
    <col min="3600" max="3600" width="11.7265625" style="3" bestFit="1" customWidth="1"/>
    <col min="3601" max="3840" width="8.7265625" style="3"/>
    <col min="3841" max="3841" width="4.54296875" style="3" customWidth="1"/>
    <col min="3842" max="3842" width="35" style="3" bestFit="1" customWidth="1"/>
    <col min="3843" max="3843" width="14.54296875" style="3" bestFit="1" customWidth="1"/>
    <col min="3844" max="3844" width="12.81640625" style="3" bestFit="1" customWidth="1"/>
    <col min="3845" max="3845" width="21" style="3" bestFit="1" customWidth="1"/>
    <col min="3846" max="3846" width="18.453125" style="3" bestFit="1" customWidth="1"/>
    <col min="3847" max="3848" width="14.54296875" style="3" bestFit="1" customWidth="1"/>
    <col min="3849" max="3849" width="11.54296875" style="3" bestFit="1" customWidth="1"/>
    <col min="3850" max="3850" width="13.453125" style="3" bestFit="1" customWidth="1"/>
    <col min="3851" max="3851" width="11.81640625" style="3" bestFit="1" customWidth="1"/>
    <col min="3852" max="3852" width="12.81640625" style="3" bestFit="1" customWidth="1"/>
    <col min="3853" max="3853" width="15.453125" style="3" bestFit="1" customWidth="1"/>
    <col min="3854" max="3854" width="18.453125" style="3" bestFit="1" customWidth="1"/>
    <col min="3855" max="3855" width="12.81640625" style="3" bestFit="1" customWidth="1"/>
    <col min="3856" max="3856" width="11.7265625" style="3" bestFit="1" customWidth="1"/>
    <col min="3857" max="4096" width="8.7265625" style="3"/>
    <col min="4097" max="4097" width="4.54296875" style="3" customWidth="1"/>
    <col min="4098" max="4098" width="35" style="3" bestFit="1" customWidth="1"/>
    <col min="4099" max="4099" width="14.54296875" style="3" bestFit="1" customWidth="1"/>
    <col min="4100" max="4100" width="12.81640625" style="3" bestFit="1" customWidth="1"/>
    <col min="4101" max="4101" width="21" style="3" bestFit="1" customWidth="1"/>
    <col min="4102" max="4102" width="18.453125" style="3" bestFit="1" customWidth="1"/>
    <col min="4103" max="4104" width="14.54296875" style="3" bestFit="1" customWidth="1"/>
    <col min="4105" max="4105" width="11.54296875" style="3" bestFit="1" customWidth="1"/>
    <col min="4106" max="4106" width="13.453125" style="3" bestFit="1" customWidth="1"/>
    <col min="4107" max="4107" width="11.81640625" style="3" bestFit="1" customWidth="1"/>
    <col min="4108" max="4108" width="12.81640625" style="3" bestFit="1" customWidth="1"/>
    <col min="4109" max="4109" width="15.453125" style="3" bestFit="1" customWidth="1"/>
    <col min="4110" max="4110" width="18.453125" style="3" bestFit="1" customWidth="1"/>
    <col min="4111" max="4111" width="12.81640625" style="3" bestFit="1" customWidth="1"/>
    <col min="4112" max="4112" width="11.7265625" style="3" bestFit="1" customWidth="1"/>
    <col min="4113" max="4352" width="8.7265625" style="3"/>
    <col min="4353" max="4353" width="4.54296875" style="3" customWidth="1"/>
    <col min="4354" max="4354" width="35" style="3" bestFit="1" customWidth="1"/>
    <col min="4355" max="4355" width="14.54296875" style="3" bestFit="1" customWidth="1"/>
    <col min="4356" max="4356" width="12.81640625" style="3" bestFit="1" customWidth="1"/>
    <col min="4357" max="4357" width="21" style="3" bestFit="1" customWidth="1"/>
    <col min="4358" max="4358" width="18.453125" style="3" bestFit="1" customWidth="1"/>
    <col min="4359" max="4360" width="14.54296875" style="3" bestFit="1" customWidth="1"/>
    <col min="4361" max="4361" width="11.54296875" style="3" bestFit="1" customWidth="1"/>
    <col min="4362" max="4362" width="13.453125" style="3" bestFit="1" customWidth="1"/>
    <col min="4363" max="4363" width="11.81640625" style="3" bestFit="1" customWidth="1"/>
    <col min="4364" max="4364" width="12.81640625" style="3" bestFit="1" customWidth="1"/>
    <col min="4365" max="4365" width="15.453125" style="3" bestFit="1" customWidth="1"/>
    <col min="4366" max="4366" width="18.453125" style="3" bestFit="1" customWidth="1"/>
    <col min="4367" max="4367" width="12.81640625" style="3" bestFit="1" customWidth="1"/>
    <col min="4368" max="4368" width="11.7265625" style="3" bestFit="1" customWidth="1"/>
    <col min="4369" max="4608" width="8.7265625" style="3"/>
    <col min="4609" max="4609" width="4.54296875" style="3" customWidth="1"/>
    <col min="4610" max="4610" width="35" style="3" bestFit="1" customWidth="1"/>
    <col min="4611" max="4611" width="14.54296875" style="3" bestFit="1" customWidth="1"/>
    <col min="4612" max="4612" width="12.81640625" style="3" bestFit="1" customWidth="1"/>
    <col min="4613" max="4613" width="21" style="3" bestFit="1" customWidth="1"/>
    <col min="4614" max="4614" width="18.453125" style="3" bestFit="1" customWidth="1"/>
    <col min="4615" max="4616" width="14.54296875" style="3" bestFit="1" customWidth="1"/>
    <col min="4617" max="4617" width="11.54296875" style="3" bestFit="1" customWidth="1"/>
    <col min="4618" max="4618" width="13.453125" style="3" bestFit="1" customWidth="1"/>
    <col min="4619" max="4619" width="11.81640625" style="3" bestFit="1" customWidth="1"/>
    <col min="4620" max="4620" width="12.81640625" style="3" bestFit="1" customWidth="1"/>
    <col min="4621" max="4621" width="15.453125" style="3" bestFit="1" customWidth="1"/>
    <col min="4622" max="4622" width="18.453125" style="3" bestFit="1" customWidth="1"/>
    <col min="4623" max="4623" width="12.81640625" style="3" bestFit="1" customWidth="1"/>
    <col min="4624" max="4624" width="11.7265625" style="3" bestFit="1" customWidth="1"/>
    <col min="4625" max="4864" width="8.7265625" style="3"/>
    <col min="4865" max="4865" width="4.54296875" style="3" customWidth="1"/>
    <col min="4866" max="4866" width="35" style="3" bestFit="1" customWidth="1"/>
    <col min="4867" max="4867" width="14.54296875" style="3" bestFit="1" customWidth="1"/>
    <col min="4868" max="4868" width="12.81640625" style="3" bestFit="1" customWidth="1"/>
    <col min="4869" max="4869" width="21" style="3" bestFit="1" customWidth="1"/>
    <col min="4870" max="4870" width="18.453125" style="3" bestFit="1" customWidth="1"/>
    <col min="4871" max="4872" width="14.54296875" style="3" bestFit="1" customWidth="1"/>
    <col min="4873" max="4873" width="11.54296875" style="3" bestFit="1" customWidth="1"/>
    <col min="4874" max="4874" width="13.453125" style="3" bestFit="1" customWidth="1"/>
    <col min="4875" max="4875" width="11.81640625" style="3" bestFit="1" customWidth="1"/>
    <col min="4876" max="4876" width="12.81640625" style="3" bestFit="1" customWidth="1"/>
    <col min="4877" max="4877" width="15.453125" style="3" bestFit="1" customWidth="1"/>
    <col min="4878" max="4878" width="18.453125" style="3" bestFit="1" customWidth="1"/>
    <col min="4879" max="4879" width="12.81640625" style="3" bestFit="1" customWidth="1"/>
    <col min="4880" max="4880" width="11.7265625" style="3" bestFit="1" customWidth="1"/>
    <col min="4881" max="5120" width="8.7265625" style="3"/>
    <col min="5121" max="5121" width="4.54296875" style="3" customWidth="1"/>
    <col min="5122" max="5122" width="35" style="3" bestFit="1" customWidth="1"/>
    <col min="5123" max="5123" width="14.54296875" style="3" bestFit="1" customWidth="1"/>
    <col min="5124" max="5124" width="12.81640625" style="3" bestFit="1" customWidth="1"/>
    <col min="5125" max="5125" width="21" style="3" bestFit="1" customWidth="1"/>
    <col min="5126" max="5126" width="18.453125" style="3" bestFit="1" customWidth="1"/>
    <col min="5127" max="5128" width="14.54296875" style="3" bestFit="1" customWidth="1"/>
    <col min="5129" max="5129" width="11.54296875" style="3" bestFit="1" customWidth="1"/>
    <col min="5130" max="5130" width="13.453125" style="3" bestFit="1" customWidth="1"/>
    <col min="5131" max="5131" width="11.81640625" style="3" bestFit="1" customWidth="1"/>
    <col min="5132" max="5132" width="12.81640625" style="3" bestFit="1" customWidth="1"/>
    <col min="5133" max="5133" width="15.453125" style="3" bestFit="1" customWidth="1"/>
    <col min="5134" max="5134" width="18.453125" style="3" bestFit="1" customWidth="1"/>
    <col min="5135" max="5135" width="12.81640625" style="3" bestFit="1" customWidth="1"/>
    <col min="5136" max="5136" width="11.7265625" style="3" bestFit="1" customWidth="1"/>
    <col min="5137" max="5376" width="8.7265625" style="3"/>
    <col min="5377" max="5377" width="4.54296875" style="3" customWidth="1"/>
    <col min="5378" max="5378" width="35" style="3" bestFit="1" customWidth="1"/>
    <col min="5379" max="5379" width="14.54296875" style="3" bestFit="1" customWidth="1"/>
    <col min="5380" max="5380" width="12.81640625" style="3" bestFit="1" customWidth="1"/>
    <col min="5381" max="5381" width="21" style="3" bestFit="1" customWidth="1"/>
    <col min="5382" max="5382" width="18.453125" style="3" bestFit="1" customWidth="1"/>
    <col min="5383" max="5384" width="14.54296875" style="3" bestFit="1" customWidth="1"/>
    <col min="5385" max="5385" width="11.54296875" style="3" bestFit="1" customWidth="1"/>
    <col min="5386" max="5386" width="13.453125" style="3" bestFit="1" customWidth="1"/>
    <col min="5387" max="5387" width="11.81640625" style="3" bestFit="1" customWidth="1"/>
    <col min="5388" max="5388" width="12.81640625" style="3" bestFit="1" customWidth="1"/>
    <col min="5389" max="5389" width="15.453125" style="3" bestFit="1" customWidth="1"/>
    <col min="5390" max="5390" width="18.453125" style="3" bestFit="1" customWidth="1"/>
    <col min="5391" max="5391" width="12.81640625" style="3" bestFit="1" customWidth="1"/>
    <col min="5392" max="5392" width="11.7265625" style="3" bestFit="1" customWidth="1"/>
    <col min="5393" max="5632" width="8.7265625" style="3"/>
    <col min="5633" max="5633" width="4.54296875" style="3" customWidth="1"/>
    <col min="5634" max="5634" width="35" style="3" bestFit="1" customWidth="1"/>
    <col min="5635" max="5635" width="14.54296875" style="3" bestFit="1" customWidth="1"/>
    <col min="5636" max="5636" width="12.81640625" style="3" bestFit="1" customWidth="1"/>
    <col min="5637" max="5637" width="21" style="3" bestFit="1" customWidth="1"/>
    <col min="5638" max="5638" width="18.453125" style="3" bestFit="1" customWidth="1"/>
    <col min="5639" max="5640" width="14.54296875" style="3" bestFit="1" customWidth="1"/>
    <col min="5641" max="5641" width="11.54296875" style="3" bestFit="1" customWidth="1"/>
    <col min="5642" max="5642" width="13.453125" style="3" bestFit="1" customWidth="1"/>
    <col min="5643" max="5643" width="11.81640625" style="3" bestFit="1" customWidth="1"/>
    <col min="5644" max="5644" width="12.81640625" style="3" bestFit="1" customWidth="1"/>
    <col min="5645" max="5645" width="15.453125" style="3" bestFit="1" customWidth="1"/>
    <col min="5646" max="5646" width="18.453125" style="3" bestFit="1" customWidth="1"/>
    <col min="5647" max="5647" width="12.81640625" style="3" bestFit="1" customWidth="1"/>
    <col min="5648" max="5648" width="11.7265625" style="3" bestFit="1" customWidth="1"/>
    <col min="5649" max="5888" width="8.7265625" style="3"/>
    <col min="5889" max="5889" width="4.54296875" style="3" customWidth="1"/>
    <col min="5890" max="5890" width="35" style="3" bestFit="1" customWidth="1"/>
    <col min="5891" max="5891" width="14.54296875" style="3" bestFit="1" customWidth="1"/>
    <col min="5892" max="5892" width="12.81640625" style="3" bestFit="1" customWidth="1"/>
    <col min="5893" max="5893" width="21" style="3" bestFit="1" customWidth="1"/>
    <col min="5894" max="5894" width="18.453125" style="3" bestFit="1" customWidth="1"/>
    <col min="5895" max="5896" width="14.54296875" style="3" bestFit="1" customWidth="1"/>
    <col min="5897" max="5897" width="11.54296875" style="3" bestFit="1" customWidth="1"/>
    <col min="5898" max="5898" width="13.453125" style="3" bestFit="1" customWidth="1"/>
    <col min="5899" max="5899" width="11.81640625" style="3" bestFit="1" customWidth="1"/>
    <col min="5900" max="5900" width="12.81640625" style="3" bestFit="1" customWidth="1"/>
    <col min="5901" max="5901" width="15.453125" style="3" bestFit="1" customWidth="1"/>
    <col min="5902" max="5902" width="18.453125" style="3" bestFit="1" customWidth="1"/>
    <col min="5903" max="5903" width="12.81640625" style="3" bestFit="1" customWidth="1"/>
    <col min="5904" max="5904" width="11.7265625" style="3" bestFit="1" customWidth="1"/>
    <col min="5905" max="6144" width="8.7265625" style="3"/>
    <col min="6145" max="6145" width="4.54296875" style="3" customWidth="1"/>
    <col min="6146" max="6146" width="35" style="3" bestFit="1" customWidth="1"/>
    <col min="6147" max="6147" width="14.54296875" style="3" bestFit="1" customWidth="1"/>
    <col min="6148" max="6148" width="12.81640625" style="3" bestFit="1" customWidth="1"/>
    <col min="6149" max="6149" width="21" style="3" bestFit="1" customWidth="1"/>
    <col min="6150" max="6150" width="18.453125" style="3" bestFit="1" customWidth="1"/>
    <col min="6151" max="6152" width="14.54296875" style="3" bestFit="1" customWidth="1"/>
    <col min="6153" max="6153" width="11.54296875" style="3" bestFit="1" customWidth="1"/>
    <col min="6154" max="6154" width="13.453125" style="3" bestFit="1" customWidth="1"/>
    <col min="6155" max="6155" width="11.81640625" style="3" bestFit="1" customWidth="1"/>
    <col min="6156" max="6156" width="12.81640625" style="3" bestFit="1" customWidth="1"/>
    <col min="6157" max="6157" width="15.453125" style="3" bestFit="1" customWidth="1"/>
    <col min="6158" max="6158" width="18.453125" style="3" bestFit="1" customWidth="1"/>
    <col min="6159" max="6159" width="12.81640625" style="3" bestFit="1" customWidth="1"/>
    <col min="6160" max="6160" width="11.7265625" style="3" bestFit="1" customWidth="1"/>
    <col min="6161" max="6400" width="8.7265625" style="3"/>
    <col min="6401" max="6401" width="4.54296875" style="3" customWidth="1"/>
    <col min="6402" max="6402" width="35" style="3" bestFit="1" customWidth="1"/>
    <col min="6403" max="6403" width="14.54296875" style="3" bestFit="1" customWidth="1"/>
    <col min="6404" max="6404" width="12.81640625" style="3" bestFit="1" customWidth="1"/>
    <col min="6405" max="6405" width="21" style="3" bestFit="1" customWidth="1"/>
    <col min="6406" max="6406" width="18.453125" style="3" bestFit="1" customWidth="1"/>
    <col min="6407" max="6408" width="14.54296875" style="3" bestFit="1" customWidth="1"/>
    <col min="6409" max="6409" width="11.54296875" style="3" bestFit="1" customWidth="1"/>
    <col min="6410" max="6410" width="13.453125" style="3" bestFit="1" customWidth="1"/>
    <col min="6411" max="6411" width="11.81640625" style="3" bestFit="1" customWidth="1"/>
    <col min="6412" max="6412" width="12.81640625" style="3" bestFit="1" customWidth="1"/>
    <col min="6413" max="6413" width="15.453125" style="3" bestFit="1" customWidth="1"/>
    <col min="6414" max="6414" width="18.453125" style="3" bestFit="1" customWidth="1"/>
    <col min="6415" max="6415" width="12.81640625" style="3" bestFit="1" customWidth="1"/>
    <col min="6416" max="6416" width="11.7265625" style="3" bestFit="1" customWidth="1"/>
    <col min="6417" max="6656" width="8.7265625" style="3"/>
    <col min="6657" max="6657" width="4.54296875" style="3" customWidth="1"/>
    <col min="6658" max="6658" width="35" style="3" bestFit="1" customWidth="1"/>
    <col min="6659" max="6659" width="14.54296875" style="3" bestFit="1" customWidth="1"/>
    <col min="6660" max="6660" width="12.81640625" style="3" bestFit="1" customWidth="1"/>
    <col min="6661" max="6661" width="21" style="3" bestFit="1" customWidth="1"/>
    <col min="6662" max="6662" width="18.453125" style="3" bestFit="1" customWidth="1"/>
    <col min="6663" max="6664" width="14.54296875" style="3" bestFit="1" customWidth="1"/>
    <col min="6665" max="6665" width="11.54296875" style="3" bestFit="1" customWidth="1"/>
    <col min="6666" max="6666" width="13.453125" style="3" bestFit="1" customWidth="1"/>
    <col min="6667" max="6667" width="11.81640625" style="3" bestFit="1" customWidth="1"/>
    <col min="6668" max="6668" width="12.81640625" style="3" bestFit="1" customWidth="1"/>
    <col min="6669" max="6669" width="15.453125" style="3" bestFit="1" customWidth="1"/>
    <col min="6670" max="6670" width="18.453125" style="3" bestFit="1" customWidth="1"/>
    <col min="6671" max="6671" width="12.81640625" style="3" bestFit="1" customWidth="1"/>
    <col min="6672" max="6672" width="11.7265625" style="3" bestFit="1" customWidth="1"/>
    <col min="6673" max="6912" width="8.7265625" style="3"/>
    <col min="6913" max="6913" width="4.54296875" style="3" customWidth="1"/>
    <col min="6914" max="6914" width="35" style="3" bestFit="1" customWidth="1"/>
    <col min="6915" max="6915" width="14.54296875" style="3" bestFit="1" customWidth="1"/>
    <col min="6916" max="6916" width="12.81640625" style="3" bestFit="1" customWidth="1"/>
    <col min="6917" max="6917" width="21" style="3" bestFit="1" customWidth="1"/>
    <col min="6918" max="6918" width="18.453125" style="3" bestFit="1" customWidth="1"/>
    <col min="6919" max="6920" width="14.54296875" style="3" bestFit="1" customWidth="1"/>
    <col min="6921" max="6921" width="11.54296875" style="3" bestFit="1" customWidth="1"/>
    <col min="6922" max="6922" width="13.453125" style="3" bestFit="1" customWidth="1"/>
    <col min="6923" max="6923" width="11.81640625" style="3" bestFit="1" customWidth="1"/>
    <col min="6924" max="6924" width="12.81640625" style="3" bestFit="1" customWidth="1"/>
    <col min="6925" max="6925" width="15.453125" style="3" bestFit="1" customWidth="1"/>
    <col min="6926" max="6926" width="18.453125" style="3" bestFit="1" customWidth="1"/>
    <col min="6927" max="6927" width="12.81640625" style="3" bestFit="1" customWidth="1"/>
    <col min="6928" max="6928" width="11.7265625" style="3" bestFit="1" customWidth="1"/>
    <col min="6929" max="7168" width="8.7265625" style="3"/>
    <col min="7169" max="7169" width="4.54296875" style="3" customWidth="1"/>
    <col min="7170" max="7170" width="35" style="3" bestFit="1" customWidth="1"/>
    <col min="7171" max="7171" width="14.54296875" style="3" bestFit="1" customWidth="1"/>
    <col min="7172" max="7172" width="12.81640625" style="3" bestFit="1" customWidth="1"/>
    <col min="7173" max="7173" width="21" style="3" bestFit="1" customWidth="1"/>
    <col min="7174" max="7174" width="18.453125" style="3" bestFit="1" customWidth="1"/>
    <col min="7175" max="7176" width="14.54296875" style="3" bestFit="1" customWidth="1"/>
    <col min="7177" max="7177" width="11.54296875" style="3" bestFit="1" customWidth="1"/>
    <col min="7178" max="7178" width="13.453125" style="3" bestFit="1" customWidth="1"/>
    <col min="7179" max="7179" width="11.81640625" style="3" bestFit="1" customWidth="1"/>
    <col min="7180" max="7180" width="12.81640625" style="3" bestFit="1" customWidth="1"/>
    <col min="7181" max="7181" width="15.453125" style="3" bestFit="1" customWidth="1"/>
    <col min="7182" max="7182" width="18.453125" style="3" bestFit="1" customWidth="1"/>
    <col min="7183" max="7183" width="12.81640625" style="3" bestFit="1" customWidth="1"/>
    <col min="7184" max="7184" width="11.7265625" style="3" bestFit="1" customWidth="1"/>
    <col min="7185" max="7424" width="8.7265625" style="3"/>
    <col min="7425" max="7425" width="4.54296875" style="3" customWidth="1"/>
    <col min="7426" max="7426" width="35" style="3" bestFit="1" customWidth="1"/>
    <col min="7427" max="7427" width="14.54296875" style="3" bestFit="1" customWidth="1"/>
    <col min="7428" max="7428" width="12.81640625" style="3" bestFit="1" customWidth="1"/>
    <col min="7429" max="7429" width="21" style="3" bestFit="1" customWidth="1"/>
    <col min="7430" max="7430" width="18.453125" style="3" bestFit="1" customWidth="1"/>
    <col min="7431" max="7432" width="14.54296875" style="3" bestFit="1" customWidth="1"/>
    <col min="7433" max="7433" width="11.54296875" style="3" bestFit="1" customWidth="1"/>
    <col min="7434" max="7434" width="13.453125" style="3" bestFit="1" customWidth="1"/>
    <col min="7435" max="7435" width="11.81640625" style="3" bestFit="1" customWidth="1"/>
    <col min="7436" max="7436" width="12.81640625" style="3" bestFit="1" customWidth="1"/>
    <col min="7437" max="7437" width="15.453125" style="3" bestFit="1" customWidth="1"/>
    <col min="7438" max="7438" width="18.453125" style="3" bestFit="1" customWidth="1"/>
    <col min="7439" max="7439" width="12.81640625" style="3" bestFit="1" customWidth="1"/>
    <col min="7440" max="7440" width="11.7265625" style="3" bestFit="1" customWidth="1"/>
    <col min="7441" max="7680" width="8.7265625" style="3"/>
    <col min="7681" max="7681" width="4.54296875" style="3" customWidth="1"/>
    <col min="7682" max="7682" width="35" style="3" bestFit="1" customWidth="1"/>
    <col min="7683" max="7683" width="14.54296875" style="3" bestFit="1" customWidth="1"/>
    <col min="7684" max="7684" width="12.81640625" style="3" bestFit="1" customWidth="1"/>
    <col min="7685" max="7685" width="21" style="3" bestFit="1" customWidth="1"/>
    <col min="7686" max="7686" width="18.453125" style="3" bestFit="1" customWidth="1"/>
    <col min="7687" max="7688" width="14.54296875" style="3" bestFit="1" customWidth="1"/>
    <col min="7689" max="7689" width="11.54296875" style="3" bestFit="1" customWidth="1"/>
    <col min="7690" max="7690" width="13.453125" style="3" bestFit="1" customWidth="1"/>
    <col min="7691" max="7691" width="11.81640625" style="3" bestFit="1" customWidth="1"/>
    <col min="7692" max="7692" width="12.81640625" style="3" bestFit="1" customWidth="1"/>
    <col min="7693" max="7693" width="15.453125" style="3" bestFit="1" customWidth="1"/>
    <col min="7694" max="7694" width="18.453125" style="3" bestFit="1" customWidth="1"/>
    <col min="7695" max="7695" width="12.81640625" style="3" bestFit="1" customWidth="1"/>
    <col min="7696" max="7696" width="11.7265625" style="3" bestFit="1" customWidth="1"/>
    <col min="7697" max="7936" width="8.7265625" style="3"/>
    <col min="7937" max="7937" width="4.54296875" style="3" customWidth="1"/>
    <col min="7938" max="7938" width="35" style="3" bestFit="1" customWidth="1"/>
    <col min="7939" max="7939" width="14.54296875" style="3" bestFit="1" customWidth="1"/>
    <col min="7940" max="7940" width="12.81640625" style="3" bestFit="1" customWidth="1"/>
    <col min="7941" max="7941" width="21" style="3" bestFit="1" customWidth="1"/>
    <col min="7942" max="7942" width="18.453125" style="3" bestFit="1" customWidth="1"/>
    <col min="7943" max="7944" width="14.54296875" style="3" bestFit="1" customWidth="1"/>
    <col min="7945" max="7945" width="11.54296875" style="3" bestFit="1" customWidth="1"/>
    <col min="7946" max="7946" width="13.453125" style="3" bestFit="1" customWidth="1"/>
    <col min="7947" max="7947" width="11.81640625" style="3" bestFit="1" customWidth="1"/>
    <col min="7948" max="7948" width="12.81640625" style="3" bestFit="1" customWidth="1"/>
    <col min="7949" max="7949" width="15.453125" style="3" bestFit="1" customWidth="1"/>
    <col min="7950" max="7950" width="18.453125" style="3" bestFit="1" customWidth="1"/>
    <col min="7951" max="7951" width="12.81640625" style="3" bestFit="1" customWidth="1"/>
    <col min="7952" max="7952" width="11.7265625" style="3" bestFit="1" customWidth="1"/>
    <col min="7953" max="8192" width="8.7265625" style="3"/>
    <col min="8193" max="8193" width="4.54296875" style="3" customWidth="1"/>
    <col min="8194" max="8194" width="35" style="3" bestFit="1" customWidth="1"/>
    <col min="8195" max="8195" width="14.54296875" style="3" bestFit="1" customWidth="1"/>
    <col min="8196" max="8196" width="12.81640625" style="3" bestFit="1" customWidth="1"/>
    <col min="8197" max="8197" width="21" style="3" bestFit="1" customWidth="1"/>
    <col min="8198" max="8198" width="18.453125" style="3" bestFit="1" customWidth="1"/>
    <col min="8199" max="8200" width="14.54296875" style="3" bestFit="1" customWidth="1"/>
    <col min="8201" max="8201" width="11.54296875" style="3" bestFit="1" customWidth="1"/>
    <col min="8202" max="8202" width="13.453125" style="3" bestFit="1" customWidth="1"/>
    <col min="8203" max="8203" width="11.81640625" style="3" bestFit="1" customWidth="1"/>
    <col min="8204" max="8204" width="12.81640625" style="3" bestFit="1" customWidth="1"/>
    <col min="8205" max="8205" width="15.453125" style="3" bestFit="1" customWidth="1"/>
    <col min="8206" max="8206" width="18.453125" style="3" bestFit="1" customWidth="1"/>
    <col min="8207" max="8207" width="12.81640625" style="3" bestFit="1" customWidth="1"/>
    <col min="8208" max="8208" width="11.7265625" style="3" bestFit="1" customWidth="1"/>
    <col min="8209" max="8448" width="8.7265625" style="3"/>
    <col min="8449" max="8449" width="4.54296875" style="3" customWidth="1"/>
    <col min="8450" max="8450" width="35" style="3" bestFit="1" customWidth="1"/>
    <col min="8451" max="8451" width="14.54296875" style="3" bestFit="1" customWidth="1"/>
    <col min="8452" max="8452" width="12.81640625" style="3" bestFit="1" customWidth="1"/>
    <col min="8453" max="8453" width="21" style="3" bestFit="1" customWidth="1"/>
    <col min="8454" max="8454" width="18.453125" style="3" bestFit="1" customWidth="1"/>
    <col min="8455" max="8456" width="14.54296875" style="3" bestFit="1" customWidth="1"/>
    <col min="8457" max="8457" width="11.54296875" style="3" bestFit="1" customWidth="1"/>
    <col min="8458" max="8458" width="13.453125" style="3" bestFit="1" customWidth="1"/>
    <col min="8459" max="8459" width="11.81640625" style="3" bestFit="1" customWidth="1"/>
    <col min="8460" max="8460" width="12.81640625" style="3" bestFit="1" customWidth="1"/>
    <col min="8461" max="8461" width="15.453125" style="3" bestFit="1" customWidth="1"/>
    <col min="8462" max="8462" width="18.453125" style="3" bestFit="1" customWidth="1"/>
    <col min="8463" max="8463" width="12.81640625" style="3" bestFit="1" customWidth="1"/>
    <col min="8464" max="8464" width="11.7265625" style="3" bestFit="1" customWidth="1"/>
    <col min="8465" max="8704" width="8.7265625" style="3"/>
    <col min="8705" max="8705" width="4.54296875" style="3" customWidth="1"/>
    <col min="8706" max="8706" width="35" style="3" bestFit="1" customWidth="1"/>
    <col min="8707" max="8707" width="14.54296875" style="3" bestFit="1" customWidth="1"/>
    <col min="8708" max="8708" width="12.81640625" style="3" bestFit="1" customWidth="1"/>
    <col min="8709" max="8709" width="21" style="3" bestFit="1" customWidth="1"/>
    <col min="8710" max="8710" width="18.453125" style="3" bestFit="1" customWidth="1"/>
    <col min="8711" max="8712" width="14.54296875" style="3" bestFit="1" customWidth="1"/>
    <col min="8713" max="8713" width="11.54296875" style="3" bestFit="1" customWidth="1"/>
    <col min="8714" max="8714" width="13.453125" style="3" bestFit="1" customWidth="1"/>
    <col min="8715" max="8715" width="11.81640625" style="3" bestFit="1" customWidth="1"/>
    <col min="8716" max="8716" width="12.81640625" style="3" bestFit="1" customWidth="1"/>
    <col min="8717" max="8717" width="15.453125" style="3" bestFit="1" customWidth="1"/>
    <col min="8718" max="8718" width="18.453125" style="3" bestFit="1" customWidth="1"/>
    <col min="8719" max="8719" width="12.81640625" style="3" bestFit="1" customWidth="1"/>
    <col min="8720" max="8720" width="11.7265625" style="3" bestFit="1" customWidth="1"/>
    <col min="8721" max="8960" width="8.7265625" style="3"/>
    <col min="8961" max="8961" width="4.54296875" style="3" customWidth="1"/>
    <col min="8962" max="8962" width="35" style="3" bestFit="1" customWidth="1"/>
    <col min="8963" max="8963" width="14.54296875" style="3" bestFit="1" customWidth="1"/>
    <col min="8964" max="8964" width="12.81640625" style="3" bestFit="1" customWidth="1"/>
    <col min="8965" max="8965" width="21" style="3" bestFit="1" customWidth="1"/>
    <col min="8966" max="8966" width="18.453125" style="3" bestFit="1" customWidth="1"/>
    <col min="8967" max="8968" width="14.54296875" style="3" bestFit="1" customWidth="1"/>
    <col min="8969" max="8969" width="11.54296875" style="3" bestFit="1" customWidth="1"/>
    <col min="8970" max="8970" width="13.453125" style="3" bestFit="1" customWidth="1"/>
    <col min="8971" max="8971" width="11.81640625" style="3" bestFit="1" customWidth="1"/>
    <col min="8972" max="8972" width="12.81640625" style="3" bestFit="1" customWidth="1"/>
    <col min="8973" max="8973" width="15.453125" style="3" bestFit="1" customWidth="1"/>
    <col min="8974" max="8974" width="18.453125" style="3" bestFit="1" customWidth="1"/>
    <col min="8975" max="8975" width="12.81640625" style="3" bestFit="1" customWidth="1"/>
    <col min="8976" max="8976" width="11.7265625" style="3" bestFit="1" customWidth="1"/>
    <col min="8977" max="9216" width="8.7265625" style="3"/>
    <col min="9217" max="9217" width="4.54296875" style="3" customWidth="1"/>
    <col min="9218" max="9218" width="35" style="3" bestFit="1" customWidth="1"/>
    <col min="9219" max="9219" width="14.54296875" style="3" bestFit="1" customWidth="1"/>
    <col min="9220" max="9220" width="12.81640625" style="3" bestFit="1" customWidth="1"/>
    <col min="9221" max="9221" width="21" style="3" bestFit="1" customWidth="1"/>
    <col min="9222" max="9222" width="18.453125" style="3" bestFit="1" customWidth="1"/>
    <col min="9223" max="9224" width="14.54296875" style="3" bestFit="1" customWidth="1"/>
    <col min="9225" max="9225" width="11.54296875" style="3" bestFit="1" customWidth="1"/>
    <col min="9226" max="9226" width="13.453125" style="3" bestFit="1" customWidth="1"/>
    <col min="9227" max="9227" width="11.81640625" style="3" bestFit="1" customWidth="1"/>
    <col min="9228" max="9228" width="12.81640625" style="3" bestFit="1" customWidth="1"/>
    <col min="9229" max="9229" width="15.453125" style="3" bestFit="1" customWidth="1"/>
    <col min="9230" max="9230" width="18.453125" style="3" bestFit="1" customWidth="1"/>
    <col min="9231" max="9231" width="12.81640625" style="3" bestFit="1" customWidth="1"/>
    <col min="9232" max="9232" width="11.7265625" style="3" bestFit="1" customWidth="1"/>
    <col min="9233" max="9472" width="8.7265625" style="3"/>
    <col min="9473" max="9473" width="4.54296875" style="3" customWidth="1"/>
    <col min="9474" max="9474" width="35" style="3" bestFit="1" customWidth="1"/>
    <col min="9475" max="9475" width="14.54296875" style="3" bestFit="1" customWidth="1"/>
    <col min="9476" max="9476" width="12.81640625" style="3" bestFit="1" customWidth="1"/>
    <col min="9477" max="9477" width="21" style="3" bestFit="1" customWidth="1"/>
    <col min="9478" max="9478" width="18.453125" style="3" bestFit="1" customWidth="1"/>
    <col min="9479" max="9480" width="14.54296875" style="3" bestFit="1" customWidth="1"/>
    <col min="9481" max="9481" width="11.54296875" style="3" bestFit="1" customWidth="1"/>
    <col min="9482" max="9482" width="13.453125" style="3" bestFit="1" customWidth="1"/>
    <col min="9483" max="9483" width="11.81640625" style="3" bestFit="1" customWidth="1"/>
    <col min="9484" max="9484" width="12.81640625" style="3" bestFit="1" customWidth="1"/>
    <col min="9485" max="9485" width="15.453125" style="3" bestFit="1" customWidth="1"/>
    <col min="9486" max="9486" width="18.453125" style="3" bestFit="1" customWidth="1"/>
    <col min="9487" max="9487" width="12.81640625" style="3" bestFit="1" customWidth="1"/>
    <col min="9488" max="9488" width="11.7265625" style="3" bestFit="1" customWidth="1"/>
    <col min="9489" max="9728" width="8.7265625" style="3"/>
    <col min="9729" max="9729" width="4.54296875" style="3" customWidth="1"/>
    <col min="9730" max="9730" width="35" style="3" bestFit="1" customWidth="1"/>
    <col min="9731" max="9731" width="14.54296875" style="3" bestFit="1" customWidth="1"/>
    <col min="9732" max="9732" width="12.81640625" style="3" bestFit="1" customWidth="1"/>
    <col min="9733" max="9733" width="21" style="3" bestFit="1" customWidth="1"/>
    <col min="9734" max="9734" width="18.453125" style="3" bestFit="1" customWidth="1"/>
    <col min="9735" max="9736" width="14.54296875" style="3" bestFit="1" customWidth="1"/>
    <col min="9737" max="9737" width="11.54296875" style="3" bestFit="1" customWidth="1"/>
    <col min="9738" max="9738" width="13.453125" style="3" bestFit="1" customWidth="1"/>
    <col min="9739" max="9739" width="11.81640625" style="3" bestFit="1" customWidth="1"/>
    <col min="9740" max="9740" width="12.81640625" style="3" bestFit="1" customWidth="1"/>
    <col min="9741" max="9741" width="15.453125" style="3" bestFit="1" customWidth="1"/>
    <col min="9742" max="9742" width="18.453125" style="3" bestFit="1" customWidth="1"/>
    <col min="9743" max="9743" width="12.81640625" style="3" bestFit="1" customWidth="1"/>
    <col min="9744" max="9744" width="11.7265625" style="3" bestFit="1" customWidth="1"/>
    <col min="9745" max="9984" width="8.7265625" style="3"/>
    <col min="9985" max="9985" width="4.54296875" style="3" customWidth="1"/>
    <col min="9986" max="9986" width="35" style="3" bestFit="1" customWidth="1"/>
    <col min="9987" max="9987" width="14.54296875" style="3" bestFit="1" customWidth="1"/>
    <col min="9988" max="9988" width="12.81640625" style="3" bestFit="1" customWidth="1"/>
    <col min="9989" max="9989" width="21" style="3" bestFit="1" customWidth="1"/>
    <col min="9990" max="9990" width="18.453125" style="3" bestFit="1" customWidth="1"/>
    <col min="9991" max="9992" width="14.54296875" style="3" bestFit="1" customWidth="1"/>
    <col min="9993" max="9993" width="11.54296875" style="3" bestFit="1" customWidth="1"/>
    <col min="9994" max="9994" width="13.453125" style="3" bestFit="1" customWidth="1"/>
    <col min="9995" max="9995" width="11.81640625" style="3" bestFit="1" customWidth="1"/>
    <col min="9996" max="9996" width="12.81640625" style="3" bestFit="1" customWidth="1"/>
    <col min="9997" max="9997" width="15.453125" style="3" bestFit="1" customWidth="1"/>
    <col min="9998" max="9998" width="18.453125" style="3" bestFit="1" customWidth="1"/>
    <col min="9999" max="9999" width="12.81640625" style="3" bestFit="1" customWidth="1"/>
    <col min="10000" max="10000" width="11.7265625" style="3" bestFit="1" customWidth="1"/>
    <col min="10001" max="10240" width="8.7265625" style="3"/>
    <col min="10241" max="10241" width="4.54296875" style="3" customWidth="1"/>
    <col min="10242" max="10242" width="35" style="3" bestFit="1" customWidth="1"/>
    <col min="10243" max="10243" width="14.54296875" style="3" bestFit="1" customWidth="1"/>
    <col min="10244" max="10244" width="12.81640625" style="3" bestFit="1" customWidth="1"/>
    <col min="10245" max="10245" width="21" style="3" bestFit="1" customWidth="1"/>
    <col min="10246" max="10246" width="18.453125" style="3" bestFit="1" customWidth="1"/>
    <col min="10247" max="10248" width="14.54296875" style="3" bestFit="1" customWidth="1"/>
    <col min="10249" max="10249" width="11.54296875" style="3" bestFit="1" customWidth="1"/>
    <col min="10250" max="10250" width="13.453125" style="3" bestFit="1" customWidth="1"/>
    <col min="10251" max="10251" width="11.81640625" style="3" bestFit="1" customWidth="1"/>
    <col min="10252" max="10252" width="12.81640625" style="3" bestFit="1" customWidth="1"/>
    <col min="10253" max="10253" width="15.453125" style="3" bestFit="1" customWidth="1"/>
    <col min="10254" max="10254" width="18.453125" style="3" bestFit="1" customWidth="1"/>
    <col min="10255" max="10255" width="12.81640625" style="3" bestFit="1" customWidth="1"/>
    <col min="10256" max="10256" width="11.7265625" style="3" bestFit="1" customWidth="1"/>
    <col min="10257" max="10496" width="8.7265625" style="3"/>
    <col min="10497" max="10497" width="4.54296875" style="3" customWidth="1"/>
    <col min="10498" max="10498" width="35" style="3" bestFit="1" customWidth="1"/>
    <col min="10499" max="10499" width="14.54296875" style="3" bestFit="1" customWidth="1"/>
    <col min="10500" max="10500" width="12.81640625" style="3" bestFit="1" customWidth="1"/>
    <col min="10501" max="10501" width="21" style="3" bestFit="1" customWidth="1"/>
    <col min="10502" max="10502" width="18.453125" style="3" bestFit="1" customWidth="1"/>
    <col min="10503" max="10504" width="14.54296875" style="3" bestFit="1" customWidth="1"/>
    <col min="10505" max="10505" width="11.54296875" style="3" bestFit="1" customWidth="1"/>
    <col min="10506" max="10506" width="13.453125" style="3" bestFit="1" customWidth="1"/>
    <col min="10507" max="10507" width="11.81640625" style="3" bestFit="1" customWidth="1"/>
    <col min="10508" max="10508" width="12.81640625" style="3" bestFit="1" customWidth="1"/>
    <col min="10509" max="10509" width="15.453125" style="3" bestFit="1" customWidth="1"/>
    <col min="10510" max="10510" width="18.453125" style="3" bestFit="1" customWidth="1"/>
    <col min="10511" max="10511" width="12.81640625" style="3" bestFit="1" customWidth="1"/>
    <col min="10512" max="10512" width="11.7265625" style="3" bestFit="1" customWidth="1"/>
    <col min="10513" max="10752" width="8.7265625" style="3"/>
    <col min="10753" max="10753" width="4.54296875" style="3" customWidth="1"/>
    <col min="10754" max="10754" width="35" style="3" bestFit="1" customWidth="1"/>
    <col min="10755" max="10755" width="14.54296875" style="3" bestFit="1" customWidth="1"/>
    <col min="10756" max="10756" width="12.81640625" style="3" bestFit="1" customWidth="1"/>
    <col min="10757" max="10757" width="21" style="3" bestFit="1" customWidth="1"/>
    <col min="10758" max="10758" width="18.453125" style="3" bestFit="1" customWidth="1"/>
    <col min="10759" max="10760" width="14.54296875" style="3" bestFit="1" customWidth="1"/>
    <col min="10761" max="10761" width="11.54296875" style="3" bestFit="1" customWidth="1"/>
    <col min="10762" max="10762" width="13.453125" style="3" bestFit="1" customWidth="1"/>
    <col min="10763" max="10763" width="11.81640625" style="3" bestFit="1" customWidth="1"/>
    <col min="10764" max="10764" width="12.81640625" style="3" bestFit="1" customWidth="1"/>
    <col min="10765" max="10765" width="15.453125" style="3" bestFit="1" customWidth="1"/>
    <col min="10766" max="10766" width="18.453125" style="3" bestFit="1" customWidth="1"/>
    <col min="10767" max="10767" width="12.81640625" style="3" bestFit="1" customWidth="1"/>
    <col min="10768" max="10768" width="11.7265625" style="3" bestFit="1" customWidth="1"/>
    <col min="10769" max="11008" width="8.7265625" style="3"/>
    <col min="11009" max="11009" width="4.54296875" style="3" customWidth="1"/>
    <col min="11010" max="11010" width="35" style="3" bestFit="1" customWidth="1"/>
    <col min="11011" max="11011" width="14.54296875" style="3" bestFit="1" customWidth="1"/>
    <col min="11012" max="11012" width="12.81640625" style="3" bestFit="1" customWidth="1"/>
    <col min="11013" max="11013" width="21" style="3" bestFit="1" customWidth="1"/>
    <col min="11014" max="11014" width="18.453125" style="3" bestFit="1" customWidth="1"/>
    <col min="11015" max="11016" width="14.54296875" style="3" bestFit="1" customWidth="1"/>
    <col min="11017" max="11017" width="11.54296875" style="3" bestFit="1" customWidth="1"/>
    <col min="11018" max="11018" width="13.453125" style="3" bestFit="1" customWidth="1"/>
    <col min="11019" max="11019" width="11.81640625" style="3" bestFit="1" customWidth="1"/>
    <col min="11020" max="11020" width="12.81640625" style="3" bestFit="1" customWidth="1"/>
    <col min="11021" max="11021" width="15.453125" style="3" bestFit="1" customWidth="1"/>
    <col min="11022" max="11022" width="18.453125" style="3" bestFit="1" customWidth="1"/>
    <col min="11023" max="11023" width="12.81640625" style="3" bestFit="1" customWidth="1"/>
    <col min="11024" max="11024" width="11.7265625" style="3" bestFit="1" customWidth="1"/>
    <col min="11025" max="11264" width="8.7265625" style="3"/>
    <col min="11265" max="11265" width="4.54296875" style="3" customWidth="1"/>
    <col min="11266" max="11266" width="35" style="3" bestFit="1" customWidth="1"/>
    <col min="11267" max="11267" width="14.54296875" style="3" bestFit="1" customWidth="1"/>
    <col min="11268" max="11268" width="12.81640625" style="3" bestFit="1" customWidth="1"/>
    <col min="11269" max="11269" width="21" style="3" bestFit="1" customWidth="1"/>
    <col min="11270" max="11270" width="18.453125" style="3" bestFit="1" customWidth="1"/>
    <col min="11271" max="11272" width="14.54296875" style="3" bestFit="1" customWidth="1"/>
    <col min="11273" max="11273" width="11.54296875" style="3" bestFit="1" customWidth="1"/>
    <col min="11274" max="11274" width="13.453125" style="3" bestFit="1" customWidth="1"/>
    <col min="11275" max="11275" width="11.81640625" style="3" bestFit="1" customWidth="1"/>
    <col min="11276" max="11276" width="12.81640625" style="3" bestFit="1" customWidth="1"/>
    <col min="11277" max="11277" width="15.453125" style="3" bestFit="1" customWidth="1"/>
    <col min="11278" max="11278" width="18.453125" style="3" bestFit="1" customWidth="1"/>
    <col min="11279" max="11279" width="12.81640625" style="3" bestFit="1" customWidth="1"/>
    <col min="11280" max="11280" width="11.7265625" style="3" bestFit="1" customWidth="1"/>
    <col min="11281" max="11520" width="8.7265625" style="3"/>
    <col min="11521" max="11521" width="4.54296875" style="3" customWidth="1"/>
    <col min="11522" max="11522" width="35" style="3" bestFit="1" customWidth="1"/>
    <col min="11523" max="11523" width="14.54296875" style="3" bestFit="1" customWidth="1"/>
    <col min="11524" max="11524" width="12.81640625" style="3" bestFit="1" customWidth="1"/>
    <col min="11525" max="11525" width="21" style="3" bestFit="1" customWidth="1"/>
    <col min="11526" max="11526" width="18.453125" style="3" bestFit="1" customWidth="1"/>
    <col min="11527" max="11528" width="14.54296875" style="3" bestFit="1" customWidth="1"/>
    <col min="11529" max="11529" width="11.54296875" style="3" bestFit="1" customWidth="1"/>
    <col min="11530" max="11530" width="13.453125" style="3" bestFit="1" customWidth="1"/>
    <col min="11531" max="11531" width="11.81640625" style="3" bestFit="1" customWidth="1"/>
    <col min="11532" max="11532" width="12.81640625" style="3" bestFit="1" customWidth="1"/>
    <col min="11533" max="11533" width="15.453125" style="3" bestFit="1" customWidth="1"/>
    <col min="11534" max="11534" width="18.453125" style="3" bestFit="1" customWidth="1"/>
    <col min="11535" max="11535" width="12.81640625" style="3" bestFit="1" customWidth="1"/>
    <col min="11536" max="11536" width="11.7265625" style="3" bestFit="1" customWidth="1"/>
    <col min="11537" max="11776" width="8.7265625" style="3"/>
    <col min="11777" max="11777" width="4.54296875" style="3" customWidth="1"/>
    <col min="11778" max="11778" width="35" style="3" bestFit="1" customWidth="1"/>
    <col min="11779" max="11779" width="14.54296875" style="3" bestFit="1" customWidth="1"/>
    <col min="11780" max="11780" width="12.81640625" style="3" bestFit="1" customWidth="1"/>
    <col min="11781" max="11781" width="21" style="3" bestFit="1" customWidth="1"/>
    <col min="11782" max="11782" width="18.453125" style="3" bestFit="1" customWidth="1"/>
    <col min="11783" max="11784" width="14.54296875" style="3" bestFit="1" customWidth="1"/>
    <col min="11785" max="11785" width="11.54296875" style="3" bestFit="1" customWidth="1"/>
    <col min="11786" max="11786" width="13.453125" style="3" bestFit="1" customWidth="1"/>
    <col min="11787" max="11787" width="11.81640625" style="3" bestFit="1" customWidth="1"/>
    <col min="11788" max="11788" width="12.81640625" style="3" bestFit="1" customWidth="1"/>
    <col min="11789" max="11789" width="15.453125" style="3" bestFit="1" customWidth="1"/>
    <col min="11790" max="11790" width="18.453125" style="3" bestFit="1" customWidth="1"/>
    <col min="11791" max="11791" width="12.81640625" style="3" bestFit="1" customWidth="1"/>
    <col min="11792" max="11792" width="11.7265625" style="3" bestFit="1" customWidth="1"/>
    <col min="11793" max="12032" width="8.7265625" style="3"/>
    <col min="12033" max="12033" width="4.54296875" style="3" customWidth="1"/>
    <col min="12034" max="12034" width="35" style="3" bestFit="1" customWidth="1"/>
    <col min="12035" max="12035" width="14.54296875" style="3" bestFit="1" customWidth="1"/>
    <col min="12036" max="12036" width="12.81640625" style="3" bestFit="1" customWidth="1"/>
    <col min="12037" max="12037" width="21" style="3" bestFit="1" customWidth="1"/>
    <col min="12038" max="12038" width="18.453125" style="3" bestFit="1" customWidth="1"/>
    <col min="12039" max="12040" width="14.54296875" style="3" bestFit="1" customWidth="1"/>
    <col min="12041" max="12041" width="11.54296875" style="3" bestFit="1" customWidth="1"/>
    <col min="12042" max="12042" width="13.453125" style="3" bestFit="1" customWidth="1"/>
    <col min="12043" max="12043" width="11.81640625" style="3" bestFit="1" customWidth="1"/>
    <col min="12044" max="12044" width="12.81640625" style="3" bestFit="1" customWidth="1"/>
    <col min="12045" max="12045" width="15.453125" style="3" bestFit="1" customWidth="1"/>
    <col min="12046" max="12046" width="18.453125" style="3" bestFit="1" customWidth="1"/>
    <col min="12047" max="12047" width="12.81640625" style="3" bestFit="1" customWidth="1"/>
    <col min="12048" max="12048" width="11.7265625" style="3" bestFit="1" customWidth="1"/>
    <col min="12049" max="12288" width="8.7265625" style="3"/>
    <col min="12289" max="12289" width="4.54296875" style="3" customWidth="1"/>
    <col min="12290" max="12290" width="35" style="3" bestFit="1" customWidth="1"/>
    <col min="12291" max="12291" width="14.54296875" style="3" bestFit="1" customWidth="1"/>
    <col min="12292" max="12292" width="12.81640625" style="3" bestFit="1" customWidth="1"/>
    <col min="12293" max="12293" width="21" style="3" bestFit="1" customWidth="1"/>
    <col min="12294" max="12294" width="18.453125" style="3" bestFit="1" customWidth="1"/>
    <col min="12295" max="12296" width="14.54296875" style="3" bestFit="1" customWidth="1"/>
    <col min="12297" max="12297" width="11.54296875" style="3" bestFit="1" customWidth="1"/>
    <col min="12298" max="12298" width="13.453125" style="3" bestFit="1" customWidth="1"/>
    <col min="12299" max="12299" width="11.81640625" style="3" bestFit="1" customWidth="1"/>
    <col min="12300" max="12300" width="12.81640625" style="3" bestFit="1" customWidth="1"/>
    <col min="12301" max="12301" width="15.453125" style="3" bestFit="1" customWidth="1"/>
    <col min="12302" max="12302" width="18.453125" style="3" bestFit="1" customWidth="1"/>
    <col min="12303" max="12303" width="12.81640625" style="3" bestFit="1" customWidth="1"/>
    <col min="12304" max="12304" width="11.7265625" style="3" bestFit="1" customWidth="1"/>
    <col min="12305" max="12544" width="8.7265625" style="3"/>
    <col min="12545" max="12545" width="4.54296875" style="3" customWidth="1"/>
    <col min="12546" max="12546" width="35" style="3" bestFit="1" customWidth="1"/>
    <col min="12547" max="12547" width="14.54296875" style="3" bestFit="1" customWidth="1"/>
    <col min="12548" max="12548" width="12.81640625" style="3" bestFit="1" customWidth="1"/>
    <col min="12549" max="12549" width="21" style="3" bestFit="1" customWidth="1"/>
    <col min="12550" max="12550" width="18.453125" style="3" bestFit="1" customWidth="1"/>
    <col min="12551" max="12552" width="14.54296875" style="3" bestFit="1" customWidth="1"/>
    <col min="12553" max="12553" width="11.54296875" style="3" bestFit="1" customWidth="1"/>
    <col min="12554" max="12554" width="13.453125" style="3" bestFit="1" customWidth="1"/>
    <col min="12555" max="12555" width="11.81640625" style="3" bestFit="1" customWidth="1"/>
    <col min="12556" max="12556" width="12.81640625" style="3" bestFit="1" customWidth="1"/>
    <col min="12557" max="12557" width="15.453125" style="3" bestFit="1" customWidth="1"/>
    <col min="12558" max="12558" width="18.453125" style="3" bestFit="1" customWidth="1"/>
    <col min="12559" max="12559" width="12.81640625" style="3" bestFit="1" customWidth="1"/>
    <col min="12560" max="12560" width="11.7265625" style="3" bestFit="1" customWidth="1"/>
    <col min="12561" max="12800" width="8.7265625" style="3"/>
    <col min="12801" max="12801" width="4.54296875" style="3" customWidth="1"/>
    <col min="12802" max="12802" width="35" style="3" bestFit="1" customWidth="1"/>
    <col min="12803" max="12803" width="14.54296875" style="3" bestFit="1" customWidth="1"/>
    <col min="12804" max="12804" width="12.81640625" style="3" bestFit="1" customWidth="1"/>
    <col min="12805" max="12805" width="21" style="3" bestFit="1" customWidth="1"/>
    <col min="12806" max="12806" width="18.453125" style="3" bestFit="1" customWidth="1"/>
    <col min="12807" max="12808" width="14.54296875" style="3" bestFit="1" customWidth="1"/>
    <col min="12809" max="12809" width="11.54296875" style="3" bestFit="1" customWidth="1"/>
    <col min="12810" max="12810" width="13.453125" style="3" bestFit="1" customWidth="1"/>
    <col min="12811" max="12811" width="11.81640625" style="3" bestFit="1" customWidth="1"/>
    <col min="12812" max="12812" width="12.81640625" style="3" bestFit="1" customWidth="1"/>
    <col min="12813" max="12813" width="15.453125" style="3" bestFit="1" customWidth="1"/>
    <col min="12814" max="12814" width="18.453125" style="3" bestFit="1" customWidth="1"/>
    <col min="12815" max="12815" width="12.81640625" style="3" bestFit="1" customWidth="1"/>
    <col min="12816" max="12816" width="11.7265625" style="3" bestFit="1" customWidth="1"/>
    <col min="12817" max="13056" width="8.7265625" style="3"/>
    <col min="13057" max="13057" width="4.54296875" style="3" customWidth="1"/>
    <col min="13058" max="13058" width="35" style="3" bestFit="1" customWidth="1"/>
    <col min="13059" max="13059" width="14.54296875" style="3" bestFit="1" customWidth="1"/>
    <col min="13060" max="13060" width="12.81640625" style="3" bestFit="1" customWidth="1"/>
    <col min="13061" max="13061" width="21" style="3" bestFit="1" customWidth="1"/>
    <col min="13062" max="13062" width="18.453125" style="3" bestFit="1" customWidth="1"/>
    <col min="13063" max="13064" width="14.54296875" style="3" bestFit="1" customWidth="1"/>
    <col min="13065" max="13065" width="11.54296875" style="3" bestFit="1" customWidth="1"/>
    <col min="13066" max="13066" width="13.453125" style="3" bestFit="1" customWidth="1"/>
    <col min="13067" max="13067" width="11.81640625" style="3" bestFit="1" customWidth="1"/>
    <col min="13068" max="13068" width="12.81640625" style="3" bestFit="1" customWidth="1"/>
    <col min="13069" max="13069" width="15.453125" style="3" bestFit="1" customWidth="1"/>
    <col min="13070" max="13070" width="18.453125" style="3" bestFit="1" customWidth="1"/>
    <col min="13071" max="13071" width="12.81640625" style="3" bestFit="1" customWidth="1"/>
    <col min="13072" max="13072" width="11.7265625" style="3" bestFit="1" customWidth="1"/>
    <col min="13073" max="13312" width="8.7265625" style="3"/>
    <col min="13313" max="13313" width="4.54296875" style="3" customWidth="1"/>
    <col min="13314" max="13314" width="35" style="3" bestFit="1" customWidth="1"/>
    <col min="13315" max="13315" width="14.54296875" style="3" bestFit="1" customWidth="1"/>
    <col min="13316" max="13316" width="12.81640625" style="3" bestFit="1" customWidth="1"/>
    <col min="13317" max="13317" width="21" style="3" bestFit="1" customWidth="1"/>
    <col min="13318" max="13318" width="18.453125" style="3" bestFit="1" customWidth="1"/>
    <col min="13319" max="13320" width="14.54296875" style="3" bestFit="1" customWidth="1"/>
    <col min="13321" max="13321" width="11.54296875" style="3" bestFit="1" customWidth="1"/>
    <col min="13322" max="13322" width="13.453125" style="3" bestFit="1" customWidth="1"/>
    <col min="13323" max="13323" width="11.81640625" style="3" bestFit="1" customWidth="1"/>
    <col min="13324" max="13324" width="12.81640625" style="3" bestFit="1" customWidth="1"/>
    <col min="13325" max="13325" width="15.453125" style="3" bestFit="1" customWidth="1"/>
    <col min="13326" max="13326" width="18.453125" style="3" bestFit="1" customWidth="1"/>
    <col min="13327" max="13327" width="12.81640625" style="3" bestFit="1" customWidth="1"/>
    <col min="13328" max="13328" width="11.7265625" style="3" bestFit="1" customWidth="1"/>
    <col min="13329" max="13568" width="8.7265625" style="3"/>
    <col min="13569" max="13569" width="4.54296875" style="3" customWidth="1"/>
    <col min="13570" max="13570" width="35" style="3" bestFit="1" customWidth="1"/>
    <col min="13571" max="13571" width="14.54296875" style="3" bestFit="1" customWidth="1"/>
    <col min="13572" max="13572" width="12.81640625" style="3" bestFit="1" customWidth="1"/>
    <col min="13573" max="13573" width="21" style="3" bestFit="1" customWidth="1"/>
    <col min="13574" max="13574" width="18.453125" style="3" bestFit="1" customWidth="1"/>
    <col min="13575" max="13576" width="14.54296875" style="3" bestFit="1" customWidth="1"/>
    <col min="13577" max="13577" width="11.54296875" style="3" bestFit="1" customWidth="1"/>
    <col min="13578" max="13578" width="13.453125" style="3" bestFit="1" customWidth="1"/>
    <col min="13579" max="13579" width="11.81640625" style="3" bestFit="1" customWidth="1"/>
    <col min="13580" max="13580" width="12.81640625" style="3" bestFit="1" customWidth="1"/>
    <col min="13581" max="13581" width="15.453125" style="3" bestFit="1" customWidth="1"/>
    <col min="13582" max="13582" width="18.453125" style="3" bestFit="1" customWidth="1"/>
    <col min="13583" max="13583" width="12.81640625" style="3" bestFit="1" customWidth="1"/>
    <col min="13584" max="13584" width="11.7265625" style="3" bestFit="1" customWidth="1"/>
    <col min="13585" max="13824" width="8.7265625" style="3"/>
    <col min="13825" max="13825" width="4.54296875" style="3" customWidth="1"/>
    <col min="13826" max="13826" width="35" style="3" bestFit="1" customWidth="1"/>
    <col min="13827" max="13827" width="14.54296875" style="3" bestFit="1" customWidth="1"/>
    <col min="13828" max="13828" width="12.81640625" style="3" bestFit="1" customWidth="1"/>
    <col min="13829" max="13829" width="21" style="3" bestFit="1" customWidth="1"/>
    <col min="13830" max="13830" width="18.453125" style="3" bestFit="1" customWidth="1"/>
    <col min="13831" max="13832" width="14.54296875" style="3" bestFit="1" customWidth="1"/>
    <col min="13833" max="13833" width="11.54296875" style="3" bestFit="1" customWidth="1"/>
    <col min="13834" max="13834" width="13.453125" style="3" bestFit="1" customWidth="1"/>
    <col min="13835" max="13835" width="11.81640625" style="3" bestFit="1" customWidth="1"/>
    <col min="13836" max="13836" width="12.81640625" style="3" bestFit="1" customWidth="1"/>
    <col min="13837" max="13837" width="15.453125" style="3" bestFit="1" customWidth="1"/>
    <col min="13838" max="13838" width="18.453125" style="3" bestFit="1" customWidth="1"/>
    <col min="13839" max="13839" width="12.81640625" style="3" bestFit="1" customWidth="1"/>
    <col min="13840" max="13840" width="11.7265625" style="3" bestFit="1" customWidth="1"/>
    <col min="13841" max="14080" width="8.7265625" style="3"/>
    <col min="14081" max="14081" width="4.54296875" style="3" customWidth="1"/>
    <col min="14082" max="14082" width="35" style="3" bestFit="1" customWidth="1"/>
    <col min="14083" max="14083" width="14.54296875" style="3" bestFit="1" customWidth="1"/>
    <col min="14084" max="14084" width="12.81640625" style="3" bestFit="1" customWidth="1"/>
    <col min="14085" max="14085" width="21" style="3" bestFit="1" customWidth="1"/>
    <col min="14086" max="14086" width="18.453125" style="3" bestFit="1" customWidth="1"/>
    <col min="14087" max="14088" width="14.54296875" style="3" bestFit="1" customWidth="1"/>
    <col min="14089" max="14089" width="11.54296875" style="3" bestFit="1" customWidth="1"/>
    <col min="14090" max="14090" width="13.453125" style="3" bestFit="1" customWidth="1"/>
    <col min="14091" max="14091" width="11.81640625" style="3" bestFit="1" customWidth="1"/>
    <col min="14092" max="14092" width="12.81640625" style="3" bestFit="1" customWidth="1"/>
    <col min="14093" max="14093" width="15.453125" style="3" bestFit="1" customWidth="1"/>
    <col min="14094" max="14094" width="18.453125" style="3" bestFit="1" customWidth="1"/>
    <col min="14095" max="14095" width="12.81640625" style="3" bestFit="1" customWidth="1"/>
    <col min="14096" max="14096" width="11.7265625" style="3" bestFit="1" customWidth="1"/>
    <col min="14097" max="14336" width="8.7265625" style="3"/>
    <col min="14337" max="14337" width="4.54296875" style="3" customWidth="1"/>
    <col min="14338" max="14338" width="35" style="3" bestFit="1" customWidth="1"/>
    <col min="14339" max="14339" width="14.54296875" style="3" bestFit="1" customWidth="1"/>
    <col min="14340" max="14340" width="12.81640625" style="3" bestFit="1" customWidth="1"/>
    <col min="14341" max="14341" width="21" style="3" bestFit="1" customWidth="1"/>
    <col min="14342" max="14342" width="18.453125" style="3" bestFit="1" customWidth="1"/>
    <col min="14343" max="14344" width="14.54296875" style="3" bestFit="1" customWidth="1"/>
    <col min="14345" max="14345" width="11.54296875" style="3" bestFit="1" customWidth="1"/>
    <col min="14346" max="14346" width="13.453125" style="3" bestFit="1" customWidth="1"/>
    <col min="14347" max="14347" width="11.81640625" style="3" bestFit="1" customWidth="1"/>
    <col min="14348" max="14348" width="12.81640625" style="3" bestFit="1" customWidth="1"/>
    <col min="14349" max="14349" width="15.453125" style="3" bestFit="1" customWidth="1"/>
    <col min="14350" max="14350" width="18.453125" style="3" bestFit="1" customWidth="1"/>
    <col min="14351" max="14351" width="12.81640625" style="3" bestFit="1" customWidth="1"/>
    <col min="14352" max="14352" width="11.7265625" style="3" bestFit="1" customWidth="1"/>
    <col min="14353" max="14592" width="8.7265625" style="3"/>
    <col min="14593" max="14593" width="4.54296875" style="3" customWidth="1"/>
    <col min="14594" max="14594" width="35" style="3" bestFit="1" customWidth="1"/>
    <col min="14595" max="14595" width="14.54296875" style="3" bestFit="1" customWidth="1"/>
    <col min="14596" max="14596" width="12.81640625" style="3" bestFit="1" customWidth="1"/>
    <col min="14597" max="14597" width="21" style="3" bestFit="1" customWidth="1"/>
    <col min="14598" max="14598" width="18.453125" style="3" bestFit="1" customWidth="1"/>
    <col min="14599" max="14600" width="14.54296875" style="3" bestFit="1" customWidth="1"/>
    <col min="14601" max="14601" width="11.54296875" style="3" bestFit="1" customWidth="1"/>
    <col min="14602" max="14602" width="13.453125" style="3" bestFit="1" customWidth="1"/>
    <col min="14603" max="14603" width="11.81640625" style="3" bestFit="1" customWidth="1"/>
    <col min="14604" max="14604" width="12.81640625" style="3" bestFit="1" customWidth="1"/>
    <col min="14605" max="14605" width="15.453125" style="3" bestFit="1" customWidth="1"/>
    <col min="14606" max="14606" width="18.453125" style="3" bestFit="1" customWidth="1"/>
    <col min="14607" max="14607" width="12.81640625" style="3" bestFit="1" customWidth="1"/>
    <col min="14608" max="14608" width="11.7265625" style="3" bestFit="1" customWidth="1"/>
    <col min="14609" max="14848" width="8.7265625" style="3"/>
    <col min="14849" max="14849" width="4.54296875" style="3" customWidth="1"/>
    <col min="14850" max="14850" width="35" style="3" bestFit="1" customWidth="1"/>
    <col min="14851" max="14851" width="14.54296875" style="3" bestFit="1" customWidth="1"/>
    <col min="14852" max="14852" width="12.81640625" style="3" bestFit="1" customWidth="1"/>
    <col min="14853" max="14853" width="21" style="3" bestFit="1" customWidth="1"/>
    <col min="14854" max="14854" width="18.453125" style="3" bestFit="1" customWidth="1"/>
    <col min="14855" max="14856" width="14.54296875" style="3" bestFit="1" customWidth="1"/>
    <col min="14857" max="14857" width="11.54296875" style="3" bestFit="1" customWidth="1"/>
    <col min="14858" max="14858" width="13.453125" style="3" bestFit="1" customWidth="1"/>
    <col min="14859" max="14859" width="11.81640625" style="3" bestFit="1" customWidth="1"/>
    <col min="14860" max="14860" width="12.81640625" style="3" bestFit="1" customWidth="1"/>
    <col min="14861" max="14861" width="15.453125" style="3" bestFit="1" customWidth="1"/>
    <col min="14862" max="14862" width="18.453125" style="3" bestFit="1" customWidth="1"/>
    <col min="14863" max="14863" width="12.81640625" style="3" bestFit="1" customWidth="1"/>
    <col min="14864" max="14864" width="11.7265625" style="3" bestFit="1" customWidth="1"/>
    <col min="14865" max="15104" width="8.7265625" style="3"/>
    <col min="15105" max="15105" width="4.54296875" style="3" customWidth="1"/>
    <col min="15106" max="15106" width="35" style="3" bestFit="1" customWidth="1"/>
    <col min="15107" max="15107" width="14.54296875" style="3" bestFit="1" customWidth="1"/>
    <col min="15108" max="15108" width="12.81640625" style="3" bestFit="1" customWidth="1"/>
    <col min="15109" max="15109" width="21" style="3" bestFit="1" customWidth="1"/>
    <col min="15110" max="15110" width="18.453125" style="3" bestFit="1" customWidth="1"/>
    <col min="15111" max="15112" width="14.54296875" style="3" bestFit="1" customWidth="1"/>
    <col min="15113" max="15113" width="11.54296875" style="3" bestFit="1" customWidth="1"/>
    <col min="15114" max="15114" width="13.453125" style="3" bestFit="1" customWidth="1"/>
    <col min="15115" max="15115" width="11.81640625" style="3" bestFit="1" customWidth="1"/>
    <col min="15116" max="15116" width="12.81640625" style="3" bestFit="1" customWidth="1"/>
    <col min="15117" max="15117" width="15.453125" style="3" bestFit="1" customWidth="1"/>
    <col min="15118" max="15118" width="18.453125" style="3" bestFit="1" customWidth="1"/>
    <col min="15119" max="15119" width="12.81640625" style="3" bestFit="1" customWidth="1"/>
    <col min="15120" max="15120" width="11.7265625" style="3" bestFit="1" customWidth="1"/>
    <col min="15121" max="15360" width="8.7265625" style="3"/>
    <col min="15361" max="15361" width="4.54296875" style="3" customWidth="1"/>
    <col min="15362" max="15362" width="35" style="3" bestFit="1" customWidth="1"/>
    <col min="15363" max="15363" width="14.54296875" style="3" bestFit="1" customWidth="1"/>
    <col min="15364" max="15364" width="12.81640625" style="3" bestFit="1" customWidth="1"/>
    <col min="15365" max="15365" width="21" style="3" bestFit="1" customWidth="1"/>
    <col min="15366" max="15366" width="18.453125" style="3" bestFit="1" customWidth="1"/>
    <col min="15367" max="15368" width="14.54296875" style="3" bestFit="1" customWidth="1"/>
    <col min="15369" max="15369" width="11.54296875" style="3" bestFit="1" customWidth="1"/>
    <col min="15370" max="15370" width="13.453125" style="3" bestFit="1" customWidth="1"/>
    <col min="15371" max="15371" width="11.81640625" style="3" bestFit="1" customWidth="1"/>
    <col min="15372" max="15372" width="12.81640625" style="3" bestFit="1" customWidth="1"/>
    <col min="15373" max="15373" width="15.453125" style="3" bestFit="1" customWidth="1"/>
    <col min="15374" max="15374" width="18.453125" style="3" bestFit="1" customWidth="1"/>
    <col min="15375" max="15375" width="12.81640625" style="3" bestFit="1" customWidth="1"/>
    <col min="15376" max="15376" width="11.7265625" style="3" bestFit="1" customWidth="1"/>
    <col min="15377" max="15616" width="8.7265625" style="3"/>
    <col min="15617" max="15617" width="4.54296875" style="3" customWidth="1"/>
    <col min="15618" max="15618" width="35" style="3" bestFit="1" customWidth="1"/>
    <col min="15619" max="15619" width="14.54296875" style="3" bestFit="1" customWidth="1"/>
    <col min="15620" max="15620" width="12.81640625" style="3" bestFit="1" customWidth="1"/>
    <col min="15621" max="15621" width="21" style="3" bestFit="1" customWidth="1"/>
    <col min="15622" max="15622" width="18.453125" style="3" bestFit="1" customWidth="1"/>
    <col min="15623" max="15624" width="14.54296875" style="3" bestFit="1" customWidth="1"/>
    <col min="15625" max="15625" width="11.54296875" style="3" bestFit="1" customWidth="1"/>
    <col min="15626" max="15626" width="13.453125" style="3" bestFit="1" customWidth="1"/>
    <col min="15627" max="15627" width="11.81640625" style="3" bestFit="1" customWidth="1"/>
    <col min="15628" max="15628" width="12.81640625" style="3" bestFit="1" customWidth="1"/>
    <col min="15629" max="15629" width="15.453125" style="3" bestFit="1" customWidth="1"/>
    <col min="15630" max="15630" width="18.453125" style="3" bestFit="1" customWidth="1"/>
    <col min="15631" max="15631" width="12.81640625" style="3" bestFit="1" customWidth="1"/>
    <col min="15632" max="15632" width="11.7265625" style="3" bestFit="1" customWidth="1"/>
    <col min="15633" max="15872" width="8.7265625" style="3"/>
    <col min="15873" max="15873" width="4.54296875" style="3" customWidth="1"/>
    <col min="15874" max="15874" width="35" style="3" bestFit="1" customWidth="1"/>
    <col min="15875" max="15875" width="14.54296875" style="3" bestFit="1" customWidth="1"/>
    <col min="15876" max="15876" width="12.81640625" style="3" bestFit="1" customWidth="1"/>
    <col min="15877" max="15877" width="21" style="3" bestFit="1" customWidth="1"/>
    <col min="15878" max="15878" width="18.453125" style="3" bestFit="1" customWidth="1"/>
    <col min="15879" max="15880" width="14.54296875" style="3" bestFit="1" customWidth="1"/>
    <col min="15881" max="15881" width="11.54296875" style="3" bestFit="1" customWidth="1"/>
    <col min="15882" max="15882" width="13.453125" style="3" bestFit="1" customWidth="1"/>
    <col min="15883" max="15883" width="11.81640625" style="3" bestFit="1" customWidth="1"/>
    <col min="15884" max="15884" width="12.81640625" style="3" bestFit="1" customWidth="1"/>
    <col min="15885" max="15885" width="15.453125" style="3" bestFit="1" customWidth="1"/>
    <col min="15886" max="15886" width="18.453125" style="3" bestFit="1" customWidth="1"/>
    <col min="15887" max="15887" width="12.81640625" style="3" bestFit="1" customWidth="1"/>
    <col min="15888" max="15888" width="11.7265625" style="3" bestFit="1" customWidth="1"/>
    <col min="15889" max="16128" width="8.7265625" style="3"/>
    <col min="16129" max="16129" width="4.54296875" style="3" customWidth="1"/>
    <col min="16130" max="16130" width="35" style="3" bestFit="1" customWidth="1"/>
    <col min="16131" max="16131" width="14.54296875" style="3" bestFit="1" customWidth="1"/>
    <col min="16132" max="16132" width="12.81640625" style="3" bestFit="1" customWidth="1"/>
    <col min="16133" max="16133" width="21" style="3" bestFit="1" customWidth="1"/>
    <col min="16134" max="16134" width="18.453125" style="3" bestFit="1" customWidth="1"/>
    <col min="16135" max="16136" width="14.54296875" style="3" bestFit="1" customWidth="1"/>
    <col min="16137" max="16137" width="11.54296875" style="3" bestFit="1" customWidth="1"/>
    <col min="16138" max="16138" width="13.453125" style="3" bestFit="1" customWidth="1"/>
    <col min="16139" max="16139" width="11.81640625" style="3" bestFit="1" customWidth="1"/>
    <col min="16140" max="16140" width="12.81640625" style="3" bestFit="1" customWidth="1"/>
    <col min="16141" max="16141" width="15.453125" style="3" bestFit="1" customWidth="1"/>
    <col min="16142" max="16142" width="18.453125" style="3" bestFit="1" customWidth="1"/>
    <col min="16143" max="16143" width="12.81640625" style="3" bestFit="1" customWidth="1"/>
    <col min="16144" max="16144" width="11.7265625" style="3" bestFit="1" customWidth="1"/>
    <col min="16145" max="16384" width="8.7265625" style="3"/>
  </cols>
  <sheetData>
    <row r="1" spans="1:256" s="1" customFormat="1" x14ac:dyDescent="0.35"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 s="1" customFormat="1" ht="18" x14ac:dyDescent="0.35">
      <c r="B2" s="4"/>
      <c r="C2" s="4"/>
      <c r="D2" s="199" t="s">
        <v>0</v>
      </c>
      <c r="E2" s="199"/>
      <c r="F2" s="199"/>
      <c r="G2" s="199"/>
      <c r="H2" s="199"/>
      <c r="I2" s="199"/>
      <c r="J2" s="199"/>
      <c r="K2" s="199"/>
      <c r="L2" s="199"/>
      <c r="M2" s="199"/>
      <c r="N2" s="5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</row>
    <row r="3" spans="1:256" s="1" customFormat="1" x14ac:dyDescent="0.35">
      <c r="B3" s="200" t="s">
        <v>133</v>
      </c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</row>
    <row r="4" spans="1:256" s="6" customFormat="1" x14ac:dyDescent="0.35">
      <c r="B4" s="7"/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  <c r="K4" s="8" t="s">
        <v>9</v>
      </c>
      <c r="L4" s="8" t="s">
        <v>10</v>
      </c>
      <c r="M4" s="8" t="s">
        <v>11</v>
      </c>
      <c r="N4" s="8" t="s">
        <v>12</v>
      </c>
      <c r="O4" s="9" t="s">
        <v>13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</row>
    <row r="5" spans="1:256" s="1" customFormat="1" x14ac:dyDescent="0.35">
      <c r="A5" s="1">
        <v>1</v>
      </c>
      <c r="B5" s="11" t="s">
        <v>396</v>
      </c>
      <c r="C5" s="12">
        <v>2000000</v>
      </c>
      <c r="D5" s="12">
        <v>3000000</v>
      </c>
      <c r="E5" s="12">
        <v>3000000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3">
        <f t="shared" ref="O5:O68" si="0">SUM(C5:N5)</f>
        <v>8000000</v>
      </c>
      <c r="P5" s="14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</row>
    <row r="6" spans="1:256" s="1" customFormat="1" x14ac:dyDescent="0.35">
      <c r="B6" s="15" t="s">
        <v>14</v>
      </c>
      <c r="C6" s="16">
        <f t="shared" ref="C6" si="1">C5*0.1</f>
        <v>200000</v>
      </c>
      <c r="D6" s="16">
        <f t="shared" ref="D6:N6" si="2">D5*0.1</f>
        <v>300000</v>
      </c>
      <c r="E6" s="16">
        <f t="shared" si="2"/>
        <v>300000</v>
      </c>
      <c r="F6" s="16">
        <f t="shared" si="2"/>
        <v>0</v>
      </c>
      <c r="G6" s="16">
        <f t="shared" si="2"/>
        <v>0</v>
      </c>
      <c r="H6" s="16">
        <f t="shared" si="2"/>
        <v>0</v>
      </c>
      <c r="I6" s="16">
        <f t="shared" si="2"/>
        <v>0</v>
      </c>
      <c r="J6" s="16">
        <f t="shared" si="2"/>
        <v>0</v>
      </c>
      <c r="K6" s="16">
        <f t="shared" si="2"/>
        <v>0</v>
      </c>
      <c r="L6" s="16">
        <f t="shared" si="2"/>
        <v>0</v>
      </c>
      <c r="M6" s="16">
        <f t="shared" si="2"/>
        <v>0</v>
      </c>
      <c r="N6" s="16">
        <f t="shared" si="2"/>
        <v>0</v>
      </c>
      <c r="O6" s="13">
        <f t="shared" si="0"/>
        <v>800000</v>
      </c>
      <c r="P6" s="14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</row>
    <row r="7" spans="1:256" s="17" customFormat="1" x14ac:dyDescent="0.35">
      <c r="B7" s="15" t="s">
        <v>15</v>
      </c>
      <c r="C7" s="16">
        <f t="shared" ref="C7" si="3">C5-C6</f>
        <v>1800000</v>
      </c>
      <c r="D7" s="16">
        <f t="shared" ref="D7:N7" si="4">D5-D6</f>
        <v>2700000</v>
      </c>
      <c r="E7" s="16">
        <f t="shared" si="4"/>
        <v>2700000</v>
      </c>
      <c r="F7" s="16">
        <f t="shared" si="4"/>
        <v>0</v>
      </c>
      <c r="G7" s="16">
        <f t="shared" si="4"/>
        <v>0</v>
      </c>
      <c r="H7" s="16">
        <f t="shared" si="4"/>
        <v>0</v>
      </c>
      <c r="I7" s="16">
        <f t="shared" si="4"/>
        <v>0</v>
      </c>
      <c r="J7" s="16">
        <f t="shared" si="4"/>
        <v>0</v>
      </c>
      <c r="K7" s="16">
        <f t="shared" si="4"/>
        <v>0</v>
      </c>
      <c r="L7" s="16">
        <f t="shared" si="4"/>
        <v>0</v>
      </c>
      <c r="M7" s="16">
        <f t="shared" si="4"/>
        <v>0</v>
      </c>
      <c r="N7" s="16">
        <f t="shared" si="4"/>
        <v>0</v>
      </c>
      <c r="O7" s="13">
        <f t="shared" si="0"/>
        <v>7200000</v>
      </c>
      <c r="P7" s="14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</row>
    <row r="8" spans="1:256" s="17" customFormat="1" x14ac:dyDescent="0.35">
      <c r="B8" s="15" t="s">
        <v>16</v>
      </c>
      <c r="C8" s="171">
        <f>IF(C7&gt;1000000,128000+0.3*(C7-1000000),IF(C7&gt;760000,68000+0.25*(C7-760000),IF(C7&gt;520000,20000+0.2*(C7-520000),IF(C7&gt;270000,0.08*(C7-270000),IF(C7&lt;=270000,0)))))</f>
        <v>368000</v>
      </c>
      <c r="D8" s="171">
        <f t="shared" ref="D8:N8" si="5">IF(D7&gt;1000000,128000+0.3*(D7-1000000),IF(D7&gt;760000,68000+0.25*(D7-760000),IF(D7&gt;520000,20000+0.2*(D7-520000),IF(D7&gt;270000,0.08*(D7-270000),IF(D7&lt;=270000,0)))))</f>
        <v>638000</v>
      </c>
      <c r="E8" s="171">
        <f t="shared" si="5"/>
        <v>638000</v>
      </c>
      <c r="F8" s="171">
        <f t="shared" si="5"/>
        <v>0</v>
      </c>
      <c r="G8" s="171">
        <f t="shared" si="5"/>
        <v>0</v>
      </c>
      <c r="H8" s="171">
        <f t="shared" si="5"/>
        <v>0</v>
      </c>
      <c r="I8" s="171">
        <f t="shared" si="5"/>
        <v>0</v>
      </c>
      <c r="J8" s="171">
        <f t="shared" si="5"/>
        <v>0</v>
      </c>
      <c r="K8" s="171">
        <f t="shared" si="5"/>
        <v>0</v>
      </c>
      <c r="L8" s="171">
        <f t="shared" si="5"/>
        <v>0</v>
      </c>
      <c r="M8" s="171">
        <f t="shared" si="5"/>
        <v>0</v>
      </c>
      <c r="N8" s="171">
        <f t="shared" si="5"/>
        <v>0</v>
      </c>
      <c r="O8" s="13">
        <f t="shared" si="0"/>
        <v>1644000</v>
      </c>
      <c r="P8" s="3"/>
      <c r="Q8" s="14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</row>
    <row r="9" spans="1:256" s="1" customFormat="1" x14ac:dyDescent="0.35">
      <c r="A9" s="1">
        <v>2</v>
      </c>
      <c r="B9" s="11" t="s">
        <v>397</v>
      </c>
      <c r="C9" s="12">
        <v>1000000</v>
      </c>
      <c r="D9" s="12">
        <v>1500000</v>
      </c>
      <c r="E9" s="12">
        <v>1500000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3">
        <f t="shared" si="0"/>
        <v>4000000</v>
      </c>
      <c r="P9" s="14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</row>
    <row r="10" spans="1:256" s="1" customFormat="1" x14ac:dyDescent="0.35">
      <c r="B10" s="15" t="s">
        <v>14</v>
      </c>
      <c r="C10" s="16">
        <f t="shared" ref="C10" si="6">C9*0.1</f>
        <v>100000</v>
      </c>
      <c r="D10" s="16">
        <f t="shared" ref="D10:N10" si="7">D9*0.1</f>
        <v>150000</v>
      </c>
      <c r="E10" s="16">
        <f t="shared" si="7"/>
        <v>150000</v>
      </c>
      <c r="F10" s="16">
        <f t="shared" si="7"/>
        <v>0</v>
      </c>
      <c r="G10" s="16">
        <f t="shared" si="7"/>
        <v>0</v>
      </c>
      <c r="H10" s="16">
        <f t="shared" si="7"/>
        <v>0</v>
      </c>
      <c r="I10" s="16">
        <f t="shared" si="7"/>
        <v>0</v>
      </c>
      <c r="J10" s="16">
        <f t="shared" si="7"/>
        <v>0</v>
      </c>
      <c r="K10" s="16">
        <f t="shared" si="7"/>
        <v>0</v>
      </c>
      <c r="L10" s="16">
        <f t="shared" si="7"/>
        <v>0</v>
      </c>
      <c r="M10" s="16">
        <f t="shared" si="7"/>
        <v>0</v>
      </c>
      <c r="N10" s="16">
        <f t="shared" si="7"/>
        <v>0</v>
      </c>
      <c r="O10" s="13">
        <f t="shared" si="0"/>
        <v>400000</v>
      </c>
      <c r="P10" s="14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</row>
    <row r="11" spans="1:256" s="17" customFormat="1" x14ac:dyDescent="0.35">
      <c r="B11" s="15" t="s">
        <v>15</v>
      </c>
      <c r="C11" s="16">
        <f t="shared" ref="C11" si="8">C9-C10</f>
        <v>900000</v>
      </c>
      <c r="D11" s="16">
        <f t="shared" ref="D11:N11" si="9">D9-D10</f>
        <v>1350000</v>
      </c>
      <c r="E11" s="16">
        <f t="shared" si="9"/>
        <v>1350000</v>
      </c>
      <c r="F11" s="16">
        <f t="shared" si="9"/>
        <v>0</v>
      </c>
      <c r="G11" s="16">
        <f t="shared" si="9"/>
        <v>0</v>
      </c>
      <c r="H11" s="16">
        <f t="shared" si="9"/>
        <v>0</v>
      </c>
      <c r="I11" s="16">
        <f t="shared" si="9"/>
        <v>0</v>
      </c>
      <c r="J11" s="16">
        <f t="shared" si="9"/>
        <v>0</v>
      </c>
      <c r="K11" s="16">
        <f t="shared" si="9"/>
        <v>0</v>
      </c>
      <c r="L11" s="16">
        <f t="shared" si="9"/>
        <v>0</v>
      </c>
      <c r="M11" s="16">
        <f t="shared" si="9"/>
        <v>0</v>
      </c>
      <c r="N11" s="16">
        <f t="shared" si="9"/>
        <v>0</v>
      </c>
      <c r="O11" s="13">
        <f t="shared" si="0"/>
        <v>3600000</v>
      </c>
      <c r="P11" s="14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</row>
    <row r="12" spans="1:256" s="17" customFormat="1" x14ac:dyDescent="0.35">
      <c r="B12" s="15" t="s">
        <v>16</v>
      </c>
      <c r="C12" s="171">
        <f>IF(C11&gt;1000000,128000+0.3*(C11-1000000),IF(C11&gt;760000,68000+0.25*(C11-760000),IF(C11&gt;520000,20000+0.2*(C11-520000),IF(C11&gt;270000,0.08*(C11-270000),IF(C11&lt;=270000,0)))))</f>
        <v>103000</v>
      </c>
      <c r="D12" s="171">
        <f t="shared" ref="D12:N12" si="10">IF(D11&gt;1000000,128000+0.3*(D11-1000000),IF(D11&gt;760000,68000+0.25*(D11-760000),IF(D11&gt;520000,20000+0.2*(D11-520000),IF(D11&gt;270000,0.08*(D11-270000),IF(D11&lt;=270000,0)))))</f>
        <v>233000</v>
      </c>
      <c r="E12" s="171">
        <f t="shared" si="10"/>
        <v>233000</v>
      </c>
      <c r="F12" s="171">
        <f t="shared" si="10"/>
        <v>0</v>
      </c>
      <c r="G12" s="171">
        <f t="shared" si="10"/>
        <v>0</v>
      </c>
      <c r="H12" s="171">
        <f t="shared" si="10"/>
        <v>0</v>
      </c>
      <c r="I12" s="171">
        <f t="shared" si="10"/>
        <v>0</v>
      </c>
      <c r="J12" s="171">
        <f t="shared" si="10"/>
        <v>0</v>
      </c>
      <c r="K12" s="171">
        <f t="shared" si="10"/>
        <v>0</v>
      </c>
      <c r="L12" s="171">
        <f t="shared" si="10"/>
        <v>0</v>
      </c>
      <c r="M12" s="171">
        <f t="shared" si="10"/>
        <v>0</v>
      </c>
      <c r="N12" s="171">
        <f t="shared" si="10"/>
        <v>0</v>
      </c>
      <c r="O12" s="13">
        <f t="shared" si="0"/>
        <v>569000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</row>
    <row r="13" spans="1:256" s="1" customFormat="1" x14ac:dyDescent="0.35">
      <c r="A13" s="1">
        <v>3</v>
      </c>
      <c r="B13" s="11" t="s">
        <v>398</v>
      </c>
      <c r="C13" s="12">
        <v>800000</v>
      </c>
      <c r="D13" s="12">
        <v>1000000</v>
      </c>
      <c r="E13" s="12">
        <v>1000000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3">
        <f t="shared" si="0"/>
        <v>2800000</v>
      </c>
      <c r="P13" s="1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</row>
    <row r="14" spans="1:256" s="1" customFormat="1" x14ac:dyDescent="0.35">
      <c r="B14" s="15" t="s">
        <v>14</v>
      </c>
      <c r="C14" s="16">
        <f t="shared" ref="C14" si="11">C13*0.1</f>
        <v>80000</v>
      </c>
      <c r="D14" s="16">
        <f t="shared" ref="D14:N14" si="12">D13*0.1</f>
        <v>100000</v>
      </c>
      <c r="E14" s="16">
        <f t="shared" si="12"/>
        <v>100000</v>
      </c>
      <c r="F14" s="16">
        <f t="shared" si="12"/>
        <v>0</v>
      </c>
      <c r="G14" s="16">
        <f t="shared" si="12"/>
        <v>0</v>
      </c>
      <c r="H14" s="16">
        <f t="shared" si="12"/>
        <v>0</v>
      </c>
      <c r="I14" s="16">
        <f t="shared" si="12"/>
        <v>0</v>
      </c>
      <c r="J14" s="16">
        <f t="shared" si="12"/>
        <v>0</v>
      </c>
      <c r="K14" s="16">
        <f t="shared" si="12"/>
        <v>0</v>
      </c>
      <c r="L14" s="16">
        <f t="shared" si="12"/>
        <v>0</v>
      </c>
      <c r="M14" s="16">
        <f t="shared" si="12"/>
        <v>0</v>
      </c>
      <c r="N14" s="16">
        <f t="shared" si="12"/>
        <v>0</v>
      </c>
      <c r="O14" s="13">
        <f t="shared" si="0"/>
        <v>280000</v>
      </c>
      <c r="P14" s="14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</row>
    <row r="15" spans="1:256" s="17" customFormat="1" x14ac:dyDescent="0.35">
      <c r="B15" s="15" t="s">
        <v>15</v>
      </c>
      <c r="C15" s="16">
        <f t="shared" ref="C15" si="13">C13-C14</f>
        <v>720000</v>
      </c>
      <c r="D15" s="16">
        <f t="shared" ref="D15:N15" si="14">D13-D14</f>
        <v>900000</v>
      </c>
      <c r="E15" s="16">
        <f t="shared" si="14"/>
        <v>900000</v>
      </c>
      <c r="F15" s="16">
        <f t="shared" si="14"/>
        <v>0</v>
      </c>
      <c r="G15" s="16">
        <f t="shared" si="14"/>
        <v>0</v>
      </c>
      <c r="H15" s="16">
        <f t="shared" si="14"/>
        <v>0</v>
      </c>
      <c r="I15" s="16">
        <f t="shared" si="14"/>
        <v>0</v>
      </c>
      <c r="J15" s="16">
        <f t="shared" si="14"/>
        <v>0</v>
      </c>
      <c r="K15" s="16">
        <f t="shared" si="14"/>
        <v>0</v>
      </c>
      <c r="L15" s="16">
        <f t="shared" si="14"/>
        <v>0</v>
      </c>
      <c r="M15" s="16">
        <f t="shared" si="14"/>
        <v>0</v>
      </c>
      <c r="N15" s="16">
        <f t="shared" si="14"/>
        <v>0</v>
      </c>
      <c r="O15" s="13">
        <f t="shared" si="0"/>
        <v>2520000</v>
      </c>
      <c r="P15" s="14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</row>
    <row r="16" spans="1:256" s="17" customFormat="1" x14ac:dyDescent="0.35">
      <c r="B16" s="15" t="s">
        <v>16</v>
      </c>
      <c r="C16" s="171">
        <f>IF(C15&gt;1000000,128000+0.3*(C15-1000000),IF(C15&gt;760000,68000+0.25*(C15-760000),IF(C15&gt;520000,20000+0.2*(C15-520000),IF(C15&gt;270000,0.08*(C15-270000),IF(C15&lt;=270000,0)))))</f>
        <v>60000</v>
      </c>
      <c r="D16" s="171">
        <f t="shared" ref="D16" si="15">IF(D15&gt;1000000,128000+0.3*(D15-1000000),IF(D15&gt;760000,68000+0.25*(D15-760000),IF(D15&gt;520000,20000+0.2*(D15-520000),IF(D15&gt;270000,0.08*(D15-270000),IF(D15&lt;=270000,0)))))</f>
        <v>103000</v>
      </c>
      <c r="E16" s="171">
        <f t="shared" ref="E16" si="16">IF(E15&gt;1000000,128000+0.3*(E15-1000000),IF(E15&gt;760000,68000+0.25*(E15-760000),IF(E15&gt;520000,20000+0.2*(E15-520000),IF(E15&gt;270000,0.08*(E15-270000),IF(E15&lt;=270000,0)))))</f>
        <v>103000</v>
      </c>
      <c r="F16" s="171">
        <f t="shared" ref="F16" si="17">IF(F15&gt;1000000,128000+0.3*(F15-1000000),IF(F15&gt;760000,68000+0.25*(F15-760000),IF(F15&gt;520000,20000+0.2*(F15-520000),IF(F15&gt;270000,0.08*(F15-270000),IF(F15&lt;=270000,0)))))</f>
        <v>0</v>
      </c>
      <c r="G16" s="171">
        <f t="shared" ref="G16" si="18">IF(G15&gt;1000000,128000+0.3*(G15-1000000),IF(G15&gt;760000,68000+0.25*(G15-760000),IF(G15&gt;520000,20000+0.2*(G15-520000),IF(G15&gt;270000,0.08*(G15-270000),IF(G15&lt;=270000,0)))))</f>
        <v>0</v>
      </c>
      <c r="H16" s="171">
        <f t="shared" ref="H16" si="19">IF(H15&gt;1000000,128000+0.3*(H15-1000000),IF(H15&gt;760000,68000+0.25*(H15-760000),IF(H15&gt;520000,20000+0.2*(H15-520000),IF(H15&gt;270000,0.08*(H15-270000),IF(H15&lt;=270000,0)))))</f>
        <v>0</v>
      </c>
      <c r="I16" s="171">
        <f t="shared" ref="I16" si="20">IF(I15&gt;1000000,128000+0.3*(I15-1000000),IF(I15&gt;760000,68000+0.25*(I15-760000),IF(I15&gt;520000,20000+0.2*(I15-520000),IF(I15&gt;270000,0.08*(I15-270000),IF(I15&lt;=270000,0)))))</f>
        <v>0</v>
      </c>
      <c r="J16" s="171">
        <f t="shared" ref="J16" si="21">IF(J15&gt;1000000,128000+0.3*(J15-1000000),IF(J15&gt;760000,68000+0.25*(J15-760000),IF(J15&gt;520000,20000+0.2*(J15-520000),IF(J15&gt;270000,0.08*(J15-270000),IF(J15&lt;=270000,0)))))</f>
        <v>0</v>
      </c>
      <c r="K16" s="171">
        <f t="shared" ref="K16" si="22">IF(K15&gt;1000000,128000+0.3*(K15-1000000),IF(K15&gt;760000,68000+0.25*(K15-760000),IF(K15&gt;520000,20000+0.2*(K15-520000),IF(K15&gt;270000,0.08*(K15-270000),IF(K15&lt;=270000,0)))))</f>
        <v>0</v>
      </c>
      <c r="L16" s="171">
        <f t="shared" ref="L16" si="23">IF(L15&gt;1000000,128000+0.3*(L15-1000000),IF(L15&gt;760000,68000+0.25*(L15-760000),IF(L15&gt;520000,20000+0.2*(L15-520000),IF(L15&gt;270000,0.08*(L15-270000),IF(L15&lt;=270000,0)))))</f>
        <v>0</v>
      </c>
      <c r="M16" s="171">
        <f t="shared" ref="M16" si="24">IF(M15&gt;1000000,128000+0.3*(M15-1000000),IF(M15&gt;760000,68000+0.25*(M15-760000),IF(M15&gt;520000,20000+0.2*(M15-520000),IF(M15&gt;270000,0.08*(M15-270000),IF(M15&lt;=270000,0)))))</f>
        <v>0</v>
      </c>
      <c r="N16" s="171">
        <f t="shared" ref="N16" si="25">IF(N15&gt;1000000,128000+0.3*(N15-1000000),IF(N15&gt;760000,68000+0.25*(N15-760000),IF(N15&gt;520000,20000+0.2*(N15-520000),IF(N15&gt;270000,0.08*(N15-270000),IF(N15&lt;=270000,0)))))</f>
        <v>0</v>
      </c>
      <c r="O16" s="13">
        <f t="shared" si="0"/>
        <v>266000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</row>
    <row r="17" spans="1:256" s="1" customFormat="1" x14ac:dyDescent="0.35">
      <c r="A17" s="1">
        <v>4</v>
      </c>
      <c r="B17" s="11" t="s">
        <v>810</v>
      </c>
      <c r="C17" s="12">
        <v>600000</v>
      </c>
      <c r="D17" s="12">
        <v>800000</v>
      </c>
      <c r="E17" s="12">
        <v>800000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3">
        <f t="shared" si="0"/>
        <v>2200000</v>
      </c>
      <c r="P17" s="14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</row>
    <row r="18" spans="1:256" s="1" customFormat="1" x14ac:dyDescent="0.35">
      <c r="B18" s="15" t="s">
        <v>14</v>
      </c>
      <c r="C18" s="16">
        <f t="shared" ref="C18" si="26">C17*0.1</f>
        <v>60000</v>
      </c>
      <c r="D18" s="16">
        <f t="shared" ref="D18:N18" si="27">D17*0.1</f>
        <v>80000</v>
      </c>
      <c r="E18" s="16">
        <f t="shared" si="27"/>
        <v>80000</v>
      </c>
      <c r="F18" s="16">
        <f t="shared" si="27"/>
        <v>0</v>
      </c>
      <c r="G18" s="16">
        <f t="shared" si="27"/>
        <v>0</v>
      </c>
      <c r="H18" s="16">
        <f t="shared" si="27"/>
        <v>0</v>
      </c>
      <c r="I18" s="16">
        <f t="shared" si="27"/>
        <v>0</v>
      </c>
      <c r="J18" s="16">
        <f t="shared" si="27"/>
        <v>0</v>
      </c>
      <c r="K18" s="16">
        <f t="shared" si="27"/>
        <v>0</v>
      </c>
      <c r="L18" s="16">
        <f t="shared" si="27"/>
        <v>0</v>
      </c>
      <c r="M18" s="16">
        <f t="shared" si="27"/>
        <v>0</v>
      </c>
      <c r="N18" s="16">
        <f t="shared" si="27"/>
        <v>0</v>
      </c>
      <c r="O18" s="13">
        <f t="shared" si="0"/>
        <v>220000</v>
      </c>
      <c r="P18" s="14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</row>
    <row r="19" spans="1:256" s="17" customFormat="1" x14ac:dyDescent="0.35">
      <c r="B19" s="15" t="s">
        <v>15</v>
      </c>
      <c r="C19" s="16">
        <f t="shared" ref="C19" si="28">C17-C18</f>
        <v>540000</v>
      </c>
      <c r="D19" s="16">
        <f t="shared" ref="D19:N19" si="29">D17-D18</f>
        <v>720000</v>
      </c>
      <c r="E19" s="16">
        <f t="shared" si="29"/>
        <v>720000</v>
      </c>
      <c r="F19" s="16">
        <f t="shared" si="29"/>
        <v>0</v>
      </c>
      <c r="G19" s="16">
        <f t="shared" si="29"/>
        <v>0</v>
      </c>
      <c r="H19" s="16">
        <f t="shared" si="29"/>
        <v>0</v>
      </c>
      <c r="I19" s="16">
        <f t="shared" si="29"/>
        <v>0</v>
      </c>
      <c r="J19" s="16">
        <f t="shared" si="29"/>
        <v>0</v>
      </c>
      <c r="K19" s="16">
        <f t="shared" si="29"/>
        <v>0</v>
      </c>
      <c r="L19" s="16">
        <f t="shared" si="29"/>
        <v>0</v>
      </c>
      <c r="M19" s="16">
        <f t="shared" si="29"/>
        <v>0</v>
      </c>
      <c r="N19" s="16">
        <f t="shared" si="29"/>
        <v>0</v>
      </c>
      <c r="O19" s="13">
        <f t="shared" si="0"/>
        <v>1980000</v>
      </c>
      <c r="P19" s="14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</row>
    <row r="20" spans="1:256" s="17" customFormat="1" x14ac:dyDescent="0.35">
      <c r="B20" s="15" t="s">
        <v>16</v>
      </c>
      <c r="C20" s="171">
        <f>IF(C19&gt;1000000,128000+0.3*(C19-1000000),IF(C19&gt;760000,68000+0.25*(C19-760000),IF(C19&gt;520000,20000+0.2*(C19-520000),IF(C19&gt;270000,0.08*(C19-270000),IF(C19&lt;=270000,0)))))</f>
        <v>24000</v>
      </c>
      <c r="D20" s="171">
        <f t="shared" ref="D20" si="30">IF(D19&gt;1000000,128000+0.3*(D19-1000000),IF(D19&gt;760000,68000+0.25*(D19-760000),IF(D19&gt;520000,20000+0.2*(D19-520000),IF(D19&gt;270000,0.08*(D19-270000),IF(D19&lt;=270000,0)))))</f>
        <v>60000</v>
      </c>
      <c r="E20" s="171">
        <f t="shared" ref="E20" si="31">IF(E19&gt;1000000,128000+0.3*(E19-1000000),IF(E19&gt;760000,68000+0.25*(E19-760000),IF(E19&gt;520000,20000+0.2*(E19-520000),IF(E19&gt;270000,0.08*(E19-270000),IF(E19&lt;=270000,0)))))</f>
        <v>60000</v>
      </c>
      <c r="F20" s="171">
        <f t="shared" ref="F20" si="32">IF(F19&gt;1000000,128000+0.3*(F19-1000000),IF(F19&gt;760000,68000+0.25*(F19-760000),IF(F19&gt;520000,20000+0.2*(F19-520000),IF(F19&gt;270000,0.08*(F19-270000),IF(F19&lt;=270000,0)))))</f>
        <v>0</v>
      </c>
      <c r="G20" s="171">
        <f t="shared" ref="G20" si="33">IF(G19&gt;1000000,128000+0.3*(G19-1000000),IF(G19&gt;760000,68000+0.25*(G19-760000),IF(G19&gt;520000,20000+0.2*(G19-520000),IF(G19&gt;270000,0.08*(G19-270000),IF(G19&lt;=270000,0)))))</f>
        <v>0</v>
      </c>
      <c r="H20" s="171">
        <f t="shared" ref="H20" si="34">IF(H19&gt;1000000,128000+0.3*(H19-1000000),IF(H19&gt;760000,68000+0.25*(H19-760000),IF(H19&gt;520000,20000+0.2*(H19-520000),IF(H19&gt;270000,0.08*(H19-270000),IF(H19&lt;=270000,0)))))</f>
        <v>0</v>
      </c>
      <c r="I20" s="171">
        <f t="shared" ref="I20" si="35">IF(I19&gt;1000000,128000+0.3*(I19-1000000),IF(I19&gt;760000,68000+0.25*(I19-760000),IF(I19&gt;520000,20000+0.2*(I19-520000),IF(I19&gt;270000,0.08*(I19-270000),IF(I19&lt;=270000,0)))))</f>
        <v>0</v>
      </c>
      <c r="J20" s="171">
        <f t="shared" ref="J20" si="36">IF(J19&gt;1000000,128000+0.3*(J19-1000000),IF(J19&gt;760000,68000+0.25*(J19-760000),IF(J19&gt;520000,20000+0.2*(J19-520000),IF(J19&gt;270000,0.08*(J19-270000),IF(J19&lt;=270000,0)))))</f>
        <v>0</v>
      </c>
      <c r="K20" s="171">
        <f t="shared" ref="K20" si="37">IF(K19&gt;1000000,128000+0.3*(K19-1000000),IF(K19&gt;760000,68000+0.25*(K19-760000),IF(K19&gt;520000,20000+0.2*(K19-520000),IF(K19&gt;270000,0.08*(K19-270000),IF(K19&lt;=270000,0)))))</f>
        <v>0</v>
      </c>
      <c r="L20" s="171">
        <f t="shared" ref="L20" si="38">IF(L19&gt;1000000,128000+0.3*(L19-1000000),IF(L19&gt;760000,68000+0.25*(L19-760000),IF(L19&gt;520000,20000+0.2*(L19-520000),IF(L19&gt;270000,0.08*(L19-270000),IF(L19&lt;=270000,0)))))</f>
        <v>0</v>
      </c>
      <c r="M20" s="171">
        <f t="shared" ref="M20" si="39">IF(M19&gt;1000000,128000+0.3*(M19-1000000),IF(M19&gt;760000,68000+0.25*(M19-760000),IF(M19&gt;520000,20000+0.2*(M19-520000),IF(M19&gt;270000,0.08*(M19-270000),IF(M19&lt;=270000,0)))))</f>
        <v>0</v>
      </c>
      <c r="N20" s="171">
        <f t="shared" ref="N20" si="40">IF(N19&gt;1000000,128000+0.3*(N19-1000000),IF(N19&gt;760000,68000+0.25*(N19-760000),IF(N19&gt;520000,20000+0.2*(N19-520000),IF(N19&gt;270000,0.08*(N19-270000),IF(N19&lt;=270000,0)))))</f>
        <v>0</v>
      </c>
      <c r="O20" s="13">
        <f t="shared" si="0"/>
        <v>144000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</row>
    <row r="21" spans="1:256" s="1" customFormat="1" x14ac:dyDescent="0.35">
      <c r="A21" s="1">
        <v>5</v>
      </c>
      <c r="B21" s="11" t="s">
        <v>648</v>
      </c>
      <c r="C21" s="12">
        <v>500000</v>
      </c>
      <c r="D21" s="12">
        <v>600000</v>
      </c>
      <c r="E21" s="12">
        <v>600000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3">
        <f t="shared" si="0"/>
        <v>1700000</v>
      </c>
      <c r="P21" s="14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</row>
    <row r="22" spans="1:256" s="1" customFormat="1" x14ac:dyDescent="0.35">
      <c r="B22" s="15" t="s">
        <v>14</v>
      </c>
      <c r="C22" s="16">
        <f t="shared" ref="C22" si="41">C21*0.1</f>
        <v>50000</v>
      </c>
      <c r="D22" s="16">
        <f t="shared" ref="D22:N22" si="42">D21*0.1</f>
        <v>60000</v>
      </c>
      <c r="E22" s="16">
        <f t="shared" si="42"/>
        <v>60000</v>
      </c>
      <c r="F22" s="16">
        <f t="shared" si="42"/>
        <v>0</v>
      </c>
      <c r="G22" s="16">
        <f t="shared" si="42"/>
        <v>0</v>
      </c>
      <c r="H22" s="16">
        <f t="shared" si="42"/>
        <v>0</v>
      </c>
      <c r="I22" s="16">
        <f t="shared" si="42"/>
        <v>0</v>
      </c>
      <c r="J22" s="16">
        <f t="shared" si="42"/>
        <v>0</v>
      </c>
      <c r="K22" s="16">
        <f t="shared" si="42"/>
        <v>0</v>
      </c>
      <c r="L22" s="16">
        <f t="shared" si="42"/>
        <v>0</v>
      </c>
      <c r="M22" s="16">
        <f t="shared" si="42"/>
        <v>0</v>
      </c>
      <c r="N22" s="16">
        <f t="shared" si="42"/>
        <v>0</v>
      </c>
      <c r="O22" s="13">
        <f t="shared" si="0"/>
        <v>170000</v>
      </c>
      <c r="P22" s="14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</row>
    <row r="23" spans="1:256" s="17" customFormat="1" x14ac:dyDescent="0.35">
      <c r="B23" s="15" t="s">
        <v>15</v>
      </c>
      <c r="C23" s="16">
        <f t="shared" ref="C23" si="43">C21-C22</f>
        <v>450000</v>
      </c>
      <c r="D23" s="16">
        <f t="shared" ref="D23:N23" si="44">D21-D22</f>
        <v>540000</v>
      </c>
      <c r="E23" s="16">
        <f t="shared" si="44"/>
        <v>540000</v>
      </c>
      <c r="F23" s="16">
        <f t="shared" si="44"/>
        <v>0</v>
      </c>
      <c r="G23" s="16">
        <f t="shared" si="44"/>
        <v>0</v>
      </c>
      <c r="H23" s="16">
        <f t="shared" si="44"/>
        <v>0</v>
      </c>
      <c r="I23" s="16">
        <f t="shared" si="44"/>
        <v>0</v>
      </c>
      <c r="J23" s="16">
        <f t="shared" si="44"/>
        <v>0</v>
      </c>
      <c r="K23" s="16">
        <f t="shared" si="44"/>
        <v>0</v>
      </c>
      <c r="L23" s="16">
        <f t="shared" si="44"/>
        <v>0</v>
      </c>
      <c r="M23" s="16">
        <f t="shared" si="44"/>
        <v>0</v>
      </c>
      <c r="N23" s="16">
        <f t="shared" si="44"/>
        <v>0</v>
      </c>
      <c r="O23" s="13">
        <f t="shared" si="0"/>
        <v>1530000</v>
      </c>
      <c r="P23" s="14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</row>
    <row r="24" spans="1:256" s="17" customFormat="1" x14ac:dyDescent="0.35">
      <c r="B24" s="15" t="s">
        <v>16</v>
      </c>
      <c r="C24" s="171">
        <f>IF(C23&gt;1000000,128000+0.3*(C23-1000000),IF(C23&gt;760000,68000+0.25*(C23-760000),IF(C23&gt;520000,20000+0.2*(C23-520000),IF(C23&gt;270000,0.08*(C23-270000),IF(C23&lt;=270000,0)))))</f>
        <v>14400</v>
      </c>
      <c r="D24" s="171">
        <f t="shared" ref="D24" si="45">IF(D23&gt;1000000,128000+0.3*(D23-1000000),IF(D23&gt;760000,68000+0.25*(D23-760000),IF(D23&gt;520000,20000+0.2*(D23-520000),IF(D23&gt;270000,0.08*(D23-270000),IF(D23&lt;=270000,0)))))</f>
        <v>24000</v>
      </c>
      <c r="E24" s="171">
        <f t="shared" ref="E24" si="46">IF(E23&gt;1000000,128000+0.3*(E23-1000000),IF(E23&gt;760000,68000+0.25*(E23-760000),IF(E23&gt;520000,20000+0.2*(E23-520000),IF(E23&gt;270000,0.08*(E23-270000),IF(E23&lt;=270000,0)))))</f>
        <v>24000</v>
      </c>
      <c r="F24" s="171">
        <f t="shared" ref="F24" si="47">IF(F23&gt;1000000,128000+0.3*(F23-1000000),IF(F23&gt;760000,68000+0.25*(F23-760000),IF(F23&gt;520000,20000+0.2*(F23-520000),IF(F23&gt;270000,0.08*(F23-270000),IF(F23&lt;=270000,0)))))</f>
        <v>0</v>
      </c>
      <c r="G24" s="171">
        <f t="shared" ref="G24" si="48">IF(G23&gt;1000000,128000+0.3*(G23-1000000),IF(G23&gt;760000,68000+0.25*(G23-760000),IF(G23&gt;520000,20000+0.2*(G23-520000),IF(G23&gt;270000,0.08*(G23-270000),IF(G23&lt;=270000,0)))))</f>
        <v>0</v>
      </c>
      <c r="H24" s="171">
        <f t="shared" ref="H24" si="49">IF(H23&gt;1000000,128000+0.3*(H23-1000000),IF(H23&gt;760000,68000+0.25*(H23-760000),IF(H23&gt;520000,20000+0.2*(H23-520000),IF(H23&gt;270000,0.08*(H23-270000),IF(H23&lt;=270000,0)))))</f>
        <v>0</v>
      </c>
      <c r="I24" s="171">
        <f t="shared" ref="I24" si="50">IF(I23&gt;1000000,128000+0.3*(I23-1000000),IF(I23&gt;760000,68000+0.25*(I23-760000),IF(I23&gt;520000,20000+0.2*(I23-520000),IF(I23&gt;270000,0.08*(I23-270000),IF(I23&lt;=270000,0)))))</f>
        <v>0</v>
      </c>
      <c r="J24" s="171">
        <f t="shared" ref="J24" si="51">IF(J23&gt;1000000,128000+0.3*(J23-1000000),IF(J23&gt;760000,68000+0.25*(J23-760000),IF(J23&gt;520000,20000+0.2*(J23-520000),IF(J23&gt;270000,0.08*(J23-270000),IF(J23&lt;=270000,0)))))</f>
        <v>0</v>
      </c>
      <c r="K24" s="171">
        <f t="shared" ref="K24" si="52">IF(K23&gt;1000000,128000+0.3*(K23-1000000),IF(K23&gt;760000,68000+0.25*(K23-760000),IF(K23&gt;520000,20000+0.2*(K23-520000),IF(K23&gt;270000,0.08*(K23-270000),IF(K23&lt;=270000,0)))))</f>
        <v>0</v>
      </c>
      <c r="L24" s="171">
        <f t="shared" ref="L24" si="53">IF(L23&gt;1000000,128000+0.3*(L23-1000000),IF(L23&gt;760000,68000+0.25*(L23-760000),IF(L23&gt;520000,20000+0.2*(L23-520000),IF(L23&gt;270000,0.08*(L23-270000),IF(L23&lt;=270000,0)))))</f>
        <v>0</v>
      </c>
      <c r="M24" s="171">
        <f t="shared" ref="M24" si="54">IF(M23&gt;1000000,128000+0.3*(M23-1000000),IF(M23&gt;760000,68000+0.25*(M23-760000),IF(M23&gt;520000,20000+0.2*(M23-520000),IF(M23&gt;270000,0.08*(M23-270000),IF(M23&lt;=270000,0)))))</f>
        <v>0</v>
      </c>
      <c r="N24" s="171">
        <f t="shared" ref="N24" si="55">IF(N23&gt;1000000,128000+0.3*(N23-1000000),IF(N23&gt;760000,68000+0.25*(N23-760000),IF(N23&gt;520000,20000+0.2*(N23-520000),IF(N23&gt;270000,0.08*(N23-270000),IF(N23&lt;=270000,0)))))</f>
        <v>0</v>
      </c>
      <c r="O24" s="13">
        <f t="shared" si="0"/>
        <v>62400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</row>
    <row r="25" spans="1:256" s="1" customFormat="1" x14ac:dyDescent="0.35">
      <c r="A25" s="1">
        <v>6</v>
      </c>
      <c r="B25" s="11" t="s">
        <v>399</v>
      </c>
      <c r="C25" s="12">
        <v>500000</v>
      </c>
      <c r="D25" s="12">
        <v>600000</v>
      </c>
      <c r="E25" s="12">
        <v>600000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3">
        <f t="shared" si="0"/>
        <v>1700000</v>
      </c>
      <c r="P25" s="14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</row>
    <row r="26" spans="1:256" s="1" customFormat="1" x14ac:dyDescent="0.35">
      <c r="B26" s="15" t="s">
        <v>14</v>
      </c>
      <c r="C26" s="16">
        <f t="shared" ref="C26" si="56">C25*0.1</f>
        <v>50000</v>
      </c>
      <c r="D26" s="16">
        <f t="shared" ref="D26:N26" si="57">D25*0.1</f>
        <v>60000</v>
      </c>
      <c r="E26" s="16">
        <f t="shared" si="57"/>
        <v>60000</v>
      </c>
      <c r="F26" s="16">
        <f t="shared" si="57"/>
        <v>0</v>
      </c>
      <c r="G26" s="16">
        <f t="shared" si="57"/>
        <v>0</v>
      </c>
      <c r="H26" s="16">
        <f t="shared" si="57"/>
        <v>0</v>
      </c>
      <c r="I26" s="16">
        <f t="shared" si="57"/>
        <v>0</v>
      </c>
      <c r="J26" s="16">
        <f t="shared" si="57"/>
        <v>0</v>
      </c>
      <c r="K26" s="16">
        <f t="shared" si="57"/>
        <v>0</v>
      </c>
      <c r="L26" s="16">
        <f t="shared" si="57"/>
        <v>0</v>
      </c>
      <c r="M26" s="16">
        <f t="shared" si="57"/>
        <v>0</v>
      </c>
      <c r="N26" s="16">
        <f t="shared" si="57"/>
        <v>0</v>
      </c>
      <c r="O26" s="13">
        <f t="shared" si="0"/>
        <v>170000</v>
      </c>
      <c r="P26" s="14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</row>
    <row r="27" spans="1:256" s="17" customFormat="1" x14ac:dyDescent="0.35">
      <c r="B27" s="15" t="s">
        <v>15</v>
      </c>
      <c r="C27" s="16">
        <f t="shared" ref="C27" si="58">C25-C26</f>
        <v>450000</v>
      </c>
      <c r="D27" s="16">
        <f t="shared" ref="D27:N27" si="59">D25-D26</f>
        <v>540000</v>
      </c>
      <c r="E27" s="16">
        <f t="shared" si="59"/>
        <v>540000</v>
      </c>
      <c r="F27" s="16">
        <f t="shared" si="59"/>
        <v>0</v>
      </c>
      <c r="G27" s="16">
        <f t="shared" si="59"/>
        <v>0</v>
      </c>
      <c r="H27" s="16">
        <f t="shared" si="59"/>
        <v>0</v>
      </c>
      <c r="I27" s="16">
        <f t="shared" si="59"/>
        <v>0</v>
      </c>
      <c r="J27" s="16">
        <f t="shared" si="59"/>
        <v>0</v>
      </c>
      <c r="K27" s="16">
        <f t="shared" si="59"/>
        <v>0</v>
      </c>
      <c r="L27" s="16">
        <f t="shared" si="59"/>
        <v>0</v>
      </c>
      <c r="M27" s="16">
        <f t="shared" si="59"/>
        <v>0</v>
      </c>
      <c r="N27" s="16">
        <f t="shared" si="59"/>
        <v>0</v>
      </c>
      <c r="O27" s="13">
        <f t="shared" si="0"/>
        <v>1530000</v>
      </c>
      <c r="P27" s="14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</row>
    <row r="28" spans="1:256" s="17" customFormat="1" x14ac:dyDescent="0.35">
      <c r="B28" s="15" t="s">
        <v>16</v>
      </c>
      <c r="C28" s="171">
        <f>IF(C27&gt;1000000,128000+0.3*(C27-1000000),IF(C27&gt;760000,68000+0.25*(C27-760000),IF(C27&gt;520000,20000+0.2*(C27-520000),IF(C27&gt;270000,0.08*(C27-270000),IF(C27&lt;=270000,0)))))</f>
        <v>14400</v>
      </c>
      <c r="D28" s="171">
        <f t="shared" ref="D28" si="60">IF(D27&gt;1000000,128000+0.3*(D27-1000000),IF(D27&gt;760000,68000+0.25*(D27-760000),IF(D27&gt;520000,20000+0.2*(D27-520000),IF(D27&gt;270000,0.08*(D27-270000),IF(D27&lt;=270000,0)))))</f>
        <v>24000</v>
      </c>
      <c r="E28" s="171">
        <f t="shared" ref="E28" si="61">IF(E27&gt;1000000,128000+0.3*(E27-1000000),IF(E27&gt;760000,68000+0.25*(E27-760000),IF(E27&gt;520000,20000+0.2*(E27-520000),IF(E27&gt;270000,0.08*(E27-270000),IF(E27&lt;=270000,0)))))</f>
        <v>24000</v>
      </c>
      <c r="F28" s="171">
        <f t="shared" ref="F28" si="62">IF(F27&gt;1000000,128000+0.3*(F27-1000000),IF(F27&gt;760000,68000+0.25*(F27-760000),IF(F27&gt;520000,20000+0.2*(F27-520000),IF(F27&gt;270000,0.08*(F27-270000),IF(F27&lt;=270000,0)))))</f>
        <v>0</v>
      </c>
      <c r="G28" s="171">
        <f t="shared" ref="G28" si="63">IF(G27&gt;1000000,128000+0.3*(G27-1000000),IF(G27&gt;760000,68000+0.25*(G27-760000),IF(G27&gt;520000,20000+0.2*(G27-520000),IF(G27&gt;270000,0.08*(G27-270000),IF(G27&lt;=270000,0)))))</f>
        <v>0</v>
      </c>
      <c r="H28" s="171">
        <f t="shared" ref="H28" si="64">IF(H27&gt;1000000,128000+0.3*(H27-1000000),IF(H27&gt;760000,68000+0.25*(H27-760000),IF(H27&gt;520000,20000+0.2*(H27-520000),IF(H27&gt;270000,0.08*(H27-270000),IF(H27&lt;=270000,0)))))</f>
        <v>0</v>
      </c>
      <c r="I28" s="171">
        <f t="shared" ref="I28" si="65">IF(I27&gt;1000000,128000+0.3*(I27-1000000),IF(I27&gt;760000,68000+0.25*(I27-760000),IF(I27&gt;520000,20000+0.2*(I27-520000),IF(I27&gt;270000,0.08*(I27-270000),IF(I27&lt;=270000,0)))))</f>
        <v>0</v>
      </c>
      <c r="J28" s="171">
        <f t="shared" ref="J28" si="66">IF(J27&gt;1000000,128000+0.3*(J27-1000000),IF(J27&gt;760000,68000+0.25*(J27-760000),IF(J27&gt;520000,20000+0.2*(J27-520000),IF(J27&gt;270000,0.08*(J27-270000),IF(J27&lt;=270000,0)))))</f>
        <v>0</v>
      </c>
      <c r="K28" s="171">
        <f t="shared" ref="K28" si="67">IF(K27&gt;1000000,128000+0.3*(K27-1000000),IF(K27&gt;760000,68000+0.25*(K27-760000),IF(K27&gt;520000,20000+0.2*(K27-520000),IF(K27&gt;270000,0.08*(K27-270000),IF(K27&lt;=270000,0)))))</f>
        <v>0</v>
      </c>
      <c r="L28" s="171">
        <f t="shared" ref="L28" si="68">IF(L27&gt;1000000,128000+0.3*(L27-1000000),IF(L27&gt;760000,68000+0.25*(L27-760000),IF(L27&gt;520000,20000+0.2*(L27-520000),IF(L27&gt;270000,0.08*(L27-270000),IF(L27&lt;=270000,0)))))</f>
        <v>0</v>
      </c>
      <c r="M28" s="171">
        <f t="shared" ref="M28" si="69">IF(M27&gt;1000000,128000+0.3*(M27-1000000),IF(M27&gt;760000,68000+0.25*(M27-760000),IF(M27&gt;520000,20000+0.2*(M27-520000),IF(M27&gt;270000,0.08*(M27-270000),IF(M27&lt;=270000,0)))))</f>
        <v>0</v>
      </c>
      <c r="N28" s="171">
        <f t="shared" ref="N28" si="70">IF(N27&gt;1000000,128000+0.3*(N27-1000000),IF(N27&gt;760000,68000+0.25*(N27-760000),IF(N27&gt;520000,20000+0.2*(N27-520000),IF(N27&gt;270000,0.08*(N27-270000),IF(N27&lt;=270000,0)))))</f>
        <v>0</v>
      </c>
      <c r="O28" s="13">
        <f t="shared" si="0"/>
        <v>62400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</row>
    <row r="29" spans="1:256" s="1" customFormat="1" x14ac:dyDescent="0.35">
      <c r="A29" s="1">
        <v>7</v>
      </c>
      <c r="B29" s="11" t="s">
        <v>400</v>
      </c>
      <c r="C29" s="12">
        <v>300000</v>
      </c>
      <c r="D29" s="12">
        <v>400000</v>
      </c>
      <c r="E29" s="12">
        <v>400000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3">
        <f t="shared" si="0"/>
        <v>1100000</v>
      </c>
      <c r="P29" s="14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</row>
    <row r="30" spans="1:256" s="1" customFormat="1" x14ac:dyDescent="0.35">
      <c r="B30" s="15" t="s">
        <v>14</v>
      </c>
      <c r="C30" s="16">
        <f t="shared" ref="C30" si="71">C29*0.1</f>
        <v>30000</v>
      </c>
      <c r="D30" s="16">
        <f t="shared" ref="D30:N30" si="72">D29*0.1</f>
        <v>40000</v>
      </c>
      <c r="E30" s="16">
        <f t="shared" si="72"/>
        <v>40000</v>
      </c>
      <c r="F30" s="16">
        <f t="shared" si="72"/>
        <v>0</v>
      </c>
      <c r="G30" s="16">
        <f t="shared" si="72"/>
        <v>0</v>
      </c>
      <c r="H30" s="16">
        <f t="shared" si="72"/>
        <v>0</v>
      </c>
      <c r="I30" s="16">
        <f t="shared" si="72"/>
        <v>0</v>
      </c>
      <c r="J30" s="16">
        <f t="shared" si="72"/>
        <v>0</v>
      </c>
      <c r="K30" s="16">
        <f t="shared" si="72"/>
        <v>0</v>
      </c>
      <c r="L30" s="16">
        <f t="shared" si="72"/>
        <v>0</v>
      </c>
      <c r="M30" s="16">
        <f t="shared" si="72"/>
        <v>0</v>
      </c>
      <c r="N30" s="16">
        <f t="shared" si="72"/>
        <v>0</v>
      </c>
      <c r="O30" s="13">
        <f t="shared" si="0"/>
        <v>110000</v>
      </c>
      <c r="P30" s="14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</row>
    <row r="31" spans="1:256" s="17" customFormat="1" x14ac:dyDescent="0.35">
      <c r="B31" s="15" t="s">
        <v>15</v>
      </c>
      <c r="C31" s="16">
        <f t="shared" ref="C31" si="73">C29-C30</f>
        <v>270000</v>
      </c>
      <c r="D31" s="16">
        <f t="shared" ref="D31:N31" si="74">D29-D30</f>
        <v>360000</v>
      </c>
      <c r="E31" s="16">
        <f t="shared" si="74"/>
        <v>360000</v>
      </c>
      <c r="F31" s="16">
        <f t="shared" si="74"/>
        <v>0</v>
      </c>
      <c r="G31" s="16">
        <f t="shared" si="74"/>
        <v>0</v>
      </c>
      <c r="H31" s="16">
        <f t="shared" si="74"/>
        <v>0</v>
      </c>
      <c r="I31" s="16">
        <f t="shared" si="74"/>
        <v>0</v>
      </c>
      <c r="J31" s="16">
        <f t="shared" si="74"/>
        <v>0</v>
      </c>
      <c r="K31" s="16">
        <f t="shared" si="74"/>
        <v>0</v>
      </c>
      <c r="L31" s="16">
        <f t="shared" si="74"/>
        <v>0</v>
      </c>
      <c r="M31" s="16">
        <f t="shared" si="74"/>
        <v>0</v>
      </c>
      <c r="N31" s="16">
        <f t="shared" si="74"/>
        <v>0</v>
      </c>
      <c r="O31" s="13">
        <f t="shared" si="0"/>
        <v>990000</v>
      </c>
      <c r="P31" s="14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</row>
    <row r="32" spans="1:256" s="17" customFormat="1" x14ac:dyDescent="0.35">
      <c r="B32" s="15" t="s">
        <v>16</v>
      </c>
      <c r="C32" s="171">
        <f>IF(C31&gt;1000000,128000+0.3*(C31-1000000),IF(C31&gt;760000,68000+0.25*(C31-760000),IF(C31&gt;520000,20000+0.2*(C31-520000),IF(C31&gt;270000,0.08*(C31-270000),IF(C31&lt;=270000,0)))))</f>
        <v>0</v>
      </c>
      <c r="D32" s="171">
        <f t="shared" ref="D32" si="75">IF(D31&gt;1000000,128000+0.3*(D31-1000000),IF(D31&gt;760000,68000+0.25*(D31-760000),IF(D31&gt;520000,20000+0.2*(D31-520000),IF(D31&gt;270000,0.08*(D31-270000),IF(D31&lt;=270000,0)))))</f>
        <v>7200</v>
      </c>
      <c r="E32" s="171">
        <f t="shared" ref="E32" si="76">IF(E31&gt;1000000,128000+0.3*(E31-1000000),IF(E31&gt;760000,68000+0.25*(E31-760000),IF(E31&gt;520000,20000+0.2*(E31-520000),IF(E31&gt;270000,0.08*(E31-270000),IF(E31&lt;=270000,0)))))</f>
        <v>7200</v>
      </c>
      <c r="F32" s="171">
        <f t="shared" ref="F32" si="77">IF(F31&gt;1000000,128000+0.3*(F31-1000000),IF(F31&gt;760000,68000+0.25*(F31-760000),IF(F31&gt;520000,20000+0.2*(F31-520000),IF(F31&gt;270000,0.08*(F31-270000),IF(F31&lt;=270000,0)))))</f>
        <v>0</v>
      </c>
      <c r="G32" s="171">
        <f t="shared" ref="G32" si="78">IF(G31&gt;1000000,128000+0.3*(G31-1000000),IF(G31&gt;760000,68000+0.25*(G31-760000),IF(G31&gt;520000,20000+0.2*(G31-520000),IF(G31&gt;270000,0.08*(G31-270000),IF(G31&lt;=270000,0)))))</f>
        <v>0</v>
      </c>
      <c r="H32" s="171">
        <f t="shared" ref="H32" si="79">IF(H31&gt;1000000,128000+0.3*(H31-1000000),IF(H31&gt;760000,68000+0.25*(H31-760000),IF(H31&gt;520000,20000+0.2*(H31-520000),IF(H31&gt;270000,0.08*(H31-270000),IF(H31&lt;=270000,0)))))</f>
        <v>0</v>
      </c>
      <c r="I32" s="171">
        <f t="shared" ref="I32" si="80">IF(I31&gt;1000000,128000+0.3*(I31-1000000),IF(I31&gt;760000,68000+0.25*(I31-760000),IF(I31&gt;520000,20000+0.2*(I31-520000),IF(I31&gt;270000,0.08*(I31-270000),IF(I31&lt;=270000,0)))))</f>
        <v>0</v>
      </c>
      <c r="J32" s="171">
        <f t="shared" ref="J32" si="81">IF(J31&gt;1000000,128000+0.3*(J31-1000000),IF(J31&gt;760000,68000+0.25*(J31-760000),IF(J31&gt;520000,20000+0.2*(J31-520000),IF(J31&gt;270000,0.08*(J31-270000),IF(J31&lt;=270000,0)))))</f>
        <v>0</v>
      </c>
      <c r="K32" s="171">
        <f t="shared" ref="K32" si="82">IF(K31&gt;1000000,128000+0.3*(K31-1000000),IF(K31&gt;760000,68000+0.25*(K31-760000),IF(K31&gt;520000,20000+0.2*(K31-520000),IF(K31&gt;270000,0.08*(K31-270000),IF(K31&lt;=270000,0)))))</f>
        <v>0</v>
      </c>
      <c r="L32" s="171">
        <f t="shared" ref="L32" si="83">IF(L31&gt;1000000,128000+0.3*(L31-1000000),IF(L31&gt;760000,68000+0.25*(L31-760000),IF(L31&gt;520000,20000+0.2*(L31-520000),IF(L31&gt;270000,0.08*(L31-270000),IF(L31&lt;=270000,0)))))</f>
        <v>0</v>
      </c>
      <c r="M32" s="171">
        <f t="shared" ref="M32" si="84">IF(M31&gt;1000000,128000+0.3*(M31-1000000),IF(M31&gt;760000,68000+0.25*(M31-760000),IF(M31&gt;520000,20000+0.2*(M31-520000),IF(M31&gt;270000,0.08*(M31-270000),IF(M31&lt;=270000,0)))))</f>
        <v>0</v>
      </c>
      <c r="N32" s="171">
        <f t="shared" ref="N32" si="85">IF(N31&gt;1000000,128000+0.3*(N31-1000000),IF(N31&gt;760000,68000+0.25*(N31-760000),IF(N31&gt;520000,20000+0.2*(N31-520000),IF(N31&gt;270000,0.08*(N31-270000),IF(N31&lt;=270000,0)))))</f>
        <v>0</v>
      </c>
      <c r="O32" s="13">
        <f t="shared" si="0"/>
        <v>14400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</row>
    <row r="33" spans="1:256" s="1" customFormat="1" x14ac:dyDescent="0.35">
      <c r="A33" s="1">
        <v>8</v>
      </c>
      <c r="B33" s="11" t="s">
        <v>401</v>
      </c>
      <c r="C33" s="12">
        <v>300000</v>
      </c>
      <c r="D33" s="12">
        <v>300000</v>
      </c>
      <c r="E33" s="12">
        <v>300000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3">
        <f t="shared" si="0"/>
        <v>900000</v>
      </c>
      <c r="P33" s="14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</row>
    <row r="34" spans="1:256" s="1" customFormat="1" x14ac:dyDescent="0.35">
      <c r="B34" s="15" t="s">
        <v>14</v>
      </c>
      <c r="C34" s="16">
        <f t="shared" ref="C34" si="86">C33*0.1</f>
        <v>30000</v>
      </c>
      <c r="D34" s="16">
        <f t="shared" ref="D34:N34" si="87">D33*0.1</f>
        <v>30000</v>
      </c>
      <c r="E34" s="16">
        <f t="shared" si="87"/>
        <v>30000</v>
      </c>
      <c r="F34" s="16">
        <f t="shared" si="87"/>
        <v>0</v>
      </c>
      <c r="G34" s="16">
        <f t="shared" si="87"/>
        <v>0</v>
      </c>
      <c r="H34" s="16">
        <f t="shared" si="87"/>
        <v>0</v>
      </c>
      <c r="I34" s="16">
        <f t="shared" si="87"/>
        <v>0</v>
      </c>
      <c r="J34" s="16">
        <f t="shared" si="87"/>
        <v>0</v>
      </c>
      <c r="K34" s="16">
        <f t="shared" si="87"/>
        <v>0</v>
      </c>
      <c r="L34" s="16">
        <f t="shared" si="87"/>
        <v>0</v>
      </c>
      <c r="M34" s="16">
        <f t="shared" si="87"/>
        <v>0</v>
      </c>
      <c r="N34" s="16">
        <f t="shared" si="87"/>
        <v>0</v>
      </c>
      <c r="O34" s="13">
        <f t="shared" si="0"/>
        <v>90000</v>
      </c>
      <c r="P34" s="14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</row>
    <row r="35" spans="1:256" s="17" customFormat="1" x14ac:dyDescent="0.35">
      <c r="B35" s="15" t="s">
        <v>15</v>
      </c>
      <c r="C35" s="16">
        <f t="shared" ref="C35" si="88">C33-C34</f>
        <v>270000</v>
      </c>
      <c r="D35" s="16">
        <f t="shared" ref="D35:N35" si="89">D33-D34</f>
        <v>270000</v>
      </c>
      <c r="E35" s="16">
        <f t="shared" si="89"/>
        <v>270000</v>
      </c>
      <c r="F35" s="16">
        <f t="shared" si="89"/>
        <v>0</v>
      </c>
      <c r="G35" s="16">
        <f t="shared" si="89"/>
        <v>0</v>
      </c>
      <c r="H35" s="16">
        <f t="shared" si="89"/>
        <v>0</v>
      </c>
      <c r="I35" s="16">
        <f t="shared" si="89"/>
        <v>0</v>
      </c>
      <c r="J35" s="16">
        <f t="shared" si="89"/>
        <v>0</v>
      </c>
      <c r="K35" s="16">
        <f t="shared" si="89"/>
        <v>0</v>
      </c>
      <c r="L35" s="16">
        <f t="shared" si="89"/>
        <v>0</v>
      </c>
      <c r="M35" s="16">
        <f t="shared" si="89"/>
        <v>0</v>
      </c>
      <c r="N35" s="16">
        <f t="shared" si="89"/>
        <v>0</v>
      </c>
      <c r="O35" s="13">
        <f t="shared" si="0"/>
        <v>810000</v>
      </c>
      <c r="P35" s="14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</row>
    <row r="36" spans="1:256" s="17" customFormat="1" x14ac:dyDescent="0.35">
      <c r="B36" s="15" t="s">
        <v>16</v>
      </c>
      <c r="C36" s="171">
        <f>IF(C35&gt;1000000,128000+0.3*(C35-1000000),IF(C35&gt;760000,68000+0.25*(C35-760000),IF(C35&gt;520000,20000+0.2*(C35-520000),IF(C35&gt;270000,0.08*(C35-270000),IF(C35&lt;=270000,0)))))</f>
        <v>0</v>
      </c>
      <c r="D36" s="171">
        <f t="shared" ref="D36" si="90">IF(D35&gt;1000000,128000+0.3*(D35-1000000),IF(D35&gt;760000,68000+0.25*(D35-760000),IF(D35&gt;520000,20000+0.2*(D35-520000),IF(D35&gt;270000,0.08*(D35-270000),IF(D35&lt;=270000,0)))))</f>
        <v>0</v>
      </c>
      <c r="E36" s="171">
        <f t="shared" ref="E36" si="91">IF(E35&gt;1000000,128000+0.3*(E35-1000000),IF(E35&gt;760000,68000+0.25*(E35-760000),IF(E35&gt;520000,20000+0.2*(E35-520000),IF(E35&gt;270000,0.08*(E35-270000),IF(E35&lt;=270000,0)))))</f>
        <v>0</v>
      </c>
      <c r="F36" s="171">
        <f t="shared" ref="F36" si="92">IF(F35&gt;1000000,128000+0.3*(F35-1000000),IF(F35&gt;760000,68000+0.25*(F35-760000),IF(F35&gt;520000,20000+0.2*(F35-520000),IF(F35&gt;270000,0.08*(F35-270000),IF(F35&lt;=270000,0)))))</f>
        <v>0</v>
      </c>
      <c r="G36" s="171">
        <f t="shared" ref="G36" si="93">IF(G35&gt;1000000,128000+0.3*(G35-1000000),IF(G35&gt;760000,68000+0.25*(G35-760000),IF(G35&gt;520000,20000+0.2*(G35-520000),IF(G35&gt;270000,0.08*(G35-270000),IF(G35&lt;=270000,0)))))</f>
        <v>0</v>
      </c>
      <c r="H36" s="171">
        <f t="shared" ref="H36" si="94">IF(H35&gt;1000000,128000+0.3*(H35-1000000),IF(H35&gt;760000,68000+0.25*(H35-760000),IF(H35&gt;520000,20000+0.2*(H35-520000),IF(H35&gt;270000,0.08*(H35-270000),IF(H35&lt;=270000,0)))))</f>
        <v>0</v>
      </c>
      <c r="I36" s="171">
        <f t="shared" ref="I36" si="95">IF(I35&gt;1000000,128000+0.3*(I35-1000000),IF(I35&gt;760000,68000+0.25*(I35-760000),IF(I35&gt;520000,20000+0.2*(I35-520000),IF(I35&gt;270000,0.08*(I35-270000),IF(I35&lt;=270000,0)))))</f>
        <v>0</v>
      </c>
      <c r="J36" s="171">
        <f t="shared" ref="J36" si="96">IF(J35&gt;1000000,128000+0.3*(J35-1000000),IF(J35&gt;760000,68000+0.25*(J35-760000),IF(J35&gt;520000,20000+0.2*(J35-520000),IF(J35&gt;270000,0.08*(J35-270000),IF(J35&lt;=270000,0)))))</f>
        <v>0</v>
      </c>
      <c r="K36" s="171">
        <f t="shared" ref="K36" si="97">IF(K35&gt;1000000,128000+0.3*(K35-1000000),IF(K35&gt;760000,68000+0.25*(K35-760000),IF(K35&gt;520000,20000+0.2*(K35-520000),IF(K35&gt;270000,0.08*(K35-270000),IF(K35&lt;=270000,0)))))</f>
        <v>0</v>
      </c>
      <c r="L36" s="171">
        <f t="shared" ref="L36" si="98">IF(L35&gt;1000000,128000+0.3*(L35-1000000),IF(L35&gt;760000,68000+0.25*(L35-760000),IF(L35&gt;520000,20000+0.2*(L35-520000),IF(L35&gt;270000,0.08*(L35-270000),IF(L35&lt;=270000,0)))))</f>
        <v>0</v>
      </c>
      <c r="M36" s="171">
        <f t="shared" ref="M36" si="99">IF(M35&gt;1000000,128000+0.3*(M35-1000000),IF(M35&gt;760000,68000+0.25*(M35-760000),IF(M35&gt;520000,20000+0.2*(M35-520000),IF(M35&gt;270000,0.08*(M35-270000),IF(M35&lt;=270000,0)))))</f>
        <v>0</v>
      </c>
      <c r="N36" s="171">
        <f t="shared" ref="N36" si="100">IF(N35&gt;1000000,128000+0.3*(N35-1000000),IF(N35&gt;760000,68000+0.25*(N35-760000),IF(N35&gt;520000,20000+0.2*(N35-520000),IF(N35&gt;270000,0.08*(N35-270000),IF(N35&lt;=270000,0)))))</f>
        <v>0</v>
      </c>
      <c r="O36" s="13">
        <f t="shared" si="0"/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</row>
    <row r="37" spans="1:256" s="1" customFormat="1" x14ac:dyDescent="0.35">
      <c r="A37" s="1">
        <v>9</v>
      </c>
      <c r="B37" s="11" t="s">
        <v>402</v>
      </c>
      <c r="C37" s="12">
        <v>300000</v>
      </c>
      <c r="D37" s="12">
        <v>300000</v>
      </c>
      <c r="E37" s="12">
        <v>300000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3">
        <f t="shared" si="0"/>
        <v>900000</v>
      </c>
      <c r="P37" s="14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</row>
    <row r="38" spans="1:256" s="1" customFormat="1" x14ac:dyDescent="0.35">
      <c r="B38" s="15" t="s">
        <v>14</v>
      </c>
      <c r="C38" s="16">
        <f t="shared" ref="C38" si="101">C37*0.1</f>
        <v>30000</v>
      </c>
      <c r="D38" s="16">
        <f t="shared" ref="D38:N38" si="102">D37*0.1</f>
        <v>30000</v>
      </c>
      <c r="E38" s="16">
        <f t="shared" si="102"/>
        <v>30000</v>
      </c>
      <c r="F38" s="16">
        <f t="shared" si="102"/>
        <v>0</v>
      </c>
      <c r="G38" s="16">
        <f t="shared" si="102"/>
        <v>0</v>
      </c>
      <c r="H38" s="16">
        <f t="shared" si="102"/>
        <v>0</v>
      </c>
      <c r="I38" s="16">
        <f t="shared" si="102"/>
        <v>0</v>
      </c>
      <c r="J38" s="16">
        <f t="shared" si="102"/>
        <v>0</v>
      </c>
      <c r="K38" s="16">
        <f t="shared" si="102"/>
        <v>0</v>
      </c>
      <c r="L38" s="16">
        <f t="shared" si="102"/>
        <v>0</v>
      </c>
      <c r="M38" s="16">
        <f t="shared" si="102"/>
        <v>0</v>
      </c>
      <c r="N38" s="16">
        <f t="shared" si="102"/>
        <v>0</v>
      </c>
      <c r="O38" s="13">
        <f t="shared" si="0"/>
        <v>90000</v>
      </c>
      <c r="P38" s="14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</row>
    <row r="39" spans="1:256" s="17" customFormat="1" x14ac:dyDescent="0.35">
      <c r="B39" s="15" t="s">
        <v>15</v>
      </c>
      <c r="C39" s="16">
        <f t="shared" ref="C39" si="103">C37-C38</f>
        <v>270000</v>
      </c>
      <c r="D39" s="16">
        <f t="shared" ref="D39:N39" si="104">D37-D38</f>
        <v>270000</v>
      </c>
      <c r="E39" s="16">
        <f t="shared" si="104"/>
        <v>270000</v>
      </c>
      <c r="F39" s="16">
        <f t="shared" si="104"/>
        <v>0</v>
      </c>
      <c r="G39" s="16">
        <f t="shared" si="104"/>
        <v>0</v>
      </c>
      <c r="H39" s="16">
        <f t="shared" si="104"/>
        <v>0</v>
      </c>
      <c r="I39" s="16">
        <f t="shared" si="104"/>
        <v>0</v>
      </c>
      <c r="J39" s="16">
        <f t="shared" si="104"/>
        <v>0</v>
      </c>
      <c r="K39" s="16">
        <f t="shared" si="104"/>
        <v>0</v>
      </c>
      <c r="L39" s="16">
        <f t="shared" si="104"/>
        <v>0</v>
      </c>
      <c r="M39" s="16">
        <f t="shared" si="104"/>
        <v>0</v>
      </c>
      <c r="N39" s="16">
        <f t="shared" si="104"/>
        <v>0</v>
      </c>
      <c r="O39" s="13">
        <f t="shared" si="0"/>
        <v>810000</v>
      </c>
      <c r="P39" s="14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</row>
    <row r="40" spans="1:256" s="17" customFormat="1" x14ac:dyDescent="0.35">
      <c r="B40" s="15" t="s">
        <v>16</v>
      </c>
      <c r="C40" s="171">
        <f>IF(C39&gt;1000000,128000+0.3*(C39-1000000),IF(C39&gt;760000,68000+0.25*(C39-760000),IF(C39&gt;520000,20000+0.2*(C39-520000),IF(C39&gt;270000,0.08*(C39-270000),IF(C39&lt;=270000,0)))))</f>
        <v>0</v>
      </c>
      <c r="D40" s="171">
        <f t="shared" ref="D40" si="105">IF(D39&gt;1000000,128000+0.3*(D39-1000000),IF(D39&gt;760000,68000+0.25*(D39-760000),IF(D39&gt;520000,20000+0.2*(D39-520000),IF(D39&gt;270000,0.08*(D39-270000),IF(D39&lt;=270000,0)))))</f>
        <v>0</v>
      </c>
      <c r="E40" s="171">
        <f t="shared" ref="E40" si="106">IF(E39&gt;1000000,128000+0.3*(E39-1000000),IF(E39&gt;760000,68000+0.25*(E39-760000),IF(E39&gt;520000,20000+0.2*(E39-520000),IF(E39&gt;270000,0.08*(E39-270000),IF(E39&lt;=270000,0)))))</f>
        <v>0</v>
      </c>
      <c r="F40" s="171">
        <f t="shared" ref="F40" si="107">IF(F39&gt;1000000,128000+0.3*(F39-1000000),IF(F39&gt;760000,68000+0.25*(F39-760000),IF(F39&gt;520000,20000+0.2*(F39-520000),IF(F39&gt;270000,0.08*(F39-270000),IF(F39&lt;=270000,0)))))</f>
        <v>0</v>
      </c>
      <c r="G40" s="171">
        <f t="shared" ref="G40" si="108">IF(G39&gt;1000000,128000+0.3*(G39-1000000),IF(G39&gt;760000,68000+0.25*(G39-760000),IF(G39&gt;520000,20000+0.2*(G39-520000),IF(G39&gt;270000,0.08*(G39-270000),IF(G39&lt;=270000,0)))))</f>
        <v>0</v>
      </c>
      <c r="H40" s="171">
        <f t="shared" ref="H40" si="109">IF(H39&gt;1000000,128000+0.3*(H39-1000000),IF(H39&gt;760000,68000+0.25*(H39-760000),IF(H39&gt;520000,20000+0.2*(H39-520000),IF(H39&gt;270000,0.08*(H39-270000),IF(H39&lt;=270000,0)))))</f>
        <v>0</v>
      </c>
      <c r="I40" s="171">
        <f t="shared" ref="I40" si="110">IF(I39&gt;1000000,128000+0.3*(I39-1000000),IF(I39&gt;760000,68000+0.25*(I39-760000),IF(I39&gt;520000,20000+0.2*(I39-520000),IF(I39&gt;270000,0.08*(I39-270000),IF(I39&lt;=270000,0)))))</f>
        <v>0</v>
      </c>
      <c r="J40" s="171">
        <f t="shared" ref="J40" si="111">IF(J39&gt;1000000,128000+0.3*(J39-1000000),IF(J39&gt;760000,68000+0.25*(J39-760000),IF(J39&gt;520000,20000+0.2*(J39-520000),IF(J39&gt;270000,0.08*(J39-270000),IF(J39&lt;=270000,0)))))</f>
        <v>0</v>
      </c>
      <c r="K40" s="171">
        <f t="shared" ref="K40" si="112">IF(K39&gt;1000000,128000+0.3*(K39-1000000),IF(K39&gt;760000,68000+0.25*(K39-760000),IF(K39&gt;520000,20000+0.2*(K39-520000),IF(K39&gt;270000,0.08*(K39-270000),IF(K39&lt;=270000,0)))))</f>
        <v>0</v>
      </c>
      <c r="L40" s="171">
        <f t="shared" ref="L40" si="113">IF(L39&gt;1000000,128000+0.3*(L39-1000000),IF(L39&gt;760000,68000+0.25*(L39-760000),IF(L39&gt;520000,20000+0.2*(L39-520000),IF(L39&gt;270000,0.08*(L39-270000),IF(L39&lt;=270000,0)))))</f>
        <v>0</v>
      </c>
      <c r="M40" s="171">
        <f t="shared" ref="M40" si="114">IF(M39&gt;1000000,128000+0.3*(M39-1000000),IF(M39&gt;760000,68000+0.25*(M39-760000),IF(M39&gt;520000,20000+0.2*(M39-520000),IF(M39&gt;270000,0.08*(M39-270000),IF(M39&lt;=270000,0)))))</f>
        <v>0</v>
      </c>
      <c r="N40" s="171">
        <f t="shared" ref="N40" si="115">IF(N39&gt;1000000,128000+0.3*(N39-1000000),IF(N39&gt;760000,68000+0.25*(N39-760000),IF(N39&gt;520000,20000+0.2*(N39-520000),IF(N39&gt;270000,0.08*(N39-270000),IF(N39&lt;=270000,0)))))</f>
        <v>0</v>
      </c>
      <c r="O40" s="13">
        <f t="shared" si="0"/>
        <v>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</row>
    <row r="41" spans="1:256" s="1" customFormat="1" x14ac:dyDescent="0.35">
      <c r="A41" s="1">
        <v>10</v>
      </c>
      <c r="B41" s="11" t="s">
        <v>403</v>
      </c>
      <c r="C41" s="12">
        <v>300000</v>
      </c>
      <c r="D41" s="12">
        <v>300000</v>
      </c>
      <c r="E41" s="12">
        <v>300000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3">
        <f t="shared" si="0"/>
        <v>900000</v>
      </c>
      <c r="P41" s="14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</row>
    <row r="42" spans="1:256" s="1" customFormat="1" x14ac:dyDescent="0.35">
      <c r="B42" s="15" t="s">
        <v>14</v>
      </c>
      <c r="C42" s="16">
        <f t="shared" ref="C42" si="116">C41*0.1</f>
        <v>30000</v>
      </c>
      <c r="D42" s="16">
        <f t="shared" ref="D42:N42" si="117">D41*0.1</f>
        <v>30000</v>
      </c>
      <c r="E42" s="16">
        <f t="shared" si="117"/>
        <v>30000</v>
      </c>
      <c r="F42" s="16">
        <f t="shared" si="117"/>
        <v>0</v>
      </c>
      <c r="G42" s="16">
        <f t="shared" si="117"/>
        <v>0</v>
      </c>
      <c r="H42" s="16">
        <f t="shared" si="117"/>
        <v>0</v>
      </c>
      <c r="I42" s="16">
        <f t="shared" si="117"/>
        <v>0</v>
      </c>
      <c r="J42" s="16">
        <f t="shared" si="117"/>
        <v>0</v>
      </c>
      <c r="K42" s="16">
        <f t="shared" si="117"/>
        <v>0</v>
      </c>
      <c r="L42" s="16">
        <f t="shared" si="117"/>
        <v>0</v>
      </c>
      <c r="M42" s="16">
        <f t="shared" si="117"/>
        <v>0</v>
      </c>
      <c r="N42" s="16">
        <f t="shared" si="117"/>
        <v>0</v>
      </c>
      <c r="O42" s="13">
        <f t="shared" si="0"/>
        <v>90000</v>
      </c>
      <c r="P42" s="14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</row>
    <row r="43" spans="1:256" s="17" customFormat="1" x14ac:dyDescent="0.35">
      <c r="B43" s="15" t="s">
        <v>15</v>
      </c>
      <c r="C43" s="16">
        <f t="shared" ref="C43" si="118">C41-C42</f>
        <v>270000</v>
      </c>
      <c r="D43" s="16">
        <f t="shared" ref="D43:N43" si="119">D41-D42</f>
        <v>270000</v>
      </c>
      <c r="E43" s="16">
        <f t="shared" si="119"/>
        <v>270000</v>
      </c>
      <c r="F43" s="16">
        <f t="shared" si="119"/>
        <v>0</v>
      </c>
      <c r="G43" s="16">
        <f t="shared" si="119"/>
        <v>0</v>
      </c>
      <c r="H43" s="16">
        <f t="shared" si="119"/>
        <v>0</v>
      </c>
      <c r="I43" s="16">
        <f t="shared" si="119"/>
        <v>0</v>
      </c>
      <c r="J43" s="16">
        <f t="shared" si="119"/>
        <v>0</v>
      </c>
      <c r="K43" s="16">
        <f t="shared" si="119"/>
        <v>0</v>
      </c>
      <c r="L43" s="16">
        <f t="shared" si="119"/>
        <v>0</v>
      </c>
      <c r="M43" s="16">
        <f t="shared" si="119"/>
        <v>0</v>
      </c>
      <c r="N43" s="16">
        <f t="shared" si="119"/>
        <v>0</v>
      </c>
      <c r="O43" s="13">
        <f t="shared" si="0"/>
        <v>810000</v>
      </c>
      <c r="P43" s="14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</row>
    <row r="44" spans="1:256" s="17" customFormat="1" x14ac:dyDescent="0.35">
      <c r="B44" s="15" t="s">
        <v>16</v>
      </c>
      <c r="C44" s="171">
        <f>IF(C43&gt;1000000,128000+0.3*(C43-1000000),IF(C43&gt;760000,68000+0.25*(C43-760000),IF(C43&gt;520000,20000+0.2*(C43-520000),IF(C43&gt;270000,0.08*(C43-270000),IF(C43&lt;=270000,0)))))</f>
        <v>0</v>
      </c>
      <c r="D44" s="171">
        <f t="shared" ref="D44" si="120">IF(D43&gt;1000000,128000+0.3*(D43-1000000),IF(D43&gt;760000,68000+0.25*(D43-760000),IF(D43&gt;520000,20000+0.2*(D43-520000),IF(D43&gt;270000,0.08*(D43-270000),IF(D43&lt;=270000,0)))))</f>
        <v>0</v>
      </c>
      <c r="E44" s="171">
        <f t="shared" ref="E44" si="121">IF(E43&gt;1000000,128000+0.3*(E43-1000000),IF(E43&gt;760000,68000+0.25*(E43-760000),IF(E43&gt;520000,20000+0.2*(E43-520000),IF(E43&gt;270000,0.08*(E43-270000),IF(E43&lt;=270000,0)))))</f>
        <v>0</v>
      </c>
      <c r="F44" s="171">
        <f t="shared" ref="F44" si="122">IF(F43&gt;1000000,128000+0.3*(F43-1000000),IF(F43&gt;760000,68000+0.25*(F43-760000),IF(F43&gt;520000,20000+0.2*(F43-520000),IF(F43&gt;270000,0.08*(F43-270000),IF(F43&lt;=270000,0)))))</f>
        <v>0</v>
      </c>
      <c r="G44" s="171">
        <f t="shared" ref="G44" si="123">IF(G43&gt;1000000,128000+0.3*(G43-1000000),IF(G43&gt;760000,68000+0.25*(G43-760000),IF(G43&gt;520000,20000+0.2*(G43-520000),IF(G43&gt;270000,0.08*(G43-270000),IF(G43&lt;=270000,0)))))</f>
        <v>0</v>
      </c>
      <c r="H44" s="171">
        <f t="shared" ref="H44" si="124">IF(H43&gt;1000000,128000+0.3*(H43-1000000),IF(H43&gt;760000,68000+0.25*(H43-760000),IF(H43&gt;520000,20000+0.2*(H43-520000),IF(H43&gt;270000,0.08*(H43-270000),IF(H43&lt;=270000,0)))))</f>
        <v>0</v>
      </c>
      <c r="I44" s="171">
        <f t="shared" ref="I44" si="125">IF(I43&gt;1000000,128000+0.3*(I43-1000000),IF(I43&gt;760000,68000+0.25*(I43-760000),IF(I43&gt;520000,20000+0.2*(I43-520000),IF(I43&gt;270000,0.08*(I43-270000),IF(I43&lt;=270000,0)))))</f>
        <v>0</v>
      </c>
      <c r="J44" s="171">
        <f t="shared" ref="J44" si="126">IF(J43&gt;1000000,128000+0.3*(J43-1000000),IF(J43&gt;760000,68000+0.25*(J43-760000),IF(J43&gt;520000,20000+0.2*(J43-520000),IF(J43&gt;270000,0.08*(J43-270000),IF(J43&lt;=270000,0)))))</f>
        <v>0</v>
      </c>
      <c r="K44" s="171">
        <f t="shared" ref="K44" si="127">IF(K43&gt;1000000,128000+0.3*(K43-1000000),IF(K43&gt;760000,68000+0.25*(K43-760000),IF(K43&gt;520000,20000+0.2*(K43-520000),IF(K43&gt;270000,0.08*(K43-270000),IF(K43&lt;=270000,0)))))</f>
        <v>0</v>
      </c>
      <c r="L44" s="171">
        <f t="shared" ref="L44" si="128">IF(L43&gt;1000000,128000+0.3*(L43-1000000),IF(L43&gt;760000,68000+0.25*(L43-760000),IF(L43&gt;520000,20000+0.2*(L43-520000),IF(L43&gt;270000,0.08*(L43-270000),IF(L43&lt;=270000,0)))))</f>
        <v>0</v>
      </c>
      <c r="M44" s="171">
        <f t="shared" ref="M44" si="129">IF(M43&gt;1000000,128000+0.3*(M43-1000000),IF(M43&gt;760000,68000+0.25*(M43-760000),IF(M43&gt;520000,20000+0.2*(M43-520000),IF(M43&gt;270000,0.08*(M43-270000),IF(M43&lt;=270000,0)))))</f>
        <v>0</v>
      </c>
      <c r="N44" s="171">
        <f t="shared" ref="N44" si="130">IF(N43&gt;1000000,128000+0.3*(N43-1000000),IF(N43&gt;760000,68000+0.25*(N43-760000),IF(N43&gt;520000,20000+0.2*(N43-520000),IF(N43&gt;270000,0.08*(N43-270000),IF(N43&lt;=270000,0)))))</f>
        <v>0</v>
      </c>
      <c r="O44" s="13">
        <f t="shared" si="0"/>
        <v>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</row>
    <row r="45" spans="1:256" s="1" customFormat="1" x14ac:dyDescent="0.35">
      <c r="A45" s="1">
        <v>11</v>
      </c>
      <c r="B45" s="11" t="s">
        <v>404</v>
      </c>
      <c r="C45" s="12">
        <v>300000</v>
      </c>
      <c r="D45" s="12">
        <v>300000</v>
      </c>
      <c r="E45" s="12">
        <v>300000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3">
        <f t="shared" si="0"/>
        <v>900000</v>
      </c>
      <c r="P45" s="14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pans="1:256" s="1" customFormat="1" x14ac:dyDescent="0.35">
      <c r="B46" s="15" t="s">
        <v>14</v>
      </c>
      <c r="C46" s="16">
        <f t="shared" ref="C46" si="131">C45*0.1</f>
        <v>30000</v>
      </c>
      <c r="D46" s="16">
        <f t="shared" ref="D46:N46" si="132">D45*0.1</f>
        <v>30000</v>
      </c>
      <c r="E46" s="16">
        <f t="shared" si="132"/>
        <v>30000</v>
      </c>
      <c r="F46" s="16">
        <f t="shared" si="132"/>
        <v>0</v>
      </c>
      <c r="G46" s="16">
        <f t="shared" si="132"/>
        <v>0</v>
      </c>
      <c r="H46" s="16">
        <f t="shared" si="132"/>
        <v>0</v>
      </c>
      <c r="I46" s="16">
        <f t="shared" si="132"/>
        <v>0</v>
      </c>
      <c r="J46" s="16">
        <f t="shared" si="132"/>
        <v>0</v>
      </c>
      <c r="K46" s="16">
        <f t="shared" si="132"/>
        <v>0</v>
      </c>
      <c r="L46" s="16">
        <f t="shared" si="132"/>
        <v>0</v>
      </c>
      <c r="M46" s="16">
        <f t="shared" si="132"/>
        <v>0</v>
      </c>
      <c r="N46" s="16">
        <f t="shared" si="132"/>
        <v>0</v>
      </c>
      <c r="O46" s="13">
        <f t="shared" si="0"/>
        <v>90000</v>
      </c>
      <c r="P46" s="14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pans="1:256" s="17" customFormat="1" x14ac:dyDescent="0.35">
      <c r="B47" s="15" t="s">
        <v>15</v>
      </c>
      <c r="C47" s="16">
        <f t="shared" ref="C47" si="133">C45-C46</f>
        <v>270000</v>
      </c>
      <c r="D47" s="16">
        <f t="shared" ref="D47:N47" si="134">D45-D46</f>
        <v>270000</v>
      </c>
      <c r="E47" s="16">
        <f t="shared" si="134"/>
        <v>270000</v>
      </c>
      <c r="F47" s="16">
        <f t="shared" si="134"/>
        <v>0</v>
      </c>
      <c r="G47" s="16">
        <f t="shared" si="134"/>
        <v>0</v>
      </c>
      <c r="H47" s="16">
        <f t="shared" si="134"/>
        <v>0</v>
      </c>
      <c r="I47" s="16">
        <f t="shared" si="134"/>
        <v>0</v>
      </c>
      <c r="J47" s="16">
        <f t="shared" si="134"/>
        <v>0</v>
      </c>
      <c r="K47" s="16">
        <f t="shared" si="134"/>
        <v>0</v>
      </c>
      <c r="L47" s="16">
        <f t="shared" si="134"/>
        <v>0</v>
      </c>
      <c r="M47" s="16">
        <f t="shared" si="134"/>
        <v>0</v>
      </c>
      <c r="N47" s="16">
        <f t="shared" si="134"/>
        <v>0</v>
      </c>
      <c r="O47" s="13">
        <f t="shared" si="0"/>
        <v>810000</v>
      </c>
      <c r="P47" s="14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</row>
    <row r="48" spans="1:256" s="17" customFormat="1" x14ac:dyDescent="0.35">
      <c r="B48" s="15" t="s">
        <v>16</v>
      </c>
      <c r="C48" s="171">
        <f>IF(C47&gt;1000000,128000+0.3*(C47-1000000),IF(C47&gt;760000,68000+0.25*(C47-760000),IF(C47&gt;520000,20000+0.2*(C47-520000),IF(C47&gt;270000,0.08*(C47-270000),IF(C47&lt;=270000,0)))))</f>
        <v>0</v>
      </c>
      <c r="D48" s="171">
        <f t="shared" ref="D48" si="135">IF(D47&gt;1000000,128000+0.3*(D47-1000000),IF(D47&gt;760000,68000+0.25*(D47-760000),IF(D47&gt;520000,20000+0.2*(D47-520000),IF(D47&gt;270000,0.08*(D47-270000),IF(D47&lt;=270000,0)))))</f>
        <v>0</v>
      </c>
      <c r="E48" s="171">
        <f t="shared" ref="E48" si="136">IF(E47&gt;1000000,128000+0.3*(E47-1000000),IF(E47&gt;760000,68000+0.25*(E47-760000),IF(E47&gt;520000,20000+0.2*(E47-520000),IF(E47&gt;270000,0.08*(E47-270000),IF(E47&lt;=270000,0)))))</f>
        <v>0</v>
      </c>
      <c r="F48" s="171">
        <f t="shared" ref="F48" si="137">IF(F47&gt;1000000,128000+0.3*(F47-1000000),IF(F47&gt;760000,68000+0.25*(F47-760000),IF(F47&gt;520000,20000+0.2*(F47-520000),IF(F47&gt;270000,0.08*(F47-270000),IF(F47&lt;=270000,0)))))</f>
        <v>0</v>
      </c>
      <c r="G48" s="171">
        <f t="shared" ref="G48" si="138">IF(G47&gt;1000000,128000+0.3*(G47-1000000),IF(G47&gt;760000,68000+0.25*(G47-760000),IF(G47&gt;520000,20000+0.2*(G47-520000),IF(G47&gt;270000,0.08*(G47-270000),IF(G47&lt;=270000,0)))))</f>
        <v>0</v>
      </c>
      <c r="H48" s="171">
        <f t="shared" ref="H48" si="139">IF(H47&gt;1000000,128000+0.3*(H47-1000000),IF(H47&gt;760000,68000+0.25*(H47-760000),IF(H47&gt;520000,20000+0.2*(H47-520000),IF(H47&gt;270000,0.08*(H47-270000),IF(H47&lt;=270000,0)))))</f>
        <v>0</v>
      </c>
      <c r="I48" s="171">
        <f t="shared" ref="I48" si="140">IF(I47&gt;1000000,128000+0.3*(I47-1000000),IF(I47&gt;760000,68000+0.25*(I47-760000),IF(I47&gt;520000,20000+0.2*(I47-520000),IF(I47&gt;270000,0.08*(I47-270000),IF(I47&lt;=270000,0)))))</f>
        <v>0</v>
      </c>
      <c r="J48" s="171">
        <f t="shared" ref="J48" si="141">IF(J47&gt;1000000,128000+0.3*(J47-1000000),IF(J47&gt;760000,68000+0.25*(J47-760000),IF(J47&gt;520000,20000+0.2*(J47-520000),IF(J47&gt;270000,0.08*(J47-270000),IF(J47&lt;=270000,0)))))</f>
        <v>0</v>
      </c>
      <c r="K48" s="171">
        <f t="shared" ref="K48" si="142">IF(K47&gt;1000000,128000+0.3*(K47-1000000),IF(K47&gt;760000,68000+0.25*(K47-760000),IF(K47&gt;520000,20000+0.2*(K47-520000),IF(K47&gt;270000,0.08*(K47-270000),IF(K47&lt;=270000,0)))))</f>
        <v>0</v>
      </c>
      <c r="L48" s="171">
        <f t="shared" ref="L48" si="143">IF(L47&gt;1000000,128000+0.3*(L47-1000000),IF(L47&gt;760000,68000+0.25*(L47-760000),IF(L47&gt;520000,20000+0.2*(L47-520000),IF(L47&gt;270000,0.08*(L47-270000),IF(L47&lt;=270000,0)))))</f>
        <v>0</v>
      </c>
      <c r="M48" s="171">
        <f t="shared" ref="M48" si="144">IF(M47&gt;1000000,128000+0.3*(M47-1000000),IF(M47&gt;760000,68000+0.25*(M47-760000),IF(M47&gt;520000,20000+0.2*(M47-520000),IF(M47&gt;270000,0.08*(M47-270000),IF(M47&lt;=270000,0)))))</f>
        <v>0</v>
      </c>
      <c r="N48" s="171">
        <f t="shared" ref="N48" si="145">IF(N47&gt;1000000,128000+0.3*(N47-1000000),IF(N47&gt;760000,68000+0.25*(N47-760000),IF(N47&gt;520000,20000+0.2*(N47-520000),IF(N47&gt;270000,0.08*(N47-270000),IF(N47&lt;=270000,0)))))</f>
        <v>0</v>
      </c>
      <c r="O48" s="13">
        <f t="shared" si="0"/>
        <v>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</row>
    <row r="49" spans="1:256" s="1" customFormat="1" x14ac:dyDescent="0.35">
      <c r="A49" s="1">
        <v>12</v>
      </c>
      <c r="B49" s="11" t="s">
        <v>405</v>
      </c>
      <c r="C49" s="12">
        <v>300000</v>
      </c>
      <c r="D49" s="12">
        <v>300000</v>
      </c>
      <c r="E49" s="12">
        <v>300000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3">
        <f t="shared" si="0"/>
        <v>900000</v>
      </c>
      <c r="P49" s="14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</row>
    <row r="50" spans="1:256" s="1" customFormat="1" x14ac:dyDescent="0.35">
      <c r="B50" s="15" t="s">
        <v>14</v>
      </c>
      <c r="C50" s="16">
        <f t="shared" ref="C50" si="146">C49*0.1</f>
        <v>30000</v>
      </c>
      <c r="D50" s="16">
        <f t="shared" ref="D50:N50" si="147">D49*0.1</f>
        <v>30000</v>
      </c>
      <c r="E50" s="16">
        <f t="shared" si="147"/>
        <v>30000</v>
      </c>
      <c r="F50" s="16">
        <f t="shared" si="147"/>
        <v>0</v>
      </c>
      <c r="G50" s="16">
        <f t="shared" si="147"/>
        <v>0</v>
      </c>
      <c r="H50" s="16">
        <f t="shared" si="147"/>
        <v>0</v>
      </c>
      <c r="I50" s="16">
        <f t="shared" si="147"/>
        <v>0</v>
      </c>
      <c r="J50" s="16">
        <f t="shared" si="147"/>
        <v>0</v>
      </c>
      <c r="K50" s="16">
        <f t="shared" si="147"/>
        <v>0</v>
      </c>
      <c r="L50" s="16">
        <f t="shared" si="147"/>
        <v>0</v>
      </c>
      <c r="M50" s="16">
        <f t="shared" si="147"/>
        <v>0</v>
      </c>
      <c r="N50" s="16">
        <f t="shared" si="147"/>
        <v>0</v>
      </c>
      <c r="O50" s="13">
        <f t="shared" si="0"/>
        <v>90000</v>
      </c>
      <c r="P50" s="14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</row>
    <row r="51" spans="1:256" s="17" customFormat="1" x14ac:dyDescent="0.35">
      <c r="B51" s="15" t="s">
        <v>15</v>
      </c>
      <c r="C51" s="16">
        <f t="shared" ref="C51" si="148">C49-C50</f>
        <v>270000</v>
      </c>
      <c r="D51" s="16">
        <f t="shared" ref="D51:N51" si="149">D49-D50</f>
        <v>270000</v>
      </c>
      <c r="E51" s="16">
        <f t="shared" si="149"/>
        <v>270000</v>
      </c>
      <c r="F51" s="16">
        <f t="shared" si="149"/>
        <v>0</v>
      </c>
      <c r="G51" s="16">
        <f t="shared" si="149"/>
        <v>0</v>
      </c>
      <c r="H51" s="16">
        <f t="shared" si="149"/>
        <v>0</v>
      </c>
      <c r="I51" s="16">
        <f t="shared" si="149"/>
        <v>0</v>
      </c>
      <c r="J51" s="16">
        <f t="shared" si="149"/>
        <v>0</v>
      </c>
      <c r="K51" s="16">
        <f t="shared" si="149"/>
        <v>0</v>
      </c>
      <c r="L51" s="16">
        <f t="shared" si="149"/>
        <v>0</v>
      </c>
      <c r="M51" s="16">
        <f t="shared" si="149"/>
        <v>0</v>
      </c>
      <c r="N51" s="16">
        <f t="shared" si="149"/>
        <v>0</v>
      </c>
      <c r="O51" s="13">
        <f t="shared" si="0"/>
        <v>810000</v>
      </c>
      <c r="P51" s="14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</row>
    <row r="52" spans="1:256" s="17" customFormat="1" x14ac:dyDescent="0.35">
      <c r="B52" s="15" t="s">
        <v>16</v>
      </c>
      <c r="C52" s="171">
        <f>IF(C51&gt;1000000,128000+0.3*(C51-1000000),IF(C51&gt;760000,68000+0.25*(C51-760000),IF(C51&gt;520000,20000+0.2*(C51-520000),IF(C51&gt;270000,0.08*(C51-270000),IF(C51&lt;=270000,0)))))</f>
        <v>0</v>
      </c>
      <c r="D52" s="171">
        <f t="shared" ref="D52" si="150">IF(D51&gt;1000000,128000+0.3*(D51-1000000),IF(D51&gt;760000,68000+0.25*(D51-760000),IF(D51&gt;520000,20000+0.2*(D51-520000),IF(D51&gt;270000,0.08*(D51-270000),IF(D51&lt;=270000,0)))))</f>
        <v>0</v>
      </c>
      <c r="E52" s="171">
        <f t="shared" ref="E52" si="151">IF(E51&gt;1000000,128000+0.3*(E51-1000000),IF(E51&gt;760000,68000+0.25*(E51-760000),IF(E51&gt;520000,20000+0.2*(E51-520000),IF(E51&gt;270000,0.08*(E51-270000),IF(E51&lt;=270000,0)))))</f>
        <v>0</v>
      </c>
      <c r="F52" s="171">
        <f t="shared" ref="F52" si="152">IF(F51&gt;1000000,128000+0.3*(F51-1000000),IF(F51&gt;760000,68000+0.25*(F51-760000),IF(F51&gt;520000,20000+0.2*(F51-520000),IF(F51&gt;270000,0.08*(F51-270000),IF(F51&lt;=270000,0)))))</f>
        <v>0</v>
      </c>
      <c r="G52" s="171">
        <f t="shared" ref="G52" si="153">IF(G51&gt;1000000,128000+0.3*(G51-1000000),IF(G51&gt;760000,68000+0.25*(G51-760000),IF(G51&gt;520000,20000+0.2*(G51-520000),IF(G51&gt;270000,0.08*(G51-270000),IF(G51&lt;=270000,0)))))</f>
        <v>0</v>
      </c>
      <c r="H52" s="171">
        <f t="shared" ref="H52" si="154">IF(H51&gt;1000000,128000+0.3*(H51-1000000),IF(H51&gt;760000,68000+0.25*(H51-760000),IF(H51&gt;520000,20000+0.2*(H51-520000),IF(H51&gt;270000,0.08*(H51-270000),IF(H51&lt;=270000,0)))))</f>
        <v>0</v>
      </c>
      <c r="I52" s="171">
        <f t="shared" ref="I52" si="155">IF(I51&gt;1000000,128000+0.3*(I51-1000000),IF(I51&gt;760000,68000+0.25*(I51-760000),IF(I51&gt;520000,20000+0.2*(I51-520000),IF(I51&gt;270000,0.08*(I51-270000),IF(I51&lt;=270000,0)))))</f>
        <v>0</v>
      </c>
      <c r="J52" s="171">
        <f t="shared" ref="J52" si="156">IF(J51&gt;1000000,128000+0.3*(J51-1000000),IF(J51&gt;760000,68000+0.25*(J51-760000),IF(J51&gt;520000,20000+0.2*(J51-520000),IF(J51&gt;270000,0.08*(J51-270000),IF(J51&lt;=270000,0)))))</f>
        <v>0</v>
      </c>
      <c r="K52" s="171">
        <f t="shared" ref="K52" si="157">IF(K51&gt;1000000,128000+0.3*(K51-1000000),IF(K51&gt;760000,68000+0.25*(K51-760000),IF(K51&gt;520000,20000+0.2*(K51-520000),IF(K51&gt;270000,0.08*(K51-270000),IF(K51&lt;=270000,0)))))</f>
        <v>0</v>
      </c>
      <c r="L52" s="171">
        <f t="shared" ref="L52" si="158">IF(L51&gt;1000000,128000+0.3*(L51-1000000),IF(L51&gt;760000,68000+0.25*(L51-760000),IF(L51&gt;520000,20000+0.2*(L51-520000),IF(L51&gt;270000,0.08*(L51-270000),IF(L51&lt;=270000,0)))))</f>
        <v>0</v>
      </c>
      <c r="M52" s="171">
        <f t="shared" ref="M52" si="159">IF(M51&gt;1000000,128000+0.3*(M51-1000000),IF(M51&gt;760000,68000+0.25*(M51-760000),IF(M51&gt;520000,20000+0.2*(M51-520000),IF(M51&gt;270000,0.08*(M51-270000),IF(M51&lt;=270000,0)))))</f>
        <v>0</v>
      </c>
      <c r="N52" s="171">
        <f t="shared" ref="N52" si="160">IF(N51&gt;1000000,128000+0.3*(N51-1000000),IF(N51&gt;760000,68000+0.25*(N51-760000),IF(N51&gt;520000,20000+0.2*(N51-520000),IF(N51&gt;270000,0.08*(N51-270000),IF(N51&lt;=270000,0)))))</f>
        <v>0</v>
      </c>
      <c r="O52" s="13">
        <f t="shared" si="0"/>
        <v>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</row>
    <row r="53" spans="1:256" s="1" customFormat="1" x14ac:dyDescent="0.35">
      <c r="A53" s="1">
        <v>13</v>
      </c>
      <c r="B53" s="11" t="s">
        <v>406</v>
      </c>
      <c r="C53" s="12">
        <v>300000</v>
      </c>
      <c r="D53" s="12">
        <v>300000</v>
      </c>
      <c r="E53" s="12">
        <v>300000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3">
        <f t="shared" si="0"/>
        <v>900000</v>
      </c>
      <c r="P53" s="14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</row>
    <row r="54" spans="1:256" s="1" customFormat="1" x14ac:dyDescent="0.35">
      <c r="B54" s="15" t="s">
        <v>14</v>
      </c>
      <c r="C54" s="16">
        <f t="shared" ref="C54" si="161">C53*0.1</f>
        <v>30000</v>
      </c>
      <c r="D54" s="16">
        <f t="shared" ref="D54:N54" si="162">D53*0.1</f>
        <v>30000</v>
      </c>
      <c r="E54" s="16">
        <f t="shared" si="162"/>
        <v>30000</v>
      </c>
      <c r="F54" s="16">
        <f t="shared" si="162"/>
        <v>0</v>
      </c>
      <c r="G54" s="16">
        <f t="shared" si="162"/>
        <v>0</v>
      </c>
      <c r="H54" s="16">
        <f t="shared" si="162"/>
        <v>0</v>
      </c>
      <c r="I54" s="16">
        <f t="shared" si="162"/>
        <v>0</v>
      </c>
      <c r="J54" s="16">
        <f t="shared" si="162"/>
        <v>0</v>
      </c>
      <c r="K54" s="16">
        <f t="shared" si="162"/>
        <v>0</v>
      </c>
      <c r="L54" s="16">
        <f t="shared" si="162"/>
        <v>0</v>
      </c>
      <c r="M54" s="16">
        <f t="shared" si="162"/>
        <v>0</v>
      </c>
      <c r="N54" s="16">
        <f t="shared" si="162"/>
        <v>0</v>
      </c>
      <c r="O54" s="13">
        <f t="shared" si="0"/>
        <v>90000</v>
      </c>
      <c r="P54" s="14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</row>
    <row r="55" spans="1:256" s="17" customFormat="1" x14ac:dyDescent="0.35">
      <c r="B55" s="15" t="s">
        <v>15</v>
      </c>
      <c r="C55" s="16">
        <f t="shared" ref="C55" si="163">C53-C54</f>
        <v>270000</v>
      </c>
      <c r="D55" s="16">
        <f t="shared" ref="D55:N55" si="164">D53-D54</f>
        <v>270000</v>
      </c>
      <c r="E55" s="16">
        <f t="shared" si="164"/>
        <v>270000</v>
      </c>
      <c r="F55" s="16">
        <f t="shared" si="164"/>
        <v>0</v>
      </c>
      <c r="G55" s="16">
        <f t="shared" si="164"/>
        <v>0</v>
      </c>
      <c r="H55" s="16">
        <f t="shared" si="164"/>
        <v>0</v>
      </c>
      <c r="I55" s="16">
        <f t="shared" si="164"/>
        <v>0</v>
      </c>
      <c r="J55" s="16">
        <f t="shared" si="164"/>
        <v>0</v>
      </c>
      <c r="K55" s="16">
        <f t="shared" si="164"/>
        <v>0</v>
      </c>
      <c r="L55" s="16">
        <f t="shared" si="164"/>
        <v>0</v>
      </c>
      <c r="M55" s="16">
        <f t="shared" si="164"/>
        <v>0</v>
      </c>
      <c r="N55" s="16">
        <f t="shared" si="164"/>
        <v>0</v>
      </c>
      <c r="O55" s="13">
        <f t="shared" si="0"/>
        <v>810000</v>
      </c>
      <c r="P55" s="14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</row>
    <row r="56" spans="1:256" s="17" customFormat="1" x14ac:dyDescent="0.35">
      <c r="B56" s="15" t="s">
        <v>16</v>
      </c>
      <c r="C56" s="171">
        <f>IF(C55&gt;1000000,128000+0.3*(C55-1000000),IF(C55&gt;760000,68000+0.25*(C55-760000),IF(C55&gt;520000,20000+0.2*(C55-520000),IF(C55&gt;270000,0.08*(C55-270000),IF(C55&lt;=270000,0)))))</f>
        <v>0</v>
      </c>
      <c r="D56" s="171">
        <f t="shared" ref="D56" si="165">IF(D55&gt;1000000,128000+0.3*(D55-1000000),IF(D55&gt;760000,68000+0.25*(D55-760000),IF(D55&gt;520000,20000+0.2*(D55-520000),IF(D55&gt;270000,0.08*(D55-270000),IF(D55&lt;=270000,0)))))</f>
        <v>0</v>
      </c>
      <c r="E56" s="171">
        <f t="shared" ref="E56" si="166">IF(E55&gt;1000000,128000+0.3*(E55-1000000),IF(E55&gt;760000,68000+0.25*(E55-760000),IF(E55&gt;520000,20000+0.2*(E55-520000),IF(E55&gt;270000,0.08*(E55-270000),IF(E55&lt;=270000,0)))))</f>
        <v>0</v>
      </c>
      <c r="F56" s="171">
        <f t="shared" ref="F56" si="167">IF(F55&gt;1000000,128000+0.3*(F55-1000000),IF(F55&gt;760000,68000+0.25*(F55-760000),IF(F55&gt;520000,20000+0.2*(F55-520000),IF(F55&gt;270000,0.08*(F55-270000),IF(F55&lt;=270000,0)))))</f>
        <v>0</v>
      </c>
      <c r="G56" s="171">
        <f t="shared" ref="G56" si="168">IF(G55&gt;1000000,128000+0.3*(G55-1000000),IF(G55&gt;760000,68000+0.25*(G55-760000),IF(G55&gt;520000,20000+0.2*(G55-520000),IF(G55&gt;270000,0.08*(G55-270000),IF(G55&lt;=270000,0)))))</f>
        <v>0</v>
      </c>
      <c r="H56" s="171">
        <f t="shared" ref="H56" si="169">IF(H55&gt;1000000,128000+0.3*(H55-1000000),IF(H55&gt;760000,68000+0.25*(H55-760000),IF(H55&gt;520000,20000+0.2*(H55-520000),IF(H55&gt;270000,0.08*(H55-270000),IF(H55&lt;=270000,0)))))</f>
        <v>0</v>
      </c>
      <c r="I56" s="171">
        <f t="shared" ref="I56" si="170">IF(I55&gt;1000000,128000+0.3*(I55-1000000),IF(I55&gt;760000,68000+0.25*(I55-760000),IF(I55&gt;520000,20000+0.2*(I55-520000),IF(I55&gt;270000,0.08*(I55-270000),IF(I55&lt;=270000,0)))))</f>
        <v>0</v>
      </c>
      <c r="J56" s="171">
        <f t="shared" ref="J56" si="171">IF(J55&gt;1000000,128000+0.3*(J55-1000000),IF(J55&gt;760000,68000+0.25*(J55-760000),IF(J55&gt;520000,20000+0.2*(J55-520000),IF(J55&gt;270000,0.08*(J55-270000),IF(J55&lt;=270000,0)))))</f>
        <v>0</v>
      </c>
      <c r="K56" s="171">
        <f t="shared" ref="K56" si="172">IF(K55&gt;1000000,128000+0.3*(K55-1000000),IF(K55&gt;760000,68000+0.25*(K55-760000),IF(K55&gt;520000,20000+0.2*(K55-520000),IF(K55&gt;270000,0.08*(K55-270000),IF(K55&lt;=270000,0)))))</f>
        <v>0</v>
      </c>
      <c r="L56" s="171">
        <f t="shared" ref="L56" si="173">IF(L55&gt;1000000,128000+0.3*(L55-1000000),IF(L55&gt;760000,68000+0.25*(L55-760000),IF(L55&gt;520000,20000+0.2*(L55-520000),IF(L55&gt;270000,0.08*(L55-270000),IF(L55&lt;=270000,0)))))</f>
        <v>0</v>
      </c>
      <c r="M56" s="171">
        <f t="shared" ref="M56" si="174">IF(M55&gt;1000000,128000+0.3*(M55-1000000),IF(M55&gt;760000,68000+0.25*(M55-760000),IF(M55&gt;520000,20000+0.2*(M55-520000),IF(M55&gt;270000,0.08*(M55-270000),IF(M55&lt;=270000,0)))))</f>
        <v>0</v>
      </c>
      <c r="N56" s="171">
        <f t="shared" ref="N56" si="175">IF(N55&gt;1000000,128000+0.3*(N55-1000000),IF(N55&gt;760000,68000+0.25*(N55-760000),IF(N55&gt;520000,20000+0.2*(N55-520000),IF(N55&gt;270000,0.08*(N55-270000),IF(N55&lt;=270000,0)))))</f>
        <v>0</v>
      </c>
      <c r="O56" s="13">
        <f t="shared" si="0"/>
        <v>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</row>
    <row r="57" spans="1:256" s="1" customFormat="1" x14ac:dyDescent="0.35">
      <c r="A57" s="1">
        <v>14</v>
      </c>
      <c r="B57" s="11" t="s">
        <v>407</v>
      </c>
      <c r="C57" s="12">
        <v>300000</v>
      </c>
      <c r="D57" s="12">
        <v>300000</v>
      </c>
      <c r="E57" s="12">
        <v>300000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3">
        <f t="shared" si="0"/>
        <v>900000</v>
      </c>
      <c r="P57" s="14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</row>
    <row r="58" spans="1:256" s="1" customFormat="1" x14ac:dyDescent="0.35">
      <c r="B58" s="15" t="s">
        <v>14</v>
      </c>
      <c r="C58" s="16">
        <f t="shared" ref="C58" si="176">C57*0.1</f>
        <v>30000</v>
      </c>
      <c r="D58" s="16">
        <f t="shared" ref="D58:N58" si="177">D57*0.1</f>
        <v>30000</v>
      </c>
      <c r="E58" s="16">
        <f t="shared" si="177"/>
        <v>30000</v>
      </c>
      <c r="F58" s="16">
        <f t="shared" si="177"/>
        <v>0</v>
      </c>
      <c r="G58" s="16">
        <f t="shared" si="177"/>
        <v>0</v>
      </c>
      <c r="H58" s="16">
        <f t="shared" si="177"/>
        <v>0</v>
      </c>
      <c r="I58" s="16">
        <f t="shared" si="177"/>
        <v>0</v>
      </c>
      <c r="J58" s="16">
        <f t="shared" si="177"/>
        <v>0</v>
      </c>
      <c r="K58" s="16">
        <f t="shared" si="177"/>
        <v>0</v>
      </c>
      <c r="L58" s="16">
        <f t="shared" si="177"/>
        <v>0</v>
      </c>
      <c r="M58" s="16">
        <f t="shared" si="177"/>
        <v>0</v>
      </c>
      <c r="N58" s="16">
        <f t="shared" si="177"/>
        <v>0</v>
      </c>
      <c r="O58" s="13">
        <f t="shared" si="0"/>
        <v>90000</v>
      </c>
      <c r="P58" s="14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</row>
    <row r="59" spans="1:256" s="17" customFormat="1" x14ac:dyDescent="0.35">
      <c r="B59" s="15" t="s">
        <v>15</v>
      </c>
      <c r="C59" s="16">
        <f t="shared" ref="C59" si="178">C57-C58</f>
        <v>270000</v>
      </c>
      <c r="D59" s="16">
        <f t="shared" ref="D59:N59" si="179">D57-D58</f>
        <v>270000</v>
      </c>
      <c r="E59" s="16">
        <f t="shared" si="179"/>
        <v>270000</v>
      </c>
      <c r="F59" s="16">
        <f t="shared" si="179"/>
        <v>0</v>
      </c>
      <c r="G59" s="16">
        <f t="shared" si="179"/>
        <v>0</v>
      </c>
      <c r="H59" s="16">
        <f t="shared" si="179"/>
        <v>0</v>
      </c>
      <c r="I59" s="16">
        <f t="shared" si="179"/>
        <v>0</v>
      </c>
      <c r="J59" s="16">
        <f t="shared" si="179"/>
        <v>0</v>
      </c>
      <c r="K59" s="16">
        <f t="shared" si="179"/>
        <v>0</v>
      </c>
      <c r="L59" s="16">
        <f t="shared" si="179"/>
        <v>0</v>
      </c>
      <c r="M59" s="16">
        <f t="shared" si="179"/>
        <v>0</v>
      </c>
      <c r="N59" s="16">
        <f t="shared" si="179"/>
        <v>0</v>
      </c>
      <c r="O59" s="13">
        <f t="shared" si="0"/>
        <v>810000</v>
      </c>
      <c r="P59" s="14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</row>
    <row r="60" spans="1:256" s="17" customFormat="1" x14ac:dyDescent="0.35">
      <c r="B60" s="15" t="s">
        <v>16</v>
      </c>
      <c r="C60" s="171">
        <f>IF(C59&gt;1000000,128000+0.3*(C59-1000000),IF(C59&gt;760000,68000+0.25*(C59-760000),IF(C59&gt;520000,20000+0.2*(C59-520000),IF(C59&gt;270000,0.08*(C59-270000),IF(C59&lt;=270000,0)))))</f>
        <v>0</v>
      </c>
      <c r="D60" s="171">
        <f t="shared" ref="D60" si="180">IF(D59&gt;1000000,128000+0.3*(D59-1000000),IF(D59&gt;760000,68000+0.25*(D59-760000),IF(D59&gt;520000,20000+0.2*(D59-520000),IF(D59&gt;270000,0.08*(D59-270000),IF(D59&lt;=270000,0)))))</f>
        <v>0</v>
      </c>
      <c r="E60" s="171">
        <f t="shared" ref="E60" si="181">IF(E59&gt;1000000,128000+0.3*(E59-1000000),IF(E59&gt;760000,68000+0.25*(E59-760000),IF(E59&gt;520000,20000+0.2*(E59-520000),IF(E59&gt;270000,0.08*(E59-270000),IF(E59&lt;=270000,0)))))</f>
        <v>0</v>
      </c>
      <c r="F60" s="171">
        <f t="shared" ref="F60" si="182">IF(F59&gt;1000000,128000+0.3*(F59-1000000),IF(F59&gt;760000,68000+0.25*(F59-760000),IF(F59&gt;520000,20000+0.2*(F59-520000),IF(F59&gt;270000,0.08*(F59-270000),IF(F59&lt;=270000,0)))))</f>
        <v>0</v>
      </c>
      <c r="G60" s="171">
        <f t="shared" ref="G60" si="183">IF(G59&gt;1000000,128000+0.3*(G59-1000000),IF(G59&gt;760000,68000+0.25*(G59-760000),IF(G59&gt;520000,20000+0.2*(G59-520000),IF(G59&gt;270000,0.08*(G59-270000),IF(G59&lt;=270000,0)))))</f>
        <v>0</v>
      </c>
      <c r="H60" s="171">
        <f t="shared" ref="H60" si="184">IF(H59&gt;1000000,128000+0.3*(H59-1000000),IF(H59&gt;760000,68000+0.25*(H59-760000),IF(H59&gt;520000,20000+0.2*(H59-520000),IF(H59&gt;270000,0.08*(H59-270000),IF(H59&lt;=270000,0)))))</f>
        <v>0</v>
      </c>
      <c r="I60" s="171">
        <f t="shared" ref="I60" si="185">IF(I59&gt;1000000,128000+0.3*(I59-1000000),IF(I59&gt;760000,68000+0.25*(I59-760000),IF(I59&gt;520000,20000+0.2*(I59-520000),IF(I59&gt;270000,0.08*(I59-270000),IF(I59&lt;=270000,0)))))</f>
        <v>0</v>
      </c>
      <c r="J60" s="171">
        <f t="shared" ref="J60" si="186">IF(J59&gt;1000000,128000+0.3*(J59-1000000),IF(J59&gt;760000,68000+0.25*(J59-760000),IF(J59&gt;520000,20000+0.2*(J59-520000),IF(J59&gt;270000,0.08*(J59-270000),IF(J59&lt;=270000,0)))))</f>
        <v>0</v>
      </c>
      <c r="K60" s="171">
        <f t="shared" ref="K60" si="187">IF(K59&gt;1000000,128000+0.3*(K59-1000000),IF(K59&gt;760000,68000+0.25*(K59-760000),IF(K59&gt;520000,20000+0.2*(K59-520000),IF(K59&gt;270000,0.08*(K59-270000),IF(K59&lt;=270000,0)))))</f>
        <v>0</v>
      </c>
      <c r="L60" s="171">
        <f t="shared" ref="L60" si="188">IF(L59&gt;1000000,128000+0.3*(L59-1000000),IF(L59&gt;760000,68000+0.25*(L59-760000),IF(L59&gt;520000,20000+0.2*(L59-520000),IF(L59&gt;270000,0.08*(L59-270000),IF(L59&lt;=270000,0)))))</f>
        <v>0</v>
      </c>
      <c r="M60" s="171">
        <f t="shared" ref="M60" si="189">IF(M59&gt;1000000,128000+0.3*(M59-1000000),IF(M59&gt;760000,68000+0.25*(M59-760000),IF(M59&gt;520000,20000+0.2*(M59-520000),IF(M59&gt;270000,0.08*(M59-270000),IF(M59&lt;=270000,0)))))</f>
        <v>0</v>
      </c>
      <c r="N60" s="171">
        <f t="shared" ref="N60" si="190">IF(N59&gt;1000000,128000+0.3*(N59-1000000),IF(N59&gt;760000,68000+0.25*(N59-760000),IF(N59&gt;520000,20000+0.2*(N59-520000),IF(N59&gt;270000,0.08*(N59-270000),IF(N59&lt;=270000,0)))))</f>
        <v>0</v>
      </c>
      <c r="O60" s="13">
        <f t="shared" si="0"/>
        <v>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</row>
    <row r="61" spans="1:256" s="1" customFormat="1" x14ac:dyDescent="0.35">
      <c r="A61" s="1">
        <v>15</v>
      </c>
      <c r="B61" s="11" t="s">
        <v>408</v>
      </c>
      <c r="C61" s="12">
        <v>300000</v>
      </c>
      <c r="D61" s="12">
        <v>300000</v>
      </c>
      <c r="E61" s="12">
        <v>300000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3">
        <f t="shared" si="0"/>
        <v>900000</v>
      </c>
      <c r="P61" s="14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</row>
    <row r="62" spans="1:256" s="1" customFormat="1" x14ac:dyDescent="0.35">
      <c r="B62" s="15" t="s">
        <v>14</v>
      </c>
      <c r="C62" s="16">
        <f t="shared" ref="C62" si="191">C61*0.1</f>
        <v>30000</v>
      </c>
      <c r="D62" s="16">
        <f t="shared" ref="D62:N62" si="192">D61*0.1</f>
        <v>30000</v>
      </c>
      <c r="E62" s="16">
        <f t="shared" si="192"/>
        <v>30000</v>
      </c>
      <c r="F62" s="16">
        <f t="shared" si="192"/>
        <v>0</v>
      </c>
      <c r="G62" s="16">
        <f t="shared" si="192"/>
        <v>0</v>
      </c>
      <c r="H62" s="16">
        <f t="shared" si="192"/>
        <v>0</v>
      </c>
      <c r="I62" s="16">
        <f t="shared" si="192"/>
        <v>0</v>
      </c>
      <c r="J62" s="16">
        <f t="shared" si="192"/>
        <v>0</v>
      </c>
      <c r="K62" s="16">
        <f t="shared" si="192"/>
        <v>0</v>
      </c>
      <c r="L62" s="16">
        <f t="shared" si="192"/>
        <v>0</v>
      </c>
      <c r="M62" s="16">
        <f t="shared" si="192"/>
        <v>0</v>
      </c>
      <c r="N62" s="16">
        <f t="shared" si="192"/>
        <v>0</v>
      </c>
      <c r="O62" s="13">
        <f t="shared" si="0"/>
        <v>90000</v>
      </c>
      <c r="P62" s="14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</row>
    <row r="63" spans="1:256" s="17" customFormat="1" x14ac:dyDescent="0.35">
      <c r="B63" s="15" t="s">
        <v>15</v>
      </c>
      <c r="C63" s="16">
        <f t="shared" ref="C63" si="193">C61-C62</f>
        <v>270000</v>
      </c>
      <c r="D63" s="16">
        <f t="shared" ref="D63:N63" si="194">D61-D62</f>
        <v>270000</v>
      </c>
      <c r="E63" s="16">
        <f t="shared" si="194"/>
        <v>270000</v>
      </c>
      <c r="F63" s="16">
        <f t="shared" si="194"/>
        <v>0</v>
      </c>
      <c r="G63" s="16">
        <f t="shared" si="194"/>
        <v>0</v>
      </c>
      <c r="H63" s="16">
        <f t="shared" si="194"/>
        <v>0</v>
      </c>
      <c r="I63" s="16">
        <f t="shared" si="194"/>
        <v>0</v>
      </c>
      <c r="J63" s="16">
        <f t="shared" si="194"/>
        <v>0</v>
      </c>
      <c r="K63" s="16">
        <f t="shared" si="194"/>
        <v>0</v>
      </c>
      <c r="L63" s="16">
        <f t="shared" si="194"/>
        <v>0</v>
      </c>
      <c r="M63" s="16">
        <f t="shared" si="194"/>
        <v>0</v>
      </c>
      <c r="N63" s="16">
        <f t="shared" si="194"/>
        <v>0</v>
      </c>
      <c r="O63" s="13">
        <f t="shared" si="0"/>
        <v>810000</v>
      </c>
      <c r="P63" s="14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</row>
    <row r="64" spans="1:256" s="17" customFormat="1" x14ac:dyDescent="0.35">
      <c r="B64" s="15" t="s">
        <v>16</v>
      </c>
      <c r="C64" s="171">
        <f>IF(C63&gt;1000000,128000+0.3*(C63-1000000),IF(C63&gt;760000,68000+0.25*(C63-760000),IF(C63&gt;520000,20000+0.2*(C63-520000),IF(C63&gt;270000,0.08*(C63-270000),IF(C63&lt;=270000,0)))))</f>
        <v>0</v>
      </c>
      <c r="D64" s="171">
        <f t="shared" ref="D64" si="195">IF(D63&gt;1000000,128000+0.3*(D63-1000000),IF(D63&gt;760000,68000+0.25*(D63-760000),IF(D63&gt;520000,20000+0.2*(D63-520000),IF(D63&gt;270000,0.08*(D63-270000),IF(D63&lt;=270000,0)))))</f>
        <v>0</v>
      </c>
      <c r="E64" s="171">
        <f t="shared" ref="E64" si="196">IF(E63&gt;1000000,128000+0.3*(E63-1000000),IF(E63&gt;760000,68000+0.25*(E63-760000),IF(E63&gt;520000,20000+0.2*(E63-520000),IF(E63&gt;270000,0.08*(E63-270000),IF(E63&lt;=270000,0)))))</f>
        <v>0</v>
      </c>
      <c r="F64" s="171">
        <f t="shared" ref="F64" si="197">IF(F63&gt;1000000,128000+0.3*(F63-1000000),IF(F63&gt;760000,68000+0.25*(F63-760000),IF(F63&gt;520000,20000+0.2*(F63-520000),IF(F63&gt;270000,0.08*(F63-270000),IF(F63&lt;=270000,0)))))</f>
        <v>0</v>
      </c>
      <c r="G64" s="171">
        <f t="shared" ref="G64" si="198">IF(G63&gt;1000000,128000+0.3*(G63-1000000),IF(G63&gt;760000,68000+0.25*(G63-760000),IF(G63&gt;520000,20000+0.2*(G63-520000),IF(G63&gt;270000,0.08*(G63-270000),IF(G63&lt;=270000,0)))))</f>
        <v>0</v>
      </c>
      <c r="H64" s="171">
        <f t="shared" ref="H64" si="199">IF(H63&gt;1000000,128000+0.3*(H63-1000000),IF(H63&gt;760000,68000+0.25*(H63-760000),IF(H63&gt;520000,20000+0.2*(H63-520000),IF(H63&gt;270000,0.08*(H63-270000),IF(H63&lt;=270000,0)))))</f>
        <v>0</v>
      </c>
      <c r="I64" s="171">
        <f t="shared" ref="I64" si="200">IF(I63&gt;1000000,128000+0.3*(I63-1000000),IF(I63&gt;760000,68000+0.25*(I63-760000),IF(I63&gt;520000,20000+0.2*(I63-520000),IF(I63&gt;270000,0.08*(I63-270000),IF(I63&lt;=270000,0)))))</f>
        <v>0</v>
      </c>
      <c r="J64" s="171">
        <f t="shared" ref="J64" si="201">IF(J63&gt;1000000,128000+0.3*(J63-1000000),IF(J63&gt;760000,68000+0.25*(J63-760000),IF(J63&gt;520000,20000+0.2*(J63-520000),IF(J63&gt;270000,0.08*(J63-270000),IF(J63&lt;=270000,0)))))</f>
        <v>0</v>
      </c>
      <c r="K64" s="171">
        <f t="shared" ref="K64" si="202">IF(K63&gt;1000000,128000+0.3*(K63-1000000),IF(K63&gt;760000,68000+0.25*(K63-760000),IF(K63&gt;520000,20000+0.2*(K63-520000),IF(K63&gt;270000,0.08*(K63-270000),IF(K63&lt;=270000,0)))))</f>
        <v>0</v>
      </c>
      <c r="L64" s="171">
        <f t="shared" ref="L64" si="203">IF(L63&gt;1000000,128000+0.3*(L63-1000000),IF(L63&gt;760000,68000+0.25*(L63-760000),IF(L63&gt;520000,20000+0.2*(L63-520000),IF(L63&gt;270000,0.08*(L63-270000),IF(L63&lt;=270000,0)))))</f>
        <v>0</v>
      </c>
      <c r="M64" s="171">
        <f t="shared" ref="M64" si="204">IF(M63&gt;1000000,128000+0.3*(M63-1000000),IF(M63&gt;760000,68000+0.25*(M63-760000),IF(M63&gt;520000,20000+0.2*(M63-520000),IF(M63&gt;270000,0.08*(M63-270000),IF(M63&lt;=270000,0)))))</f>
        <v>0</v>
      </c>
      <c r="N64" s="171">
        <f t="shared" ref="N64" si="205">IF(N63&gt;1000000,128000+0.3*(N63-1000000),IF(N63&gt;760000,68000+0.25*(N63-760000),IF(N63&gt;520000,20000+0.2*(N63-520000),IF(N63&gt;270000,0.08*(N63-270000),IF(N63&lt;=270000,0)))))</f>
        <v>0</v>
      </c>
      <c r="O64" s="13">
        <f t="shared" si="0"/>
        <v>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</row>
    <row r="65" spans="1:256" s="17" customFormat="1" x14ac:dyDescent="0.35">
      <c r="A65" s="17">
        <v>16</v>
      </c>
      <c r="B65" s="11" t="s">
        <v>409</v>
      </c>
      <c r="C65" s="12">
        <v>300000</v>
      </c>
      <c r="D65" s="12">
        <v>300000</v>
      </c>
      <c r="E65" s="12">
        <v>300000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3">
        <f t="shared" si="0"/>
        <v>900000</v>
      </c>
      <c r="P65" s="14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</row>
    <row r="66" spans="1:256" s="17" customFormat="1" x14ac:dyDescent="0.35">
      <c r="B66" s="15" t="s">
        <v>14</v>
      </c>
      <c r="C66" s="16">
        <f t="shared" ref="C66" si="206">C65*0.1</f>
        <v>30000</v>
      </c>
      <c r="D66" s="16">
        <f t="shared" ref="D66:N66" si="207">D65*0.1</f>
        <v>30000</v>
      </c>
      <c r="E66" s="16">
        <f t="shared" si="207"/>
        <v>30000</v>
      </c>
      <c r="F66" s="16">
        <f t="shared" si="207"/>
        <v>0</v>
      </c>
      <c r="G66" s="16">
        <f t="shared" si="207"/>
        <v>0</v>
      </c>
      <c r="H66" s="16">
        <f t="shared" si="207"/>
        <v>0</v>
      </c>
      <c r="I66" s="16">
        <f t="shared" si="207"/>
        <v>0</v>
      </c>
      <c r="J66" s="16">
        <f t="shared" si="207"/>
        <v>0</v>
      </c>
      <c r="K66" s="16">
        <f t="shared" si="207"/>
        <v>0</v>
      </c>
      <c r="L66" s="16">
        <f t="shared" si="207"/>
        <v>0</v>
      </c>
      <c r="M66" s="16">
        <f t="shared" si="207"/>
        <v>0</v>
      </c>
      <c r="N66" s="16">
        <f t="shared" si="207"/>
        <v>0</v>
      </c>
      <c r="O66" s="13">
        <f t="shared" si="0"/>
        <v>90000</v>
      </c>
      <c r="P66" s="14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</row>
    <row r="67" spans="1:256" s="1" customFormat="1" x14ac:dyDescent="0.35">
      <c r="B67" s="15" t="s">
        <v>15</v>
      </c>
      <c r="C67" s="16">
        <f t="shared" ref="C67" si="208">C65-C66</f>
        <v>270000</v>
      </c>
      <c r="D67" s="16">
        <f t="shared" ref="D67:N67" si="209">D65-D66</f>
        <v>270000</v>
      </c>
      <c r="E67" s="16">
        <f t="shared" si="209"/>
        <v>270000</v>
      </c>
      <c r="F67" s="16">
        <f t="shared" si="209"/>
        <v>0</v>
      </c>
      <c r="G67" s="16">
        <f t="shared" si="209"/>
        <v>0</v>
      </c>
      <c r="H67" s="16">
        <f t="shared" si="209"/>
        <v>0</v>
      </c>
      <c r="I67" s="16">
        <f t="shared" si="209"/>
        <v>0</v>
      </c>
      <c r="J67" s="16">
        <f t="shared" si="209"/>
        <v>0</v>
      </c>
      <c r="K67" s="16">
        <f t="shared" si="209"/>
        <v>0</v>
      </c>
      <c r="L67" s="16">
        <f t="shared" si="209"/>
        <v>0</v>
      </c>
      <c r="M67" s="16">
        <f t="shared" si="209"/>
        <v>0</v>
      </c>
      <c r="N67" s="16">
        <f t="shared" si="209"/>
        <v>0</v>
      </c>
      <c r="O67" s="13">
        <f t="shared" si="0"/>
        <v>810000</v>
      </c>
      <c r="P67" s="14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</row>
    <row r="68" spans="1:256" s="1" customFormat="1" x14ac:dyDescent="0.35">
      <c r="B68" s="15" t="s">
        <v>16</v>
      </c>
      <c r="C68" s="171">
        <f>IF(C67&gt;1000000,128000+0.3*(C67-1000000),IF(C67&gt;760000,68000+0.25*(C67-760000),IF(C67&gt;520000,20000+0.2*(C67-520000),IF(C67&gt;270000,0.08*(C67-270000),IF(C67&lt;=270000,0)))))</f>
        <v>0</v>
      </c>
      <c r="D68" s="171">
        <f t="shared" ref="D68" si="210">IF(D67&gt;1000000,128000+0.3*(D67-1000000),IF(D67&gt;760000,68000+0.25*(D67-760000),IF(D67&gt;520000,20000+0.2*(D67-520000),IF(D67&gt;270000,0.08*(D67-270000),IF(D67&lt;=270000,0)))))</f>
        <v>0</v>
      </c>
      <c r="E68" s="171">
        <f t="shared" ref="E68" si="211">IF(E67&gt;1000000,128000+0.3*(E67-1000000),IF(E67&gt;760000,68000+0.25*(E67-760000),IF(E67&gt;520000,20000+0.2*(E67-520000),IF(E67&gt;270000,0.08*(E67-270000),IF(E67&lt;=270000,0)))))</f>
        <v>0</v>
      </c>
      <c r="F68" s="171">
        <f t="shared" ref="F68" si="212">IF(F67&gt;1000000,128000+0.3*(F67-1000000),IF(F67&gt;760000,68000+0.25*(F67-760000),IF(F67&gt;520000,20000+0.2*(F67-520000),IF(F67&gt;270000,0.08*(F67-270000),IF(F67&lt;=270000,0)))))</f>
        <v>0</v>
      </c>
      <c r="G68" s="171">
        <f t="shared" ref="G68" si="213">IF(G67&gt;1000000,128000+0.3*(G67-1000000),IF(G67&gt;760000,68000+0.25*(G67-760000),IF(G67&gt;520000,20000+0.2*(G67-520000),IF(G67&gt;270000,0.08*(G67-270000),IF(G67&lt;=270000,0)))))</f>
        <v>0</v>
      </c>
      <c r="H68" s="171">
        <f t="shared" ref="H68" si="214">IF(H67&gt;1000000,128000+0.3*(H67-1000000),IF(H67&gt;760000,68000+0.25*(H67-760000),IF(H67&gt;520000,20000+0.2*(H67-520000),IF(H67&gt;270000,0.08*(H67-270000),IF(H67&lt;=270000,0)))))</f>
        <v>0</v>
      </c>
      <c r="I68" s="171">
        <f t="shared" ref="I68" si="215">IF(I67&gt;1000000,128000+0.3*(I67-1000000),IF(I67&gt;760000,68000+0.25*(I67-760000),IF(I67&gt;520000,20000+0.2*(I67-520000),IF(I67&gt;270000,0.08*(I67-270000),IF(I67&lt;=270000,0)))))</f>
        <v>0</v>
      </c>
      <c r="J68" s="171">
        <f t="shared" ref="J68" si="216">IF(J67&gt;1000000,128000+0.3*(J67-1000000),IF(J67&gt;760000,68000+0.25*(J67-760000),IF(J67&gt;520000,20000+0.2*(J67-520000),IF(J67&gt;270000,0.08*(J67-270000),IF(J67&lt;=270000,0)))))</f>
        <v>0</v>
      </c>
      <c r="K68" s="171">
        <f t="shared" ref="K68" si="217">IF(K67&gt;1000000,128000+0.3*(K67-1000000),IF(K67&gt;760000,68000+0.25*(K67-760000),IF(K67&gt;520000,20000+0.2*(K67-520000),IF(K67&gt;270000,0.08*(K67-270000),IF(K67&lt;=270000,0)))))</f>
        <v>0</v>
      </c>
      <c r="L68" s="171">
        <f t="shared" ref="L68" si="218">IF(L67&gt;1000000,128000+0.3*(L67-1000000),IF(L67&gt;760000,68000+0.25*(L67-760000),IF(L67&gt;520000,20000+0.2*(L67-520000),IF(L67&gt;270000,0.08*(L67-270000),IF(L67&lt;=270000,0)))))</f>
        <v>0</v>
      </c>
      <c r="M68" s="171">
        <f t="shared" ref="M68" si="219">IF(M67&gt;1000000,128000+0.3*(M67-1000000),IF(M67&gt;760000,68000+0.25*(M67-760000),IF(M67&gt;520000,20000+0.2*(M67-520000),IF(M67&gt;270000,0.08*(M67-270000),IF(M67&lt;=270000,0)))))</f>
        <v>0</v>
      </c>
      <c r="N68" s="171">
        <f t="shared" ref="N68" si="220">IF(N67&gt;1000000,128000+0.3*(N67-1000000),IF(N67&gt;760000,68000+0.25*(N67-760000),IF(N67&gt;520000,20000+0.2*(N67-520000),IF(N67&gt;270000,0.08*(N67-270000),IF(N67&lt;=270000,0)))))</f>
        <v>0</v>
      </c>
      <c r="O68" s="13">
        <f t="shared" si="0"/>
        <v>0</v>
      </c>
      <c r="P68" s="14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</row>
    <row r="69" spans="1:256" s="17" customFormat="1" x14ac:dyDescent="0.35">
      <c r="A69" s="17">
        <v>17</v>
      </c>
      <c r="B69" s="11" t="s">
        <v>410</v>
      </c>
      <c r="C69" s="12">
        <v>300000</v>
      </c>
      <c r="D69" s="12">
        <v>300000</v>
      </c>
      <c r="E69" s="12">
        <v>300000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3">
        <f t="shared" ref="O69:O132" si="221">SUM(C69:N69)</f>
        <v>900000</v>
      </c>
      <c r="P69" s="14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</row>
    <row r="70" spans="1:256" s="17" customFormat="1" x14ac:dyDescent="0.35">
      <c r="B70" s="15" t="s">
        <v>14</v>
      </c>
      <c r="C70" s="16">
        <f t="shared" ref="C70" si="222">C69*0.1</f>
        <v>30000</v>
      </c>
      <c r="D70" s="16">
        <f t="shared" ref="D70:N70" si="223">D69*0.1</f>
        <v>30000</v>
      </c>
      <c r="E70" s="16">
        <f t="shared" si="223"/>
        <v>30000</v>
      </c>
      <c r="F70" s="16">
        <f t="shared" si="223"/>
        <v>0</v>
      </c>
      <c r="G70" s="16">
        <f t="shared" si="223"/>
        <v>0</v>
      </c>
      <c r="H70" s="16">
        <f t="shared" si="223"/>
        <v>0</v>
      </c>
      <c r="I70" s="16">
        <f t="shared" si="223"/>
        <v>0</v>
      </c>
      <c r="J70" s="16">
        <f t="shared" si="223"/>
        <v>0</v>
      </c>
      <c r="K70" s="16">
        <f t="shared" si="223"/>
        <v>0</v>
      </c>
      <c r="L70" s="16">
        <f t="shared" si="223"/>
        <v>0</v>
      </c>
      <c r="M70" s="16">
        <f t="shared" si="223"/>
        <v>0</v>
      </c>
      <c r="N70" s="16">
        <f t="shared" si="223"/>
        <v>0</v>
      </c>
      <c r="O70" s="13">
        <f t="shared" si="221"/>
        <v>90000</v>
      </c>
      <c r="P70" s="14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</row>
    <row r="71" spans="1:256" s="1" customFormat="1" x14ac:dyDescent="0.35">
      <c r="B71" s="15" t="s">
        <v>15</v>
      </c>
      <c r="C71" s="16">
        <f t="shared" ref="C71" si="224">C69-C70</f>
        <v>270000</v>
      </c>
      <c r="D71" s="16">
        <f t="shared" ref="D71:N71" si="225">D69-D70</f>
        <v>270000</v>
      </c>
      <c r="E71" s="16">
        <f t="shared" si="225"/>
        <v>270000</v>
      </c>
      <c r="F71" s="16">
        <f t="shared" si="225"/>
        <v>0</v>
      </c>
      <c r="G71" s="16">
        <f t="shared" si="225"/>
        <v>0</v>
      </c>
      <c r="H71" s="16">
        <f t="shared" si="225"/>
        <v>0</v>
      </c>
      <c r="I71" s="16">
        <f t="shared" si="225"/>
        <v>0</v>
      </c>
      <c r="J71" s="16">
        <f t="shared" si="225"/>
        <v>0</v>
      </c>
      <c r="K71" s="16">
        <f t="shared" si="225"/>
        <v>0</v>
      </c>
      <c r="L71" s="16">
        <f t="shared" si="225"/>
        <v>0</v>
      </c>
      <c r="M71" s="16">
        <f t="shared" si="225"/>
        <v>0</v>
      </c>
      <c r="N71" s="16">
        <f t="shared" si="225"/>
        <v>0</v>
      </c>
      <c r="O71" s="13">
        <f t="shared" si="221"/>
        <v>810000</v>
      </c>
      <c r="P71" s="14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</row>
    <row r="72" spans="1:256" s="1" customFormat="1" x14ac:dyDescent="0.35">
      <c r="B72" s="15" t="s">
        <v>16</v>
      </c>
      <c r="C72" s="171">
        <f>IF(C71&gt;1000000,128000+0.3*(C71-1000000),IF(C71&gt;760000,68000+0.25*(C71-760000),IF(C71&gt;520000,20000+0.2*(C71-520000),IF(C71&gt;270000,0.08*(C71-270000),IF(C71&lt;=270000,0)))))</f>
        <v>0</v>
      </c>
      <c r="D72" s="171">
        <f t="shared" ref="D72" si="226">IF(D71&gt;1000000,128000+0.3*(D71-1000000),IF(D71&gt;760000,68000+0.25*(D71-760000),IF(D71&gt;520000,20000+0.2*(D71-520000),IF(D71&gt;270000,0.08*(D71-270000),IF(D71&lt;=270000,0)))))</f>
        <v>0</v>
      </c>
      <c r="E72" s="171">
        <f t="shared" ref="E72" si="227">IF(E71&gt;1000000,128000+0.3*(E71-1000000),IF(E71&gt;760000,68000+0.25*(E71-760000),IF(E71&gt;520000,20000+0.2*(E71-520000),IF(E71&gt;270000,0.08*(E71-270000),IF(E71&lt;=270000,0)))))</f>
        <v>0</v>
      </c>
      <c r="F72" s="171">
        <f t="shared" ref="F72" si="228">IF(F71&gt;1000000,128000+0.3*(F71-1000000),IF(F71&gt;760000,68000+0.25*(F71-760000),IF(F71&gt;520000,20000+0.2*(F71-520000),IF(F71&gt;270000,0.08*(F71-270000),IF(F71&lt;=270000,0)))))</f>
        <v>0</v>
      </c>
      <c r="G72" s="171">
        <f t="shared" ref="G72" si="229">IF(G71&gt;1000000,128000+0.3*(G71-1000000),IF(G71&gt;760000,68000+0.25*(G71-760000),IF(G71&gt;520000,20000+0.2*(G71-520000),IF(G71&gt;270000,0.08*(G71-270000),IF(G71&lt;=270000,0)))))</f>
        <v>0</v>
      </c>
      <c r="H72" s="171">
        <f t="shared" ref="H72" si="230">IF(H71&gt;1000000,128000+0.3*(H71-1000000),IF(H71&gt;760000,68000+0.25*(H71-760000),IF(H71&gt;520000,20000+0.2*(H71-520000),IF(H71&gt;270000,0.08*(H71-270000),IF(H71&lt;=270000,0)))))</f>
        <v>0</v>
      </c>
      <c r="I72" s="171">
        <f t="shared" ref="I72" si="231">IF(I71&gt;1000000,128000+0.3*(I71-1000000),IF(I71&gt;760000,68000+0.25*(I71-760000),IF(I71&gt;520000,20000+0.2*(I71-520000),IF(I71&gt;270000,0.08*(I71-270000),IF(I71&lt;=270000,0)))))</f>
        <v>0</v>
      </c>
      <c r="J72" s="171">
        <f t="shared" ref="J72" si="232">IF(J71&gt;1000000,128000+0.3*(J71-1000000),IF(J71&gt;760000,68000+0.25*(J71-760000),IF(J71&gt;520000,20000+0.2*(J71-520000),IF(J71&gt;270000,0.08*(J71-270000),IF(J71&lt;=270000,0)))))</f>
        <v>0</v>
      </c>
      <c r="K72" s="171">
        <f t="shared" ref="K72" si="233">IF(K71&gt;1000000,128000+0.3*(K71-1000000),IF(K71&gt;760000,68000+0.25*(K71-760000),IF(K71&gt;520000,20000+0.2*(K71-520000),IF(K71&gt;270000,0.08*(K71-270000),IF(K71&lt;=270000,0)))))</f>
        <v>0</v>
      </c>
      <c r="L72" s="171">
        <f t="shared" ref="L72" si="234">IF(L71&gt;1000000,128000+0.3*(L71-1000000),IF(L71&gt;760000,68000+0.25*(L71-760000),IF(L71&gt;520000,20000+0.2*(L71-520000),IF(L71&gt;270000,0.08*(L71-270000),IF(L71&lt;=270000,0)))))</f>
        <v>0</v>
      </c>
      <c r="M72" s="171">
        <f t="shared" ref="M72" si="235">IF(M71&gt;1000000,128000+0.3*(M71-1000000),IF(M71&gt;760000,68000+0.25*(M71-760000),IF(M71&gt;520000,20000+0.2*(M71-520000),IF(M71&gt;270000,0.08*(M71-270000),IF(M71&lt;=270000,0)))))</f>
        <v>0</v>
      </c>
      <c r="N72" s="171">
        <f t="shared" ref="N72" si="236">IF(N71&gt;1000000,128000+0.3*(N71-1000000),IF(N71&gt;760000,68000+0.25*(N71-760000),IF(N71&gt;520000,20000+0.2*(N71-520000),IF(N71&gt;270000,0.08*(N71-270000),IF(N71&lt;=270000,0)))))</f>
        <v>0</v>
      </c>
      <c r="O72" s="13">
        <f t="shared" si="221"/>
        <v>0</v>
      </c>
      <c r="P72" s="14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</row>
    <row r="73" spans="1:256" s="17" customFormat="1" x14ac:dyDescent="0.35">
      <c r="A73" s="17">
        <v>18</v>
      </c>
      <c r="B73" s="11" t="s">
        <v>411</v>
      </c>
      <c r="C73" s="12">
        <v>300000</v>
      </c>
      <c r="D73" s="12">
        <v>300000</v>
      </c>
      <c r="E73" s="12">
        <v>300000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3">
        <f t="shared" si="221"/>
        <v>900000</v>
      </c>
      <c r="P73" s="14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</row>
    <row r="74" spans="1:256" s="17" customFormat="1" x14ac:dyDescent="0.35">
      <c r="B74" s="15" t="s">
        <v>14</v>
      </c>
      <c r="C74" s="16">
        <f t="shared" ref="C74" si="237">C73*0.1</f>
        <v>30000</v>
      </c>
      <c r="D74" s="16">
        <f t="shared" ref="D74:N74" si="238">D73*0.1</f>
        <v>30000</v>
      </c>
      <c r="E74" s="16">
        <f t="shared" si="238"/>
        <v>30000</v>
      </c>
      <c r="F74" s="16">
        <f t="shared" si="238"/>
        <v>0</v>
      </c>
      <c r="G74" s="16">
        <f t="shared" si="238"/>
        <v>0</v>
      </c>
      <c r="H74" s="16">
        <f t="shared" si="238"/>
        <v>0</v>
      </c>
      <c r="I74" s="16">
        <f t="shared" si="238"/>
        <v>0</v>
      </c>
      <c r="J74" s="16">
        <f t="shared" si="238"/>
        <v>0</v>
      </c>
      <c r="K74" s="16">
        <f t="shared" si="238"/>
        <v>0</v>
      </c>
      <c r="L74" s="16">
        <f t="shared" si="238"/>
        <v>0</v>
      </c>
      <c r="M74" s="16">
        <f t="shared" si="238"/>
        <v>0</v>
      </c>
      <c r="N74" s="16">
        <f t="shared" si="238"/>
        <v>0</v>
      </c>
      <c r="O74" s="13">
        <f t="shared" si="221"/>
        <v>90000</v>
      </c>
      <c r="P74" s="14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</row>
    <row r="75" spans="1:256" s="1" customFormat="1" x14ac:dyDescent="0.35">
      <c r="B75" s="15" t="s">
        <v>15</v>
      </c>
      <c r="C75" s="16">
        <f t="shared" ref="C75" si="239">C73-C74</f>
        <v>270000</v>
      </c>
      <c r="D75" s="16">
        <f t="shared" ref="D75:N75" si="240">D73-D74</f>
        <v>270000</v>
      </c>
      <c r="E75" s="16">
        <f t="shared" si="240"/>
        <v>270000</v>
      </c>
      <c r="F75" s="16">
        <f t="shared" si="240"/>
        <v>0</v>
      </c>
      <c r="G75" s="16">
        <f t="shared" si="240"/>
        <v>0</v>
      </c>
      <c r="H75" s="16">
        <f t="shared" si="240"/>
        <v>0</v>
      </c>
      <c r="I75" s="16">
        <f t="shared" si="240"/>
        <v>0</v>
      </c>
      <c r="J75" s="16">
        <f t="shared" si="240"/>
        <v>0</v>
      </c>
      <c r="K75" s="16">
        <f t="shared" si="240"/>
        <v>0</v>
      </c>
      <c r="L75" s="16">
        <f t="shared" si="240"/>
        <v>0</v>
      </c>
      <c r="M75" s="16">
        <f t="shared" si="240"/>
        <v>0</v>
      </c>
      <c r="N75" s="16">
        <f t="shared" si="240"/>
        <v>0</v>
      </c>
      <c r="O75" s="13">
        <f t="shared" si="221"/>
        <v>810000</v>
      </c>
      <c r="P75" s="14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</row>
    <row r="76" spans="1:256" s="1" customFormat="1" x14ac:dyDescent="0.35">
      <c r="B76" s="15" t="s">
        <v>16</v>
      </c>
      <c r="C76" s="171">
        <f>IF(C75&gt;1000000,128000+0.3*(C75-1000000),IF(C75&gt;760000,68000+0.25*(C75-760000),IF(C75&gt;520000,20000+0.2*(C75-520000),IF(C75&gt;270000,0.08*(C75-270000),IF(C75&lt;=270000,0)))))</f>
        <v>0</v>
      </c>
      <c r="D76" s="171">
        <f t="shared" ref="D76" si="241">IF(D75&gt;1000000,128000+0.3*(D75-1000000),IF(D75&gt;760000,68000+0.25*(D75-760000),IF(D75&gt;520000,20000+0.2*(D75-520000),IF(D75&gt;270000,0.08*(D75-270000),IF(D75&lt;=270000,0)))))</f>
        <v>0</v>
      </c>
      <c r="E76" s="171">
        <f t="shared" ref="E76" si="242">IF(E75&gt;1000000,128000+0.3*(E75-1000000),IF(E75&gt;760000,68000+0.25*(E75-760000),IF(E75&gt;520000,20000+0.2*(E75-520000),IF(E75&gt;270000,0.08*(E75-270000),IF(E75&lt;=270000,0)))))</f>
        <v>0</v>
      </c>
      <c r="F76" s="171">
        <f t="shared" ref="F76" si="243">IF(F75&gt;1000000,128000+0.3*(F75-1000000),IF(F75&gt;760000,68000+0.25*(F75-760000),IF(F75&gt;520000,20000+0.2*(F75-520000),IF(F75&gt;270000,0.08*(F75-270000),IF(F75&lt;=270000,0)))))</f>
        <v>0</v>
      </c>
      <c r="G76" s="171">
        <f t="shared" ref="G76" si="244">IF(G75&gt;1000000,128000+0.3*(G75-1000000),IF(G75&gt;760000,68000+0.25*(G75-760000),IF(G75&gt;520000,20000+0.2*(G75-520000),IF(G75&gt;270000,0.08*(G75-270000),IF(G75&lt;=270000,0)))))</f>
        <v>0</v>
      </c>
      <c r="H76" s="171">
        <f t="shared" ref="H76" si="245">IF(H75&gt;1000000,128000+0.3*(H75-1000000),IF(H75&gt;760000,68000+0.25*(H75-760000),IF(H75&gt;520000,20000+0.2*(H75-520000),IF(H75&gt;270000,0.08*(H75-270000),IF(H75&lt;=270000,0)))))</f>
        <v>0</v>
      </c>
      <c r="I76" s="171">
        <f t="shared" ref="I76" si="246">IF(I75&gt;1000000,128000+0.3*(I75-1000000),IF(I75&gt;760000,68000+0.25*(I75-760000),IF(I75&gt;520000,20000+0.2*(I75-520000),IF(I75&gt;270000,0.08*(I75-270000),IF(I75&lt;=270000,0)))))</f>
        <v>0</v>
      </c>
      <c r="J76" s="171">
        <f t="shared" ref="J76" si="247">IF(J75&gt;1000000,128000+0.3*(J75-1000000),IF(J75&gt;760000,68000+0.25*(J75-760000),IF(J75&gt;520000,20000+0.2*(J75-520000),IF(J75&gt;270000,0.08*(J75-270000),IF(J75&lt;=270000,0)))))</f>
        <v>0</v>
      </c>
      <c r="K76" s="171">
        <f t="shared" ref="K76" si="248">IF(K75&gt;1000000,128000+0.3*(K75-1000000),IF(K75&gt;760000,68000+0.25*(K75-760000),IF(K75&gt;520000,20000+0.2*(K75-520000),IF(K75&gt;270000,0.08*(K75-270000),IF(K75&lt;=270000,0)))))</f>
        <v>0</v>
      </c>
      <c r="L76" s="171">
        <f t="shared" ref="L76" si="249">IF(L75&gt;1000000,128000+0.3*(L75-1000000),IF(L75&gt;760000,68000+0.25*(L75-760000),IF(L75&gt;520000,20000+0.2*(L75-520000),IF(L75&gt;270000,0.08*(L75-270000),IF(L75&lt;=270000,0)))))</f>
        <v>0</v>
      </c>
      <c r="M76" s="171">
        <f t="shared" ref="M76" si="250">IF(M75&gt;1000000,128000+0.3*(M75-1000000),IF(M75&gt;760000,68000+0.25*(M75-760000),IF(M75&gt;520000,20000+0.2*(M75-520000),IF(M75&gt;270000,0.08*(M75-270000),IF(M75&lt;=270000,0)))))</f>
        <v>0</v>
      </c>
      <c r="N76" s="171">
        <f t="shared" ref="N76" si="251">IF(N75&gt;1000000,128000+0.3*(N75-1000000),IF(N75&gt;760000,68000+0.25*(N75-760000),IF(N75&gt;520000,20000+0.2*(N75-520000),IF(N75&gt;270000,0.08*(N75-270000),IF(N75&lt;=270000,0)))))</f>
        <v>0</v>
      </c>
      <c r="O76" s="13">
        <f t="shared" si="221"/>
        <v>0</v>
      </c>
      <c r="P76" s="14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</row>
    <row r="77" spans="1:256" s="17" customFormat="1" x14ac:dyDescent="0.35">
      <c r="A77" s="17">
        <v>19</v>
      </c>
      <c r="B77" s="11" t="s">
        <v>412</v>
      </c>
      <c r="C77" s="12">
        <v>300000</v>
      </c>
      <c r="D77" s="12">
        <v>300000</v>
      </c>
      <c r="E77" s="12">
        <v>300000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3">
        <f t="shared" si="221"/>
        <v>900000</v>
      </c>
      <c r="P77" s="14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</row>
    <row r="78" spans="1:256" s="17" customFormat="1" x14ac:dyDescent="0.35">
      <c r="B78" s="15" t="s">
        <v>14</v>
      </c>
      <c r="C78" s="16">
        <f t="shared" ref="C78" si="252">C77*0.1</f>
        <v>30000</v>
      </c>
      <c r="D78" s="16">
        <f t="shared" ref="D78:N78" si="253">D77*0.1</f>
        <v>30000</v>
      </c>
      <c r="E78" s="16">
        <f t="shared" si="253"/>
        <v>30000</v>
      </c>
      <c r="F78" s="16">
        <f t="shared" si="253"/>
        <v>0</v>
      </c>
      <c r="G78" s="16">
        <f t="shared" si="253"/>
        <v>0</v>
      </c>
      <c r="H78" s="16">
        <f t="shared" si="253"/>
        <v>0</v>
      </c>
      <c r="I78" s="16">
        <f t="shared" si="253"/>
        <v>0</v>
      </c>
      <c r="J78" s="16">
        <f t="shared" si="253"/>
        <v>0</v>
      </c>
      <c r="K78" s="16">
        <f t="shared" si="253"/>
        <v>0</v>
      </c>
      <c r="L78" s="16">
        <f t="shared" si="253"/>
        <v>0</v>
      </c>
      <c r="M78" s="16">
        <f t="shared" si="253"/>
        <v>0</v>
      </c>
      <c r="N78" s="16">
        <f t="shared" si="253"/>
        <v>0</v>
      </c>
      <c r="O78" s="13">
        <f t="shared" si="221"/>
        <v>90000</v>
      </c>
      <c r="P78" s="14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</row>
    <row r="79" spans="1:256" s="1" customFormat="1" x14ac:dyDescent="0.35">
      <c r="B79" s="15" t="s">
        <v>15</v>
      </c>
      <c r="C79" s="16">
        <f t="shared" ref="C79" si="254">C77-C78</f>
        <v>270000</v>
      </c>
      <c r="D79" s="16">
        <f t="shared" ref="D79:N79" si="255">D77-D78</f>
        <v>270000</v>
      </c>
      <c r="E79" s="16">
        <f t="shared" si="255"/>
        <v>270000</v>
      </c>
      <c r="F79" s="16">
        <f t="shared" si="255"/>
        <v>0</v>
      </c>
      <c r="G79" s="16">
        <f t="shared" si="255"/>
        <v>0</v>
      </c>
      <c r="H79" s="16">
        <f t="shared" si="255"/>
        <v>0</v>
      </c>
      <c r="I79" s="16">
        <f t="shared" si="255"/>
        <v>0</v>
      </c>
      <c r="J79" s="16">
        <f t="shared" si="255"/>
        <v>0</v>
      </c>
      <c r="K79" s="16">
        <f t="shared" si="255"/>
        <v>0</v>
      </c>
      <c r="L79" s="16">
        <f t="shared" si="255"/>
        <v>0</v>
      </c>
      <c r="M79" s="16">
        <f t="shared" si="255"/>
        <v>0</v>
      </c>
      <c r="N79" s="16">
        <f t="shared" si="255"/>
        <v>0</v>
      </c>
      <c r="O79" s="13">
        <f t="shared" si="221"/>
        <v>810000</v>
      </c>
      <c r="P79" s="14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</row>
    <row r="80" spans="1:256" s="1" customFormat="1" x14ac:dyDescent="0.35">
      <c r="B80" s="15" t="s">
        <v>16</v>
      </c>
      <c r="C80" s="171">
        <f>IF(C79&gt;1000000,128000+0.3*(C79-1000000),IF(C79&gt;760000,68000+0.25*(C79-760000),IF(C79&gt;520000,20000+0.2*(C79-520000),IF(C79&gt;270000,0.08*(C79-270000),IF(C79&lt;=270000,0)))))</f>
        <v>0</v>
      </c>
      <c r="D80" s="171">
        <f t="shared" ref="D80" si="256">IF(D79&gt;1000000,128000+0.3*(D79-1000000),IF(D79&gt;760000,68000+0.25*(D79-760000),IF(D79&gt;520000,20000+0.2*(D79-520000),IF(D79&gt;270000,0.08*(D79-270000),IF(D79&lt;=270000,0)))))</f>
        <v>0</v>
      </c>
      <c r="E80" s="171">
        <f t="shared" ref="E80" si="257">IF(E79&gt;1000000,128000+0.3*(E79-1000000),IF(E79&gt;760000,68000+0.25*(E79-760000),IF(E79&gt;520000,20000+0.2*(E79-520000),IF(E79&gt;270000,0.08*(E79-270000),IF(E79&lt;=270000,0)))))</f>
        <v>0</v>
      </c>
      <c r="F80" s="171">
        <f t="shared" ref="F80" si="258">IF(F79&gt;1000000,128000+0.3*(F79-1000000),IF(F79&gt;760000,68000+0.25*(F79-760000),IF(F79&gt;520000,20000+0.2*(F79-520000),IF(F79&gt;270000,0.08*(F79-270000),IF(F79&lt;=270000,0)))))</f>
        <v>0</v>
      </c>
      <c r="G80" s="171">
        <f t="shared" ref="G80" si="259">IF(G79&gt;1000000,128000+0.3*(G79-1000000),IF(G79&gt;760000,68000+0.25*(G79-760000),IF(G79&gt;520000,20000+0.2*(G79-520000),IF(G79&gt;270000,0.08*(G79-270000),IF(G79&lt;=270000,0)))))</f>
        <v>0</v>
      </c>
      <c r="H80" s="171">
        <f t="shared" ref="H80" si="260">IF(H79&gt;1000000,128000+0.3*(H79-1000000),IF(H79&gt;760000,68000+0.25*(H79-760000),IF(H79&gt;520000,20000+0.2*(H79-520000),IF(H79&gt;270000,0.08*(H79-270000),IF(H79&lt;=270000,0)))))</f>
        <v>0</v>
      </c>
      <c r="I80" s="171">
        <f t="shared" ref="I80" si="261">IF(I79&gt;1000000,128000+0.3*(I79-1000000),IF(I79&gt;760000,68000+0.25*(I79-760000),IF(I79&gt;520000,20000+0.2*(I79-520000),IF(I79&gt;270000,0.08*(I79-270000),IF(I79&lt;=270000,0)))))</f>
        <v>0</v>
      </c>
      <c r="J80" s="171">
        <f t="shared" ref="J80" si="262">IF(J79&gt;1000000,128000+0.3*(J79-1000000),IF(J79&gt;760000,68000+0.25*(J79-760000),IF(J79&gt;520000,20000+0.2*(J79-520000),IF(J79&gt;270000,0.08*(J79-270000),IF(J79&lt;=270000,0)))))</f>
        <v>0</v>
      </c>
      <c r="K80" s="171">
        <f t="shared" ref="K80" si="263">IF(K79&gt;1000000,128000+0.3*(K79-1000000),IF(K79&gt;760000,68000+0.25*(K79-760000),IF(K79&gt;520000,20000+0.2*(K79-520000),IF(K79&gt;270000,0.08*(K79-270000),IF(K79&lt;=270000,0)))))</f>
        <v>0</v>
      </c>
      <c r="L80" s="171">
        <f t="shared" ref="L80" si="264">IF(L79&gt;1000000,128000+0.3*(L79-1000000),IF(L79&gt;760000,68000+0.25*(L79-760000),IF(L79&gt;520000,20000+0.2*(L79-520000),IF(L79&gt;270000,0.08*(L79-270000),IF(L79&lt;=270000,0)))))</f>
        <v>0</v>
      </c>
      <c r="M80" s="171">
        <f t="shared" ref="M80" si="265">IF(M79&gt;1000000,128000+0.3*(M79-1000000),IF(M79&gt;760000,68000+0.25*(M79-760000),IF(M79&gt;520000,20000+0.2*(M79-520000),IF(M79&gt;270000,0.08*(M79-270000),IF(M79&lt;=270000,0)))))</f>
        <v>0</v>
      </c>
      <c r="N80" s="171">
        <f t="shared" ref="N80" si="266">IF(N79&gt;1000000,128000+0.3*(N79-1000000),IF(N79&gt;760000,68000+0.25*(N79-760000),IF(N79&gt;520000,20000+0.2*(N79-520000),IF(N79&gt;270000,0.08*(N79-270000),IF(N79&lt;=270000,0)))))</f>
        <v>0</v>
      </c>
      <c r="O80" s="13">
        <f t="shared" si="221"/>
        <v>0</v>
      </c>
      <c r="P80" s="14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</row>
    <row r="81" spans="1:256" s="17" customFormat="1" x14ac:dyDescent="0.35">
      <c r="A81" s="17">
        <v>20</v>
      </c>
      <c r="B81" s="11" t="s">
        <v>413</v>
      </c>
      <c r="C81" s="12">
        <v>300000</v>
      </c>
      <c r="D81" s="12">
        <v>300000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3">
        <f t="shared" si="221"/>
        <v>600000</v>
      </c>
      <c r="P81" s="14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</row>
    <row r="82" spans="1:256" s="17" customFormat="1" x14ac:dyDescent="0.35">
      <c r="B82" s="15" t="s">
        <v>14</v>
      </c>
      <c r="C82" s="16">
        <f t="shared" ref="C82" si="267">C81*0.1</f>
        <v>30000</v>
      </c>
      <c r="D82" s="16">
        <f t="shared" ref="D82:N82" si="268">D81*0.1</f>
        <v>30000</v>
      </c>
      <c r="E82" s="16">
        <f t="shared" si="268"/>
        <v>0</v>
      </c>
      <c r="F82" s="16">
        <f t="shared" si="268"/>
        <v>0</v>
      </c>
      <c r="G82" s="16">
        <f t="shared" si="268"/>
        <v>0</v>
      </c>
      <c r="H82" s="16">
        <f t="shared" si="268"/>
        <v>0</v>
      </c>
      <c r="I82" s="16">
        <f t="shared" si="268"/>
        <v>0</v>
      </c>
      <c r="J82" s="16">
        <f t="shared" si="268"/>
        <v>0</v>
      </c>
      <c r="K82" s="16">
        <f t="shared" si="268"/>
        <v>0</v>
      </c>
      <c r="L82" s="16">
        <f t="shared" si="268"/>
        <v>0</v>
      </c>
      <c r="M82" s="16">
        <f t="shared" si="268"/>
        <v>0</v>
      </c>
      <c r="N82" s="16">
        <f t="shared" si="268"/>
        <v>0</v>
      </c>
      <c r="O82" s="13">
        <f t="shared" si="221"/>
        <v>60000</v>
      </c>
      <c r="P82" s="14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</row>
    <row r="83" spans="1:256" s="1" customFormat="1" x14ac:dyDescent="0.35">
      <c r="B83" s="15" t="s">
        <v>15</v>
      </c>
      <c r="C83" s="16">
        <f t="shared" ref="C83" si="269">C81-C82</f>
        <v>270000</v>
      </c>
      <c r="D83" s="16">
        <f t="shared" ref="D83:N83" si="270">D81-D82</f>
        <v>270000</v>
      </c>
      <c r="E83" s="16">
        <f t="shared" si="270"/>
        <v>0</v>
      </c>
      <c r="F83" s="16">
        <f t="shared" si="270"/>
        <v>0</v>
      </c>
      <c r="G83" s="16">
        <f t="shared" si="270"/>
        <v>0</v>
      </c>
      <c r="H83" s="16">
        <f t="shared" si="270"/>
        <v>0</v>
      </c>
      <c r="I83" s="16">
        <f t="shared" si="270"/>
        <v>0</v>
      </c>
      <c r="J83" s="16">
        <f t="shared" si="270"/>
        <v>0</v>
      </c>
      <c r="K83" s="16">
        <f t="shared" si="270"/>
        <v>0</v>
      </c>
      <c r="L83" s="16">
        <f t="shared" si="270"/>
        <v>0</v>
      </c>
      <c r="M83" s="16">
        <f t="shared" si="270"/>
        <v>0</v>
      </c>
      <c r="N83" s="16">
        <f t="shared" si="270"/>
        <v>0</v>
      </c>
      <c r="O83" s="13">
        <f t="shared" si="221"/>
        <v>540000</v>
      </c>
      <c r="P83" s="14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</row>
    <row r="84" spans="1:256" s="1" customFormat="1" x14ac:dyDescent="0.35">
      <c r="B84" s="15" t="s">
        <v>16</v>
      </c>
      <c r="C84" s="171">
        <f>IF(C83&gt;1000000,128000+0.3*(C83-1000000),IF(C83&gt;760000,68000+0.25*(C83-760000),IF(C83&gt;520000,20000+0.2*(C83-520000),IF(C83&gt;270000,0.08*(C83-270000),IF(C83&lt;=270000,0)))))</f>
        <v>0</v>
      </c>
      <c r="D84" s="171">
        <f t="shared" ref="D84" si="271">IF(D83&gt;1000000,128000+0.3*(D83-1000000),IF(D83&gt;760000,68000+0.25*(D83-760000),IF(D83&gt;520000,20000+0.2*(D83-520000),IF(D83&gt;270000,0.08*(D83-270000),IF(D83&lt;=270000,0)))))</f>
        <v>0</v>
      </c>
      <c r="E84" s="171">
        <f t="shared" ref="E84" si="272">IF(E83&gt;1000000,128000+0.3*(E83-1000000),IF(E83&gt;760000,68000+0.25*(E83-760000),IF(E83&gt;520000,20000+0.2*(E83-520000),IF(E83&gt;270000,0.08*(E83-270000),IF(E83&lt;=270000,0)))))</f>
        <v>0</v>
      </c>
      <c r="F84" s="171">
        <f t="shared" ref="F84" si="273">IF(F83&gt;1000000,128000+0.3*(F83-1000000),IF(F83&gt;760000,68000+0.25*(F83-760000),IF(F83&gt;520000,20000+0.2*(F83-520000),IF(F83&gt;270000,0.08*(F83-270000),IF(F83&lt;=270000,0)))))</f>
        <v>0</v>
      </c>
      <c r="G84" s="171">
        <f t="shared" ref="G84" si="274">IF(G83&gt;1000000,128000+0.3*(G83-1000000),IF(G83&gt;760000,68000+0.25*(G83-760000),IF(G83&gt;520000,20000+0.2*(G83-520000),IF(G83&gt;270000,0.08*(G83-270000),IF(G83&lt;=270000,0)))))</f>
        <v>0</v>
      </c>
      <c r="H84" s="171">
        <f t="shared" ref="H84" si="275">IF(H83&gt;1000000,128000+0.3*(H83-1000000),IF(H83&gt;760000,68000+0.25*(H83-760000),IF(H83&gt;520000,20000+0.2*(H83-520000),IF(H83&gt;270000,0.08*(H83-270000),IF(H83&lt;=270000,0)))))</f>
        <v>0</v>
      </c>
      <c r="I84" s="171">
        <f t="shared" ref="I84" si="276">IF(I83&gt;1000000,128000+0.3*(I83-1000000),IF(I83&gt;760000,68000+0.25*(I83-760000),IF(I83&gt;520000,20000+0.2*(I83-520000),IF(I83&gt;270000,0.08*(I83-270000),IF(I83&lt;=270000,0)))))</f>
        <v>0</v>
      </c>
      <c r="J84" s="171">
        <f t="shared" ref="J84" si="277">IF(J83&gt;1000000,128000+0.3*(J83-1000000),IF(J83&gt;760000,68000+0.25*(J83-760000),IF(J83&gt;520000,20000+0.2*(J83-520000),IF(J83&gt;270000,0.08*(J83-270000),IF(J83&lt;=270000,0)))))</f>
        <v>0</v>
      </c>
      <c r="K84" s="171">
        <f t="shared" ref="K84" si="278">IF(K83&gt;1000000,128000+0.3*(K83-1000000),IF(K83&gt;760000,68000+0.25*(K83-760000),IF(K83&gt;520000,20000+0.2*(K83-520000),IF(K83&gt;270000,0.08*(K83-270000),IF(K83&lt;=270000,0)))))</f>
        <v>0</v>
      </c>
      <c r="L84" s="171">
        <f t="shared" ref="L84" si="279">IF(L83&gt;1000000,128000+0.3*(L83-1000000),IF(L83&gt;760000,68000+0.25*(L83-760000),IF(L83&gt;520000,20000+0.2*(L83-520000),IF(L83&gt;270000,0.08*(L83-270000),IF(L83&lt;=270000,0)))))</f>
        <v>0</v>
      </c>
      <c r="M84" s="171">
        <f t="shared" ref="M84" si="280">IF(M83&gt;1000000,128000+0.3*(M83-1000000),IF(M83&gt;760000,68000+0.25*(M83-760000),IF(M83&gt;520000,20000+0.2*(M83-520000),IF(M83&gt;270000,0.08*(M83-270000),IF(M83&lt;=270000,0)))))</f>
        <v>0</v>
      </c>
      <c r="N84" s="171">
        <f t="shared" ref="N84" si="281">IF(N83&gt;1000000,128000+0.3*(N83-1000000),IF(N83&gt;760000,68000+0.25*(N83-760000),IF(N83&gt;520000,20000+0.2*(N83-520000),IF(N83&gt;270000,0.08*(N83-270000),IF(N83&lt;=270000,0)))))</f>
        <v>0</v>
      </c>
      <c r="O84" s="13">
        <f t="shared" si="221"/>
        <v>0</v>
      </c>
      <c r="P84" s="14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</row>
    <row r="85" spans="1:256" s="17" customFormat="1" x14ac:dyDescent="0.35">
      <c r="A85" s="17">
        <v>21</v>
      </c>
      <c r="B85" s="11" t="s">
        <v>414</v>
      </c>
      <c r="C85" s="12">
        <v>300000</v>
      </c>
      <c r="D85" s="12">
        <v>300000</v>
      </c>
      <c r="E85" s="12">
        <v>300000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3">
        <f t="shared" si="221"/>
        <v>900000</v>
      </c>
      <c r="P85" s="14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</row>
    <row r="86" spans="1:256" s="17" customFormat="1" x14ac:dyDescent="0.35">
      <c r="B86" s="15" t="s">
        <v>14</v>
      </c>
      <c r="C86" s="16">
        <f t="shared" ref="C86" si="282">C85*0.1</f>
        <v>30000</v>
      </c>
      <c r="D86" s="16">
        <f t="shared" ref="D86:N86" si="283">D85*0.1</f>
        <v>30000</v>
      </c>
      <c r="E86" s="16">
        <f t="shared" si="283"/>
        <v>30000</v>
      </c>
      <c r="F86" s="16">
        <f t="shared" si="283"/>
        <v>0</v>
      </c>
      <c r="G86" s="16">
        <f t="shared" si="283"/>
        <v>0</v>
      </c>
      <c r="H86" s="16">
        <f t="shared" si="283"/>
        <v>0</v>
      </c>
      <c r="I86" s="16">
        <f t="shared" si="283"/>
        <v>0</v>
      </c>
      <c r="J86" s="16">
        <f t="shared" si="283"/>
        <v>0</v>
      </c>
      <c r="K86" s="16">
        <f t="shared" si="283"/>
        <v>0</v>
      </c>
      <c r="L86" s="16">
        <f t="shared" si="283"/>
        <v>0</v>
      </c>
      <c r="M86" s="16">
        <f t="shared" si="283"/>
        <v>0</v>
      </c>
      <c r="N86" s="16">
        <f t="shared" si="283"/>
        <v>0</v>
      </c>
      <c r="O86" s="13">
        <f t="shared" si="221"/>
        <v>90000</v>
      </c>
      <c r="P86" s="14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</row>
    <row r="87" spans="1:256" s="1" customFormat="1" x14ac:dyDescent="0.35">
      <c r="B87" s="15" t="s">
        <v>15</v>
      </c>
      <c r="C87" s="16">
        <f t="shared" ref="C87" si="284">C85-C86</f>
        <v>270000</v>
      </c>
      <c r="D87" s="16">
        <f t="shared" ref="D87:N87" si="285">D85-D86</f>
        <v>270000</v>
      </c>
      <c r="E87" s="16">
        <f t="shared" si="285"/>
        <v>270000</v>
      </c>
      <c r="F87" s="16">
        <f t="shared" si="285"/>
        <v>0</v>
      </c>
      <c r="G87" s="16">
        <f t="shared" si="285"/>
        <v>0</v>
      </c>
      <c r="H87" s="16">
        <f t="shared" si="285"/>
        <v>0</v>
      </c>
      <c r="I87" s="16">
        <f t="shared" si="285"/>
        <v>0</v>
      </c>
      <c r="J87" s="16">
        <f t="shared" si="285"/>
        <v>0</v>
      </c>
      <c r="K87" s="16">
        <f t="shared" si="285"/>
        <v>0</v>
      </c>
      <c r="L87" s="16">
        <f t="shared" si="285"/>
        <v>0</v>
      </c>
      <c r="M87" s="16">
        <f t="shared" si="285"/>
        <v>0</v>
      </c>
      <c r="N87" s="16">
        <f t="shared" si="285"/>
        <v>0</v>
      </c>
      <c r="O87" s="13">
        <f t="shared" si="221"/>
        <v>810000</v>
      </c>
      <c r="P87" s="14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</row>
    <row r="88" spans="1:256" s="1" customFormat="1" x14ac:dyDescent="0.35">
      <c r="B88" s="15" t="s">
        <v>16</v>
      </c>
      <c r="C88" s="171">
        <f>IF(C87&gt;1000000,128000+0.3*(C87-1000000),IF(C87&gt;760000,68000+0.25*(C87-760000),IF(C87&gt;520000,20000+0.2*(C87-520000),IF(C87&gt;270000,0.08*(C87-270000),IF(C87&lt;=270000,0)))))</f>
        <v>0</v>
      </c>
      <c r="D88" s="171">
        <f t="shared" ref="D88" si="286">IF(D87&gt;1000000,128000+0.3*(D87-1000000),IF(D87&gt;760000,68000+0.25*(D87-760000),IF(D87&gt;520000,20000+0.2*(D87-520000),IF(D87&gt;270000,0.08*(D87-270000),IF(D87&lt;=270000,0)))))</f>
        <v>0</v>
      </c>
      <c r="E88" s="171">
        <f t="shared" ref="E88" si="287">IF(E87&gt;1000000,128000+0.3*(E87-1000000),IF(E87&gt;760000,68000+0.25*(E87-760000),IF(E87&gt;520000,20000+0.2*(E87-520000),IF(E87&gt;270000,0.08*(E87-270000),IF(E87&lt;=270000,0)))))</f>
        <v>0</v>
      </c>
      <c r="F88" s="171">
        <f t="shared" ref="F88" si="288">IF(F87&gt;1000000,128000+0.3*(F87-1000000),IF(F87&gt;760000,68000+0.25*(F87-760000),IF(F87&gt;520000,20000+0.2*(F87-520000),IF(F87&gt;270000,0.08*(F87-270000),IF(F87&lt;=270000,0)))))</f>
        <v>0</v>
      </c>
      <c r="G88" s="171">
        <f t="shared" ref="G88" si="289">IF(G87&gt;1000000,128000+0.3*(G87-1000000),IF(G87&gt;760000,68000+0.25*(G87-760000),IF(G87&gt;520000,20000+0.2*(G87-520000),IF(G87&gt;270000,0.08*(G87-270000),IF(G87&lt;=270000,0)))))</f>
        <v>0</v>
      </c>
      <c r="H88" s="171">
        <f t="shared" ref="H88" si="290">IF(H87&gt;1000000,128000+0.3*(H87-1000000),IF(H87&gt;760000,68000+0.25*(H87-760000),IF(H87&gt;520000,20000+0.2*(H87-520000),IF(H87&gt;270000,0.08*(H87-270000),IF(H87&lt;=270000,0)))))</f>
        <v>0</v>
      </c>
      <c r="I88" s="171">
        <f t="shared" ref="I88" si="291">IF(I87&gt;1000000,128000+0.3*(I87-1000000),IF(I87&gt;760000,68000+0.25*(I87-760000),IF(I87&gt;520000,20000+0.2*(I87-520000),IF(I87&gt;270000,0.08*(I87-270000),IF(I87&lt;=270000,0)))))</f>
        <v>0</v>
      </c>
      <c r="J88" s="171">
        <f t="shared" ref="J88" si="292">IF(J87&gt;1000000,128000+0.3*(J87-1000000),IF(J87&gt;760000,68000+0.25*(J87-760000),IF(J87&gt;520000,20000+0.2*(J87-520000),IF(J87&gt;270000,0.08*(J87-270000),IF(J87&lt;=270000,0)))))</f>
        <v>0</v>
      </c>
      <c r="K88" s="171">
        <f t="shared" ref="K88" si="293">IF(K87&gt;1000000,128000+0.3*(K87-1000000),IF(K87&gt;760000,68000+0.25*(K87-760000),IF(K87&gt;520000,20000+0.2*(K87-520000),IF(K87&gt;270000,0.08*(K87-270000),IF(K87&lt;=270000,0)))))</f>
        <v>0</v>
      </c>
      <c r="L88" s="171">
        <f t="shared" ref="L88" si="294">IF(L87&gt;1000000,128000+0.3*(L87-1000000),IF(L87&gt;760000,68000+0.25*(L87-760000),IF(L87&gt;520000,20000+0.2*(L87-520000),IF(L87&gt;270000,0.08*(L87-270000),IF(L87&lt;=270000,0)))))</f>
        <v>0</v>
      </c>
      <c r="M88" s="171">
        <f t="shared" ref="M88" si="295">IF(M87&gt;1000000,128000+0.3*(M87-1000000),IF(M87&gt;760000,68000+0.25*(M87-760000),IF(M87&gt;520000,20000+0.2*(M87-520000),IF(M87&gt;270000,0.08*(M87-270000),IF(M87&lt;=270000,0)))))</f>
        <v>0</v>
      </c>
      <c r="N88" s="171">
        <f t="shared" ref="N88" si="296">IF(N87&gt;1000000,128000+0.3*(N87-1000000),IF(N87&gt;760000,68000+0.25*(N87-760000),IF(N87&gt;520000,20000+0.2*(N87-520000),IF(N87&gt;270000,0.08*(N87-270000),IF(N87&lt;=270000,0)))))</f>
        <v>0</v>
      </c>
      <c r="O88" s="13">
        <f t="shared" si="221"/>
        <v>0</v>
      </c>
      <c r="P88" s="14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</row>
    <row r="89" spans="1:256" s="17" customFormat="1" x14ac:dyDescent="0.35">
      <c r="A89" s="17">
        <v>22</v>
      </c>
      <c r="B89" s="11" t="s">
        <v>415</v>
      </c>
      <c r="C89" s="12">
        <v>300000</v>
      </c>
      <c r="D89" s="12">
        <v>300000</v>
      </c>
      <c r="E89" s="12">
        <v>300000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3">
        <f t="shared" si="221"/>
        <v>900000</v>
      </c>
      <c r="P89" s="14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</row>
    <row r="90" spans="1:256" s="17" customFormat="1" x14ac:dyDescent="0.35">
      <c r="B90" s="15" t="s">
        <v>14</v>
      </c>
      <c r="C90" s="16">
        <f t="shared" ref="C90" si="297">C89*0.1</f>
        <v>30000</v>
      </c>
      <c r="D90" s="16">
        <f t="shared" ref="D90:N90" si="298">D89*0.1</f>
        <v>30000</v>
      </c>
      <c r="E90" s="16">
        <f t="shared" si="298"/>
        <v>30000</v>
      </c>
      <c r="F90" s="16">
        <f t="shared" si="298"/>
        <v>0</v>
      </c>
      <c r="G90" s="16">
        <f t="shared" si="298"/>
        <v>0</v>
      </c>
      <c r="H90" s="16">
        <f t="shared" si="298"/>
        <v>0</v>
      </c>
      <c r="I90" s="16">
        <f t="shared" si="298"/>
        <v>0</v>
      </c>
      <c r="J90" s="16">
        <f t="shared" si="298"/>
        <v>0</v>
      </c>
      <c r="K90" s="16">
        <f t="shared" si="298"/>
        <v>0</v>
      </c>
      <c r="L90" s="16">
        <f t="shared" si="298"/>
        <v>0</v>
      </c>
      <c r="M90" s="16">
        <f t="shared" si="298"/>
        <v>0</v>
      </c>
      <c r="N90" s="16">
        <f t="shared" si="298"/>
        <v>0</v>
      </c>
      <c r="O90" s="13">
        <f t="shared" si="221"/>
        <v>90000</v>
      </c>
      <c r="P90" s="14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</row>
    <row r="91" spans="1:256" s="1" customFormat="1" x14ac:dyDescent="0.35">
      <c r="B91" s="15" t="s">
        <v>15</v>
      </c>
      <c r="C91" s="16">
        <f t="shared" ref="C91" si="299">C89-C90</f>
        <v>270000</v>
      </c>
      <c r="D91" s="16">
        <f t="shared" ref="D91:N91" si="300">D89-D90</f>
        <v>270000</v>
      </c>
      <c r="E91" s="16">
        <f t="shared" si="300"/>
        <v>270000</v>
      </c>
      <c r="F91" s="16">
        <f t="shared" si="300"/>
        <v>0</v>
      </c>
      <c r="G91" s="16">
        <f t="shared" si="300"/>
        <v>0</v>
      </c>
      <c r="H91" s="16">
        <f t="shared" si="300"/>
        <v>0</v>
      </c>
      <c r="I91" s="16">
        <f t="shared" si="300"/>
        <v>0</v>
      </c>
      <c r="J91" s="16">
        <f t="shared" si="300"/>
        <v>0</v>
      </c>
      <c r="K91" s="16">
        <f t="shared" si="300"/>
        <v>0</v>
      </c>
      <c r="L91" s="16">
        <f t="shared" si="300"/>
        <v>0</v>
      </c>
      <c r="M91" s="16">
        <f t="shared" si="300"/>
        <v>0</v>
      </c>
      <c r="N91" s="16">
        <f t="shared" si="300"/>
        <v>0</v>
      </c>
      <c r="O91" s="13">
        <f t="shared" si="221"/>
        <v>810000</v>
      </c>
      <c r="P91" s="14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</row>
    <row r="92" spans="1:256" s="1" customFormat="1" x14ac:dyDescent="0.35">
      <c r="B92" s="15" t="s">
        <v>16</v>
      </c>
      <c r="C92" s="171">
        <f>IF(C91&gt;1000000,128000+0.3*(C91-1000000),IF(C91&gt;760000,68000+0.25*(C91-760000),IF(C91&gt;520000,20000+0.2*(C91-520000),IF(C91&gt;270000,0.08*(C91-270000),IF(C91&lt;=270000,0)))))</f>
        <v>0</v>
      </c>
      <c r="D92" s="171">
        <f t="shared" ref="D92" si="301">IF(D91&gt;1000000,128000+0.3*(D91-1000000),IF(D91&gt;760000,68000+0.25*(D91-760000),IF(D91&gt;520000,20000+0.2*(D91-520000),IF(D91&gt;270000,0.08*(D91-270000),IF(D91&lt;=270000,0)))))</f>
        <v>0</v>
      </c>
      <c r="E92" s="171">
        <f t="shared" ref="E92" si="302">IF(E91&gt;1000000,128000+0.3*(E91-1000000),IF(E91&gt;760000,68000+0.25*(E91-760000),IF(E91&gt;520000,20000+0.2*(E91-520000),IF(E91&gt;270000,0.08*(E91-270000),IF(E91&lt;=270000,0)))))</f>
        <v>0</v>
      </c>
      <c r="F92" s="171">
        <f t="shared" ref="F92" si="303">IF(F91&gt;1000000,128000+0.3*(F91-1000000),IF(F91&gt;760000,68000+0.25*(F91-760000),IF(F91&gt;520000,20000+0.2*(F91-520000),IF(F91&gt;270000,0.08*(F91-270000),IF(F91&lt;=270000,0)))))</f>
        <v>0</v>
      </c>
      <c r="G92" s="171">
        <f t="shared" ref="G92" si="304">IF(G91&gt;1000000,128000+0.3*(G91-1000000),IF(G91&gt;760000,68000+0.25*(G91-760000),IF(G91&gt;520000,20000+0.2*(G91-520000),IF(G91&gt;270000,0.08*(G91-270000),IF(G91&lt;=270000,0)))))</f>
        <v>0</v>
      </c>
      <c r="H92" s="171">
        <f t="shared" ref="H92" si="305">IF(H91&gt;1000000,128000+0.3*(H91-1000000),IF(H91&gt;760000,68000+0.25*(H91-760000),IF(H91&gt;520000,20000+0.2*(H91-520000),IF(H91&gt;270000,0.08*(H91-270000),IF(H91&lt;=270000,0)))))</f>
        <v>0</v>
      </c>
      <c r="I92" s="171">
        <f t="shared" ref="I92" si="306">IF(I91&gt;1000000,128000+0.3*(I91-1000000),IF(I91&gt;760000,68000+0.25*(I91-760000),IF(I91&gt;520000,20000+0.2*(I91-520000),IF(I91&gt;270000,0.08*(I91-270000),IF(I91&lt;=270000,0)))))</f>
        <v>0</v>
      </c>
      <c r="J92" s="171">
        <f t="shared" ref="J92" si="307">IF(J91&gt;1000000,128000+0.3*(J91-1000000),IF(J91&gt;760000,68000+0.25*(J91-760000),IF(J91&gt;520000,20000+0.2*(J91-520000),IF(J91&gt;270000,0.08*(J91-270000),IF(J91&lt;=270000,0)))))</f>
        <v>0</v>
      </c>
      <c r="K92" s="171">
        <f t="shared" ref="K92" si="308">IF(K91&gt;1000000,128000+0.3*(K91-1000000),IF(K91&gt;760000,68000+0.25*(K91-760000),IF(K91&gt;520000,20000+0.2*(K91-520000),IF(K91&gt;270000,0.08*(K91-270000),IF(K91&lt;=270000,0)))))</f>
        <v>0</v>
      </c>
      <c r="L92" s="171">
        <f t="shared" ref="L92" si="309">IF(L91&gt;1000000,128000+0.3*(L91-1000000),IF(L91&gt;760000,68000+0.25*(L91-760000),IF(L91&gt;520000,20000+0.2*(L91-520000),IF(L91&gt;270000,0.08*(L91-270000),IF(L91&lt;=270000,0)))))</f>
        <v>0</v>
      </c>
      <c r="M92" s="171">
        <f t="shared" ref="M92" si="310">IF(M91&gt;1000000,128000+0.3*(M91-1000000),IF(M91&gt;760000,68000+0.25*(M91-760000),IF(M91&gt;520000,20000+0.2*(M91-520000),IF(M91&gt;270000,0.08*(M91-270000),IF(M91&lt;=270000,0)))))</f>
        <v>0</v>
      </c>
      <c r="N92" s="171">
        <f t="shared" ref="N92" si="311">IF(N91&gt;1000000,128000+0.3*(N91-1000000),IF(N91&gt;760000,68000+0.25*(N91-760000),IF(N91&gt;520000,20000+0.2*(N91-520000),IF(N91&gt;270000,0.08*(N91-270000),IF(N91&lt;=270000,0)))))</f>
        <v>0</v>
      </c>
      <c r="O92" s="13">
        <f t="shared" si="221"/>
        <v>0</v>
      </c>
      <c r="P92" s="14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</row>
    <row r="93" spans="1:256" s="17" customFormat="1" x14ac:dyDescent="0.35">
      <c r="A93" s="17">
        <v>23</v>
      </c>
      <c r="B93" s="11" t="s">
        <v>416</v>
      </c>
      <c r="C93" s="12">
        <v>300000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3">
        <f t="shared" si="221"/>
        <v>300000</v>
      </c>
      <c r="P93" s="14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</row>
    <row r="94" spans="1:256" s="17" customFormat="1" x14ac:dyDescent="0.35">
      <c r="B94" s="15" t="s">
        <v>14</v>
      </c>
      <c r="C94" s="16">
        <f t="shared" ref="C94" si="312">C93*0.1</f>
        <v>30000</v>
      </c>
      <c r="D94" s="16">
        <f t="shared" ref="D94:N94" si="313">D93*0.1</f>
        <v>0</v>
      </c>
      <c r="E94" s="16">
        <f t="shared" si="313"/>
        <v>0</v>
      </c>
      <c r="F94" s="16">
        <f t="shared" si="313"/>
        <v>0</v>
      </c>
      <c r="G94" s="16">
        <f t="shared" si="313"/>
        <v>0</v>
      </c>
      <c r="H94" s="16">
        <f t="shared" si="313"/>
        <v>0</v>
      </c>
      <c r="I94" s="16">
        <f t="shared" si="313"/>
        <v>0</v>
      </c>
      <c r="J94" s="16">
        <f t="shared" si="313"/>
        <v>0</v>
      </c>
      <c r="K94" s="16">
        <f t="shared" si="313"/>
        <v>0</v>
      </c>
      <c r="L94" s="16">
        <f t="shared" si="313"/>
        <v>0</v>
      </c>
      <c r="M94" s="16">
        <f t="shared" si="313"/>
        <v>0</v>
      </c>
      <c r="N94" s="16">
        <f t="shared" si="313"/>
        <v>0</v>
      </c>
      <c r="O94" s="13">
        <f t="shared" si="221"/>
        <v>30000</v>
      </c>
      <c r="P94" s="14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/>
    </row>
    <row r="95" spans="1:256" s="1" customFormat="1" x14ac:dyDescent="0.35">
      <c r="B95" s="15" t="s">
        <v>15</v>
      </c>
      <c r="C95" s="16">
        <f t="shared" ref="C95" si="314">C93-C94</f>
        <v>270000</v>
      </c>
      <c r="D95" s="16">
        <f t="shared" ref="D95:N95" si="315">D93-D94</f>
        <v>0</v>
      </c>
      <c r="E95" s="16">
        <f t="shared" si="315"/>
        <v>0</v>
      </c>
      <c r="F95" s="16">
        <f t="shared" si="315"/>
        <v>0</v>
      </c>
      <c r="G95" s="16">
        <f t="shared" si="315"/>
        <v>0</v>
      </c>
      <c r="H95" s="16">
        <f t="shared" si="315"/>
        <v>0</v>
      </c>
      <c r="I95" s="16">
        <f t="shared" si="315"/>
        <v>0</v>
      </c>
      <c r="J95" s="16">
        <f t="shared" si="315"/>
        <v>0</v>
      </c>
      <c r="K95" s="16">
        <f t="shared" si="315"/>
        <v>0</v>
      </c>
      <c r="L95" s="16">
        <f t="shared" si="315"/>
        <v>0</v>
      </c>
      <c r="M95" s="16">
        <f t="shared" si="315"/>
        <v>0</v>
      </c>
      <c r="N95" s="16">
        <f t="shared" si="315"/>
        <v>0</v>
      </c>
      <c r="O95" s="13">
        <f t="shared" si="221"/>
        <v>270000</v>
      </c>
      <c r="P95" s="14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</row>
    <row r="96" spans="1:256" s="1" customFormat="1" x14ac:dyDescent="0.35">
      <c r="B96" s="15" t="s">
        <v>16</v>
      </c>
      <c r="C96" s="171">
        <f>IF(C95&gt;1000000,128000+0.3*(C95-1000000),IF(C95&gt;760000,68000+0.25*(C95-760000),IF(C95&gt;520000,20000+0.2*(C95-520000),IF(C95&gt;270000,0.08*(C95-270000),IF(C95&lt;=270000,0)))))</f>
        <v>0</v>
      </c>
      <c r="D96" s="171">
        <f t="shared" ref="D96" si="316">IF(D95&gt;1000000,128000+0.3*(D95-1000000),IF(D95&gt;760000,68000+0.25*(D95-760000),IF(D95&gt;520000,20000+0.2*(D95-520000),IF(D95&gt;270000,0.08*(D95-270000),IF(D95&lt;=270000,0)))))</f>
        <v>0</v>
      </c>
      <c r="E96" s="171">
        <f t="shared" ref="E96" si="317">IF(E95&gt;1000000,128000+0.3*(E95-1000000),IF(E95&gt;760000,68000+0.25*(E95-760000),IF(E95&gt;520000,20000+0.2*(E95-520000),IF(E95&gt;270000,0.08*(E95-270000),IF(E95&lt;=270000,0)))))</f>
        <v>0</v>
      </c>
      <c r="F96" s="171">
        <f t="shared" ref="F96" si="318">IF(F95&gt;1000000,128000+0.3*(F95-1000000),IF(F95&gt;760000,68000+0.25*(F95-760000),IF(F95&gt;520000,20000+0.2*(F95-520000),IF(F95&gt;270000,0.08*(F95-270000),IF(F95&lt;=270000,0)))))</f>
        <v>0</v>
      </c>
      <c r="G96" s="171">
        <f t="shared" ref="G96" si="319">IF(G95&gt;1000000,128000+0.3*(G95-1000000),IF(G95&gt;760000,68000+0.25*(G95-760000),IF(G95&gt;520000,20000+0.2*(G95-520000),IF(G95&gt;270000,0.08*(G95-270000),IF(G95&lt;=270000,0)))))</f>
        <v>0</v>
      </c>
      <c r="H96" s="171">
        <f t="shared" ref="H96" si="320">IF(H95&gt;1000000,128000+0.3*(H95-1000000),IF(H95&gt;760000,68000+0.25*(H95-760000),IF(H95&gt;520000,20000+0.2*(H95-520000),IF(H95&gt;270000,0.08*(H95-270000),IF(H95&lt;=270000,0)))))</f>
        <v>0</v>
      </c>
      <c r="I96" s="171">
        <f t="shared" ref="I96" si="321">IF(I95&gt;1000000,128000+0.3*(I95-1000000),IF(I95&gt;760000,68000+0.25*(I95-760000),IF(I95&gt;520000,20000+0.2*(I95-520000),IF(I95&gt;270000,0.08*(I95-270000),IF(I95&lt;=270000,0)))))</f>
        <v>0</v>
      </c>
      <c r="J96" s="171">
        <f t="shared" ref="J96" si="322">IF(J95&gt;1000000,128000+0.3*(J95-1000000),IF(J95&gt;760000,68000+0.25*(J95-760000),IF(J95&gt;520000,20000+0.2*(J95-520000),IF(J95&gt;270000,0.08*(J95-270000),IF(J95&lt;=270000,0)))))</f>
        <v>0</v>
      </c>
      <c r="K96" s="171">
        <f t="shared" ref="K96" si="323">IF(K95&gt;1000000,128000+0.3*(K95-1000000),IF(K95&gt;760000,68000+0.25*(K95-760000),IF(K95&gt;520000,20000+0.2*(K95-520000),IF(K95&gt;270000,0.08*(K95-270000),IF(K95&lt;=270000,0)))))</f>
        <v>0</v>
      </c>
      <c r="L96" s="171">
        <f t="shared" ref="L96" si="324">IF(L95&gt;1000000,128000+0.3*(L95-1000000),IF(L95&gt;760000,68000+0.25*(L95-760000),IF(L95&gt;520000,20000+0.2*(L95-520000),IF(L95&gt;270000,0.08*(L95-270000),IF(L95&lt;=270000,0)))))</f>
        <v>0</v>
      </c>
      <c r="M96" s="171">
        <f t="shared" ref="M96" si="325">IF(M95&gt;1000000,128000+0.3*(M95-1000000),IF(M95&gt;760000,68000+0.25*(M95-760000),IF(M95&gt;520000,20000+0.2*(M95-520000),IF(M95&gt;270000,0.08*(M95-270000),IF(M95&lt;=270000,0)))))</f>
        <v>0</v>
      </c>
      <c r="N96" s="171">
        <f t="shared" ref="N96" si="326">IF(N95&gt;1000000,128000+0.3*(N95-1000000),IF(N95&gt;760000,68000+0.25*(N95-760000),IF(N95&gt;520000,20000+0.2*(N95-520000),IF(N95&gt;270000,0.08*(N95-270000),IF(N95&lt;=270000,0)))))</f>
        <v>0</v>
      </c>
      <c r="O96" s="13">
        <f t="shared" si="221"/>
        <v>0</v>
      </c>
      <c r="P96" s="14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</row>
    <row r="97" spans="1:256" s="17" customFormat="1" x14ac:dyDescent="0.35">
      <c r="A97" s="17">
        <v>24</v>
      </c>
      <c r="B97" s="11" t="s">
        <v>417</v>
      </c>
      <c r="C97" s="12">
        <v>300000</v>
      </c>
      <c r="D97" s="12">
        <v>300000</v>
      </c>
      <c r="E97" s="12">
        <v>300000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3">
        <f t="shared" si="221"/>
        <v>900000</v>
      </c>
      <c r="P97" s="14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</row>
    <row r="98" spans="1:256" s="17" customFormat="1" x14ac:dyDescent="0.35">
      <c r="B98" s="15" t="s">
        <v>14</v>
      </c>
      <c r="C98" s="16">
        <f t="shared" ref="C98" si="327">C97*0.1</f>
        <v>30000</v>
      </c>
      <c r="D98" s="16">
        <f t="shared" ref="D98:N98" si="328">D97*0.1</f>
        <v>30000</v>
      </c>
      <c r="E98" s="16">
        <f t="shared" si="328"/>
        <v>30000</v>
      </c>
      <c r="F98" s="16">
        <f t="shared" si="328"/>
        <v>0</v>
      </c>
      <c r="G98" s="16">
        <f t="shared" si="328"/>
        <v>0</v>
      </c>
      <c r="H98" s="16">
        <f t="shared" si="328"/>
        <v>0</v>
      </c>
      <c r="I98" s="16">
        <f t="shared" si="328"/>
        <v>0</v>
      </c>
      <c r="J98" s="16">
        <f t="shared" si="328"/>
        <v>0</v>
      </c>
      <c r="K98" s="16">
        <f t="shared" si="328"/>
        <v>0</v>
      </c>
      <c r="L98" s="16">
        <f t="shared" si="328"/>
        <v>0</v>
      </c>
      <c r="M98" s="16">
        <f t="shared" si="328"/>
        <v>0</v>
      </c>
      <c r="N98" s="16">
        <f t="shared" si="328"/>
        <v>0</v>
      </c>
      <c r="O98" s="13">
        <f t="shared" si="221"/>
        <v>90000</v>
      </c>
      <c r="P98" s="14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</row>
    <row r="99" spans="1:256" s="1" customFormat="1" x14ac:dyDescent="0.35">
      <c r="B99" s="15" t="s">
        <v>15</v>
      </c>
      <c r="C99" s="16">
        <f t="shared" ref="C99" si="329">C97-C98</f>
        <v>270000</v>
      </c>
      <c r="D99" s="16">
        <f t="shared" ref="D99:N99" si="330">D97-D98</f>
        <v>270000</v>
      </c>
      <c r="E99" s="16">
        <f t="shared" si="330"/>
        <v>270000</v>
      </c>
      <c r="F99" s="16">
        <f t="shared" si="330"/>
        <v>0</v>
      </c>
      <c r="G99" s="16">
        <f t="shared" si="330"/>
        <v>0</v>
      </c>
      <c r="H99" s="16">
        <f t="shared" si="330"/>
        <v>0</v>
      </c>
      <c r="I99" s="16">
        <f t="shared" si="330"/>
        <v>0</v>
      </c>
      <c r="J99" s="16">
        <f t="shared" si="330"/>
        <v>0</v>
      </c>
      <c r="K99" s="16">
        <f t="shared" si="330"/>
        <v>0</v>
      </c>
      <c r="L99" s="16">
        <f t="shared" si="330"/>
        <v>0</v>
      </c>
      <c r="M99" s="16">
        <f t="shared" si="330"/>
        <v>0</v>
      </c>
      <c r="N99" s="16">
        <f t="shared" si="330"/>
        <v>0</v>
      </c>
      <c r="O99" s="13">
        <f t="shared" si="221"/>
        <v>810000</v>
      </c>
      <c r="P99" s="14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</row>
    <row r="100" spans="1:256" s="1" customFormat="1" x14ac:dyDescent="0.35">
      <c r="B100" s="15" t="s">
        <v>16</v>
      </c>
      <c r="C100" s="171">
        <f>IF(C99&gt;1000000,128000+0.3*(C99-1000000),IF(C99&gt;760000,68000+0.25*(C99-760000),IF(C99&gt;520000,20000+0.2*(C99-520000),IF(C99&gt;270000,0.08*(C99-270000),IF(C99&lt;=270000,0)))))</f>
        <v>0</v>
      </c>
      <c r="D100" s="171">
        <f t="shared" ref="D100" si="331">IF(D99&gt;1000000,128000+0.3*(D99-1000000),IF(D99&gt;760000,68000+0.25*(D99-760000),IF(D99&gt;520000,20000+0.2*(D99-520000),IF(D99&gt;270000,0.08*(D99-270000),IF(D99&lt;=270000,0)))))</f>
        <v>0</v>
      </c>
      <c r="E100" s="171">
        <f t="shared" ref="E100" si="332">IF(E99&gt;1000000,128000+0.3*(E99-1000000),IF(E99&gt;760000,68000+0.25*(E99-760000),IF(E99&gt;520000,20000+0.2*(E99-520000),IF(E99&gt;270000,0.08*(E99-270000),IF(E99&lt;=270000,0)))))</f>
        <v>0</v>
      </c>
      <c r="F100" s="171">
        <f t="shared" ref="F100" si="333">IF(F99&gt;1000000,128000+0.3*(F99-1000000),IF(F99&gt;760000,68000+0.25*(F99-760000),IF(F99&gt;520000,20000+0.2*(F99-520000),IF(F99&gt;270000,0.08*(F99-270000),IF(F99&lt;=270000,0)))))</f>
        <v>0</v>
      </c>
      <c r="G100" s="171">
        <f t="shared" ref="G100" si="334">IF(G99&gt;1000000,128000+0.3*(G99-1000000),IF(G99&gt;760000,68000+0.25*(G99-760000),IF(G99&gt;520000,20000+0.2*(G99-520000),IF(G99&gt;270000,0.08*(G99-270000),IF(G99&lt;=270000,0)))))</f>
        <v>0</v>
      </c>
      <c r="H100" s="171">
        <f t="shared" ref="H100" si="335">IF(H99&gt;1000000,128000+0.3*(H99-1000000),IF(H99&gt;760000,68000+0.25*(H99-760000),IF(H99&gt;520000,20000+0.2*(H99-520000),IF(H99&gt;270000,0.08*(H99-270000),IF(H99&lt;=270000,0)))))</f>
        <v>0</v>
      </c>
      <c r="I100" s="171">
        <f t="shared" ref="I100" si="336">IF(I99&gt;1000000,128000+0.3*(I99-1000000),IF(I99&gt;760000,68000+0.25*(I99-760000),IF(I99&gt;520000,20000+0.2*(I99-520000),IF(I99&gt;270000,0.08*(I99-270000),IF(I99&lt;=270000,0)))))</f>
        <v>0</v>
      </c>
      <c r="J100" s="171">
        <f t="shared" ref="J100" si="337">IF(J99&gt;1000000,128000+0.3*(J99-1000000),IF(J99&gt;760000,68000+0.25*(J99-760000),IF(J99&gt;520000,20000+0.2*(J99-520000),IF(J99&gt;270000,0.08*(J99-270000),IF(J99&lt;=270000,0)))))</f>
        <v>0</v>
      </c>
      <c r="K100" s="171">
        <f t="shared" ref="K100" si="338">IF(K99&gt;1000000,128000+0.3*(K99-1000000),IF(K99&gt;760000,68000+0.25*(K99-760000),IF(K99&gt;520000,20000+0.2*(K99-520000),IF(K99&gt;270000,0.08*(K99-270000),IF(K99&lt;=270000,0)))))</f>
        <v>0</v>
      </c>
      <c r="L100" s="171">
        <f t="shared" ref="L100" si="339">IF(L99&gt;1000000,128000+0.3*(L99-1000000),IF(L99&gt;760000,68000+0.25*(L99-760000),IF(L99&gt;520000,20000+0.2*(L99-520000),IF(L99&gt;270000,0.08*(L99-270000),IF(L99&lt;=270000,0)))))</f>
        <v>0</v>
      </c>
      <c r="M100" s="171">
        <f t="shared" ref="M100" si="340">IF(M99&gt;1000000,128000+0.3*(M99-1000000),IF(M99&gt;760000,68000+0.25*(M99-760000),IF(M99&gt;520000,20000+0.2*(M99-520000),IF(M99&gt;270000,0.08*(M99-270000),IF(M99&lt;=270000,0)))))</f>
        <v>0</v>
      </c>
      <c r="N100" s="171">
        <f t="shared" ref="N100" si="341">IF(N99&gt;1000000,128000+0.3*(N99-1000000),IF(N99&gt;760000,68000+0.25*(N99-760000),IF(N99&gt;520000,20000+0.2*(N99-520000),IF(N99&gt;270000,0.08*(N99-270000),IF(N99&lt;=270000,0)))))</f>
        <v>0</v>
      </c>
      <c r="O100" s="13">
        <f t="shared" si="221"/>
        <v>0</v>
      </c>
      <c r="P100" s="14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</row>
    <row r="101" spans="1:256" s="17" customFormat="1" x14ac:dyDescent="0.35">
      <c r="A101" s="17">
        <v>25</v>
      </c>
      <c r="B101" s="11" t="s">
        <v>418</v>
      </c>
      <c r="C101" s="12">
        <v>300000</v>
      </c>
      <c r="D101" s="12">
        <v>300000</v>
      </c>
      <c r="E101" s="12">
        <v>300000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3">
        <f t="shared" si="221"/>
        <v>900000</v>
      </c>
      <c r="P101" s="14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</row>
    <row r="102" spans="1:256" s="17" customFormat="1" x14ac:dyDescent="0.35">
      <c r="B102" s="15" t="s">
        <v>14</v>
      </c>
      <c r="C102" s="16">
        <f t="shared" ref="C102" si="342">C101*0.1</f>
        <v>30000</v>
      </c>
      <c r="D102" s="16">
        <f t="shared" ref="D102:N102" si="343">D101*0.1</f>
        <v>30000</v>
      </c>
      <c r="E102" s="16">
        <f t="shared" si="343"/>
        <v>30000</v>
      </c>
      <c r="F102" s="16">
        <f t="shared" si="343"/>
        <v>0</v>
      </c>
      <c r="G102" s="16">
        <f t="shared" si="343"/>
        <v>0</v>
      </c>
      <c r="H102" s="16">
        <f t="shared" si="343"/>
        <v>0</v>
      </c>
      <c r="I102" s="16">
        <f t="shared" si="343"/>
        <v>0</v>
      </c>
      <c r="J102" s="16">
        <f t="shared" si="343"/>
        <v>0</v>
      </c>
      <c r="K102" s="16">
        <f t="shared" si="343"/>
        <v>0</v>
      </c>
      <c r="L102" s="16">
        <f t="shared" si="343"/>
        <v>0</v>
      </c>
      <c r="M102" s="16">
        <f t="shared" si="343"/>
        <v>0</v>
      </c>
      <c r="N102" s="16">
        <f t="shared" si="343"/>
        <v>0</v>
      </c>
      <c r="O102" s="13">
        <f t="shared" si="221"/>
        <v>90000</v>
      </c>
      <c r="P102" s="14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</row>
    <row r="103" spans="1:256" s="1" customFormat="1" x14ac:dyDescent="0.35">
      <c r="B103" s="15" t="s">
        <v>15</v>
      </c>
      <c r="C103" s="16">
        <f t="shared" ref="C103" si="344">C101-C102</f>
        <v>270000</v>
      </c>
      <c r="D103" s="16">
        <f t="shared" ref="D103:N103" si="345">D101-D102</f>
        <v>270000</v>
      </c>
      <c r="E103" s="16">
        <f t="shared" si="345"/>
        <v>270000</v>
      </c>
      <c r="F103" s="16">
        <f t="shared" si="345"/>
        <v>0</v>
      </c>
      <c r="G103" s="16">
        <f t="shared" si="345"/>
        <v>0</v>
      </c>
      <c r="H103" s="16">
        <f t="shared" si="345"/>
        <v>0</v>
      </c>
      <c r="I103" s="16">
        <f t="shared" si="345"/>
        <v>0</v>
      </c>
      <c r="J103" s="16">
        <f t="shared" si="345"/>
        <v>0</v>
      </c>
      <c r="K103" s="16">
        <f t="shared" si="345"/>
        <v>0</v>
      </c>
      <c r="L103" s="16">
        <f t="shared" si="345"/>
        <v>0</v>
      </c>
      <c r="M103" s="16">
        <f t="shared" si="345"/>
        <v>0</v>
      </c>
      <c r="N103" s="16">
        <f t="shared" si="345"/>
        <v>0</v>
      </c>
      <c r="O103" s="13">
        <f t="shared" si="221"/>
        <v>810000</v>
      </c>
      <c r="P103" s="14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</row>
    <row r="104" spans="1:256" s="1" customFormat="1" x14ac:dyDescent="0.35">
      <c r="B104" s="15" t="s">
        <v>16</v>
      </c>
      <c r="C104" s="171">
        <f>IF(C103&gt;1000000,128000+0.3*(C103-1000000),IF(C103&gt;760000,68000+0.25*(C103-760000),IF(C103&gt;520000,20000+0.2*(C103-520000),IF(C103&gt;270000,0.08*(C103-270000),IF(C103&lt;=270000,0)))))</f>
        <v>0</v>
      </c>
      <c r="D104" s="171">
        <f t="shared" ref="D104" si="346">IF(D103&gt;1000000,128000+0.3*(D103-1000000),IF(D103&gt;760000,68000+0.25*(D103-760000),IF(D103&gt;520000,20000+0.2*(D103-520000),IF(D103&gt;270000,0.08*(D103-270000),IF(D103&lt;=270000,0)))))</f>
        <v>0</v>
      </c>
      <c r="E104" s="171">
        <f t="shared" ref="E104" si="347">IF(E103&gt;1000000,128000+0.3*(E103-1000000),IF(E103&gt;760000,68000+0.25*(E103-760000),IF(E103&gt;520000,20000+0.2*(E103-520000),IF(E103&gt;270000,0.08*(E103-270000),IF(E103&lt;=270000,0)))))</f>
        <v>0</v>
      </c>
      <c r="F104" s="171">
        <f t="shared" ref="F104" si="348">IF(F103&gt;1000000,128000+0.3*(F103-1000000),IF(F103&gt;760000,68000+0.25*(F103-760000),IF(F103&gt;520000,20000+0.2*(F103-520000),IF(F103&gt;270000,0.08*(F103-270000),IF(F103&lt;=270000,0)))))</f>
        <v>0</v>
      </c>
      <c r="G104" s="171">
        <f t="shared" ref="G104" si="349">IF(G103&gt;1000000,128000+0.3*(G103-1000000),IF(G103&gt;760000,68000+0.25*(G103-760000),IF(G103&gt;520000,20000+0.2*(G103-520000),IF(G103&gt;270000,0.08*(G103-270000),IF(G103&lt;=270000,0)))))</f>
        <v>0</v>
      </c>
      <c r="H104" s="171">
        <f t="shared" ref="H104" si="350">IF(H103&gt;1000000,128000+0.3*(H103-1000000),IF(H103&gt;760000,68000+0.25*(H103-760000),IF(H103&gt;520000,20000+0.2*(H103-520000),IF(H103&gt;270000,0.08*(H103-270000),IF(H103&lt;=270000,0)))))</f>
        <v>0</v>
      </c>
      <c r="I104" s="171">
        <f t="shared" ref="I104" si="351">IF(I103&gt;1000000,128000+0.3*(I103-1000000),IF(I103&gt;760000,68000+0.25*(I103-760000),IF(I103&gt;520000,20000+0.2*(I103-520000),IF(I103&gt;270000,0.08*(I103-270000),IF(I103&lt;=270000,0)))))</f>
        <v>0</v>
      </c>
      <c r="J104" s="171">
        <f t="shared" ref="J104" si="352">IF(J103&gt;1000000,128000+0.3*(J103-1000000),IF(J103&gt;760000,68000+0.25*(J103-760000),IF(J103&gt;520000,20000+0.2*(J103-520000),IF(J103&gt;270000,0.08*(J103-270000),IF(J103&lt;=270000,0)))))</f>
        <v>0</v>
      </c>
      <c r="K104" s="171">
        <f t="shared" ref="K104" si="353">IF(K103&gt;1000000,128000+0.3*(K103-1000000),IF(K103&gt;760000,68000+0.25*(K103-760000),IF(K103&gt;520000,20000+0.2*(K103-520000),IF(K103&gt;270000,0.08*(K103-270000),IF(K103&lt;=270000,0)))))</f>
        <v>0</v>
      </c>
      <c r="L104" s="171">
        <f t="shared" ref="L104" si="354">IF(L103&gt;1000000,128000+0.3*(L103-1000000),IF(L103&gt;760000,68000+0.25*(L103-760000),IF(L103&gt;520000,20000+0.2*(L103-520000),IF(L103&gt;270000,0.08*(L103-270000),IF(L103&lt;=270000,0)))))</f>
        <v>0</v>
      </c>
      <c r="M104" s="171">
        <f t="shared" ref="M104" si="355">IF(M103&gt;1000000,128000+0.3*(M103-1000000),IF(M103&gt;760000,68000+0.25*(M103-760000),IF(M103&gt;520000,20000+0.2*(M103-520000),IF(M103&gt;270000,0.08*(M103-270000),IF(M103&lt;=270000,0)))))</f>
        <v>0</v>
      </c>
      <c r="N104" s="171">
        <f t="shared" ref="N104" si="356">IF(N103&gt;1000000,128000+0.3*(N103-1000000),IF(N103&gt;760000,68000+0.25*(N103-760000),IF(N103&gt;520000,20000+0.2*(N103-520000),IF(N103&gt;270000,0.08*(N103-270000),IF(N103&lt;=270000,0)))))</f>
        <v>0</v>
      </c>
      <c r="O104" s="13">
        <f t="shared" si="221"/>
        <v>0</v>
      </c>
      <c r="P104" s="14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</row>
    <row r="105" spans="1:256" s="17" customFormat="1" x14ac:dyDescent="0.35">
      <c r="A105" s="17">
        <v>26</v>
      </c>
      <c r="B105" s="11" t="s">
        <v>419</v>
      </c>
      <c r="C105" s="12">
        <v>300000</v>
      </c>
      <c r="D105" s="12">
        <v>300000</v>
      </c>
      <c r="E105" s="12">
        <v>300000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3">
        <f t="shared" si="221"/>
        <v>900000</v>
      </c>
      <c r="P105" s="14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</row>
    <row r="106" spans="1:256" s="17" customFormat="1" x14ac:dyDescent="0.35">
      <c r="B106" s="15" t="s">
        <v>14</v>
      </c>
      <c r="C106" s="16">
        <f t="shared" ref="C106" si="357">C105*0.1</f>
        <v>30000</v>
      </c>
      <c r="D106" s="16">
        <f t="shared" ref="D106:N106" si="358">D105*0.1</f>
        <v>30000</v>
      </c>
      <c r="E106" s="16">
        <f t="shared" si="358"/>
        <v>30000</v>
      </c>
      <c r="F106" s="16">
        <f t="shared" si="358"/>
        <v>0</v>
      </c>
      <c r="G106" s="16">
        <f t="shared" si="358"/>
        <v>0</v>
      </c>
      <c r="H106" s="16">
        <f t="shared" si="358"/>
        <v>0</v>
      </c>
      <c r="I106" s="16">
        <f t="shared" si="358"/>
        <v>0</v>
      </c>
      <c r="J106" s="16">
        <f t="shared" si="358"/>
        <v>0</v>
      </c>
      <c r="K106" s="16">
        <f t="shared" si="358"/>
        <v>0</v>
      </c>
      <c r="L106" s="16">
        <f t="shared" si="358"/>
        <v>0</v>
      </c>
      <c r="M106" s="16">
        <f t="shared" si="358"/>
        <v>0</v>
      </c>
      <c r="N106" s="16">
        <f t="shared" si="358"/>
        <v>0</v>
      </c>
      <c r="O106" s="13">
        <f t="shared" si="221"/>
        <v>90000</v>
      </c>
      <c r="P106" s="14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</row>
    <row r="107" spans="1:256" s="1" customFormat="1" x14ac:dyDescent="0.35">
      <c r="B107" s="15" t="s">
        <v>15</v>
      </c>
      <c r="C107" s="16">
        <f t="shared" ref="C107" si="359">C105-C106</f>
        <v>270000</v>
      </c>
      <c r="D107" s="16">
        <f t="shared" ref="D107:N107" si="360">D105-D106</f>
        <v>270000</v>
      </c>
      <c r="E107" s="16">
        <f t="shared" si="360"/>
        <v>270000</v>
      </c>
      <c r="F107" s="16">
        <f t="shared" si="360"/>
        <v>0</v>
      </c>
      <c r="G107" s="16">
        <f t="shared" si="360"/>
        <v>0</v>
      </c>
      <c r="H107" s="16">
        <f t="shared" si="360"/>
        <v>0</v>
      </c>
      <c r="I107" s="16">
        <f t="shared" si="360"/>
        <v>0</v>
      </c>
      <c r="J107" s="16">
        <f t="shared" si="360"/>
        <v>0</v>
      </c>
      <c r="K107" s="16">
        <f t="shared" si="360"/>
        <v>0</v>
      </c>
      <c r="L107" s="16">
        <f t="shared" si="360"/>
        <v>0</v>
      </c>
      <c r="M107" s="16">
        <f t="shared" si="360"/>
        <v>0</v>
      </c>
      <c r="N107" s="16">
        <f t="shared" si="360"/>
        <v>0</v>
      </c>
      <c r="O107" s="13">
        <f t="shared" si="221"/>
        <v>810000</v>
      </c>
      <c r="P107" s="14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</row>
    <row r="108" spans="1:256" s="1" customFormat="1" x14ac:dyDescent="0.35">
      <c r="B108" s="15" t="s">
        <v>16</v>
      </c>
      <c r="C108" s="171">
        <f>IF(C107&gt;1000000,128000+0.3*(C107-1000000),IF(C107&gt;760000,68000+0.25*(C107-760000),IF(C107&gt;520000,20000+0.2*(C107-520000),IF(C107&gt;270000,0.08*(C107-270000),IF(C107&lt;=270000,0)))))</f>
        <v>0</v>
      </c>
      <c r="D108" s="171">
        <f t="shared" ref="D108" si="361">IF(D107&gt;1000000,128000+0.3*(D107-1000000),IF(D107&gt;760000,68000+0.25*(D107-760000),IF(D107&gt;520000,20000+0.2*(D107-520000),IF(D107&gt;270000,0.08*(D107-270000),IF(D107&lt;=270000,0)))))</f>
        <v>0</v>
      </c>
      <c r="E108" s="171">
        <f t="shared" ref="E108" si="362">IF(E107&gt;1000000,128000+0.3*(E107-1000000),IF(E107&gt;760000,68000+0.25*(E107-760000),IF(E107&gt;520000,20000+0.2*(E107-520000),IF(E107&gt;270000,0.08*(E107-270000),IF(E107&lt;=270000,0)))))</f>
        <v>0</v>
      </c>
      <c r="F108" s="171">
        <f t="shared" ref="F108" si="363">IF(F107&gt;1000000,128000+0.3*(F107-1000000),IF(F107&gt;760000,68000+0.25*(F107-760000),IF(F107&gt;520000,20000+0.2*(F107-520000),IF(F107&gt;270000,0.08*(F107-270000),IF(F107&lt;=270000,0)))))</f>
        <v>0</v>
      </c>
      <c r="G108" s="171">
        <f t="shared" ref="G108" si="364">IF(G107&gt;1000000,128000+0.3*(G107-1000000),IF(G107&gt;760000,68000+0.25*(G107-760000),IF(G107&gt;520000,20000+0.2*(G107-520000),IF(G107&gt;270000,0.08*(G107-270000),IF(G107&lt;=270000,0)))))</f>
        <v>0</v>
      </c>
      <c r="H108" s="171">
        <f t="shared" ref="H108" si="365">IF(H107&gt;1000000,128000+0.3*(H107-1000000),IF(H107&gt;760000,68000+0.25*(H107-760000),IF(H107&gt;520000,20000+0.2*(H107-520000),IF(H107&gt;270000,0.08*(H107-270000),IF(H107&lt;=270000,0)))))</f>
        <v>0</v>
      </c>
      <c r="I108" s="171">
        <f t="shared" ref="I108" si="366">IF(I107&gt;1000000,128000+0.3*(I107-1000000),IF(I107&gt;760000,68000+0.25*(I107-760000),IF(I107&gt;520000,20000+0.2*(I107-520000),IF(I107&gt;270000,0.08*(I107-270000),IF(I107&lt;=270000,0)))))</f>
        <v>0</v>
      </c>
      <c r="J108" s="171">
        <f t="shared" ref="J108" si="367">IF(J107&gt;1000000,128000+0.3*(J107-1000000),IF(J107&gt;760000,68000+0.25*(J107-760000),IF(J107&gt;520000,20000+0.2*(J107-520000),IF(J107&gt;270000,0.08*(J107-270000),IF(J107&lt;=270000,0)))))</f>
        <v>0</v>
      </c>
      <c r="K108" s="171">
        <f t="shared" ref="K108" si="368">IF(K107&gt;1000000,128000+0.3*(K107-1000000),IF(K107&gt;760000,68000+0.25*(K107-760000),IF(K107&gt;520000,20000+0.2*(K107-520000),IF(K107&gt;270000,0.08*(K107-270000),IF(K107&lt;=270000,0)))))</f>
        <v>0</v>
      </c>
      <c r="L108" s="171">
        <f t="shared" ref="L108" si="369">IF(L107&gt;1000000,128000+0.3*(L107-1000000),IF(L107&gt;760000,68000+0.25*(L107-760000),IF(L107&gt;520000,20000+0.2*(L107-520000),IF(L107&gt;270000,0.08*(L107-270000),IF(L107&lt;=270000,0)))))</f>
        <v>0</v>
      </c>
      <c r="M108" s="171">
        <f t="shared" ref="M108" si="370">IF(M107&gt;1000000,128000+0.3*(M107-1000000),IF(M107&gt;760000,68000+0.25*(M107-760000),IF(M107&gt;520000,20000+0.2*(M107-520000),IF(M107&gt;270000,0.08*(M107-270000),IF(M107&lt;=270000,0)))))</f>
        <v>0</v>
      </c>
      <c r="N108" s="171">
        <f t="shared" ref="N108" si="371">IF(N107&gt;1000000,128000+0.3*(N107-1000000),IF(N107&gt;760000,68000+0.25*(N107-760000),IF(N107&gt;520000,20000+0.2*(N107-520000),IF(N107&gt;270000,0.08*(N107-270000),IF(N107&lt;=270000,0)))))</f>
        <v>0</v>
      </c>
      <c r="O108" s="13">
        <f t="shared" si="221"/>
        <v>0</v>
      </c>
      <c r="P108" s="14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</row>
    <row r="109" spans="1:256" s="17" customFormat="1" x14ac:dyDescent="0.35">
      <c r="A109" s="17">
        <v>27</v>
      </c>
      <c r="B109" s="11" t="s">
        <v>420</v>
      </c>
      <c r="C109" s="12">
        <v>300000</v>
      </c>
      <c r="D109" s="12">
        <v>300000</v>
      </c>
      <c r="E109" s="12">
        <v>300000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3">
        <f t="shared" si="221"/>
        <v>900000</v>
      </c>
      <c r="P109" s="14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</row>
    <row r="110" spans="1:256" s="17" customFormat="1" x14ac:dyDescent="0.35">
      <c r="B110" s="15" t="s">
        <v>14</v>
      </c>
      <c r="C110" s="16">
        <f t="shared" ref="C110" si="372">C109*0.1</f>
        <v>30000</v>
      </c>
      <c r="D110" s="16">
        <f t="shared" ref="D110:N110" si="373">D109*0.1</f>
        <v>30000</v>
      </c>
      <c r="E110" s="16">
        <f t="shared" si="373"/>
        <v>30000</v>
      </c>
      <c r="F110" s="16">
        <f t="shared" si="373"/>
        <v>0</v>
      </c>
      <c r="G110" s="16">
        <f t="shared" si="373"/>
        <v>0</v>
      </c>
      <c r="H110" s="16">
        <f t="shared" si="373"/>
        <v>0</v>
      </c>
      <c r="I110" s="16">
        <f t="shared" si="373"/>
        <v>0</v>
      </c>
      <c r="J110" s="16">
        <f t="shared" si="373"/>
        <v>0</v>
      </c>
      <c r="K110" s="16">
        <f t="shared" si="373"/>
        <v>0</v>
      </c>
      <c r="L110" s="16">
        <f t="shared" si="373"/>
        <v>0</v>
      </c>
      <c r="M110" s="16">
        <f t="shared" si="373"/>
        <v>0</v>
      </c>
      <c r="N110" s="16">
        <f t="shared" si="373"/>
        <v>0</v>
      </c>
      <c r="O110" s="13">
        <f t="shared" si="221"/>
        <v>90000</v>
      </c>
      <c r="P110" s="14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</row>
    <row r="111" spans="1:256" s="1" customFormat="1" x14ac:dyDescent="0.35">
      <c r="B111" s="15" t="s">
        <v>15</v>
      </c>
      <c r="C111" s="16">
        <f t="shared" ref="C111" si="374">C109-C110</f>
        <v>270000</v>
      </c>
      <c r="D111" s="16">
        <f t="shared" ref="D111:N111" si="375">D109-D110</f>
        <v>270000</v>
      </c>
      <c r="E111" s="16">
        <f t="shared" si="375"/>
        <v>270000</v>
      </c>
      <c r="F111" s="16">
        <f t="shared" si="375"/>
        <v>0</v>
      </c>
      <c r="G111" s="16">
        <f t="shared" si="375"/>
        <v>0</v>
      </c>
      <c r="H111" s="16">
        <f t="shared" si="375"/>
        <v>0</v>
      </c>
      <c r="I111" s="16">
        <f t="shared" si="375"/>
        <v>0</v>
      </c>
      <c r="J111" s="16">
        <f t="shared" si="375"/>
        <v>0</v>
      </c>
      <c r="K111" s="16">
        <f t="shared" si="375"/>
        <v>0</v>
      </c>
      <c r="L111" s="16">
        <f t="shared" si="375"/>
        <v>0</v>
      </c>
      <c r="M111" s="16">
        <f t="shared" si="375"/>
        <v>0</v>
      </c>
      <c r="N111" s="16">
        <f t="shared" si="375"/>
        <v>0</v>
      </c>
      <c r="O111" s="13">
        <f t="shared" si="221"/>
        <v>810000</v>
      </c>
      <c r="P111" s="14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</row>
    <row r="112" spans="1:256" s="1" customFormat="1" x14ac:dyDescent="0.35">
      <c r="B112" s="15" t="s">
        <v>16</v>
      </c>
      <c r="C112" s="171">
        <f>IF(C111&gt;1000000,128000+0.3*(C111-1000000),IF(C111&gt;760000,68000+0.25*(C111-760000),IF(C111&gt;520000,20000+0.2*(C111-520000),IF(C111&gt;270000,0.08*(C111-270000),IF(C111&lt;=270000,0)))))</f>
        <v>0</v>
      </c>
      <c r="D112" s="171">
        <f t="shared" ref="D112" si="376">IF(D111&gt;1000000,128000+0.3*(D111-1000000),IF(D111&gt;760000,68000+0.25*(D111-760000),IF(D111&gt;520000,20000+0.2*(D111-520000),IF(D111&gt;270000,0.08*(D111-270000),IF(D111&lt;=270000,0)))))</f>
        <v>0</v>
      </c>
      <c r="E112" s="171">
        <f t="shared" ref="E112" si="377">IF(E111&gt;1000000,128000+0.3*(E111-1000000),IF(E111&gt;760000,68000+0.25*(E111-760000),IF(E111&gt;520000,20000+0.2*(E111-520000),IF(E111&gt;270000,0.08*(E111-270000),IF(E111&lt;=270000,0)))))</f>
        <v>0</v>
      </c>
      <c r="F112" s="171">
        <f t="shared" ref="F112" si="378">IF(F111&gt;1000000,128000+0.3*(F111-1000000),IF(F111&gt;760000,68000+0.25*(F111-760000),IF(F111&gt;520000,20000+0.2*(F111-520000),IF(F111&gt;270000,0.08*(F111-270000),IF(F111&lt;=270000,0)))))</f>
        <v>0</v>
      </c>
      <c r="G112" s="171">
        <f t="shared" ref="G112" si="379">IF(G111&gt;1000000,128000+0.3*(G111-1000000),IF(G111&gt;760000,68000+0.25*(G111-760000),IF(G111&gt;520000,20000+0.2*(G111-520000),IF(G111&gt;270000,0.08*(G111-270000),IF(G111&lt;=270000,0)))))</f>
        <v>0</v>
      </c>
      <c r="H112" s="171">
        <f t="shared" ref="H112" si="380">IF(H111&gt;1000000,128000+0.3*(H111-1000000),IF(H111&gt;760000,68000+0.25*(H111-760000),IF(H111&gt;520000,20000+0.2*(H111-520000),IF(H111&gt;270000,0.08*(H111-270000),IF(H111&lt;=270000,0)))))</f>
        <v>0</v>
      </c>
      <c r="I112" s="171">
        <f t="shared" ref="I112" si="381">IF(I111&gt;1000000,128000+0.3*(I111-1000000),IF(I111&gt;760000,68000+0.25*(I111-760000),IF(I111&gt;520000,20000+0.2*(I111-520000),IF(I111&gt;270000,0.08*(I111-270000),IF(I111&lt;=270000,0)))))</f>
        <v>0</v>
      </c>
      <c r="J112" s="171">
        <f t="shared" ref="J112" si="382">IF(J111&gt;1000000,128000+0.3*(J111-1000000),IF(J111&gt;760000,68000+0.25*(J111-760000),IF(J111&gt;520000,20000+0.2*(J111-520000),IF(J111&gt;270000,0.08*(J111-270000),IF(J111&lt;=270000,0)))))</f>
        <v>0</v>
      </c>
      <c r="K112" s="171">
        <f t="shared" ref="K112" si="383">IF(K111&gt;1000000,128000+0.3*(K111-1000000),IF(K111&gt;760000,68000+0.25*(K111-760000),IF(K111&gt;520000,20000+0.2*(K111-520000),IF(K111&gt;270000,0.08*(K111-270000),IF(K111&lt;=270000,0)))))</f>
        <v>0</v>
      </c>
      <c r="L112" s="171">
        <f t="shared" ref="L112" si="384">IF(L111&gt;1000000,128000+0.3*(L111-1000000),IF(L111&gt;760000,68000+0.25*(L111-760000),IF(L111&gt;520000,20000+0.2*(L111-520000),IF(L111&gt;270000,0.08*(L111-270000),IF(L111&lt;=270000,0)))))</f>
        <v>0</v>
      </c>
      <c r="M112" s="171">
        <f t="shared" ref="M112" si="385">IF(M111&gt;1000000,128000+0.3*(M111-1000000),IF(M111&gt;760000,68000+0.25*(M111-760000),IF(M111&gt;520000,20000+0.2*(M111-520000),IF(M111&gt;270000,0.08*(M111-270000),IF(M111&lt;=270000,0)))))</f>
        <v>0</v>
      </c>
      <c r="N112" s="171">
        <f t="shared" ref="N112" si="386">IF(N111&gt;1000000,128000+0.3*(N111-1000000),IF(N111&gt;760000,68000+0.25*(N111-760000),IF(N111&gt;520000,20000+0.2*(N111-520000),IF(N111&gt;270000,0.08*(N111-270000),IF(N111&lt;=270000,0)))))</f>
        <v>0</v>
      </c>
      <c r="O112" s="13">
        <f t="shared" si="221"/>
        <v>0</v>
      </c>
      <c r="P112" s="14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</row>
    <row r="113" spans="1:256" s="17" customFormat="1" x14ac:dyDescent="0.35">
      <c r="A113" s="17">
        <v>28</v>
      </c>
      <c r="B113" s="11" t="s">
        <v>421</v>
      </c>
      <c r="C113" s="12">
        <v>300000</v>
      </c>
      <c r="D113" s="12">
        <v>300000</v>
      </c>
      <c r="E113" s="12">
        <v>300000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3">
        <f t="shared" si="221"/>
        <v>900000</v>
      </c>
      <c r="P113" s="14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</row>
    <row r="114" spans="1:256" s="17" customFormat="1" x14ac:dyDescent="0.35">
      <c r="B114" s="15" t="s">
        <v>14</v>
      </c>
      <c r="C114" s="16">
        <f t="shared" ref="C114" si="387">C113*0.1</f>
        <v>30000</v>
      </c>
      <c r="D114" s="16">
        <f t="shared" ref="D114:N114" si="388">D113*0.1</f>
        <v>30000</v>
      </c>
      <c r="E114" s="16">
        <f t="shared" si="388"/>
        <v>30000</v>
      </c>
      <c r="F114" s="16">
        <f t="shared" si="388"/>
        <v>0</v>
      </c>
      <c r="G114" s="16">
        <f t="shared" si="388"/>
        <v>0</v>
      </c>
      <c r="H114" s="16">
        <f t="shared" si="388"/>
        <v>0</v>
      </c>
      <c r="I114" s="16">
        <f t="shared" si="388"/>
        <v>0</v>
      </c>
      <c r="J114" s="16">
        <f t="shared" si="388"/>
        <v>0</v>
      </c>
      <c r="K114" s="16">
        <f t="shared" si="388"/>
        <v>0</v>
      </c>
      <c r="L114" s="16">
        <f t="shared" si="388"/>
        <v>0</v>
      </c>
      <c r="M114" s="16">
        <f t="shared" si="388"/>
        <v>0</v>
      </c>
      <c r="N114" s="16">
        <f t="shared" si="388"/>
        <v>0</v>
      </c>
      <c r="O114" s="13">
        <f t="shared" si="221"/>
        <v>90000</v>
      </c>
      <c r="P114" s="14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</row>
    <row r="115" spans="1:256" s="1" customFormat="1" x14ac:dyDescent="0.35">
      <c r="B115" s="15" t="s">
        <v>15</v>
      </c>
      <c r="C115" s="16">
        <f t="shared" ref="C115" si="389">C113-C114</f>
        <v>270000</v>
      </c>
      <c r="D115" s="16">
        <f t="shared" ref="D115:N115" si="390">D113-D114</f>
        <v>270000</v>
      </c>
      <c r="E115" s="16">
        <f t="shared" si="390"/>
        <v>270000</v>
      </c>
      <c r="F115" s="16">
        <f t="shared" si="390"/>
        <v>0</v>
      </c>
      <c r="G115" s="16">
        <f t="shared" si="390"/>
        <v>0</v>
      </c>
      <c r="H115" s="16">
        <f t="shared" si="390"/>
        <v>0</v>
      </c>
      <c r="I115" s="16">
        <f t="shared" si="390"/>
        <v>0</v>
      </c>
      <c r="J115" s="16">
        <f t="shared" si="390"/>
        <v>0</v>
      </c>
      <c r="K115" s="16">
        <f t="shared" si="390"/>
        <v>0</v>
      </c>
      <c r="L115" s="16">
        <f t="shared" si="390"/>
        <v>0</v>
      </c>
      <c r="M115" s="16">
        <f t="shared" si="390"/>
        <v>0</v>
      </c>
      <c r="N115" s="16">
        <f t="shared" si="390"/>
        <v>0</v>
      </c>
      <c r="O115" s="13">
        <f t="shared" si="221"/>
        <v>810000</v>
      </c>
      <c r="P115" s="14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</row>
    <row r="116" spans="1:256" s="1" customFormat="1" x14ac:dyDescent="0.35">
      <c r="B116" s="15" t="s">
        <v>16</v>
      </c>
      <c r="C116" s="171">
        <f>IF(C115&gt;1000000,128000+0.3*(C115-1000000),IF(C115&gt;760000,68000+0.25*(C115-760000),IF(C115&gt;520000,20000+0.2*(C115-520000),IF(C115&gt;270000,0.08*(C115-270000),IF(C115&lt;=270000,0)))))</f>
        <v>0</v>
      </c>
      <c r="D116" s="171">
        <f t="shared" ref="D116" si="391">IF(D115&gt;1000000,128000+0.3*(D115-1000000),IF(D115&gt;760000,68000+0.25*(D115-760000),IF(D115&gt;520000,20000+0.2*(D115-520000),IF(D115&gt;270000,0.08*(D115-270000),IF(D115&lt;=270000,0)))))</f>
        <v>0</v>
      </c>
      <c r="E116" s="171">
        <f t="shared" ref="E116" si="392">IF(E115&gt;1000000,128000+0.3*(E115-1000000),IF(E115&gt;760000,68000+0.25*(E115-760000),IF(E115&gt;520000,20000+0.2*(E115-520000),IF(E115&gt;270000,0.08*(E115-270000),IF(E115&lt;=270000,0)))))</f>
        <v>0</v>
      </c>
      <c r="F116" s="171">
        <f t="shared" ref="F116" si="393">IF(F115&gt;1000000,128000+0.3*(F115-1000000),IF(F115&gt;760000,68000+0.25*(F115-760000),IF(F115&gt;520000,20000+0.2*(F115-520000),IF(F115&gt;270000,0.08*(F115-270000),IF(F115&lt;=270000,0)))))</f>
        <v>0</v>
      </c>
      <c r="G116" s="171">
        <f t="shared" ref="G116" si="394">IF(G115&gt;1000000,128000+0.3*(G115-1000000),IF(G115&gt;760000,68000+0.25*(G115-760000),IF(G115&gt;520000,20000+0.2*(G115-520000),IF(G115&gt;270000,0.08*(G115-270000),IF(G115&lt;=270000,0)))))</f>
        <v>0</v>
      </c>
      <c r="H116" s="171">
        <f t="shared" ref="H116" si="395">IF(H115&gt;1000000,128000+0.3*(H115-1000000),IF(H115&gt;760000,68000+0.25*(H115-760000),IF(H115&gt;520000,20000+0.2*(H115-520000),IF(H115&gt;270000,0.08*(H115-270000),IF(H115&lt;=270000,0)))))</f>
        <v>0</v>
      </c>
      <c r="I116" s="171">
        <f t="shared" ref="I116" si="396">IF(I115&gt;1000000,128000+0.3*(I115-1000000),IF(I115&gt;760000,68000+0.25*(I115-760000),IF(I115&gt;520000,20000+0.2*(I115-520000),IF(I115&gt;270000,0.08*(I115-270000),IF(I115&lt;=270000,0)))))</f>
        <v>0</v>
      </c>
      <c r="J116" s="171">
        <f t="shared" ref="J116" si="397">IF(J115&gt;1000000,128000+0.3*(J115-1000000),IF(J115&gt;760000,68000+0.25*(J115-760000),IF(J115&gt;520000,20000+0.2*(J115-520000),IF(J115&gt;270000,0.08*(J115-270000),IF(J115&lt;=270000,0)))))</f>
        <v>0</v>
      </c>
      <c r="K116" s="171">
        <f t="shared" ref="K116" si="398">IF(K115&gt;1000000,128000+0.3*(K115-1000000),IF(K115&gt;760000,68000+0.25*(K115-760000),IF(K115&gt;520000,20000+0.2*(K115-520000),IF(K115&gt;270000,0.08*(K115-270000),IF(K115&lt;=270000,0)))))</f>
        <v>0</v>
      </c>
      <c r="L116" s="171">
        <f t="shared" ref="L116" si="399">IF(L115&gt;1000000,128000+0.3*(L115-1000000),IF(L115&gt;760000,68000+0.25*(L115-760000),IF(L115&gt;520000,20000+0.2*(L115-520000),IF(L115&gt;270000,0.08*(L115-270000),IF(L115&lt;=270000,0)))))</f>
        <v>0</v>
      </c>
      <c r="M116" s="171">
        <f t="shared" ref="M116" si="400">IF(M115&gt;1000000,128000+0.3*(M115-1000000),IF(M115&gt;760000,68000+0.25*(M115-760000),IF(M115&gt;520000,20000+0.2*(M115-520000),IF(M115&gt;270000,0.08*(M115-270000),IF(M115&lt;=270000,0)))))</f>
        <v>0</v>
      </c>
      <c r="N116" s="171">
        <f t="shared" ref="N116" si="401">IF(N115&gt;1000000,128000+0.3*(N115-1000000),IF(N115&gt;760000,68000+0.25*(N115-760000),IF(N115&gt;520000,20000+0.2*(N115-520000),IF(N115&gt;270000,0.08*(N115-270000),IF(N115&lt;=270000,0)))))</f>
        <v>0</v>
      </c>
      <c r="O116" s="13">
        <f t="shared" si="221"/>
        <v>0</v>
      </c>
      <c r="P116" s="14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</row>
    <row r="117" spans="1:256" s="17" customFormat="1" x14ac:dyDescent="0.35">
      <c r="A117" s="17">
        <v>29</v>
      </c>
      <c r="B117" s="11" t="s">
        <v>422</v>
      </c>
      <c r="C117" s="12">
        <v>300000</v>
      </c>
      <c r="D117" s="12">
        <v>300000</v>
      </c>
      <c r="E117" s="12">
        <v>300000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3">
        <f t="shared" si="221"/>
        <v>900000</v>
      </c>
      <c r="P117" s="14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</row>
    <row r="118" spans="1:256" s="17" customFormat="1" x14ac:dyDescent="0.35">
      <c r="B118" s="15" t="s">
        <v>14</v>
      </c>
      <c r="C118" s="16">
        <f t="shared" ref="C118" si="402">C117*0.1</f>
        <v>30000</v>
      </c>
      <c r="D118" s="16">
        <f t="shared" ref="D118:N118" si="403">D117*0.1</f>
        <v>30000</v>
      </c>
      <c r="E118" s="16">
        <f t="shared" si="403"/>
        <v>30000</v>
      </c>
      <c r="F118" s="16">
        <f t="shared" si="403"/>
        <v>0</v>
      </c>
      <c r="G118" s="16">
        <f t="shared" si="403"/>
        <v>0</v>
      </c>
      <c r="H118" s="16">
        <f t="shared" si="403"/>
        <v>0</v>
      </c>
      <c r="I118" s="16">
        <f t="shared" si="403"/>
        <v>0</v>
      </c>
      <c r="J118" s="16">
        <f t="shared" si="403"/>
        <v>0</v>
      </c>
      <c r="K118" s="16">
        <f t="shared" si="403"/>
        <v>0</v>
      </c>
      <c r="L118" s="16">
        <f t="shared" si="403"/>
        <v>0</v>
      </c>
      <c r="M118" s="16">
        <f t="shared" si="403"/>
        <v>0</v>
      </c>
      <c r="N118" s="16">
        <f t="shared" si="403"/>
        <v>0</v>
      </c>
      <c r="O118" s="13">
        <f t="shared" si="221"/>
        <v>90000</v>
      </c>
      <c r="P118" s="14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</row>
    <row r="119" spans="1:256" s="1" customFormat="1" x14ac:dyDescent="0.35">
      <c r="B119" s="15" t="s">
        <v>15</v>
      </c>
      <c r="C119" s="16">
        <f t="shared" ref="C119" si="404">C117-C118</f>
        <v>270000</v>
      </c>
      <c r="D119" s="16">
        <f t="shared" ref="D119:N119" si="405">D117-D118</f>
        <v>270000</v>
      </c>
      <c r="E119" s="16">
        <f t="shared" si="405"/>
        <v>270000</v>
      </c>
      <c r="F119" s="16">
        <f t="shared" si="405"/>
        <v>0</v>
      </c>
      <c r="G119" s="16">
        <f t="shared" si="405"/>
        <v>0</v>
      </c>
      <c r="H119" s="16">
        <f t="shared" si="405"/>
        <v>0</v>
      </c>
      <c r="I119" s="16">
        <f t="shared" si="405"/>
        <v>0</v>
      </c>
      <c r="J119" s="16">
        <f t="shared" si="405"/>
        <v>0</v>
      </c>
      <c r="K119" s="16">
        <f t="shared" si="405"/>
        <v>0</v>
      </c>
      <c r="L119" s="16">
        <f t="shared" si="405"/>
        <v>0</v>
      </c>
      <c r="M119" s="16">
        <f t="shared" si="405"/>
        <v>0</v>
      </c>
      <c r="N119" s="16">
        <f t="shared" si="405"/>
        <v>0</v>
      </c>
      <c r="O119" s="13">
        <f t="shared" si="221"/>
        <v>810000</v>
      </c>
      <c r="P119" s="14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</row>
    <row r="120" spans="1:256" s="1" customFormat="1" x14ac:dyDescent="0.35">
      <c r="B120" s="15" t="s">
        <v>16</v>
      </c>
      <c r="C120" s="171">
        <f>IF(C119&gt;1000000,128000+0.3*(C119-1000000),IF(C119&gt;760000,68000+0.25*(C119-760000),IF(C119&gt;520000,20000+0.2*(C119-520000),IF(C119&gt;270000,0.08*(C119-270000),IF(C119&lt;=270000,0)))))</f>
        <v>0</v>
      </c>
      <c r="D120" s="171">
        <f t="shared" ref="D120" si="406">IF(D119&gt;1000000,128000+0.3*(D119-1000000),IF(D119&gt;760000,68000+0.25*(D119-760000),IF(D119&gt;520000,20000+0.2*(D119-520000),IF(D119&gt;270000,0.08*(D119-270000),IF(D119&lt;=270000,0)))))</f>
        <v>0</v>
      </c>
      <c r="E120" s="171">
        <f t="shared" ref="E120" si="407">IF(E119&gt;1000000,128000+0.3*(E119-1000000),IF(E119&gt;760000,68000+0.25*(E119-760000),IF(E119&gt;520000,20000+0.2*(E119-520000),IF(E119&gt;270000,0.08*(E119-270000),IF(E119&lt;=270000,0)))))</f>
        <v>0</v>
      </c>
      <c r="F120" s="171">
        <f t="shared" ref="F120" si="408">IF(F119&gt;1000000,128000+0.3*(F119-1000000),IF(F119&gt;760000,68000+0.25*(F119-760000),IF(F119&gt;520000,20000+0.2*(F119-520000),IF(F119&gt;270000,0.08*(F119-270000),IF(F119&lt;=270000,0)))))</f>
        <v>0</v>
      </c>
      <c r="G120" s="171">
        <f t="shared" ref="G120" si="409">IF(G119&gt;1000000,128000+0.3*(G119-1000000),IF(G119&gt;760000,68000+0.25*(G119-760000),IF(G119&gt;520000,20000+0.2*(G119-520000),IF(G119&gt;270000,0.08*(G119-270000),IF(G119&lt;=270000,0)))))</f>
        <v>0</v>
      </c>
      <c r="H120" s="171">
        <f t="shared" ref="H120" si="410">IF(H119&gt;1000000,128000+0.3*(H119-1000000),IF(H119&gt;760000,68000+0.25*(H119-760000),IF(H119&gt;520000,20000+0.2*(H119-520000),IF(H119&gt;270000,0.08*(H119-270000),IF(H119&lt;=270000,0)))))</f>
        <v>0</v>
      </c>
      <c r="I120" s="171">
        <f t="shared" ref="I120" si="411">IF(I119&gt;1000000,128000+0.3*(I119-1000000),IF(I119&gt;760000,68000+0.25*(I119-760000),IF(I119&gt;520000,20000+0.2*(I119-520000),IF(I119&gt;270000,0.08*(I119-270000),IF(I119&lt;=270000,0)))))</f>
        <v>0</v>
      </c>
      <c r="J120" s="171">
        <f t="shared" ref="J120" si="412">IF(J119&gt;1000000,128000+0.3*(J119-1000000),IF(J119&gt;760000,68000+0.25*(J119-760000),IF(J119&gt;520000,20000+0.2*(J119-520000),IF(J119&gt;270000,0.08*(J119-270000),IF(J119&lt;=270000,0)))))</f>
        <v>0</v>
      </c>
      <c r="K120" s="171">
        <f t="shared" ref="K120" si="413">IF(K119&gt;1000000,128000+0.3*(K119-1000000),IF(K119&gt;760000,68000+0.25*(K119-760000),IF(K119&gt;520000,20000+0.2*(K119-520000),IF(K119&gt;270000,0.08*(K119-270000),IF(K119&lt;=270000,0)))))</f>
        <v>0</v>
      </c>
      <c r="L120" s="171">
        <f t="shared" ref="L120" si="414">IF(L119&gt;1000000,128000+0.3*(L119-1000000),IF(L119&gt;760000,68000+0.25*(L119-760000),IF(L119&gt;520000,20000+0.2*(L119-520000),IF(L119&gt;270000,0.08*(L119-270000),IF(L119&lt;=270000,0)))))</f>
        <v>0</v>
      </c>
      <c r="M120" s="171">
        <f t="shared" ref="M120" si="415">IF(M119&gt;1000000,128000+0.3*(M119-1000000),IF(M119&gt;760000,68000+0.25*(M119-760000),IF(M119&gt;520000,20000+0.2*(M119-520000),IF(M119&gt;270000,0.08*(M119-270000),IF(M119&lt;=270000,0)))))</f>
        <v>0</v>
      </c>
      <c r="N120" s="171">
        <f t="shared" ref="N120" si="416">IF(N119&gt;1000000,128000+0.3*(N119-1000000),IF(N119&gt;760000,68000+0.25*(N119-760000),IF(N119&gt;520000,20000+0.2*(N119-520000),IF(N119&gt;270000,0.08*(N119-270000),IF(N119&lt;=270000,0)))))</f>
        <v>0</v>
      </c>
      <c r="O120" s="13">
        <f t="shared" si="221"/>
        <v>0</v>
      </c>
      <c r="P120" s="14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</row>
    <row r="121" spans="1:256" s="17" customFormat="1" x14ac:dyDescent="0.35">
      <c r="A121" s="17">
        <v>30</v>
      </c>
      <c r="B121" s="11" t="s">
        <v>423</v>
      </c>
      <c r="C121" s="12">
        <v>300000</v>
      </c>
      <c r="D121" s="12">
        <v>300000</v>
      </c>
      <c r="E121" s="12">
        <v>300000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3">
        <f t="shared" si="221"/>
        <v>900000</v>
      </c>
      <c r="P121" s="14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</row>
    <row r="122" spans="1:256" s="17" customFormat="1" x14ac:dyDescent="0.35">
      <c r="B122" s="15" t="s">
        <v>14</v>
      </c>
      <c r="C122" s="16">
        <f t="shared" ref="C122" si="417">C121*0.1</f>
        <v>30000</v>
      </c>
      <c r="D122" s="16">
        <f t="shared" ref="D122:N122" si="418">D121*0.1</f>
        <v>30000</v>
      </c>
      <c r="E122" s="16">
        <f t="shared" si="418"/>
        <v>30000</v>
      </c>
      <c r="F122" s="16">
        <f t="shared" si="418"/>
        <v>0</v>
      </c>
      <c r="G122" s="16">
        <f t="shared" si="418"/>
        <v>0</v>
      </c>
      <c r="H122" s="16">
        <f t="shared" si="418"/>
        <v>0</v>
      </c>
      <c r="I122" s="16">
        <f t="shared" si="418"/>
        <v>0</v>
      </c>
      <c r="J122" s="16">
        <f t="shared" si="418"/>
        <v>0</v>
      </c>
      <c r="K122" s="16">
        <f t="shared" si="418"/>
        <v>0</v>
      </c>
      <c r="L122" s="16">
        <f t="shared" si="418"/>
        <v>0</v>
      </c>
      <c r="M122" s="16">
        <f t="shared" si="418"/>
        <v>0</v>
      </c>
      <c r="N122" s="16">
        <f t="shared" si="418"/>
        <v>0</v>
      </c>
      <c r="O122" s="13">
        <f t="shared" si="221"/>
        <v>90000</v>
      </c>
      <c r="P122" s="14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</row>
    <row r="123" spans="1:256" s="1" customFormat="1" x14ac:dyDescent="0.35">
      <c r="B123" s="15" t="s">
        <v>15</v>
      </c>
      <c r="C123" s="16">
        <f t="shared" ref="C123" si="419">C121-C122</f>
        <v>270000</v>
      </c>
      <c r="D123" s="16">
        <f t="shared" ref="D123:N123" si="420">D121-D122</f>
        <v>270000</v>
      </c>
      <c r="E123" s="16">
        <f t="shared" si="420"/>
        <v>270000</v>
      </c>
      <c r="F123" s="16">
        <f t="shared" si="420"/>
        <v>0</v>
      </c>
      <c r="G123" s="16">
        <f t="shared" si="420"/>
        <v>0</v>
      </c>
      <c r="H123" s="16">
        <f t="shared" si="420"/>
        <v>0</v>
      </c>
      <c r="I123" s="16">
        <f t="shared" si="420"/>
        <v>0</v>
      </c>
      <c r="J123" s="16">
        <f t="shared" si="420"/>
        <v>0</v>
      </c>
      <c r="K123" s="16">
        <f t="shared" si="420"/>
        <v>0</v>
      </c>
      <c r="L123" s="16">
        <f t="shared" si="420"/>
        <v>0</v>
      </c>
      <c r="M123" s="16">
        <f t="shared" si="420"/>
        <v>0</v>
      </c>
      <c r="N123" s="16">
        <f t="shared" si="420"/>
        <v>0</v>
      </c>
      <c r="O123" s="13">
        <f t="shared" si="221"/>
        <v>810000</v>
      </c>
      <c r="P123" s="14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</row>
    <row r="124" spans="1:256" s="1" customFormat="1" x14ac:dyDescent="0.35">
      <c r="B124" s="15" t="s">
        <v>16</v>
      </c>
      <c r="C124" s="171">
        <f>IF(C123&gt;1000000,128000+0.3*(C123-1000000),IF(C123&gt;760000,68000+0.25*(C123-760000),IF(C123&gt;520000,20000+0.2*(C123-520000),IF(C123&gt;270000,0.08*(C123-270000),IF(C123&lt;=270000,0)))))</f>
        <v>0</v>
      </c>
      <c r="D124" s="171">
        <f t="shared" ref="D124" si="421">IF(D123&gt;1000000,128000+0.3*(D123-1000000),IF(D123&gt;760000,68000+0.25*(D123-760000),IF(D123&gt;520000,20000+0.2*(D123-520000),IF(D123&gt;270000,0.08*(D123-270000),IF(D123&lt;=270000,0)))))</f>
        <v>0</v>
      </c>
      <c r="E124" s="171">
        <f t="shared" ref="E124" si="422">IF(E123&gt;1000000,128000+0.3*(E123-1000000),IF(E123&gt;760000,68000+0.25*(E123-760000),IF(E123&gt;520000,20000+0.2*(E123-520000),IF(E123&gt;270000,0.08*(E123-270000),IF(E123&lt;=270000,0)))))</f>
        <v>0</v>
      </c>
      <c r="F124" s="171">
        <f t="shared" ref="F124" si="423">IF(F123&gt;1000000,128000+0.3*(F123-1000000),IF(F123&gt;760000,68000+0.25*(F123-760000),IF(F123&gt;520000,20000+0.2*(F123-520000),IF(F123&gt;270000,0.08*(F123-270000),IF(F123&lt;=270000,0)))))</f>
        <v>0</v>
      </c>
      <c r="G124" s="171">
        <f t="shared" ref="G124" si="424">IF(G123&gt;1000000,128000+0.3*(G123-1000000),IF(G123&gt;760000,68000+0.25*(G123-760000),IF(G123&gt;520000,20000+0.2*(G123-520000),IF(G123&gt;270000,0.08*(G123-270000),IF(G123&lt;=270000,0)))))</f>
        <v>0</v>
      </c>
      <c r="H124" s="171">
        <f t="shared" ref="H124" si="425">IF(H123&gt;1000000,128000+0.3*(H123-1000000),IF(H123&gt;760000,68000+0.25*(H123-760000),IF(H123&gt;520000,20000+0.2*(H123-520000),IF(H123&gt;270000,0.08*(H123-270000),IF(H123&lt;=270000,0)))))</f>
        <v>0</v>
      </c>
      <c r="I124" s="171">
        <f t="shared" ref="I124" si="426">IF(I123&gt;1000000,128000+0.3*(I123-1000000),IF(I123&gt;760000,68000+0.25*(I123-760000),IF(I123&gt;520000,20000+0.2*(I123-520000),IF(I123&gt;270000,0.08*(I123-270000),IF(I123&lt;=270000,0)))))</f>
        <v>0</v>
      </c>
      <c r="J124" s="171">
        <f t="shared" ref="J124" si="427">IF(J123&gt;1000000,128000+0.3*(J123-1000000),IF(J123&gt;760000,68000+0.25*(J123-760000),IF(J123&gt;520000,20000+0.2*(J123-520000),IF(J123&gt;270000,0.08*(J123-270000),IF(J123&lt;=270000,0)))))</f>
        <v>0</v>
      </c>
      <c r="K124" s="171">
        <f t="shared" ref="K124" si="428">IF(K123&gt;1000000,128000+0.3*(K123-1000000),IF(K123&gt;760000,68000+0.25*(K123-760000),IF(K123&gt;520000,20000+0.2*(K123-520000),IF(K123&gt;270000,0.08*(K123-270000),IF(K123&lt;=270000,0)))))</f>
        <v>0</v>
      </c>
      <c r="L124" s="171">
        <f t="shared" ref="L124" si="429">IF(L123&gt;1000000,128000+0.3*(L123-1000000),IF(L123&gt;760000,68000+0.25*(L123-760000),IF(L123&gt;520000,20000+0.2*(L123-520000),IF(L123&gt;270000,0.08*(L123-270000),IF(L123&lt;=270000,0)))))</f>
        <v>0</v>
      </c>
      <c r="M124" s="171">
        <f t="shared" ref="M124" si="430">IF(M123&gt;1000000,128000+0.3*(M123-1000000),IF(M123&gt;760000,68000+0.25*(M123-760000),IF(M123&gt;520000,20000+0.2*(M123-520000),IF(M123&gt;270000,0.08*(M123-270000),IF(M123&lt;=270000,0)))))</f>
        <v>0</v>
      </c>
      <c r="N124" s="171">
        <f t="shared" ref="N124" si="431">IF(N123&gt;1000000,128000+0.3*(N123-1000000),IF(N123&gt;760000,68000+0.25*(N123-760000),IF(N123&gt;520000,20000+0.2*(N123-520000),IF(N123&gt;270000,0.08*(N123-270000),IF(N123&lt;=270000,0)))))</f>
        <v>0</v>
      </c>
      <c r="O124" s="13">
        <f t="shared" si="221"/>
        <v>0</v>
      </c>
      <c r="P124" s="14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</row>
    <row r="125" spans="1:256" s="17" customFormat="1" x14ac:dyDescent="0.35">
      <c r="A125" s="17">
        <v>31</v>
      </c>
      <c r="B125" s="11" t="s">
        <v>424</v>
      </c>
      <c r="C125" s="12">
        <v>300000</v>
      </c>
      <c r="D125" s="12">
        <v>300000</v>
      </c>
      <c r="E125" s="12">
        <v>300000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3">
        <f t="shared" si="221"/>
        <v>900000</v>
      </c>
      <c r="P125" s="14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</row>
    <row r="126" spans="1:256" s="17" customFormat="1" x14ac:dyDescent="0.35">
      <c r="B126" s="15" t="s">
        <v>14</v>
      </c>
      <c r="C126" s="16">
        <f t="shared" ref="C126" si="432">C125*0.1</f>
        <v>30000</v>
      </c>
      <c r="D126" s="16">
        <f t="shared" ref="D126:N126" si="433">D125*0.1</f>
        <v>30000</v>
      </c>
      <c r="E126" s="16">
        <f t="shared" si="433"/>
        <v>30000</v>
      </c>
      <c r="F126" s="16">
        <f t="shared" si="433"/>
        <v>0</v>
      </c>
      <c r="G126" s="16">
        <f t="shared" si="433"/>
        <v>0</v>
      </c>
      <c r="H126" s="16">
        <f t="shared" si="433"/>
        <v>0</v>
      </c>
      <c r="I126" s="16">
        <f t="shared" si="433"/>
        <v>0</v>
      </c>
      <c r="J126" s="16">
        <f t="shared" si="433"/>
        <v>0</v>
      </c>
      <c r="K126" s="16">
        <f t="shared" si="433"/>
        <v>0</v>
      </c>
      <c r="L126" s="16">
        <f t="shared" si="433"/>
        <v>0</v>
      </c>
      <c r="M126" s="16">
        <f t="shared" si="433"/>
        <v>0</v>
      </c>
      <c r="N126" s="16">
        <f t="shared" si="433"/>
        <v>0</v>
      </c>
      <c r="O126" s="13">
        <f t="shared" si="221"/>
        <v>90000</v>
      </c>
      <c r="P126" s="14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</row>
    <row r="127" spans="1:256" s="1" customFormat="1" x14ac:dyDescent="0.35">
      <c r="B127" s="15" t="s">
        <v>15</v>
      </c>
      <c r="C127" s="16">
        <f t="shared" ref="C127" si="434">C125-C126</f>
        <v>270000</v>
      </c>
      <c r="D127" s="16">
        <f t="shared" ref="D127:N127" si="435">D125-D126</f>
        <v>270000</v>
      </c>
      <c r="E127" s="16">
        <f t="shared" si="435"/>
        <v>270000</v>
      </c>
      <c r="F127" s="16">
        <f t="shared" si="435"/>
        <v>0</v>
      </c>
      <c r="G127" s="16">
        <f t="shared" si="435"/>
        <v>0</v>
      </c>
      <c r="H127" s="16">
        <f t="shared" si="435"/>
        <v>0</v>
      </c>
      <c r="I127" s="16">
        <f t="shared" si="435"/>
        <v>0</v>
      </c>
      <c r="J127" s="16">
        <f t="shared" si="435"/>
        <v>0</v>
      </c>
      <c r="K127" s="16">
        <f t="shared" si="435"/>
        <v>0</v>
      </c>
      <c r="L127" s="16">
        <f t="shared" si="435"/>
        <v>0</v>
      </c>
      <c r="M127" s="16">
        <f t="shared" si="435"/>
        <v>0</v>
      </c>
      <c r="N127" s="16">
        <f t="shared" si="435"/>
        <v>0</v>
      </c>
      <c r="O127" s="13">
        <f t="shared" si="221"/>
        <v>810000</v>
      </c>
      <c r="P127" s="14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</row>
    <row r="128" spans="1:256" s="1" customFormat="1" x14ac:dyDescent="0.35">
      <c r="B128" s="15" t="s">
        <v>16</v>
      </c>
      <c r="C128" s="171">
        <f>IF(C127&gt;1000000,128000+0.3*(C127-1000000),IF(C127&gt;760000,68000+0.25*(C127-760000),IF(C127&gt;520000,20000+0.2*(C127-520000),IF(C127&gt;270000,0.08*(C127-270000),IF(C127&lt;=270000,0)))))</f>
        <v>0</v>
      </c>
      <c r="D128" s="171">
        <f t="shared" ref="D128" si="436">IF(D127&gt;1000000,128000+0.3*(D127-1000000),IF(D127&gt;760000,68000+0.25*(D127-760000),IF(D127&gt;520000,20000+0.2*(D127-520000),IF(D127&gt;270000,0.08*(D127-270000),IF(D127&lt;=270000,0)))))</f>
        <v>0</v>
      </c>
      <c r="E128" s="171">
        <f t="shared" ref="E128" si="437">IF(E127&gt;1000000,128000+0.3*(E127-1000000),IF(E127&gt;760000,68000+0.25*(E127-760000),IF(E127&gt;520000,20000+0.2*(E127-520000),IF(E127&gt;270000,0.08*(E127-270000),IF(E127&lt;=270000,0)))))</f>
        <v>0</v>
      </c>
      <c r="F128" s="171">
        <f t="shared" ref="F128" si="438">IF(F127&gt;1000000,128000+0.3*(F127-1000000),IF(F127&gt;760000,68000+0.25*(F127-760000),IF(F127&gt;520000,20000+0.2*(F127-520000),IF(F127&gt;270000,0.08*(F127-270000),IF(F127&lt;=270000,0)))))</f>
        <v>0</v>
      </c>
      <c r="G128" s="171">
        <f t="shared" ref="G128" si="439">IF(G127&gt;1000000,128000+0.3*(G127-1000000),IF(G127&gt;760000,68000+0.25*(G127-760000),IF(G127&gt;520000,20000+0.2*(G127-520000),IF(G127&gt;270000,0.08*(G127-270000),IF(G127&lt;=270000,0)))))</f>
        <v>0</v>
      </c>
      <c r="H128" s="171">
        <f t="shared" ref="H128" si="440">IF(H127&gt;1000000,128000+0.3*(H127-1000000),IF(H127&gt;760000,68000+0.25*(H127-760000),IF(H127&gt;520000,20000+0.2*(H127-520000),IF(H127&gt;270000,0.08*(H127-270000),IF(H127&lt;=270000,0)))))</f>
        <v>0</v>
      </c>
      <c r="I128" s="171">
        <f t="shared" ref="I128" si="441">IF(I127&gt;1000000,128000+0.3*(I127-1000000),IF(I127&gt;760000,68000+0.25*(I127-760000),IF(I127&gt;520000,20000+0.2*(I127-520000),IF(I127&gt;270000,0.08*(I127-270000),IF(I127&lt;=270000,0)))))</f>
        <v>0</v>
      </c>
      <c r="J128" s="171">
        <f t="shared" ref="J128" si="442">IF(J127&gt;1000000,128000+0.3*(J127-1000000),IF(J127&gt;760000,68000+0.25*(J127-760000),IF(J127&gt;520000,20000+0.2*(J127-520000),IF(J127&gt;270000,0.08*(J127-270000),IF(J127&lt;=270000,0)))))</f>
        <v>0</v>
      </c>
      <c r="K128" s="171">
        <f t="shared" ref="K128" si="443">IF(K127&gt;1000000,128000+0.3*(K127-1000000),IF(K127&gt;760000,68000+0.25*(K127-760000),IF(K127&gt;520000,20000+0.2*(K127-520000),IF(K127&gt;270000,0.08*(K127-270000),IF(K127&lt;=270000,0)))))</f>
        <v>0</v>
      </c>
      <c r="L128" s="171">
        <f t="shared" ref="L128" si="444">IF(L127&gt;1000000,128000+0.3*(L127-1000000),IF(L127&gt;760000,68000+0.25*(L127-760000),IF(L127&gt;520000,20000+0.2*(L127-520000),IF(L127&gt;270000,0.08*(L127-270000),IF(L127&lt;=270000,0)))))</f>
        <v>0</v>
      </c>
      <c r="M128" s="171">
        <f t="shared" ref="M128" si="445">IF(M127&gt;1000000,128000+0.3*(M127-1000000),IF(M127&gt;760000,68000+0.25*(M127-760000),IF(M127&gt;520000,20000+0.2*(M127-520000),IF(M127&gt;270000,0.08*(M127-270000),IF(M127&lt;=270000,0)))))</f>
        <v>0</v>
      </c>
      <c r="N128" s="171">
        <f t="shared" ref="N128" si="446">IF(N127&gt;1000000,128000+0.3*(N127-1000000),IF(N127&gt;760000,68000+0.25*(N127-760000),IF(N127&gt;520000,20000+0.2*(N127-520000),IF(N127&gt;270000,0.08*(N127-270000),IF(N127&lt;=270000,0)))))</f>
        <v>0</v>
      </c>
      <c r="O128" s="13">
        <f t="shared" si="221"/>
        <v>0</v>
      </c>
      <c r="P128" s="14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/>
    </row>
    <row r="129" spans="1:256" s="17" customFormat="1" x14ac:dyDescent="0.35">
      <c r="A129" s="17">
        <v>32</v>
      </c>
      <c r="B129" s="11" t="s">
        <v>425</v>
      </c>
      <c r="C129" s="12">
        <v>300000</v>
      </c>
      <c r="D129" s="12">
        <v>300000</v>
      </c>
      <c r="E129" s="12">
        <v>300000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3">
        <f t="shared" si="221"/>
        <v>900000</v>
      </c>
      <c r="P129" s="14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  <c r="IV129" s="3"/>
    </row>
    <row r="130" spans="1:256" s="17" customFormat="1" x14ac:dyDescent="0.35">
      <c r="B130" s="15" t="s">
        <v>14</v>
      </c>
      <c r="C130" s="16">
        <f t="shared" ref="C130" si="447">C129*0.1</f>
        <v>30000</v>
      </c>
      <c r="D130" s="16">
        <f t="shared" ref="D130:N130" si="448">D129*0.1</f>
        <v>30000</v>
      </c>
      <c r="E130" s="16">
        <f t="shared" si="448"/>
        <v>30000</v>
      </c>
      <c r="F130" s="16">
        <f t="shared" si="448"/>
        <v>0</v>
      </c>
      <c r="G130" s="16">
        <f t="shared" si="448"/>
        <v>0</v>
      </c>
      <c r="H130" s="16">
        <f t="shared" si="448"/>
        <v>0</v>
      </c>
      <c r="I130" s="16">
        <f t="shared" si="448"/>
        <v>0</v>
      </c>
      <c r="J130" s="16">
        <f t="shared" si="448"/>
        <v>0</v>
      </c>
      <c r="K130" s="16">
        <f t="shared" si="448"/>
        <v>0</v>
      </c>
      <c r="L130" s="16">
        <f t="shared" si="448"/>
        <v>0</v>
      </c>
      <c r="M130" s="16">
        <f t="shared" si="448"/>
        <v>0</v>
      </c>
      <c r="N130" s="16">
        <f t="shared" si="448"/>
        <v>0</v>
      </c>
      <c r="O130" s="13">
        <f t="shared" si="221"/>
        <v>90000</v>
      </c>
      <c r="P130" s="14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/>
    </row>
    <row r="131" spans="1:256" s="1" customFormat="1" x14ac:dyDescent="0.35">
      <c r="B131" s="15" t="s">
        <v>15</v>
      </c>
      <c r="C131" s="16">
        <f t="shared" ref="C131" si="449">C129-C130</f>
        <v>270000</v>
      </c>
      <c r="D131" s="16">
        <f t="shared" ref="D131:N131" si="450">D129-D130</f>
        <v>270000</v>
      </c>
      <c r="E131" s="16">
        <f t="shared" si="450"/>
        <v>270000</v>
      </c>
      <c r="F131" s="16">
        <f t="shared" si="450"/>
        <v>0</v>
      </c>
      <c r="G131" s="16">
        <f t="shared" si="450"/>
        <v>0</v>
      </c>
      <c r="H131" s="16">
        <f t="shared" si="450"/>
        <v>0</v>
      </c>
      <c r="I131" s="16">
        <f t="shared" si="450"/>
        <v>0</v>
      </c>
      <c r="J131" s="16">
        <f t="shared" si="450"/>
        <v>0</v>
      </c>
      <c r="K131" s="16">
        <f t="shared" si="450"/>
        <v>0</v>
      </c>
      <c r="L131" s="16">
        <f t="shared" si="450"/>
        <v>0</v>
      </c>
      <c r="M131" s="16">
        <f t="shared" si="450"/>
        <v>0</v>
      </c>
      <c r="N131" s="16">
        <f t="shared" si="450"/>
        <v>0</v>
      </c>
      <c r="O131" s="13">
        <f t="shared" si="221"/>
        <v>810000</v>
      </c>
      <c r="P131" s="14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/>
    </row>
    <row r="132" spans="1:256" s="1" customFormat="1" x14ac:dyDescent="0.35">
      <c r="B132" s="15" t="s">
        <v>16</v>
      </c>
      <c r="C132" s="171">
        <f>IF(C131&gt;1000000,128000+0.3*(C131-1000000),IF(C131&gt;760000,68000+0.25*(C131-760000),IF(C131&gt;520000,20000+0.2*(C131-520000),IF(C131&gt;270000,0.08*(C131-270000),IF(C131&lt;=270000,0)))))</f>
        <v>0</v>
      </c>
      <c r="D132" s="171">
        <f t="shared" ref="D132" si="451">IF(D131&gt;1000000,128000+0.3*(D131-1000000),IF(D131&gt;760000,68000+0.25*(D131-760000),IF(D131&gt;520000,20000+0.2*(D131-520000),IF(D131&gt;270000,0.08*(D131-270000),IF(D131&lt;=270000,0)))))</f>
        <v>0</v>
      </c>
      <c r="E132" s="171">
        <f t="shared" ref="E132" si="452">IF(E131&gt;1000000,128000+0.3*(E131-1000000),IF(E131&gt;760000,68000+0.25*(E131-760000),IF(E131&gt;520000,20000+0.2*(E131-520000),IF(E131&gt;270000,0.08*(E131-270000),IF(E131&lt;=270000,0)))))</f>
        <v>0</v>
      </c>
      <c r="F132" s="171">
        <f t="shared" ref="F132" si="453">IF(F131&gt;1000000,128000+0.3*(F131-1000000),IF(F131&gt;760000,68000+0.25*(F131-760000),IF(F131&gt;520000,20000+0.2*(F131-520000),IF(F131&gt;270000,0.08*(F131-270000),IF(F131&lt;=270000,0)))))</f>
        <v>0</v>
      </c>
      <c r="G132" s="171">
        <f t="shared" ref="G132" si="454">IF(G131&gt;1000000,128000+0.3*(G131-1000000),IF(G131&gt;760000,68000+0.25*(G131-760000),IF(G131&gt;520000,20000+0.2*(G131-520000),IF(G131&gt;270000,0.08*(G131-270000),IF(G131&lt;=270000,0)))))</f>
        <v>0</v>
      </c>
      <c r="H132" s="171">
        <f t="shared" ref="H132" si="455">IF(H131&gt;1000000,128000+0.3*(H131-1000000),IF(H131&gt;760000,68000+0.25*(H131-760000),IF(H131&gt;520000,20000+0.2*(H131-520000),IF(H131&gt;270000,0.08*(H131-270000),IF(H131&lt;=270000,0)))))</f>
        <v>0</v>
      </c>
      <c r="I132" s="171">
        <f t="shared" ref="I132" si="456">IF(I131&gt;1000000,128000+0.3*(I131-1000000),IF(I131&gt;760000,68000+0.25*(I131-760000),IF(I131&gt;520000,20000+0.2*(I131-520000),IF(I131&gt;270000,0.08*(I131-270000),IF(I131&lt;=270000,0)))))</f>
        <v>0</v>
      </c>
      <c r="J132" s="171">
        <f t="shared" ref="J132" si="457">IF(J131&gt;1000000,128000+0.3*(J131-1000000),IF(J131&gt;760000,68000+0.25*(J131-760000),IF(J131&gt;520000,20000+0.2*(J131-520000),IF(J131&gt;270000,0.08*(J131-270000),IF(J131&lt;=270000,0)))))</f>
        <v>0</v>
      </c>
      <c r="K132" s="171">
        <f t="shared" ref="K132" si="458">IF(K131&gt;1000000,128000+0.3*(K131-1000000),IF(K131&gt;760000,68000+0.25*(K131-760000),IF(K131&gt;520000,20000+0.2*(K131-520000),IF(K131&gt;270000,0.08*(K131-270000),IF(K131&lt;=270000,0)))))</f>
        <v>0</v>
      </c>
      <c r="L132" s="171">
        <f t="shared" ref="L132" si="459">IF(L131&gt;1000000,128000+0.3*(L131-1000000),IF(L131&gt;760000,68000+0.25*(L131-760000),IF(L131&gt;520000,20000+0.2*(L131-520000),IF(L131&gt;270000,0.08*(L131-270000),IF(L131&lt;=270000,0)))))</f>
        <v>0</v>
      </c>
      <c r="M132" s="171">
        <f t="shared" ref="M132" si="460">IF(M131&gt;1000000,128000+0.3*(M131-1000000),IF(M131&gt;760000,68000+0.25*(M131-760000),IF(M131&gt;520000,20000+0.2*(M131-520000),IF(M131&gt;270000,0.08*(M131-270000),IF(M131&lt;=270000,0)))))</f>
        <v>0</v>
      </c>
      <c r="N132" s="171">
        <f t="shared" ref="N132" si="461">IF(N131&gt;1000000,128000+0.3*(N131-1000000),IF(N131&gt;760000,68000+0.25*(N131-760000),IF(N131&gt;520000,20000+0.2*(N131-520000),IF(N131&gt;270000,0.08*(N131-270000),IF(N131&lt;=270000,0)))))</f>
        <v>0</v>
      </c>
      <c r="O132" s="13">
        <f t="shared" si="221"/>
        <v>0</v>
      </c>
      <c r="P132" s="14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</row>
    <row r="133" spans="1:256" s="17" customFormat="1" x14ac:dyDescent="0.35">
      <c r="A133" s="17">
        <v>33</v>
      </c>
      <c r="B133" s="11" t="s">
        <v>426</v>
      </c>
      <c r="C133" s="12">
        <v>300000</v>
      </c>
      <c r="D133" s="12">
        <v>300000</v>
      </c>
      <c r="E133" s="12">
        <v>300000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3">
        <f t="shared" ref="O133:O196" si="462">SUM(C133:N133)</f>
        <v>900000</v>
      </c>
      <c r="P133" s="14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  <c r="IV133" s="3"/>
    </row>
    <row r="134" spans="1:256" s="17" customFormat="1" x14ac:dyDescent="0.35">
      <c r="B134" s="15" t="s">
        <v>14</v>
      </c>
      <c r="C134" s="16">
        <f t="shared" ref="C134" si="463">C133*0.1</f>
        <v>30000</v>
      </c>
      <c r="D134" s="16">
        <f t="shared" ref="D134:N134" si="464">D133*0.1</f>
        <v>30000</v>
      </c>
      <c r="E134" s="16">
        <f t="shared" si="464"/>
        <v>30000</v>
      </c>
      <c r="F134" s="16">
        <f t="shared" si="464"/>
        <v>0</v>
      </c>
      <c r="G134" s="16">
        <f t="shared" si="464"/>
        <v>0</v>
      </c>
      <c r="H134" s="16">
        <f t="shared" si="464"/>
        <v>0</v>
      </c>
      <c r="I134" s="16">
        <f t="shared" si="464"/>
        <v>0</v>
      </c>
      <c r="J134" s="16">
        <f t="shared" si="464"/>
        <v>0</v>
      </c>
      <c r="K134" s="16">
        <f t="shared" si="464"/>
        <v>0</v>
      </c>
      <c r="L134" s="16">
        <f t="shared" si="464"/>
        <v>0</v>
      </c>
      <c r="M134" s="16">
        <f t="shared" si="464"/>
        <v>0</v>
      </c>
      <c r="N134" s="16">
        <f t="shared" si="464"/>
        <v>0</v>
      </c>
      <c r="O134" s="13">
        <f t="shared" si="462"/>
        <v>90000</v>
      </c>
      <c r="P134" s="14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</row>
    <row r="135" spans="1:256" s="1" customFormat="1" x14ac:dyDescent="0.35">
      <c r="B135" s="15" t="s">
        <v>15</v>
      </c>
      <c r="C135" s="16">
        <f t="shared" ref="C135" si="465">C133-C134</f>
        <v>270000</v>
      </c>
      <c r="D135" s="16">
        <f t="shared" ref="D135:N135" si="466">D133-D134</f>
        <v>270000</v>
      </c>
      <c r="E135" s="16">
        <f t="shared" si="466"/>
        <v>270000</v>
      </c>
      <c r="F135" s="16">
        <f t="shared" si="466"/>
        <v>0</v>
      </c>
      <c r="G135" s="16">
        <f t="shared" si="466"/>
        <v>0</v>
      </c>
      <c r="H135" s="16">
        <f t="shared" si="466"/>
        <v>0</v>
      </c>
      <c r="I135" s="16">
        <f t="shared" si="466"/>
        <v>0</v>
      </c>
      <c r="J135" s="16">
        <f t="shared" si="466"/>
        <v>0</v>
      </c>
      <c r="K135" s="16">
        <f t="shared" si="466"/>
        <v>0</v>
      </c>
      <c r="L135" s="16">
        <f t="shared" si="466"/>
        <v>0</v>
      </c>
      <c r="M135" s="16">
        <f t="shared" si="466"/>
        <v>0</v>
      </c>
      <c r="N135" s="16">
        <f t="shared" si="466"/>
        <v>0</v>
      </c>
      <c r="O135" s="13">
        <f t="shared" si="462"/>
        <v>810000</v>
      </c>
      <c r="P135" s="14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  <c r="IV135" s="3"/>
    </row>
    <row r="136" spans="1:256" s="1" customFormat="1" x14ac:dyDescent="0.35">
      <c r="B136" s="15" t="s">
        <v>16</v>
      </c>
      <c r="C136" s="171">
        <f>IF(C135&gt;1000000,128000+0.3*(C135-1000000),IF(C135&gt;760000,68000+0.25*(C135-760000),IF(C135&gt;520000,20000+0.2*(C135-520000),IF(C135&gt;270000,0.08*(C135-270000),IF(C135&lt;=270000,0)))))</f>
        <v>0</v>
      </c>
      <c r="D136" s="18">
        <f t="shared" ref="D136:N136" si="467">IF(D135&gt;1000000,(D136-1000000)*0.3+128000,IF(D135&gt;760000,(D135-760000)*0.25+68000,IF(D135&gt;520000,(D135-520000)*0.2+20000,IF(D135&gt;270000,(D135-270000)*0.08+0,IF(D135&lt;270001,0,0)))))</f>
        <v>0</v>
      </c>
      <c r="E136" s="18">
        <f t="shared" si="467"/>
        <v>0</v>
      </c>
      <c r="F136" s="18">
        <f t="shared" si="467"/>
        <v>0</v>
      </c>
      <c r="G136" s="18">
        <f t="shared" si="467"/>
        <v>0</v>
      </c>
      <c r="H136" s="18">
        <f t="shared" si="467"/>
        <v>0</v>
      </c>
      <c r="I136" s="18">
        <f t="shared" si="467"/>
        <v>0</v>
      </c>
      <c r="J136" s="18">
        <f t="shared" si="467"/>
        <v>0</v>
      </c>
      <c r="K136" s="18">
        <f t="shared" si="467"/>
        <v>0</v>
      </c>
      <c r="L136" s="18">
        <f t="shared" si="467"/>
        <v>0</v>
      </c>
      <c r="M136" s="18">
        <f t="shared" si="467"/>
        <v>0</v>
      </c>
      <c r="N136" s="18">
        <f t="shared" si="467"/>
        <v>0</v>
      </c>
      <c r="O136" s="13">
        <f t="shared" si="462"/>
        <v>0</v>
      </c>
      <c r="P136" s="14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</row>
    <row r="137" spans="1:256" s="17" customFormat="1" x14ac:dyDescent="0.35">
      <c r="A137" s="17">
        <v>34</v>
      </c>
      <c r="B137" s="11" t="s">
        <v>427</v>
      </c>
      <c r="C137" s="12">
        <v>300000</v>
      </c>
      <c r="D137" s="12">
        <v>300000</v>
      </c>
      <c r="E137" s="12">
        <v>300000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3">
        <f t="shared" si="462"/>
        <v>900000</v>
      </c>
      <c r="P137" s="14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/>
    </row>
    <row r="138" spans="1:256" s="17" customFormat="1" x14ac:dyDescent="0.35">
      <c r="B138" s="15" t="s">
        <v>14</v>
      </c>
      <c r="C138" s="16">
        <f t="shared" ref="C138" si="468">C137*0.1</f>
        <v>30000</v>
      </c>
      <c r="D138" s="16">
        <f t="shared" ref="D138:N138" si="469">D137*0.1</f>
        <v>30000</v>
      </c>
      <c r="E138" s="16">
        <f t="shared" si="469"/>
        <v>30000</v>
      </c>
      <c r="F138" s="16">
        <f t="shared" si="469"/>
        <v>0</v>
      </c>
      <c r="G138" s="16">
        <f t="shared" si="469"/>
        <v>0</v>
      </c>
      <c r="H138" s="16">
        <f t="shared" si="469"/>
        <v>0</v>
      </c>
      <c r="I138" s="16">
        <f t="shared" si="469"/>
        <v>0</v>
      </c>
      <c r="J138" s="16">
        <f t="shared" si="469"/>
        <v>0</v>
      </c>
      <c r="K138" s="16">
        <f t="shared" si="469"/>
        <v>0</v>
      </c>
      <c r="L138" s="16">
        <f t="shared" si="469"/>
        <v>0</v>
      </c>
      <c r="M138" s="16">
        <f t="shared" si="469"/>
        <v>0</v>
      </c>
      <c r="N138" s="16">
        <f t="shared" si="469"/>
        <v>0</v>
      </c>
      <c r="O138" s="13">
        <f t="shared" si="462"/>
        <v>90000</v>
      </c>
      <c r="P138" s="14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</row>
    <row r="139" spans="1:256" s="1" customFormat="1" x14ac:dyDescent="0.35">
      <c r="B139" s="15" t="s">
        <v>15</v>
      </c>
      <c r="C139" s="16">
        <f t="shared" ref="C139" si="470">C137-C138</f>
        <v>270000</v>
      </c>
      <c r="D139" s="16">
        <f t="shared" ref="D139:N139" si="471">D137-D138</f>
        <v>270000</v>
      </c>
      <c r="E139" s="16">
        <f t="shared" si="471"/>
        <v>270000</v>
      </c>
      <c r="F139" s="16">
        <f t="shared" si="471"/>
        <v>0</v>
      </c>
      <c r="G139" s="16">
        <f t="shared" si="471"/>
        <v>0</v>
      </c>
      <c r="H139" s="16">
        <f t="shared" si="471"/>
        <v>0</v>
      </c>
      <c r="I139" s="16">
        <f t="shared" si="471"/>
        <v>0</v>
      </c>
      <c r="J139" s="16">
        <f t="shared" si="471"/>
        <v>0</v>
      </c>
      <c r="K139" s="16">
        <f t="shared" si="471"/>
        <v>0</v>
      </c>
      <c r="L139" s="16">
        <f t="shared" si="471"/>
        <v>0</v>
      </c>
      <c r="M139" s="16">
        <f t="shared" si="471"/>
        <v>0</v>
      </c>
      <c r="N139" s="16">
        <f t="shared" si="471"/>
        <v>0</v>
      </c>
      <c r="O139" s="13">
        <f t="shared" si="462"/>
        <v>810000</v>
      </c>
      <c r="P139" s="14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</row>
    <row r="140" spans="1:256" s="1" customFormat="1" x14ac:dyDescent="0.35">
      <c r="B140" s="15" t="s">
        <v>16</v>
      </c>
      <c r="C140" s="171">
        <f>IF(C139&gt;1000000,128000+0.3*(C139-1000000),IF(C139&gt;760000,68000+0.25*(C139-760000),IF(C139&gt;520000,20000+0.2*(C139-520000),IF(C139&gt;270000,0.08*(C139-270000),IF(C139&lt;=270000,0)))))</f>
        <v>0</v>
      </c>
      <c r="D140" s="171">
        <f t="shared" ref="D140" si="472">IF(D139&gt;1000000,128000+0.3*(D139-1000000),IF(D139&gt;760000,68000+0.25*(D139-760000),IF(D139&gt;520000,20000+0.2*(D139-520000),IF(D139&gt;270000,0.08*(D139-270000),IF(D139&lt;=270000,0)))))</f>
        <v>0</v>
      </c>
      <c r="E140" s="171">
        <f t="shared" ref="E140" si="473">IF(E139&gt;1000000,128000+0.3*(E139-1000000),IF(E139&gt;760000,68000+0.25*(E139-760000),IF(E139&gt;520000,20000+0.2*(E139-520000),IF(E139&gt;270000,0.08*(E139-270000),IF(E139&lt;=270000,0)))))</f>
        <v>0</v>
      </c>
      <c r="F140" s="171">
        <f t="shared" ref="F140" si="474">IF(F139&gt;1000000,128000+0.3*(F139-1000000),IF(F139&gt;760000,68000+0.25*(F139-760000),IF(F139&gt;520000,20000+0.2*(F139-520000),IF(F139&gt;270000,0.08*(F139-270000),IF(F139&lt;=270000,0)))))</f>
        <v>0</v>
      </c>
      <c r="G140" s="171">
        <f t="shared" ref="G140" si="475">IF(G139&gt;1000000,128000+0.3*(G139-1000000),IF(G139&gt;760000,68000+0.25*(G139-760000),IF(G139&gt;520000,20000+0.2*(G139-520000),IF(G139&gt;270000,0.08*(G139-270000),IF(G139&lt;=270000,0)))))</f>
        <v>0</v>
      </c>
      <c r="H140" s="171">
        <f t="shared" ref="H140" si="476">IF(H139&gt;1000000,128000+0.3*(H139-1000000),IF(H139&gt;760000,68000+0.25*(H139-760000),IF(H139&gt;520000,20000+0.2*(H139-520000),IF(H139&gt;270000,0.08*(H139-270000),IF(H139&lt;=270000,0)))))</f>
        <v>0</v>
      </c>
      <c r="I140" s="171">
        <f t="shared" ref="I140" si="477">IF(I139&gt;1000000,128000+0.3*(I139-1000000),IF(I139&gt;760000,68000+0.25*(I139-760000),IF(I139&gt;520000,20000+0.2*(I139-520000),IF(I139&gt;270000,0.08*(I139-270000),IF(I139&lt;=270000,0)))))</f>
        <v>0</v>
      </c>
      <c r="J140" s="171">
        <f t="shared" ref="J140" si="478">IF(J139&gt;1000000,128000+0.3*(J139-1000000),IF(J139&gt;760000,68000+0.25*(J139-760000),IF(J139&gt;520000,20000+0.2*(J139-520000),IF(J139&gt;270000,0.08*(J139-270000),IF(J139&lt;=270000,0)))))</f>
        <v>0</v>
      </c>
      <c r="K140" s="171">
        <f t="shared" ref="K140" si="479">IF(K139&gt;1000000,128000+0.3*(K139-1000000),IF(K139&gt;760000,68000+0.25*(K139-760000),IF(K139&gt;520000,20000+0.2*(K139-520000),IF(K139&gt;270000,0.08*(K139-270000),IF(K139&lt;=270000,0)))))</f>
        <v>0</v>
      </c>
      <c r="L140" s="171">
        <f t="shared" ref="L140" si="480">IF(L139&gt;1000000,128000+0.3*(L139-1000000),IF(L139&gt;760000,68000+0.25*(L139-760000),IF(L139&gt;520000,20000+0.2*(L139-520000),IF(L139&gt;270000,0.08*(L139-270000),IF(L139&lt;=270000,0)))))</f>
        <v>0</v>
      </c>
      <c r="M140" s="171">
        <f t="shared" ref="M140" si="481">IF(M139&gt;1000000,128000+0.3*(M139-1000000),IF(M139&gt;760000,68000+0.25*(M139-760000),IF(M139&gt;520000,20000+0.2*(M139-520000),IF(M139&gt;270000,0.08*(M139-270000),IF(M139&lt;=270000,0)))))</f>
        <v>0</v>
      </c>
      <c r="N140" s="171">
        <f t="shared" ref="N140" si="482">IF(N139&gt;1000000,128000+0.3*(N139-1000000),IF(N139&gt;760000,68000+0.25*(N139-760000),IF(N139&gt;520000,20000+0.2*(N139-520000),IF(N139&gt;270000,0.08*(N139-270000),IF(N139&lt;=270000,0)))))</f>
        <v>0</v>
      </c>
      <c r="O140" s="13">
        <f t="shared" si="462"/>
        <v>0</v>
      </c>
      <c r="P140" s="14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</row>
    <row r="141" spans="1:256" s="17" customFormat="1" x14ac:dyDescent="0.35">
      <c r="A141" s="17">
        <v>35</v>
      </c>
      <c r="B141" s="11" t="s">
        <v>428</v>
      </c>
      <c r="C141" s="12">
        <v>300000</v>
      </c>
      <c r="D141" s="12">
        <v>300000</v>
      </c>
      <c r="E141" s="12">
        <v>300000</v>
      </c>
      <c r="F141" s="12">
        <v>0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3">
        <f t="shared" si="462"/>
        <v>900000</v>
      </c>
      <c r="P141" s="14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</row>
    <row r="142" spans="1:256" s="17" customFormat="1" x14ac:dyDescent="0.35">
      <c r="B142" s="15" t="s">
        <v>14</v>
      </c>
      <c r="C142" s="16">
        <f t="shared" ref="C142" si="483">C141*0.1</f>
        <v>30000</v>
      </c>
      <c r="D142" s="16">
        <f t="shared" ref="D142:N142" si="484">D141*0.1</f>
        <v>30000</v>
      </c>
      <c r="E142" s="16">
        <f t="shared" si="484"/>
        <v>30000</v>
      </c>
      <c r="F142" s="16">
        <f t="shared" si="484"/>
        <v>0</v>
      </c>
      <c r="G142" s="16">
        <f t="shared" si="484"/>
        <v>0</v>
      </c>
      <c r="H142" s="16">
        <f t="shared" si="484"/>
        <v>0</v>
      </c>
      <c r="I142" s="16">
        <f t="shared" si="484"/>
        <v>0</v>
      </c>
      <c r="J142" s="16">
        <f t="shared" si="484"/>
        <v>0</v>
      </c>
      <c r="K142" s="16">
        <f t="shared" si="484"/>
        <v>0</v>
      </c>
      <c r="L142" s="16">
        <f t="shared" si="484"/>
        <v>0</v>
      </c>
      <c r="M142" s="16">
        <f t="shared" si="484"/>
        <v>0</v>
      </c>
      <c r="N142" s="16">
        <f t="shared" si="484"/>
        <v>0</v>
      </c>
      <c r="O142" s="13">
        <f t="shared" si="462"/>
        <v>90000</v>
      </c>
      <c r="P142" s="14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</row>
    <row r="143" spans="1:256" s="1" customFormat="1" x14ac:dyDescent="0.35">
      <c r="B143" s="15" t="s">
        <v>15</v>
      </c>
      <c r="C143" s="16">
        <f t="shared" ref="C143" si="485">C141-C142</f>
        <v>270000</v>
      </c>
      <c r="D143" s="16">
        <f t="shared" ref="D143:N143" si="486">D141-D142</f>
        <v>270000</v>
      </c>
      <c r="E143" s="16">
        <f t="shared" si="486"/>
        <v>270000</v>
      </c>
      <c r="F143" s="16">
        <f t="shared" si="486"/>
        <v>0</v>
      </c>
      <c r="G143" s="16">
        <f t="shared" si="486"/>
        <v>0</v>
      </c>
      <c r="H143" s="16">
        <f t="shared" si="486"/>
        <v>0</v>
      </c>
      <c r="I143" s="16">
        <f t="shared" si="486"/>
        <v>0</v>
      </c>
      <c r="J143" s="16">
        <f t="shared" si="486"/>
        <v>0</v>
      </c>
      <c r="K143" s="16">
        <f t="shared" si="486"/>
        <v>0</v>
      </c>
      <c r="L143" s="16">
        <f t="shared" si="486"/>
        <v>0</v>
      </c>
      <c r="M143" s="16">
        <f t="shared" si="486"/>
        <v>0</v>
      </c>
      <c r="N143" s="16">
        <f t="shared" si="486"/>
        <v>0</v>
      </c>
      <c r="O143" s="13">
        <f t="shared" si="462"/>
        <v>810000</v>
      </c>
      <c r="P143" s="14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  <c r="IV143" s="3"/>
    </row>
    <row r="144" spans="1:256" s="1" customFormat="1" x14ac:dyDescent="0.35">
      <c r="B144" s="15" t="s">
        <v>16</v>
      </c>
      <c r="C144" s="171">
        <f>IF(C143&gt;1000000,128000+0.3*(C143-1000000),IF(C143&gt;760000,68000+0.25*(C143-760000),IF(C143&gt;520000,20000+0.2*(C143-520000),IF(C143&gt;270000,0.08*(C143-270000),IF(C143&lt;=270000,0)))))</f>
        <v>0</v>
      </c>
      <c r="D144" s="171">
        <f t="shared" ref="D144" si="487">IF(D143&gt;1000000,128000+0.3*(D143-1000000),IF(D143&gt;760000,68000+0.25*(D143-760000),IF(D143&gt;520000,20000+0.2*(D143-520000),IF(D143&gt;270000,0.08*(D143-270000),IF(D143&lt;=270000,0)))))</f>
        <v>0</v>
      </c>
      <c r="E144" s="171">
        <f t="shared" ref="E144" si="488">IF(E143&gt;1000000,128000+0.3*(E143-1000000),IF(E143&gt;760000,68000+0.25*(E143-760000),IF(E143&gt;520000,20000+0.2*(E143-520000),IF(E143&gt;270000,0.08*(E143-270000),IF(E143&lt;=270000,0)))))</f>
        <v>0</v>
      </c>
      <c r="F144" s="171">
        <f t="shared" ref="F144" si="489">IF(F143&gt;1000000,128000+0.3*(F143-1000000),IF(F143&gt;760000,68000+0.25*(F143-760000),IF(F143&gt;520000,20000+0.2*(F143-520000),IF(F143&gt;270000,0.08*(F143-270000),IF(F143&lt;=270000,0)))))</f>
        <v>0</v>
      </c>
      <c r="G144" s="171">
        <f t="shared" ref="G144" si="490">IF(G143&gt;1000000,128000+0.3*(G143-1000000),IF(G143&gt;760000,68000+0.25*(G143-760000),IF(G143&gt;520000,20000+0.2*(G143-520000),IF(G143&gt;270000,0.08*(G143-270000),IF(G143&lt;=270000,0)))))</f>
        <v>0</v>
      </c>
      <c r="H144" s="171">
        <f t="shared" ref="H144" si="491">IF(H143&gt;1000000,128000+0.3*(H143-1000000),IF(H143&gt;760000,68000+0.25*(H143-760000),IF(H143&gt;520000,20000+0.2*(H143-520000),IF(H143&gt;270000,0.08*(H143-270000),IF(H143&lt;=270000,0)))))</f>
        <v>0</v>
      </c>
      <c r="I144" s="171">
        <f t="shared" ref="I144" si="492">IF(I143&gt;1000000,128000+0.3*(I143-1000000),IF(I143&gt;760000,68000+0.25*(I143-760000),IF(I143&gt;520000,20000+0.2*(I143-520000),IF(I143&gt;270000,0.08*(I143-270000),IF(I143&lt;=270000,0)))))</f>
        <v>0</v>
      </c>
      <c r="J144" s="171">
        <f t="shared" ref="J144" si="493">IF(J143&gt;1000000,128000+0.3*(J143-1000000),IF(J143&gt;760000,68000+0.25*(J143-760000),IF(J143&gt;520000,20000+0.2*(J143-520000),IF(J143&gt;270000,0.08*(J143-270000),IF(J143&lt;=270000,0)))))</f>
        <v>0</v>
      </c>
      <c r="K144" s="171">
        <f t="shared" ref="K144" si="494">IF(K143&gt;1000000,128000+0.3*(K143-1000000),IF(K143&gt;760000,68000+0.25*(K143-760000),IF(K143&gt;520000,20000+0.2*(K143-520000),IF(K143&gt;270000,0.08*(K143-270000),IF(K143&lt;=270000,0)))))</f>
        <v>0</v>
      </c>
      <c r="L144" s="171">
        <f t="shared" ref="L144" si="495">IF(L143&gt;1000000,128000+0.3*(L143-1000000),IF(L143&gt;760000,68000+0.25*(L143-760000),IF(L143&gt;520000,20000+0.2*(L143-520000),IF(L143&gt;270000,0.08*(L143-270000),IF(L143&lt;=270000,0)))))</f>
        <v>0</v>
      </c>
      <c r="M144" s="171">
        <f t="shared" ref="M144" si="496">IF(M143&gt;1000000,128000+0.3*(M143-1000000),IF(M143&gt;760000,68000+0.25*(M143-760000),IF(M143&gt;520000,20000+0.2*(M143-520000),IF(M143&gt;270000,0.08*(M143-270000),IF(M143&lt;=270000,0)))))</f>
        <v>0</v>
      </c>
      <c r="N144" s="171">
        <f t="shared" ref="N144" si="497">IF(N143&gt;1000000,128000+0.3*(N143-1000000),IF(N143&gt;760000,68000+0.25*(N143-760000),IF(N143&gt;520000,20000+0.2*(N143-520000),IF(N143&gt;270000,0.08*(N143-270000),IF(N143&lt;=270000,0)))))</f>
        <v>0</v>
      </c>
      <c r="O144" s="13">
        <f t="shared" si="462"/>
        <v>0</v>
      </c>
      <c r="P144" s="14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</row>
    <row r="145" spans="1:256" s="17" customFormat="1" x14ac:dyDescent="0.35">
      <c r="A145" s="17">
        <v>36</v>
      </c>
      <c r="B145" s="11" t="s">
        <v>429</v>
      </c>
      <c r="C145" s="12">
        <v>300000</v>
      </c>
      <c r="D145" s="12">
        <v>300000</v>
      </c>
      <c r="E145" s="12">
        <v>300000</v>
      </c>
      <c r="F145" s="12">
        <v>0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3">
        <f t="shared" si="462"/>
        <v>900000</v>
      </c>
      <c r="P145" s="14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  <c r="IV145" s="3"/>
    </row>
    <row r="146" spans="1:256" s="17" customFormat="1" x14ac:dyDescent="0.35">
      <c r="B146" s="15" t="s">
        <v>14</v>
      </c>
      <c r="C146" s="16">
        <f t="shared" ref="C146" si="498">C145*0.1</f>
        <v>30000</v>
      </c>
      <c r="D146" s="16">
        <f t="shared" ref="D146:N146" si="499">D145*0.1</f>
        <v>30000</v>
      </c>
      <c r="E146" s="16">
        <f t="shared" si="499"/>
        <v>30000</v>
      </c>
      <c r="F146" s="16">
        <f t="shared" si="499"/>
        <v>0</v>
      </c>
      <c r="G146" s="16">
        <f t="shared" si="499"/>
        <v>0</v>
      </c>
      <c r="H146" s="16">
        <f t="shared" si="499"/>
        <v>0</v>
      </c>
      <c r="I146" s="16">
        <f t="shared" si="499"/>
        <v>0</v>
      </c>
      <c r="J146" s="16">
        <f t="shared" si="499"/>
        <v>0</v>
      </c>
      <c r="K146" s="16">
        <f t="shared" si="499"/>
        <v>0</v>
      </c>
      <c r="L146" s="16">
        <f t="shared" si="499"/>
        <v>0</v>
      </c>
      <c r="M146" s="16">
        <f t="shared" si="499"/>
        <v>0</v>
      </c>
      <c r="N146" s="16">
        <f t="shared" si="499"/>
        <v>0</v>
      </c>
      <c r="O146" s="13">
        <f t="shared" si="462"/>
        <v>90000</v>
      </c>
      <c r="P146" s="14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</row>
    <row r="147" spans="1:256" s="1" customFormat="1" x14ac:dyDescent="0.35">
      <c r="B147" s="15" t="s">
        <v>15</v>
      </c>
      <c r="C147" s="16">
        <f t="shared" ref="C147" si="500">C145-C146</f>
        <v>270000</v>
      </c>
      <c r="D147" s="16">
        <f t="shared" ref="D147:N147" si="501">D145-D146</f>
        <v>270000</v>
      </c>
      <c r="E147" s="16">
        <f t="shared" si="501"/>
        <v>270000</v>
      </c>
      <c r="F147" s="16">
        <f t="shared" si="501"/>
        <v>0</v>
      </c>
      <c r="G147" s="16">
        <f t="shared" si="501"/>
        <v>0</v>
      </c>
      <c r="H147" s="16">
        <f t="shared" si="501"/>
        <v>0</v>
      </c>
      <c r="I147" s="16">
        <f t="shared" si="501"/>
        <v>0</v>
      </c>
      <c r="J147" s="16">
        <f t="shared" si="501"/>
        <v>0</v>
      </c>
      <c r="K147" s="16">
        <f t="shared" si="501"/>
        <v>0</v>
      </c>
      <c r="L147" s="16">
        <f t="shared" si="501"/>
        <v>0</v>
      </c>
      <c r="M147" s="16">
        <f t="shared" si="501"/>
        <v>0</v>
      </c>
      <c r="N147" s="16">
        <f t="shared" si="501"/>
        <v>0</v>
      </c>
      <c r="O147" s="13">
        <f t="shared" si="462"/>
        <v>810000</v>
      </c>
      <c r="P147" s="14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</row>
    <row r="148" spans="1:256" s="1" customFormat="1" x14ac:dyDescent="0.35">
      <c r="B148" s="15" t="s">
        <v>16</v>
      </c>
      <c r="C148" s="171">
        <f>IF(C147&gt;1000000,128000+0.3*(C147-1000000),IF(C147&gt;760000,68000+0.25*(C147-760000),IF(C147&gt;520000,20000+0.2*(C147-520000),IF(C147&gt;270000,0.08*(C147-270000),IF(C147&lt;=270000,0)))))</f>
        <v>0</v>
      </c>
      <c r="D148" s="171">
        <f t="shared" ref="D148" si="502">IF(D147&gt;1000000,128000+0.3*(D147-1000000),IF(D147&gt;760000,68000+0.25*(D147-760000),IF(D147&gt;520000,20000+0.2*(D147-520000),IF(D147&gt;270000,0.08*(D147-270000),IF(D147&lt;=270000,0)))))</f>
        <v>0</v>
      </c>
      <c r="E148" s="171">
        <f t="shared" ref="E148" si="503">IF(E147&gt;1000000,128000+0.3*(E147-1000000),IF(E147&gt;760000,68000+0.25*(E147-760000),IF(E147&gt;520000,20000+0.2*(E147-520000),IF(E147&gt;270000,0.08*(E147-270000),IF(E147&lt;=270000,0)))))</f>
        <v>0</v>
      </c>
      <c r="F148" s="171">
        <f t="shared" ref="F148" si="504">IF(F147&gt;1000000,128000+0.3*(F147-1000000),IF(F147&gt;760000,68000+0.25*(F147-760000),IF(F147&gt;520000,20000+0.2*(F147-520000),IF(F147&gt;270000,0.08*(F147-270000),IF(F147&lt;=270000,0)))))</f>
        <v>0</v>
      </c>
      <c r="G148" s="171">
        <f t="shared" ref="G148" si="505">IF(G147&gt;1000000,128000+0.3*(G147-1000000),IF(G147&gt;760000,68000+0.25*(G147-760000),IF(G147&gt;520000,20000+0.2*(G147-520000),IF(G147&gt;270000,0.08*(G147-270000),IF(G147&lt;=270000,0)))))</f>
        <v>0</v>
      </c>
      <c r="H148" s="171">
        <f t="shared" ref="H148" si="506">IF(H147&gt;1000000,128000+0.3*(H147-1000000),IF(H147&gt;760000,68000+0.25*(H147-760000),IF(H147&gt;520000,20000+0.2*(H147-520000),IF(H147&gt;270000,0.08*(H147-270000),IF(H147&lt;=270000,0)))))</f>
        <v>0</v>
      </c>
      <c r="I148" s="171">
        <f t="shared" ref="I148" si="507">IF(I147&gt;1000000,128000+0.3*(I147-1000000),IF(I147&gt;760000,68000+0.25*(I147-760000),IF(I147&gt;520000,20000+0.2*(I147-520000),IF(I147&gt;270000,0.08*(I147-270000),IF(I147&lt;=270000,0)))))</f>
        <v>0</v>
      </c>
      <c r="J148" s="171">
        <f t="shared" ref="J148" si="508">IF(J147&gt;1000000,128000+0.3*(J147-1000000),IF(J147&gt;760000,68000+0.25*(J147-760000),IF(J147&gt;520000,20000+0.2*(J147-520000),IF(J147&gt;270000,0.08*(J147-270000),IF(J147&lt;=270000,0)))))</f>
        <v>0</v>
      </c>
      <c r="K148" s="171">
        <f t="shared" ref="K148" si="509">IF(K147&gt;1000000,128000+0.3*(K147-1000000),IF(K147&gt;760000,68000+0.25*(K147-760000),IF(K147&gt;520000,20000+0.2*(K147-520000),IF(K147&gt;270000,0.08*(K147-270000),IF(K147&lt;=270000,0)))))</f>
        <v>0</v>
      </c>
      <c r="L148" s="171">
        <f t="shared" ref="L148" si="510">IF(L147&gt;1000000,128000+0.3*(L147-1000000),IF(L147&gt;760000,68000+0.25*(L147-760000),IF(L147&gt;520000,20000+0.2*(L147-520000),IF(L147&gt;270000,0.08*(L147-270000),IF(L147&lt;=270000,0)))))</f>
        <v>0</v>
      </c>
      <c r="M148" s="171">
        <f t="shared" ref="M148" si="511">IF(M147&gt;1000000,128000+0.3*(M147-1000000),IF(M147&gt;760000,68000+0.25*(M147-760000),IF(M147&gt;520000,20000+0.2*(M147-520000),IF(M147&gt;270000,0.08*(M147-270000),IF(M147&lt;=270000,0)))))</f>
        <v>0</v>
      </c>
      <c r="N148" s="171">
        <f t="shared" ref="N148" si="512">IF(N147&gt;1000000,128000+0.3*(N147-1000000),IF(N147&gt;760000,68000+0.25*(N147-760000),IF(N147&gt;520000,20000+0.2*(N147-520000),IF(N147&gt;270000,0.08*(N147-270000),IF(N147&lt;=270000,0)))))</f>
        <v>0</v>
      </c>
      <c r="O148" s="13">
        <f t="shared" si="462"/>
        <v>0</v>
      </c>
      <c r="P148" s="14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</row>
    <row r="149" spans="1:256" s="17" customFormat="1" x14ac:dyDescent="0.35">
      <c r="A149" s="17">
        <v>37</v>
      </c>
      <c r="B149" s="11" t="s">
        <v>430</v>
      </c>
      <c r="C149" s="12">
        <v>300000</v>
      </c>
      <c r="D149" s="12">
        <v>300000</v>
      </c>
      <c r="E149" s="12">
        <v>300000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3">
        <f t="shared" si="462"/>
        <v>900000</v>
      </c>
      <c r="P149" s="14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</row>
    <row r="150" spans="1:256" s="17" customFormat="1" x14ac:dyDescent="0.35">
      <c r="B150" s="15" t="s">
        <v>14</v>
      </c>
      <c r="C150" s="16">
        <f t="shared" ref="C150" si="513">C149*0.1</f>
        <v>30000</v>
      </c>
      <c r="D150" s="16">
        <f t="shared" ref="D150:N150" si="514">D149*0.1</f>
        <v>30000</v>
      </c>
      <c r="E150" s="16">
        <f t="shared" si="514"/>
        <v>30000</v>
      </c>
      <c r="F150" s="16">
        <f t="shared" si="514"/>
        <v>0</v>
      </c>
      <c r="G150" s="16">
        <f t="shared" si="514"/>
        <v>0</v>
      </c>
      <c r="H150" s="16">
        <f t="shared" si="514"/>
        <v>0</v>
      </c>
      <c r="I150" s="16">
        <f t="shared" si="514"/>
        <v>0</v>
      </c>
      <c r="J150" s="16">
        <f t="shared" si="514"/>
        <v>0</v>
      </c>
      <c r="K150" s="16">
        <f t="shared" si="514"/>
        <v>0</v>
      </c>
      <c r="L150" s="16">
        <f t="shared" si="514"/>
        <v>0</v>
      </c>
      <c r="M150" s="16">
        <f t="shared" si="514"/>
        <v>0</v>
      </c>
      <c r="N150" s="16">
        <f t="shared" si="514"/>
        <v>0</v>
      </c>
      <c r="O150" s="13">
        <f t="shared" si="462"/>
        <v>90000</v>
      </c>
      <c r="P150" s="14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</row>
    <row r="151" spans="1:256" s="1" customFormat="1" x14ac:dyDescent="0.35">
      <c r="B151" s="15" t="s">
        <v>15</v>
      </c>
      <c r="C151" s="16">
        <f t="shared" ref="C151" si="515">C149-C150</f>
        <v>270000</v>
      </c>
      <c r="D151" s="16">
        <f t="shared" ref="D151:N151" si="516">D149-D150</f>
        <v>270000</v>
      </c>
      <c r="E151" s="16">
        <f t="shared" si="516"/>
        <v>270000</v>
      </c>
      <c r="F151" s="16">
        <f t="shared" si="516"/>
        <v>0</v>
      </c>
      <c r="G151" s="16">
        <f t="shared" si="516"/>
        <v>0</v>
      </c>
      <c r="H151" s="16">
        <f t="shared" si="516"/>
        <v>0</v>
      </c>
      <c r="I151" s="16">
        <f t="shared" si="516"/>
        <v>0</v>
      </c>
      <c r="J151" s="16">
        <f t="shared" si="516"/>
        <v>0</v>
      </c>
      <c r="K151" s="16">
        <f t="shared" si="516"/>
        <v>0</v>
      </c>
      <c r="L151" s="16">
        <f t="shared" si="516"/>
        <v>0</v>
      </c>
      <c r="M151" s="16">
        <f t="shared" si="516"/>
        <v>0</v>
      </c>
      <c r="N151" s="16">
        <f t="shared" si="516"/>
        <v>0</v>
      </c>
      <c r="O151" s="13">
        <f t="shared" si="462"/>
        <v>810000</v>
      </c>
      <c r="P151" s="14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</row>
    <row r="152" spans="1:256" s="1" customFormat="1" x14ac:dyDescent="0.35">
      <c r="B152" s="15" t="s">
        <v>16</v>
      </c>
      <c r="C152" s="171">
        <f>IF(C151&gt;1000000,128000+0.3*(C151-1000000),IF(C151&gt;760000,68000+0.25*(C151-760000),IF(C151&gt;520000,20000+0.2*(C151-520000),IF(C151&gt;270000,0.08*(C151-270000),IF(C151&lt;=270000,0)))))</f>
        <v>0</v>
      </c>
      <c r="D152" s="171">
        <f t="shared" ref="D152" si="517">IF(D151&gt;1000000,128000+0.3*(D151-1000000),IF(D151&gt;760000,68000+0.25*(D151-760000),IF(D151&gt;520000,20000+0.2*(D151-520000),IF(D151&gt;270000,0.08*(D151-270000),IF(D151&lt;=270000,0)))))</f>
        <v>0</v>
      </c>
      <c r="E152" s="171">
        <f t="shared" ref="E152" si="518">IF(E151&gt;1000000,128000+0.3*(E151-1000000),IF(E151&gt;760000,68000+0.25*(E151-760000),IF(E151&gt;520000,20000+0.2*(E151-520000),IF(E151&gt;270000,0.08*(E151-270000),IF(E151&lt;=270000,0)))))</f>
        <v>0</v>
      </c>
      <c r="F152" s="171">
        <f t="shared" ref="F152" si="519">IF(F151&gt;1000000,128000+0.3*(F151-1000000),IF(F151&gt;760000,68000+0.25*(F151-760000),IF(F151&gt;520000,20000+0.2*(F151-520000),IF(F151&gt;270000,0.08*(F151-270000),IF(F151&lt;=270000,0)))))</f>
        <v>0</v>
      </c>
      <c r="G152" s="171">
        <f t="shared" ref="G152" si="520">IF(G151&gt;1000000,128000+0.3*(G151-1000000),IF(G151&gt;760000,68000+0.25*(G151-760000),IF(G151&gt;520000,20000+0.2*(G151-520000),IF(G151&gt;270000,0.08*(G151-270000),IF(G151&lt;=270000,0)))))</f>
        <v>0</v>
      </c>
      <c r="H152" s="171">
        <f t="shared" ref="H152" si="521">IF(H151&gt;1000000,128000+0.3*(H151-1000000),IF(H151&gt;760000,68000+0.25*(H151-760000),IF(H151&gt;520000,20000+0.2*(H151-520000),IF(H151&gt;270000,0.08*(H151-270000),IF(H151&lt;=270000,0)))))</f>
        <v>0</v>
      </c>
      <c r="I152" s="171">
        <f t="shared" ref="I152" si="522">IF(I151&gt;1000000,128000+0.3*(I151-1000000),IF(I151&gt;760000,68000+0.25*(I151-760000),IF(I151&gt;520000,20000+0.2*(I151-520000),IF(I151&gt;270000,0.08*(I151-270000),IF(I151&lt;=270000,0)))))</f>
        <v>0</v>
      </c>
      <c r="J152" s="171">
        <f t="shared" ref="J152" si="523">IF(J151&gt;1000000,128000+0.3*(J151-1000000),IF(J151&gt;760000,68000+0.25*(J151-760000),IF(J151&gt;520000,20000+0.2*(J151-520000),IF(J151&gt;270000,0.08*(J151-270000),IF(J151&lt;=270000,0)))))</f>
        <v>0</v>
      </c>
      <c r="K152" s="171">
        <f t="shared" ref="K152" si="524">IF(K151&gt;1000000,128000+0.3*(K151-1000000),IF(K151&gt;760000,68000+0.25*(K151-760000),IF(K151&gt;520000,20000+0.2*(K151-520000),IF(K151&gt;270000,0.08*(K151-270000),IF(K151&lt;=270000,0)))))</f>
        <v>0</v>
      </c>
      <c r="L152" s="171">
        <f t="shared" ref="L152" si="525">IF(L151&gt;1000000,128000+0.3*(L151-1000000),IF(L151&gt;760000,68000+0.25*(L151-760000),IF(L151&gt;520000,20000+0.2*(L151-520000),IF(L151&gt;270000,0.08*(L151-270000),IF(L151&lt;=270000,0)))))</f>
        <v>0</v>
      </c>
      <c r="M152" s="171">
        <f t="shared" ref="M152" si="526">IF(M151&gt;1000000,128000+0.3*(M151-1000000),IF(M151&gt;760000,68000+0.25*(M151-760000),IF(M151&gt;520000,20000+0.2*(M151-520000),IF(M151&gt;270000,0.08*(M151-270000),IF(M151&lt;=270000,0)))))</f>
        <v>0</v>
      </c>
      <c r="N152" s="171">
        <f t="shared" ref="N152" si="527">IF(N151&gt;1000000,128000+0.3*(N151-1000000),IF(N151&gt;760000,68000+0.25*(N151-760000),IF(N151&gt;520000,20000+0.2*(N151-520000),IF(N151&gt;270000,0.08*(N151-270000),IF(N151&lt;=270000,0)))))</f>
        <v>0</v>
      </c>
      <c r="O152" s="13">
        <f t="shared" si="462"/>
        <v>0</v>
      </c>
      <c r="P152" s="14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</row>
    <row r="153" spans="1:256" s="17" customFormat="1" x14ac:dyDescent="0.35">
      <c r="A153" s="17">
        <v>38</v>
      </c>
      <c r="B153" s="11" t="s">
        <v>431</v>
      </c>
      <c r="C153" s="12">
        <v>300000</v>
      </c>
      <c r="D153" s="12">
        <v>300000</v>
      </c>
      <c r="E153" s="12">
        <v>300000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3">
        <f t="shared" si="462"/>
        <v>900000</v>
      </c>
      <c r="P153" s="14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</row>
    <row r="154" spans="1:256" s="17" customFormat="1" x14ac:dyDescent="0.35">
      <c r="B154" s="15" t="s">
        <v>14</v>
      </c>
      <c r="C154" s="16">
        <f t="shared" ref="C154" si="528">C153*0.1</f>
        <v>30000</v>
      </c>
      <c r="D154" s="16">
        <f t="shared" ref="D154:N154" si="529">D153*0.1</f>
        <v>30000</v>
      </c>
      <c r="E154" s="16">
        <f t="shared" si="529"/>
        <v>30000</v>
      </c>
      <c r="F154" s="16">
        <f t="shared" si="529"/>
        <v>0</v>
      </c>
      <c r="G154" s="16">
        <f t="shared" si="529"/>
        <v>0</v>
      </c>
      <c r="H154" s="16">
        <f t="shared" si="529"/>
        <v>0</v>
      </c>
      <c r="I154" s="16">
        <f t="shared" si="529"/>
        <v>0</v>
      </c>
      <c r="J154" s="16">
        <f t="shared" si="529"/>
        <v>0</v>
      </c>
      <c r="K154" s="16">
        <f t="shared" si="529"/>
        <v>0</v>
      </c>
      <c r="L154" s="16">
        <f t="shared" si="529"/>
        <v>0</v>
      </c>
      <c r="M154" s="16">
        <f t="shared" si="529"/>
        <v>0</v>
      </c>
      <c r="N154" s="16">
        <f t="shared" si="529"/>
        <v>0</v>
      </c>
      <c r="O154" s="13">
        <f t="shared" si="462"/>
        <v>90000</v>
      </c>
      <c r="P154" s="14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</row>
    <row r="155" spans="1:256" s="1" customFormat="1" x14ac:dyDescent="0.35">
      <c r="B155" s="15" t="s">
        <v>15</v>
      </c>
      <c r="C155" s="16">
        <f t="shared" ref="C155" si="530">C153-C154</f>
        <v>270000</v>
      </c>
      <c r="D155" s="16">
        <f t="shared" ref="D155:N155" si="531">D153-D154</f>
        <v>270000</v>
      </c>
      <c r="E155" s="16">
        <f t="shared" si="531"/>
        <v>270000</v>
      </c>
      <c r="F155" s="16">
        <f t="shared" si="531"/>
        <v>0</v>
      </c>
      <c r="G155" s="16">
        <f t="shared" si="531"/>
        <v>0</v>
      </c>
      <c r="H155" s="16">
        <f t="shared" si="531"/>
        <v>0</v>
      </c>
      <c r="I155" s="16">
        <f t="shared" si="531"/>
        <v>0</v>
      </c>
      <c r="J155" s="16">
        <f t="shared" si="531"/>
        <v>0</v>
      </c>
      <c r="K155" s="16">
        <f t="shared" si="531"/>
        <v>0</v>
      </c>
      <c r="L155" s="16">
        <f t="shared" si="531"/>
        <v>0</v>
      </c>
      <c r="M155" s="16">
        <f t="shared" si="531"/>
        <v>0</v>
      </c>
      <c r="N155" s="16">
        <f t="shared" si="531"/>
        <v>0</v>
      </c>
      <c r="O155" s="13">
        <f t="shared" si="462"/>
        <v>810000</v>
      </c>
      <c r="P155" s="14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</row>
    <row r="156" spans="1:256" s="1" customFormat="1" x14ac:dyDescent="0.35">
      <c r="B156" s="15" t="s">
        <v>16</v>
      </c>
      <c r="C156" s="18">
        <f t="shared" ref="C156" si="532">IF(C155&gt;1000000,(C156-1000000)*0.3+130500,IF(C155&gt;760000,(C155-760000)*0.25+70500,IF(C155&gt;520000,(C155-520000)*0.2+22500,IF(C155&gt;270000,(C155-270000)*0.08+0,IF(C155&lt;270001,0,0)))))</f>
        <v>0</v>
      </c>
      <c r="D156" s="18">
        <f t="shared" ref="D156:N156" si="533">IF(D155&gt;1000000,(D156-1000000)*0.3+128000,IF(D155&gt;760000,(D155-760000)*0.25+68000,IF(D155&gt;520000,(D155-520000)*0.2+20000,IF(D155&gt;270000,(D155-270000)*0.08+0,IF(D155&lt;270001,0,0)))))</f>
        <v>0</v>
      </c>
      <c r="E156" s="18">
        <f t="shared" si="533"/>
        <v>0</v>
      </c>
      <c r="F156" s="18">
        <f t="shared" si="533"/>
        <v>0</v>
      </c>
      <c r="G156" s="18">
        <f t="shared" si="533"/>
        <v>0</v>
      </c>
      <c r="H156" s="18">
        <f t="shared" si="533"/>
        <v>0</v>
      </c>
      <c r="I156" s="18">
        <f t="shared" si="533"/>
        <v>0</v>
      </c>
      <c r="J156" s="18">
        <f t="shared" si="533"/>
        <v>0</v>
      </c>
      <c r="K156" s="18">
        <f t="shared" si="533"/>
        <v>0</v>
      </c>
      <c r="L156" s="18">
        <f t="shared" si="533"/>
        <v>0</v>
      </c>
      <c r="M156" s="18">
        <f t="shared" si="533"/>
        <v>0</v>
      </c>
      <c r="N156" s="18">
        <f t="shared" si="533"/>
        <v>0</v>
      </c>
      <c r="O156" s="13">
        <f t="shared" si="462"/>
        <v>0</v>
      </c>
      <c r="P156" s="14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  <c r="IV156" s="3"/>
    </row>
    <row r="157" spans="1:256" s="17" customFormat="1" x14ac:dyDescent="0.35">
      <c r="A157" s="17">
        <v>39</v>
      </c>
      <c r="B157" s="11" t="s">
        <v>432</v>
      </c>
      <c r="C157" s="12">
        <v>300000</v>
      </c>
      <c r="D157" s="12">
        <v>300000</v>
      </c>
      <c r="E157" s="12">
        <v>300000</v>
      </c>
      <c r="F157" s="12">
        <v>0</v>
      </c>
      <c r="G157" s="12">
        <v>0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  <c r="O157" s="13">
        <f t="shared" si="462"/>
        <v>900000</v>
      </c>
      <c r="P157" s="14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</row>
    <row r="158" spans="1:256" s="17" customFormat="1" x14ac:dyDescent="0.35">
      <c r="B158" s="15" t="s">
        <v>14</v>
      </c>
      <c r="C158" s="16">
        <f t="shared" ref="C158" si="534">C157*0.1</f>
        <v>30000</v>
      </c>
      <c r="D158" s="16">
        <f t="shared" ref="D158:N158" si="535">D157*0.1</f>
        <v>30000</v>
      </c>
      <c r="E158" s="16">
        <f t="shared" si="535"/>
        <v>30000</v>
      </c>
      <c r="F158" s="16">
        <f t="shared" si="535"/>
        <v>0</v>
      </c>
      <c r="G158" s="16">
        <f t="shared" si="535"/>
        <v>0</v>
      </c>
      <c r="H158" s="16">
        <f t="shared" si="535"/>
        <v>0</v>
      </c>
      <c r="I158" s="16">
        <f t="shared" si="535"/>
        <v>0</v>
      </c>
      <c r="J158" s="16">
        <f t="shared" si="535"/>
        <v>0</v>
      </c>
      <c r="K158" s="16">
        <f t="shared" si="535"/>
        <v>0</v>
      </c>
      <c r="L158" s="16">
        <f t="shared" si="535"/>
        <v>0</v>
      </c>
      <c r="M158" s="16">
        <f t="shared" si="535"/>
        <v>0</v>
      </c>
      <c r="N158" s="16">
        <f t="shared" si="535"/>
        <v>0</v>
      </c>
      <c r="O158" s="13">
        <f t="shared" si="462"/>
        <v>90000</v>
      </c>
      <c r="P158" s="14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</row>
    <row r="159" spans="1:256" s="1" customFormat="1" x14ac:dyDescent="0.35">
      <c r="B159" s="15" t="s">
        <v>15</v>
      </c>
      <c r="C159" s="16">
        <f t="shared" ref="C159" si="536">C157-C158</f>
        <v>270000</v>
      </c>
      <c r="D159" s="16">
        <f t="shared" ref="D159:N159" si="537">D157-D158</f>
        <v>270000</v>
      </c>
      <c r="E159" s="16">
        <f t="shared" si="537"/>
        <v>270000</v>
      </c>
      <c r="F159" s="16">
        <f t="shared" si="537"/>
        <v>0</v>
      </c>
      <c r="G159" s="16">
        <f t="shared" si="537"/>
        <v>0</v>
      </c>
      <c r="H159" s="16">
        <f t="shared" si="537"/>
        <v>0</v>
      </c>
      <c r="I159" s="16">
        <f t="shared" si="537"/>
        <v>0</v>
      </c>
      <c r="J159" s="16">
        <f t="shared" si="537"/>
        <v>0</v>
      </c>
      <c r="K159" s="16">
        <f t="shared" si="537"/>
        <v>0</v>
      </c>
      <c r="L159" s="16">
        <f t="shared" si="537"/>
        <v>0</v>
      </c>
      <c r="M159" s="16">
        <f t="shared" si="537"/>
        <v>0</v>
      </c>
      <c r="N159" s="16">
        <f t="shared" si="537"/>
        <v>0</v>
      </c>
      <c r="O159" s="13">
        <f t="shared" si="462"/>
        <v>810000</v>
      </c>
      <c r="P159" s="14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  <c r="IV159" s="3"/>
    </row>
    <row r="160" spans="1:256" s="1" customFormat="1" x14ac:dyDescent="0.35">
      <c r="B160" s="15" t="s">
        <v>16</v>
      </c>
      <c r="C160" s="171">
        <f>IF(C159&gt;1000000,128000+0.3*(C159-1000000),IF(C159&gt;760000,68000+0.25*(C159-760000),IF(C159&gt;520000,20000+0.2*(C159-520000),IF(C159&gt;270000,0.08*(C159-270000),IF(C159&lt;=270000,0)))))</f>
        <v>0</v>
      </c>
      <c r="D160" s="171">
        <f t="shared" ref="D160" si="538">IF(D159&gt;1000000,128000+0.3*(D159-1000000),IF(D159&gt;760000,68000+0.25*(D159-760000),IF(D159&gt;520000,20000+0.2*(D159-520000),IF(D159&gt;270000,0.08*(D159-270000),IF(D159&lt;=270000,0)))))</f>
        <v>0</v>
      </c>
      <c r="E160" s="171">
        <f t="shared" ref="E160" si="539">IF(E159&gt;1000000,128000+0.3*(E159-1000000),IF(E159&gt;760000,68000+0.25*(E159-760000),IF(E159&gt;520000,20000+0.2*(E159-520000),IF(E159&gt;270000,0.08*(E159-270000),IF(E159&lt;=270000,0)))))</f>
        <v>0</v>
      </c>
      <c r="F160" s="171">
        <f t="shared" ref="F160" si="540">IF(F159&gt;1000000,128000+0.3*(F159-1000000),IF(F159&gt;760000,68000+0.25*(F159-760000),IF(F159&gt;520000,20000+0.2*(F159-520000),IF(F159&gt;270000,0.08*(F159-270000),IF(F159&lt;=270000,0)))))</f>
        <v>0</v>
      </c>
      <c r="G160" s="171">
        <f t="shared" ref="G160" si="541">IF(G159&gt;1000000,128000+0.3*(G159-1000000),IF(G159&gt;760000,68000+0.25*(G159-760000),IF(G159&gt;520000,20000+0.2*(G159-520000),IF(G159&gt;270000,0.08*(G159-270000),IF(G159&lt;=270000,0)))))</f>
        <v>0</v>
      </c>
      <c r="H160" s="171">
        <f t="shared" ref="H160" si="542">IF(H159&gt;1000000,128000+0.3*(H159-1000000),IF(H159&gt;760000,68000+0.25*(H159-760000),IF(H159&gt;520000,20000+0.2*(H159-520000),IF(H159&gt;270000,0.08*(H159-270000),IF(H159&lt;=270000,0)))))</f>
        <v>0</v>
      </c>
      <c r="I160" s="171">
        <f t="shared" ref="I160" si="543">IF(I159&gt;1000000,128000+0.3*(I159-1000000),IF(I159&gt;760000,68000+0.25*(I159-760000),IF(I159&gt;520000,20000+0.2*(I159-520000),IF(I159&gt;270000,0.08*(I159-270000),IF(I159&lt;=270000,0)))))</f>
        <v>0</v>
      </c>
      <c r="J160" s="171">
        <f t="shared" ref="J160" si="544">IF(J159&gt;1000000,128000+0.3*(J159-1000000),IF(J159&gt;760000,68000+0.25*(J159-760000),IF(J159&gt;520000,20000+0.2*(J159-520000),IF(J159&gt;270000,0.08*(J159-270000),IF(J159&lt;=270000,0)))))</f>
        <v>0</v>
      </c>
      <c r="K160" s="171">
        <f t="shared" ref="K160" si="545">IF(K159&gt;1000000,128000+0.3*(K159-1000000),IF(K159&gt;760000,68000+0.25*(K159-760000),IF(K159&gt;520000,20000+0.2*(K159-520000),IF(K159&gt;270000,0.08*(K159-270000),IF(K159&lt;=270000,0)))))</f>
        <v>0</v>
      </c>
      <c r="L160" s="171">
        <f t="shared" ref="L160" si="546">IF(L159&gt;1000000,128000+0.3*(L159-1000000),IF(L159&gt;760000,68000+0.25*(L159-760000),IF(L159&gt;520000,20000+0.2*(L159-520000),IF(L159&gt;270000,0.08*(L159-270000),IF(L159&lt;=270000,0)))))</f>
        <v>0</v>
      </c>
      <c r="M160" s="171">
        <f t="shared" ref="M160" si="547">IF(M159&gt;1000000,128000+0.3*(M159-1000000),IF(M159&gt;760000,68000+0.25*(M159-760000),IF(M159&gt;520000,20000+0.2*(M159-520000),IF(M159&gt;270000,0.08*(M159-270000),IF(M159&lt;=270000,0)))))</f>
        <v>0</v>
      </c>
      <c r="N160" s="171">
        <f t="shared" ref="N160" si="548">IF(N159&gt;1000000,128000+0.3*(N159-1000000),IF(N159&gt;760000,68000+0.25*(N159-760000),IF(N159&gt;520000,20000+0.2*(N159-520000),IF(N159&gt;270000,0.08*(N159-270000),IF(N159&lt;=270000,0)))))</f>
        <v>0</v>
      </c>
      <c r="O160" s="13">
        <f t="shared" si="462"/>
        <v>0</v>
      </c>
      <c r="P160" s="14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</row>
    <row r="161" spans="1:256" s="17" customFormat="1" x14ac:dyDescent="0.35">
      <c r="A161" s="17">
        <v>40</v>
      </c>
      <c r="B161" s="11" t="s">
        <v>433</v>
      </c>
      <c r="C161" s="12">
        <v>200000</v>
      </c>
      <c r="D161" s="12">
        <v>300000</v>
      </c>
      <c r="E161" s="12">
        <v>300000</v>
      </c>
      <c r="F161" s="12">
        <v>0</v>
      </c>
      <c r="G161" s="12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3">
        <f t="shared" si="462"/>
        <v>800000</v>
      </c>
      <c r="P161" s="14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  <c r="IV161" s="3"/>
    </row>
    <row r="162" spans="1:256" s="17" customFormat="1" x14ac:dyDescent="0.35">
      <c r="B162" s="15" t="s">
        <v>14</v>
      </c>
      <c r="C162" s="16">
        <f t="shared" ref="C162" si="549">C161*0.1</f>
        <v>20000</v>
      </c>
      <c r="D162" s="16">
        <f t="shared" ref="D162:N162" si="550">D161*0.1</f>
        <v>30000</v>
      </c>
      <c r="E162" s="16">
        <f t="shared" si="550"/>
        <v>30000</v>
      </c>
      <c r="F162" s="16">
        <f t="shared" si="550"/>
        <v>0</v>
      </c>
      <c r="G162" s="16">
        <f t="shared" si="550"/>
        <v>0</v>
      </c>
      <c r="H162" s="16">
        <f t="shared" si="550"/>
        <v>0</v>
      </c>
      <c r="I162" s="16">
        <f t="shared" si="550"/>
        <v>0</v>
      </c>
      <c r="J162" s="16">
        <f t="shared" si="550"/>
        <v>0</v>
      </c>
      <c r="K162" s="16">
        <f t="shared" si="550"/>
        <v>0</v>
      </c>
      <c r="L162" s="16">
        <f t="shared" si="550"/>
        <v>0</v>
      </c>
      <c r="M162" s="16">
        <f t="shared" si="550"/>
        <v>0</v>
      </c>
      <c r="N162" s="16">
        <f t="shared" si="550"/>
        <v>0</v>
      </c>
      <c r="O162" s="13">
        <f t="shared" si="462"/>
        <v>80000</v>
      </c>
      <c r="P162" s="14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  <c r="IV162" s="3"/>
    </row>
    <row r="163" spans="1:256" s="1" customFormat="1" x14ac:dyDescent="0.35">
      <c r="B163" s="15" t="s">
        <v>15</v>
      </c>
      <c r="C163" s="16">
        <f t="shared" ref="C163" si="551">C161-C162</f>
        <v>180000</v>
      </c>
      <c r="D163" s="16">
        <f t="shared" ref="D163:N163" si="552">D161-D162</f>
        <v>270000</v>
      </c>
      <c r="E163" s="16">
        <f t="shared" si="552"/>
        <v>270000</v>
      </c>
      <c r="F163" s="16">
        <f t="shared" si="552"/>
        <v>0</v>
      </c>
      <c r="G163" s="16">
        <f t="shared" si="552"/>
        <v>0</v>
      </c>
      <c r="H163" s="16">
        <f t="shared" si="552"/>
        <v>0</v>
      </c>
      <c r="I163" s="16">
        <f t="shared" si="552"/>
        <v>0</v>
      </c>
      <c r="J163" s="16">
        <f t="shared" si="552"/>
        <v>0</v>
      </c>
      <c r="K163" s="16">
        <f t="shared" si="552"/>
        <v>0</v>
      </c>
      <c r="L163" s="16">
        <f t="shared" si="552"/>
        <v>0</v>
      </c>
      <c r="M163" s="16">
        <f t="shared" si="552"/>
        <v>0</v>
      </c>
      <c r="N163" s="16">
        <f t="shared" si="552"/>
        <v>0</v>
      </c>
      <c r="O163" s="13">
        <f t="shared" si="462"/>
        <v>720000</v>
      </c>
      <c r="P163" s="14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  <c r="IV163" s="3"/>
    </row>
    <row r="164" spans="1:256" s="1" customFormat="1" x14ac:dyDescent="0.35">
      <c r="B164" s="15" t="s">
        <v>16</v>
      </c>
      <c r="C164" s="18">
        <f t="shared" ref="C164" si="553">IF(C163&gt;1000000,(C164-1000000)*0.3+130500,IF(C163&gt;760000,(C163-760000)*0.25+70500,IF(C163&gt;520000,(C163-520000)*0.2+22500,IF(C163&gt;270000,(C163-270000)*0.08+0,IF(C163&lt;270001,0,0)))))</f>
        <v>0</v>
      </c>
      <c r="D164" s="18">
        <f t="shared" ref="D164:N164" si="554">IF(D163&gt;1000000,(D164-1000000)*0.3+128000,IF(D163&gt;760000,(D163-760000)*0.25+68000,IF(D163&gt;520000,(D163-520000)*0.2+20000,IF(D163&gt;270000,(D163-270000)*0.08+0,IF(D163&lt;270001,0,0)))))</f>
        <v>0</v>
      </c>
      <c r="E164" s="18">
        <f t="shared" si="554"/>
        <v>0</v>
      </c>
      <c r="F164" s="18">
        <f t="shared" si="554"/>
        <v>0</v>
      </c>
      <c r="G164" s="18">
        <f t="shared" si="554"/>
        <v>0</v>
      </c>
      <c r="H164" s="18">
        <f t="shared" si="554"/>
        <v>0</v>
      </c>
      <c r="I164" s="18">
        <f t="shared" si="554"/>
        <v>0</v>
      </c>
      <c r="J164" s="18">
        <f t="shared" si="554"/>
        <v>0</v>
      </c>
      <c r="K164" s="18">
        <f t="shared" si="554"/>
        <v>0</v>
      </c>
      <c r="L164" s="18">
        <f t="shared" si="554"/>
        <v>0</v>
      </c>
      <c r="M164" s="18">
        <f t="shared" si="554"/>
        <v>0</v>
      </c>
      <c r="N164" s="18">
        <f t="shared" si="554"/>
        <v>0</v>
      </c>
      <c r="O164" s="13">
        <f t="shared" si="462"/>
        <v>0</v>
      </c>
      <c r="P164" s="14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  <c r="II164" s="3"/>
      <c r="IJ164" s="3"/>
      <c r="IK164" s="3"/>
      <c r="IL164" s="3"/>
      <c r="IM164" s="3"/>
      <c r="IN164" s="3"/>
      <c r="IO164" s="3"/>
      <c r="IP164" s="3"/>
      <c r="IQ164" s="3"/>
      <c r="IR164" s="3"/>
      <c r="IS164" s="3"/>
      <c r="IT164" s="3"/>
      <c r="IU164" s="3"/>
      <c r="IV164" s="3"/>
    </row>
    <row r="165" spans="1:256" s="17" customFormat="1" x14ac:dyDescent="0.35">
      <c r="A165" s="17">
        <v>41</v>
      </c>
      <c r="B165" s="11" t="s">
        <v>434</v>
      </c>
      <c r="C165" s="12">
        <v>300000</v>
      </c>
      <c r="D165" s="12">
        <v>500000</v>
      </c>
      <c r="E165" s="12">
        <v>500000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3">
        <f t="shared" si="462"/>
        <v>1300000</v>
      </c>
      <c r="P165" s="14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  <c r="HZ165" s="3"/>
      <c r="IA165" s="3"/>
      <c r="IB165" s="3"/>
      <c r="IC165" s="3"/>
      <c r="ID165" s="3"/>
      <c r="IE165" s="3"/>
      <c r="IF165" s="3"/>
      <c r="IG165" s="3"/>
      <c r="IH165" s="3"/>
      <c r="II165" s="3"/>
      <c r="IJ165" s="3"/>
      <c r="IK165" s="3"/>
      <c r="IL165" s="3"/>
      <c r="IM165" s="3"/>
      <c r="IN165" s="3"/>
      <c r="IO165" s="3"/>
      <c r="IP165" s="3"/>
      <c r="IQ165" s="3"/>
      <c r="IR165" s="3"/>
      <c r="IS165" s="3"/>
      <c r="IT165" s="3"/>
      <c r="IU165" s="3"/>
      <c r="IV165" s="3"/>
    </row>
    <row r="166" spans="1:256" s="17" customFormat="1" x14ac:dyDescent="0.35">
      <c r="B166" s="15" t="s">
        <v>14</v>
      </c>
      <c r="C166" s="16">
        <f t="shared" ref="C166" si="555">C165*0.1</f>
        <v>30000</v>
      </c>
      <c r="D166" s="16">
        <f t="shared" ref="D166:N166" si="556">D165*0.1</f>
        <v>50000</v>
      </c>
      <c r="E166" s="16">
        <f t="shared" si="556"/>
        <v>50000</v>
      </c>
      <c r="F166" s="16">
        <f t="shared" si="556"/>
        <v>0</v>
      </c>
      <c r="G166" s="16">
        <f t="shared" si="556"/>
        <v>0</v>
      </c>
      <c r="H166" s="16">
        <f t="shared" si="556"/>
        <v>0</v>
      </c>
      <c r="I166" s="16">
        <f t="shared" si="556"/>
        <v>0</v>
      </c>
      <c r="J166" s="16">
        <f t="shared" si="556"/>
        <v>0</v>
      </c>
      <c r="K166" s="16">
        <f t="shared" si="556"/>
        <v>0</v>
      </c>
      <c r="L166" s="16">
        <f t="shared" si="556"/>
        <v>0</v>
      </c>
      <c r="M166" s="16">
        <f t="shared" si="556"/>
        <v>0</v>
      </c>
      <c r="N166" s="16">
        <f t="shared" si="556"/>
        <v>0</v>
      </c>
      <c r="O166" s="13">
        <f t="shared" si="462"/>
        <v>130000</v>
      </c>
      <c r="P166" s="14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  <c r="IV166" s="3"/>
    </row>
    <row r="167" spans="1:256" s="1" customFormat="1" x14ac:dyDescent="0.35">
      <c r="B167" s="15" t="s">
        <v>15</v>
      </c>
      <c r="C167" s="16">
        <f t="shared" ref="C167" si="557">C165-C166</f>
        <v>270000</v>
      </c>
      <c r="D167" s="16">
        <f t="shared" ref="D167:N167" si="558">D165-D166</f>
        <v>450000</v>
      </c>
      <c r="E167" s="16">
        <f t="shared" si="558"/>
        <v>450000</v>
      </c>
      <c r="F167" s="16">
        <f t="shared" si="558"/>
        <v>0</v>
      </c>
      <c r="G167" s="16">
        <f t="shared" si="558"/>
        <v>0</v>
      </c>
      <c r="H167" s="16">
        <f t="shared" si="558"/>
        <v>0</v>
      </c>
      <c r="I167" s="16">
        <f t="shared" si="558"/>
        <v>0</v>
      </c>
      <c r="J167" s="16">
        <f t="shared" si="558"/>
        <v>0</v>
      </c>
      <c r="K167" s="16">
        <f t="shared" si="558"/>
        <v>0</v>
      </c>
      <c r="L167" s="16">
        <f t="shared" si="558"/>
        <v>0</v>
      </c>
      <c r="M167" s="16">
        <f t="shared" si="558"/>
        <v>0</v>
      </c>
      <c r="N167" s="16">
        <f t="shared" si="558"/>
        <v>0</v>
      </c>
      <c r="O167" s="13">
        <f t="shared" si="462"/>
        <v>1170000</v>
      </c>
      <c r="P167" s="14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  <c r="IU167" s="3"/>
      <c r="IV167" s="3"/>
    </row>
    <row r="168" spans="1:256" s="1" customFormat="1" x14ac:dyDescent="0.35">
      <c r="B168" s="15" t="s">
        <v>16</v>
      </c>
      <c r="C168" s="171">
        <f>IF(C167&gt;1000000,128000+0.3*(C167-1000000),IF(C167&gt;760000,68000+0.25*(C167-760000),IF(C167&gt;520000,20000+0.2*(C167-520000),IF(C167&gt;270000,0.08*(C167-270000),IF(C167&lt;=270000,0)))))</f>
        <v>0</v>
      </c>
      <c r="D168" s="171">
        <f t="shared" ref="D168" si="559">IF(D167&gt;1000000,128000+0.3*(D167-1000000),IF(D167&gt;760000,68000+0.25*(D167-760000),IF(D167&gt;520000,20000+0.2*(D167-520000),IF(D167&gt;270000,0.08*(D167-270000),IF(D167&lt;=270000,0)))))</f>
        <v>14400</v>
      </c>
      <c r="E168" s="171">
        <f t="shared" ref="E168" si="560">IF(E167&gt;1000000,128000+0.3*(E167-1000000),IF(E167&gt;760000,68000+0.25*(E167-760000),IF(E167&gt;520000,20000+0.2*(E167-520000),IF(E167&gt;270000,0.08*(E167-270000),IF(E167&lt;=270000,0)))))</f>
        <v>14400</v>
      </c>
      <c r="F168" s="171">
        <f t="shared" ref="F168" si="561">IF(F167&gt;1000000,128000+0.3*(F167-1000000),IF(F167&gt;760000,68000+0.25*(F167-760000),IF(F167&gt;520000,20000+0.2*(F167-520000),IF(F167&gt;270000,0.08*(F167-270000),IF(F167&lt;=270000,0)))))</f>
        <v>0</v>
      </c>
      <c r="G168" s="171">
        <f t="shared" ref="G168" si="562">IF(G167&gt;1000000,128000+0.3*(G167-1000000),IF(G167&gt;760000,68000+0.25*(G167-760000),IF(G167&gt;520000,20000+0.2*(G167-520000),IF(G167&gt;270000,0.08*(G167-270000),IF(G167&lt;=270000,0)))))</f>
        <v>0</v>
      </c>
      <c r="H168" s="171">
        <f t="shared" ref="H168" si="563">IF(H167&gt;1000000,128000+0.3*(H167-1000000),IF(H167&gt;760000,68000+0.25*(H167-760000),IF(H167&gt;520000,20000+0.2*(H167-520000),IF(H167&gt;270000,0.08*(H167-270000),IF(H167&lt;=270000,0)))))</f>
        <v>0</v>
      </c>
      <c r="I168" s="171">
        <f t="shared" ref="I168" si="564">IF(I167&gt;1000000,128000+0.3*(I167-1000000),IF(I167&gt;760000,68000+0.25*(I167-760000),IF(I167&gt;520000,20000+0.2*(I167-520000),IF(I167&gt;270000,0.08*(I167-270000),IF(I167&lt;=270000,0)))))</f>
        <v>0</v>
      </c>
      <c r="J168" s="171">
        <f t="shared" ref="J168" si="565">IF(J167&gt;1000000,128000+0.3*(J167-1000000),IF(J167&gt;760000,68000+0.25*(J167-760000),IF(J167&gt;520000,20000+0.2*(J167-520000),IF(J167&gt;270000,0.08*(J167-270000),IF(J167&lt;=270000,0)))))</f>
        <v>0</v>
      </c>
      <c r="K168" s="171">
        <f t="shared" ref="K168" si="566">IF(K167&gt;1000000,128000+0.3*(K167-1000000),IF(K167&gt;760000,68000+0.25*(K167-760000),IF(K167&gt;520000,20000+0.2*(K167-520000),IF(K167&gt;270000,0.08*(K167-270000),IF(K167&lt;=270000,0)))))</f>
        <v>0</v>
      </c>
      <c r="L168" s="171">
        <f t="shared" ref="L168" si="567">IF(L167&gt;1000000,128000+0.3*(L167-1000000),IF(L167&gt;760000,68000+0.25*(L167-760000),IF(L167&gt;520000,20000+0.2*(L167-520000),IF(L167&gt;270000,0.08*(L167-270000),IF(L167&lt;=270000,0)))))</f>
        <v>0</v>
      </c>
      <c r="M168" s="171">
        <f t="shared" ref="M168" si="568">IF(M167&gt;1000000,128000+0.3*(M167-1000000),IF(M167&gt;760000,68000+0.25*(M167-760000),IF(M167&gt;520000,20000+0.2*(M167-520000),IF(M167&gt;270000,0.08*(M167-270000),IF(M167&lt;=270000,0)))))</f>
        <v>0</v>
      </c>
      <c r="N168" s="171">
        <f t="shared" ref="N168" si="569">IF(N167&gt;1000000,128000+0.3*(N167-1000000),IF(N167&gt;760000,68000+0.25*(N167-760000),IF(N167&gt;520000,20000+0.2*(N167-520000),IF(N167&gt;270000,0.08*(N167-270000),IF(N167&lt;=270000,0)))))</f>
        <v>0</v>
      </c>
      <c r="O168" s="13">
        <f t="shared" si="462"/>
        <v>28800</v>
      </c>
      <c r="P168" s="14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/>
      <c r="IT168" s="3"/>
      <c r="IU168" s="3"/>
      <c r="IV168" s="3"/>
    </row>
    <row r="169" spans="1:256" s="17" customFormat="1" x14ac:dyDescent="0.35">
      <c r="A169" s="17">
        <v>42</v>
      </c>
      <c r="B169" s="11" t="s">
        <v>435</v>
      </c>
      <c r="C169" s="12">
        <v>300000</v>
      </c>
      <c r="D169" s="12">
        <v>300000</v>
      </c>
      <c r="E169" s="12">
        <v>300000</v>
      </c>
      <c r="F169" s="12">
        <v>0</v>
      </c>
      <c r="G169" s="12">
        <v>0</v>
      </c>
      <c r="H169" s="12">
        <v>0</v>
      </c>
      <c r="I169" s="12">
        <v>0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  <c r="O169" s="13">
        <f t="shared" si="462"/>
        <v>900000</v>
      </c>
      <c r="P169" s="14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  <c r="IU169" s="3"/>
      <c r="IV169" s="3"/>
    </row>
    <row r="170" spans="1:256" s="17" customFormat="1" x14ac:dyDescent="0.35">
      <c r="B170" s="15" t="s">
        <v>14</v>
      </c>
      <c r="C170" s="16">
        <f t="shared" ref="C170" si="570">C169*0.1</f>
        <v>30000</v>
      </c>
      <c r="D170" s="16">
        <f t="shared" ref="D170:N170" si="571">D169*0.1</f>
        <v>30000</v>
      </c>
      <c r="E170" s="16">
        <f t="shared" si="571"/>
        <v>30000</v>
      </c>
      <c r="F170" s="16">
        <f t="shared" si="571"/>
        <v>0</v>
      </c>
      <c r="G170" s="16">
        <f t="shared" si="571"/>
        <v>0</v>
      </c>
      <c r="H170" s="16">
        <f t="shared" si="571"/>
        <v>0</v>
      </c>
      <c r="I170" s="16">
        <f t="shared" si="571"/>
        <v>0</v>
      </c>
      <c r="J170" s="16">
        <f t="shared" si="571"/>
        <v>0</v>
      </c>
      <c r="K170" s="16">
        <f t="shared" si="571"/>
        <v>0</v>
      </c>
      <c r="L170" s="16">
        <f t="shared" si="571"/>
        <v>0</v>
      </c>
      <c r="M170" s="16">
        <f t="shared" si="571"/>
        <v>0</v>
      </c>
      <c r="N170" s="16">
        <f t="shared" si="571"/>
        <v>0</v>
      </c>
      <c r="O170" s="13">
        <f t="shared" si="462"/>
        <v>90000</v>
      </c>
      <c r="P170" s="14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3"/>
      <c r="IJ170" s="3"/>
      <c r="IK170" s="3"/>
      <c r="IL170" s="3"/>
      <c r="IM170" s="3"/>
      <c r="IN170" s="3"/>
      <c r="IO170" s="3"/>
      <c r="IP170" s="3"/>
      <c r="IQ170" s="3"/>
      <c r="IR170" s="3"/>
      <c r="IS170" s="3"/>
      <c r="IT170" s="3"/>
      <c r="IU170" s="3"/>
      <c r="IV170" s="3"/>
    </row>
    <row r="171" spans="1:256" s="1" customFormat="1" x14ac:dyDescent="0.35">
      <c r="B171" s="15" t="s">
        <v>15</v>
      </c>
      <c r="C171" s="16">
        <f t="shared" ref="C171" si="572">C169-C170</f>
        <v>270000</v>
      </c>
      <c r="D171" s="16">
        <f t="shared" ref="D171:N171" si="573">D169-D170</f>
        <v>270000</v>
      </c>
      <c r="E171" s="16">
        <f t="shared" si="573"/>
        <v>270000</v>
      </c>
      <c r="F171" s="16">
        <f t="shared" si="573"/>
        <v>0</v>
      </c>
      <c r="G171" s="16">
        <f t="shared" si="573"/>
        <v>0</v>
      </c>
      <c r="H171" s="16">
        <f t="shared" si="573"/>
        <v>0</v>
      </c>
      <c r="I171" s="16">
        <f t="shared" si="573"/>
        <v>0</v>
      </c>
      <c r="J171" s="16">
        <f t="shared" si="573"/>
        <v>0</v>
      </c>
      <c r="K171" s="16">
        <f t="shared" si="573"/>
        <v>0</v>
      </c>
      <c r="L171" s="16">
        <f t="shared" si="573"/>
        <v>0</v>
      </c>
      <c r="M171" s="16">
        <f t="shared" si="573"/>
        <v>0</v>
      </c>
      <c r="N171" s="16">
        <f t="shared" si="573"/>
        <v>0</v>
      </c>
      <c r="O171" s="13">
        <f t="shared" si="462"/>
        <v>810000</v>
      </c>
      <c r="P171" s="14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  <c r="II171" s="3"/>
      <c r="IJ171" s="3"/>
      <c r="IK171" s="3"/>
      <c r="IL171" s="3"/>
      <c r="IM171" s="3"/>
      <c r="IN171" s="3"/>
      <c r="IO171" s="3"/>
      <c r="IP171" s="3"/>
      <c r="IQ171" s="3"/>
      <c r="IR171" s="3"/>
      <c r="IS171" s="3"/>
      <c r="IT171" s="3"/>
      <c r="IU171" s="3"/>
      <c r="IV171" s="3"/>
    </row>
    <row r="172" spans="1:256" s="1" customFormat="1" x14ac:dyDescent="0.35">
      <c r="B172" s="15" t="s">
        <v>16</v>
      </c>
      <c r="C172" s="171">
        <f>IF(C171&gt;1000000,128000+0.3*(C171-1000000),IF(C171&gt;760000,68000+0.25*(C171-760000),IF(C171&gt;520000,20000+0.2*(C171-520000),IF(C171&gt;270000,0.08*(C171-270000),IF(C171&lt;=270000,0)))))</f>
        <v>0</v>
      </c>
      <c r="D172" s="171">
        <f t="shared" ref="D172" si="574">IF(D171&gt;1000000,128000+0.3*(D171-1000000),IF(D171&gt;760000,68000+0.25*(D171-760000),IF(D171&gt;520000,20000+0.2*(D171-520000),IF(D171&gt;270000,0.08*(D171-270000),IF(D171&lt;=270000,0)))))</f>
        <v>0</v>
      </c>
      <c r="E172" s="171">
        <f t="shared" ref="E172" si="575">IF(E171&gt;1000000,128000+0.3*(E171-1000000),IF(E171&gt;760000,68000+0.25*(E171-760000),IF(E171&gt;520000,20000+0.2*(E171-520000),IF(E171&gt;270000,0.08*(E171-270000),IF(E171&lt;=270000,0)))))</f>
        <v>0</v>
      </c>
      <c r="F172" s="171">
        <f t="shared" ref="F172" si="576">IF(F171&gt;1000000,128000+0.3*(F171-1000000),IF(F171&gt;760000,68000+0.25*(F171-760000),IF(F171&gt;520000,20000+0.2*(F171-520000),IF(F171&gt;270000,0.08*(F171-270000),IF(F171&lt;=270000,0)))))</f>
        <v>0</v>
      </c>
      <c r="G172" s="171">
        <f t="shared" ref="G172" si="577">IF(G171&gt;1000000,128000+0.3*(G171-1000000),IF(G171&gt;760000,68000+0.25*(G171-760000),IF(G171&gt;520000,20000+0.2*(G171-520000),IF(G171&gt;270000,0.08*(G171-270000),IF(G171&lt;=270000,0)))))</f>
        <v>0</v>
      </c>
      <c r="H172" s="171">
        <f t="shared" ref="H172" si="578">IF(H171&gt;1000000,128000+0.3*(H171-1000000),IF(H171&gt;760000,68000+0.25*(H171-760000),IF(H171&gt;520000,20000+0.2*(H171-520000),IF(H171&gt;270000,0.08*(H171-270000),IF(H171&lt;=270000,0)))))</f>
        <v>0</v>
      </c>
      <c r="I172" s="171">
        <f t="shared" ref="I172" si="579">IF(I171&gt;1000000,128000+0.3*(I171-1000000),IF(I171&gt;760000,68000+0.25*(I171-760000),IF(I171&gt;520000,20000+0.2*(I171-520000),IF(I171&gt;270000,0.08*(I171-270000),IF(I171&lt;=270000,0)))))</f>
        <v>0</v>
      </c>
      <c r="J172" s="171">
        <f t="shared" ref="J172" si="580">IF(J171&gt;1000000,128000+0.3*(J171-1000000),IF(J171&gt;760000,68000+0.25*(J171-760000),IF(J171&gt;520000,20000+0.2*(J171-520000),IF(J171&gt;270000,0.08*(J171-270000),IF(J171&lt;=270000,0)))))</f>
        <v>0</v>
      </c>
      <c r="K172" s="171">
        <f t="shared" ref="K172" si="581">IF(K171&gt;1000000,128000+0.3*(K171-1000000),IF(K171&gt;760000,68000+0.25*(K171-760000),IF(K171&gt;520000,20000+0.2*(K171-520000),IF(K171&gt;270000,0.08*(K171-270000),IF(K171&lt;=270000,0)))))</f>
        <v>0</v>
      </c>
      <c r="L172" s="171">
        <f t="shared" ref="L172" si="582">IF(L171&gt;1000000,128000+0.3*(L171-1000000),IF(L171&gt;760000,68000+0.25*(L171-760000),IF(L171&gt;520000,20000+0.2*(L171-520000),IF(L171&gt;270000,0.08*(L171-270000),IF(L171&lt;=270000,0)))))</f>
        <v>0</v>
      </c>
      <c r="M172" s="171">
        <f t="shared" ref="M172" si="583">IF(M171&gt;1000000,128000+0.3*(M171-1000000),IF(M171&gt;760000,68000+0.25*(M171-760000),IF(M171&gt;520000,20000+0.2*(M171-520000),IF(M171&gt;270000,0.08*(M171-270000),IF(M171&lt;=270000,0)))))</f>
        <v>0</v>
      </c>
      <c r="N172" s="171">
        <f t="shared" ref="N172" si="584">IF(N171&gt;1000000,128000+0.3*(N171-1000000),IF(N171&gt;760000,68000+0.25*(N171-760000),IF(N171&gt;520000,20000+0.2*(N171-520000),IF(N171&gt;270000,0.08*(N171-270000),IF(N171&lt;=270000,0)))))</f>
        <v>0</v>
      </c>
      <c r="O172" s="13">
        <f t="shared" si="462"/>
        <v>0</v>
      </c>
      <c r="P172" s="14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3"/>
      <c r="HZ172" s="3"/>
      <c r="IA172" s="3"/>
      <c r="IB172" s="3"/>
      <c r="IC172" s="3"/>
      <c r="ID172" s="3"/>
      <c r="IE172" s="3"/>
      <c r="IF172" s="3"/>
      <c r="IG172" s="3"/>
      <c r="IH172" s="3"/>
      <c r="II172" s="3"/>
      <c r="IJ172" s="3"/>
      <c r="IK172" s="3"/>
      <c r="IL172" s="3"/>
      <c r="IM172" s="3"/>
      <c r="IN172" s="3"/>
      <c r="IO172" s="3"/>
      <c r="IP172" s="3"/>
      <c r="IQ172" s="3"/>
      <c r="IR172" s="3"/>
      <c r="IS172" s="3"/>
      <c r="IT172" s="3"/>
      <c r="IU172" s="3"/>
      <c r="IV172" s="3"/>
    </row>
    <row r="173" spans="1:256" s="17" customFormat="1" x14ac:dyDescent="0.35">
      <c r="A173" s="17">
        <v>43</v>
      </c>
      <c r="B173" s="11" t="s">
        <v>436</v>
      </c>
      <c r="C173" s="12">
        <v>300000</v>
      </c>
      <c r="D173" s="12">
        <v>300000</v>
      </c>
      <c r="E173" s="12">
        <v>300000</v>
      </c>
      <c r="F173" s="12">
        <v>0</v>
      </c>
      <c r="G173" s="12">
        <v>0</v>
      </c>
      <c r="H173" s="12">
        <v>0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  <c r="O173" s="13">
        <f t="shared" si="462"/>
        <v>900000</v>
      </c>
      <c r="P173" s="14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3"/>
      <c r="IA173" s="3"/>
      <c r="IB173" s="3"/>
      <c r="IC173" s="3"/>
      <c r="ID173" s="3"/>
      <c r="IE173" s="3"/>
      <c r="IF173" s="3"/>
      <c r="IG173" s="3"/>
      <c r="IH173" s="3"/>
      <c r="II173" s="3"/>
      <c r="IJ173" s="3"/>
      <c r="IK173" s="3"/>
      <c r="IL173" s="3"/>
      <c r="IM173" s="3"/>
      <c r="IN173" s="3"/>
      <c r="IO173" s="3"/>
      <c r="IP173" s="3"/>
      <c r="IQ173" s="3"/>
      <c r="IR173" s="3"/>
      <c r="IS173" s="3"/>
      <c r="IT173" s="3"/>
      <c r="IU173" s="3"/>
      <c r="IV173" s="3"/>
    </row>
    <row r="174" spans="1:256" s="17" customFormat="1" x14ac:dyDescent="0.35">
      <c r="B174" s="15" t="s">
        <v>14</v>
      </c>
      <c r="C174" s="16">
        <f t="shared" ref="C174" si="585">C173*0.1</f>
        <v>30000</v>
      </c>
      <c r="D174" s="16">
        <f t="shared" ref="D174:N174" si="586">D173*0.1</f>
        <v>30000</v>
      </c>
      <c r="E174" s="16">
        <f t="shared" si="586"/>
        <v>30000</v>
      </c>
      <c r="F174" s="16">
        <f t="shared" si="586"/>
        <v>0</v>
      </c>
      <c r="G174" s="16">
        <f t="shared" si="586"/>
        <v>0</v>
      </c>
      <c r="H174" s="16">
        <f t="shared" si="586"/>
        <v>0</v>
      </c>
      <c r="I174" s="16">
        <f t="shared" si="586"/>
        <v>0</v>
      </c>
      <c r="J174" s="16">
        <f t="shared" si="586"/>
        <v>0</v>
      </c>
      <c r="K174" s="16">
        <f t="shared" si="586"/>
        <v>0</v>
      </c>
      <c r="L174" s="16">
        <f t="shared" si="586"/>
        <v>0</v>
      </c>
      <c r="M174" s="16">
        <f t="shared" si="586"/>
        <v>0</v>
      </c>
      <c r="N174" s="16">
        <f t="shared" si="586"/>
        <v>0</v>
      </c>
      <c r="O174" s="13">
        <f t="shared" si="462"/>
        <v>90000</v>
      </c>
      <c r="P174" s="14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  <c r="HU174" s="3"/>
      <c r="HV174" s="3"/>
      <c r="HW174" s="3"/>
      <c r="HX174" s="3"/>
      <c r="HY174" s="3"/>
      <c r="HZ174" s="3"/>
      <c r="IA174" s="3"/>
      <c r="IB174" s="3"/>
      <c r="IC174" s="3"/>
      <c r="ID174" s="3"/>
      <c r="IE174" s="3"/>
      <c r="IF174" s="3"/>
      <c r="IG174" s="3"/>
      <c r="IH174" s="3"/>
      <c r="II174" s="3"/>
      <c r="IJ174" s="3"/>
      <c r="IK174" s="3"/>
      <c r="IL174" s="3"/>
      <c r="IM174" s="3"/>
      <c r="IN174" s="3"/>
      <c r="IO174" s="3"/>
      <c r="IP174" s="3"/>
      <c r="IQ174" s="3"/>
      <c r="IR174" s="3"/>
      <c r="IS174" s="3"/>
      <c r="IT174" s="3"/>
      <c r="IU174" s="3"/>
      <c r="IV174" s="3"/>
    </row>
    <row r="175" spans="1:256" s="1" customFormat="1" x14ac:dyDescent="0.35">
      <c r="B175" s="15" t="s">
        <v>15</v>
      </c>
      <c r="C175" s="16">
        <f t="shared" ref="C175" si="587">C173-C174</f>
        <v>270000</v>
      </c>
      <c r="D175" s="16">
        <f t="shared" ref="D175:N175" si="588">D173-D174</f>
        <v>270000</v>
      </c>
      <c r="E175" s="16">
        <f t="shared" si="588"/>
        <v>270000</v>
      </c>
      <c r="F175" s="16">
        <f t="shared" si="588"/>
        <v>0</v>
      </c>
      <c r="G175" s="16">
        <f t="shared" si="588"/>
        <v>0</v>
      </c>
      <c r="H175" s="16">
        <f t="shared" si="588"/>
        <v>0</v>
      </c>
      <c r="I175" s="16">
        <f t="shared" si="588"/>
        <v>0</v>
      </c>
      <c r="J175" s="16">
        <f t="shared" si="588"/>
        <v>0</v>
      </c>
      <c r="K175" s="16">
        <f t="shared" si="588"/>
        <v>0</v>
      </c>
      <c r="L175" s="16">
        <f t="shared" si="588"/>
        <v>0</v>
      </c>
      <c r="M175" s="16">
        <f t="shared" si="588"/>
        <v>0</v>
      </c>
      <c r="N175" s="16">
        <f t="shared" si="588"/>
        <v>0</v>
      </c>
      <c r="O175" s="13">
        <f t="shared" si="462"/>
        <v>810000</v>
      </c>
      <c r="P175" s="14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  <c r="IU175" s="3"/>
      <c r="IV175" s="3"/>
    </row>
    <row r="176" spans="1:256" s="1" customFormat="1" x14ac:dyDescent="0.35">
      <c r="B176" s="15" t="s">
        <v>16</v>
      </c>
      <c r="C176" s="171">
        <f>IF(C175&gt;1000000,128000+0.3*(C175-1000000),IF(C175&gt;760000,68000+0.25*(C175-760000),IF(C175&gt;520000,20000+0.2*(C175-520000),IF(C175&gt;270000,0.08*(C175-270000),IF(C175&lt;=270000,0)))))</f>
        <v>0</v>
      </c>
      <c r="D176" s="171">
        <f t="shared" ref="D176" si="589">IF(D175&gt;1000000,128000+0.3*(D175-1000000),IF(D175&gt;760000,68000+0.25*(D175-760000),IF(D175&gt;520000,20000+0.2*(D175-520000),IF(D175&gt;270000,0.08*(D175-270000),IF(D175&lt;=270000,0)))))</f>
        <v>0</v>
      </c>
      <c r="E176" s="171">
        <f t="shared" ref="E176" si="590">IF(E175&gt;1000000,128000+0.3*(E175-1000000),IF(E175&gt;760000,68000+0.25*(E175-760000),IF(E175&gt;520000,20000+0.2*(E175-520000),IF(E175&gt;270000,0.08*(E175-270000),IF(E175&lt;=270000,0)))))</f>
        <v>0</v>
      </c>
      <c r="F176" s="171">
        <f t="shared" ref="F176" si="591">IF(F175&gt;1000000,128000+0.3*(F175-1000000),IF(F175&gt;760000,68000+0.25*(F175-760000),IF(F175&gt;520000,20000+0.2*(F175-520000),IF(F175&gt;270000,0.08*(F175-270000),IF(F175&lt;=270000,0)))))</f>
        <v>0</v>
      </c>
      <c r="G176" s="171">
        <f t="shared" ref="G176" si="592">IF(G175&gt;1000000,128000+0.3*(G175-1000000),IF(G175&gt;760000,68000+0.25*(G175-760000),IF(G175&gt;520000,20000+0.2*(G175-520000),IF(G175&gt;270000,0.08*(G175-270000),IF(G175&lt;=270000,0)))))</f>
        <v>0</v>
      </c>
      <c r="H176" s="171">
        <f t="shared" ref="H176" si="593">IF(H175&gt;1000000,128000+0.3*(H175-1000000),IF(H175&gt;760000,68000+0.25*(H175-760000),IF(H175&gt;520000,20000+0.2*(H175-520000),IF(H175&gt;270000,0.08*(H175-270000),IF(H175&lt;=270000,0)))))</f>
        <v>0</v>
      </c>
      <c r="I176" s="171">
        <f t="shared" ref="I176" si="594">IF(I175&gt;1000000,128000+0.3*(I175-1000000),IF(I175&gt;760000,68000+0.25*(I175-760000),IF(I175&gt;520000,20000+0.2*(I175-520000),IF(I175&gt;270000,0.08*(I175-270000),IF(I175&lt;=270000,0)))))</f>
        <v>0</v>
      </c>
      <c r="J176" s="171">
        <f t="shared" ref="J176" si="595">IF(J175&gt;1000000,128000+0.3*(J175-1000000),IF(J175&gt;760000,68000+0.25*(J175-760000),IF(J175&gt;520000,20000+0.2*(J175-520000),IF(J175&gt;270000,0.08*(J175-270000),IF(J175&lt;=270000,0)))))</f>
        <v>0</v>
      </c>
      <c r="K176" s="171">
        <f t="shared" ref="K176" si="596">IF(K175&gt;1000000,128000+0.3*(K175-1000000),IF(K175&gt;760000,68000+0.25*(K175-760000),IF(K175&gt;520000,20000+0.2*(K175-520000),IF(K175&gt;270000,0.08*(K175-270000),IF(K175&lt;=270000,0)))))</f>
        <v>0</v>
      </c>
      <c r="L176" s="171">
        <f t="shared" ref="L176" si="597">IF(L175&gt;1000000,128000+0.3*(L175-1000000),IF(L175&gt;760000,68000+0.25*(L175-760000),IF(L175&gt;520000,20000+0.2*(L175-520000),IF(L175&gt;270000,0.08*(L175-270000),IF(L175&lt;=270000,0)))))</f>
        <v>0</v>
      </c>
      <c r="M176" s="171">
        <f t="shared" ref="M176" si="598">IF(M175&gt;1000000,128000+0.3*(M175-1000000),IF(M175&gt;760000,68000+0.25*(M175-760000),IF(M175&gt;520000,20000+0.2*(M175-520000),IF(M175&gt;270000,0.08*(M175-270000),IF(M175&lt;=270000,0)))))</f>
        <v>0</v>
      </c>
      <c r="N176" s="171">
        <f t="shared" ref="N176" si="599">IF(N175&gt;1000000,128000+0.3*(N175-1000000),IF(N175&gt;760000,68000+0.25*(N175-760000),IF(N175&gt;520000,20000+0.2*(N175-520000),IF(N175&gt;270000,0.08*(N175-270000),IF(N175&lt;=270000,0)))))</f>
        <v>0</v>
      </c>
      <c r="O176" s="13">
        <f t="shared" si="462"/>
        <v>0</v>
      </c>
      <c r="P176" s="14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3"/>
      <c r="IN176" s="3"/>
      <c r="IO176" s="3"/>
      <c r="IP176" s="3"/>
      <c r="IQ176" s="3"/>
      <c r="IR176" s="3"/>
      <c r="IS176" s="3"/>
      <c r="IT176" s="3"/>
      <c r="IU176" s="3"/>
      <c r="IV176" s="3"/>
    </row>
    <row r="177" spans="1:256" s="17" customFormat="1" x14ac:dyDescent="0.35">
      <c r="A177" s="17">
        <v>44</v>
      </c>
      <c r="B177" s="11" t="s">
        <v>437</v>
      </c>
      <c r="C177" s="12">
        <v>300000</v>
      </c>
      <c r="D177" s="12">
        <v>300000</v>
      </c>
      <c r="E177" s="12">
        <v>300000</v>
      </c>
      <c r="F177" s="12">
        <v>0</v>
      </c>
      <c r="G177" s="12">
        <v>0</v>
      </c>
      <c r="H177" s="12">
        <v>0</v>
      </c>
      <c r="I177" s="12">
        <v>0</v>
      </c>
      <c r="J177" s="12">
        <v>0</v>
      </c>
      <c r="K177" s="12">
        <v>0</v>
      </c>
      <c r="L177" s="12">
        <v>0</v>
      </c>
      <c r="M177" s="12">
        <v>0</v>
      </c>
      <c r="N177" s="12">
        <v>0</v>
      </c>
      <c r="O177" s="13">
        <f t="shared" si="462"/>
        <v>900000</v>
      </c>
      <c r="P177" s="14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3"/>
      <c r="IE177" s="3"/>
      <c r="IF177" s="3"/>
      <c r="IG177" s="3"/>
      <c r="IH177" s="3"/>
      <c r="II177" s="3"/>
      <c r="IJ177" s="3"/>
      <c r="IK177" s="3"/>
      <c r="IL177" s="3"/>
      <c r="IM177" s="3"/>
      <c r="IN177" s="3"/>
      <c r="IO177" s="3"/>
      <c r="IP177" s="3"/>
      <c r="IQ177" s="3"/>
      <c r="IR177" s="3"/>
      <c r="IS177" s="3"/>
      <c r="IT177" s="3"/>
      <c r="IU177" s="3"/>
      <c r="IV177" s="3"/>
    </row>
    <row r="178" spans="1:256" s="17" customFormat="1" x14ac:dyDescent="0.35">
      <c r="B178" s="15" t="s">
        <v>14</v>
      </c>
      <c r="C178" s="16">
        <f t="shared" ref="C178" si="600">C177*0.1</f>
        <v>30000</v>
      </c>
      <c r="D178" s="16">
        <f t="shared" ref="D178:N178" si="601">D177*0.1</f>
        <v>30000</v>
      </c>
      <c r="E178" s="16">
        <f t="shared" si="601"/>
        <v>30000</v>
      </c>
      <c r="F178" s="16">
        <f t="shared" si="601"/>
        <v>0</v>
      </c>
      <c r="G178" s="16">
        <f t="shared" si="601"/>
        <v>0</v>
      </c>
      <c r="H178" s="16">
        <f t="shared" si="601"/>
        <v>0</v>
      </c>
      <c r="I178" s="16">
        <f t="shared" si="601"/>
        <v>0</v>
      </c>
      <c r="J178" s="16">
        <f t="shared" si="601"/>
        <v>0</v>
      </c>
      <c r="K178" s="16">
        <f t="shared" si="601"/>
        <v>0</v>
      </c>
      <c r="L178" s="16">
        <f t="shared" si="601"/>
        <v>0</v>
      </c>
      <c r="M178" s="16">
        <f t="shared" si="601"/>
        <v>0</v>
      </c>
      <c r="N178" s="16">
        <f t="shared" si="601"/>
        <v>0</v>
      </c>
      <c r="O178" s="13">
        <f t="shared" si="462"/>
        <v>90000</v>
      </c>
      <c r="P178" s="14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3"/>
      <c r="HT178" s="3"/>
      <c r="HU178" s="3"/>
      <c r="HV178" s="3"/>
      <c r="HW178" s="3"/>
      <c r="HX178" s="3"/>
      <c r="HY178" s="3"/>
      <c r="HZ178" s="3"/>
      <c r="IA178" s="3"/>
      <c r="IB178" s="3"/>
      <c r="IC178" s="3"/>
      <c r="ID178" s="3"/>
      <c r="IE178" s="3"/>
      <c r="IF178" s="3"/>
      <c r="IG178" s="3"/>
      <c r="IH178" s="3"/>
      <c r="II178" s="3"/>
      <c r="IJ178" s="3"/>
      <c r="IK178" s="3"/>
      <c r="IL178" s="3"/>
      <c r="IM178" s="3"/>
      <c r="IN178" s="3"/>
      <c r="IO178" s="3"/>
      <c r="IP178" s="3"/>
      <c r="IQ178" s="3"/>
      <c r="IR178" s="3"/>
      <c r="IS178" s="3"/>
      <c r="IT178" s="3"/>
      <c r="IU178" s="3"/>
      <c r="IV178" s="3"/>
    </row>
    <row r="179" spans="1:256" s="1" customFormat="1" x14ac:dyDescent="0.35">
      <c r="B179" s="15" t="s">
        <v>15</v>
      </c>
      <c r="C179" s="16">
        <f t="shared" ref="C179" si="602">C177-C178</f>
        <v>270000</v>
      </c>
      <c r="D179" s="16">
        <f t="shared" ref="D179:N179" si="603">D177-D178</f>
        <v>270000</v>
      </c>
      <c r="E179" s="16">
        <f t="shared" si="603"/>
        <v>270000</v>
      </c>
      <c r="F179" s="16">
        <f t="shared" si="603"/>
        <v>0</v>
      </c>
      <c r="G179" s="16">
        <f t="shared" si="603"/>
        <v>0</v>
      </c>
      <c r="H179" s="16">
        <f t="shared" si="603"/>
        <v>0</v>
      </c>
      <c r="I179" s="16">
        <f t="shared" si="603"/>
        <v>0</v>
      </c>
      <c r="J179" s="16">
        <f t="shared" si="603"/>
        <v>0</v>
      </c>
      <c r="K179" s="16">
        <f t="shared" si="603"/>
        <v>0</v>
      </c>
      <c r="L179" s="16">
        <f t="shared" si="603"/>
        <v>0</v>
      </c>
      <c r="M179" s="16">
        <f t="shared" si="603"/>
        <v>0</v>
      </c>
      <c r="N179" s="16">
        <f t="shared" si="603"/>
        <v>0</v>
      </c>
      <c r="O179" s="13">
        <f t="shared" si="462"/>
        <v>810000</v>
      </c>
      <c r="P179" s="14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  <c r="HY179" s="3"/>
      <c r="HZ179" s="3"/>
      <c r="IA179" s="3"/>
      <c r="IB179" s="3"/>
      <c r="IC179" s="3"/>
      <c r="ID179" s="3"/>
      <c r="IE179" s="3"/>
      <c r="IF179" s="3"/>
      <c r="IG179" s="3"/>
      <c r="IH179" s="3"/>
      <c r="II179" s="3"/>
      <c r="IJ179" s="3"/>
      <c r="IK179" s="3"/>
      <c r="IL179" s="3"/>
      <c r="IM179" s="3"/>
      <c r="IN179" s="3"/>
      <c r="IO179" s="3"/>
      <c r="IP179" s="3"/>
      <c r="IQ179" s="3"/>
      <c r="IR179" s="3"/>
      <c r="IS179" s="3"/>
      <c r="IT179" s="3"/>
      <c r="IU179" s="3"/>
      <c r="IV179" s="3"/>
    </row>
    <row r="180" spans="1:256" s="1" customFormat="1" x14ac:dyDescent="0.35">
      <c r="B180" s="15" t="s">
        <v>16</v>
      </c>
      <c r="C180" s="171">
        <f>IF(C179&gt;1000000,128000+0.3*(C179-1000000),IF(C179&gt;760000,68000+0.25*(C179-760000),IF(C179&gt;520000,20000+0.2*(C179-520000),IF(C179&gt;270000,0.08*(C179-270000),IF(C179&lt;=270000,0)))))</f>
        <v>0</v>
      </c>
      <c r="D180" s="171">
        <f t="shared" ref="D180" si="604">IF(D179&gt;1000000,128000+0.3*(D179-1000000),IF(D179&gt;760000,68000+0.25*(D179-760000),IF(D179&gt;520000,20000+0.2*(D179-520000),IF(D179&gt;270000,0.08*(D179-270000),IF(D179&lt;=270000,0)))))</f>
        <v>0</v>
      </c>
      <c r="E180" s="171">
        <f t="shared" ref="E180" si="605">IF(E179&gt;1000000,128000+0.3*(E179-1000000),IF(E179&gt;760000,68000+0.25*(E179-760000),IF(E179&gt;520000,20000+0.2*(E179-520000),IF(E179&gt;270000,0.08*(E179-270000),IF(E179&lt;=270000,0)))))</f>
        <v>0</v>
      </c>
      <c r="F180" s="171">
        <f t="shared" ref="F180" si="606">IF(F179&gt;1000000,128000+0.3*(F179-1000000),IF(F179&gt;760000,68000+0.25*(F179-760000),IF(F179&gt;520000,20000+0.2*(F179-520000),IF(F179&gt;270000,0.08*(F179-270000),IF(F179&lt;=270000,0)))))</f>
        <v>0</v>
      </c>
      <c r="G180" s="171">
        <f t="shared" ref="G180" si="607">IF(G179&gt;1000000,128000+0.3*(G179-1000000),IF(G179&gt;760000,68000+0.25*(G179-760000),IF(G179&gt;520000,20000+0.2*(G179-520000),IF(G179&gt;270000,0.08*(G179-270000),IF(G179&lt;=270000,0)))))</f>
        <v>0</v>
      </c>
      <c r="H180" s="171">
        <f t="shared" ref="H180" si="608">IF(H179&gt;1000000,128000+0.3*(H179-1000000),IF(H179&gt;760000,68000+0.25*(H179-760000),IF(H179&gt;520000,20000+0.2*(H179-520000),IF(H179&gt;270000,0.08*(H179-270000),IF(H179&lt;=270000,0)))))</f>
        <v>0</v>
      </c>
      <c r="I180" s="171">
        <f t="shared" ref="I180" si="609">IF(I179&gt;1000000,128000+0.3*(I179-1000000),IF(I179&gt;760000,68000+0.25*(I179-760000),IF(I179&gt;520000,20000+0.2*(I179-520000),IF(I179&gt;270000,0.08*(I179-270000),IF(I179&lt;=270000,0)))))</f>
        <v>0</v>
      </c>
      <c r="J180" s="171">
        <f t="shared" ref="J180" si="610">IF(J179&gt;1000000,128000+0.3*(J179-1000000),IF(J179&gt;760000,68000+0.25*(J179-760000),IF(J179&gt;520000,20000+0.2*(J179-520000),IF(J179&gt;270000,0.08*(J179-270000),IF(J179&lt;=270000,0)))))</f>
        <v>0</v>
      </c>
      <c r="K180" s="171">
        <f t="shared" ref="K180" si="611">IF(K179&gt;1000000,128000+0.3*(K179-1000000),IF(K179&gt;760000,68000+0.25*(K179-760000),IF(K179&gt;520000,20000+0.2*(K179-520000),IF(K179&gt;270000,0.08*(K179-270000),IF(K179&lt;=270000,0)))))</f>
        <v>0</v>
      </c>
      <c r="L180" s="171">
        <f t="shared" ref="L180" si="612">IF(L179&gt;1000000,128000+0.3*(L179-1000000),IF(L179&gt;760000,68000+0.25*(L179-760000),IF(L179&gt;520000,20000+0.2*(L179-520000),IF(L179&gt;270000,0.08*(L179-270000),IF(L179&lt;=270000,0)))))</f>
        <v>0</v>
      </c>
      <c r="M180" s="171">
        <f t="shared" ref="M180" si="613">IF(M179&gt;1000000,128000+0.3*(M179-1000000),IF(M179&gt;760000,68000+0.25*(M179-760000),IF(M179&gt;520000,20000+0.2*(M179-520000),IF(M179&gt;270000,0.08*(M179-270000),IF(M179&lt;=270000,0)))))</f>
        <v>0</v>
      </c>
      <c r="N180" s="171">
        <f t="shared" ref="N180" si="614">IF(N179&gt;1000000,128000+0.3*(N179-1000000),IF(N179&gt;760000,68000+0.25*(N179-760000),IF(N179&gt;520000,20000+0.2*(N179-520000),IF(N179&gt;270000,0.08*(N179-270000),IF(N179&lt;=270000,0)))))</f>
        <v>0</v>
      </c>
      <c r="O180" s="13">
        <f t="shared" si="462"/>
        <v>0</v>
      </c>
      <c r="P180" s="14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3"/>
      <c r="IC180" s="3"/>
      <c r="ID180" s="3"/>
      <c r="IE180" s="3"/>
      <c r="IF180" s="3"/>
      <c r="IG180" s="3"/>
      <c r="IH180" s="3"/>
      <c r="II180" s="3"/>
      <c r="IJ180" s="3"/>
      <c r="IK180" s="3"/>
      <c r="IL180" s="3"/>
      <c r="IM180" s="3"/>
      <c r="IN180" s="3"/>
      <c r="IO180" s="3"/>
      <c r="IP180" s="3"/>
      <c r="IQ180" s="3"/>
      <c r="IR180" s="3"/>
      <c r="IS180" s="3"/>
      <c r="IT180" s="3"/>
      <c r="IU180" s="3"/>
      <c r="IV180" s="3"/>
    </row>
    <row r="181" spans="1:256" s="17" customFormat="1" x14ac:dyDescent="0.35">
      <c r="A181" s="17">
        <v>45</v>
      </c>
      <c r="B181" s="11" t="s">
        <v>438</v>
      </c>
      <c r="C181" s="12">
        <v>300000</v>
      </c>
      <c r="D181" s="12">
        <v>300000</v>
      </c>
      <c r="E181" s="12">
        <v>300000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3">
        <f t="shared" si="462"/>
        <v>900000</v>
      </c>
      <c r="P181" s="14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3"/>
      <c r="IA181" s="3"/>
      <c r="IB181" s="3"/>
      <c r="IC181" s="3"/>
      <c r="ID181" s="3"/>
      <c r="IE181" s="3"/>
      <c r="IF181" s="3"/>
      <c r="IG181" s="3"/>
      <c r="IH181" s="3"/>
      <c r="II181" s="3"/>
      <c r="IJ181" s="3"/>
      <c r="IK181" s="3"/>
      <c r="IL181" s="3"/>
      <c r="IM181" s="3"/>
      <c r="IN181" s="3"/>
      <c r="IO181" s="3"/>
      <c r="IP181" s="3"/>
      <c r="IQ181" s="3"/>
      <c r="IR181" s="3"/>
      <c r="IS181" s="3"/>
      <c r="IT181" s="3"/>
      <c r="IU181" s="3"/>
      <c r="IV181" s="3"/>
    </row>
    <row r="182" spans="1:256" s="17" customFormat="1" x14ac:dyDescent="0.35">
      <c r="B182" s="15" t="s">
        <v>14</v>
      </c>
      <c r="C182" s="16">
        <f t="shared" ref="C182" si="615">C181*0.1</f>
        <v>30000</v>
      </c>
      <c r="D182" s="16">
        <f t="shared" ref="D182:N182" si="616">D181*0.1</f>
        <v>30000</v>
      </c>
      <c r="E182" s="16">
        <f t="shared" si="616"/>
        <v>30000</v>
      </c>
      <c r="F182" s="16">
        <f t="shared" si="616"/>
        <v>0</v>
      </c>
      <c r="G182" s="16">
        <f t="shared" si="616"/>
        <v>0</v>
      </c>
      <c r="H182" s="16">
        <f t="shared" si="616"/>
        <v>0</v>
      </c>
      <c r="I182" s="16">
        <f t="shared" si="616"/>
        <v>0</v>
      </c>
      <c r="J182" s="16">
        <f t="shared" si="616"/>
        <v>0</v>
      </c>
      <c r="K182" s="16">
        <f t="shared" si="616"/>
        <v>0</v>
      </c>
      <c r="L182" s="16">
        <f t="shared" si="616"/>
        <v>0</v>
      </c>
      <c r="M182" s="16">
        <f t="shared" si="616"/>
        <v>0</v>
      </c>
      <c r="N182" s="16">
        <f t="shared" si="616"/>
        <v>0</v>
      </c>
      <c r="O182" s="13">
        <f t="shared" si="462"/>
        <v>90000</v>
      </c>
      <c r="P182" s="14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/>
      <c r="II182" s="3"/>
      <c r="IJ182" s="3"/>
      <c r="IK182" s="3"/>
      <c r="IL182" s="3"/>
      <c r="IM182" s="3"/>
      <c r="IN182" s="3"/>
      <c r="IO182" s="3"/>
      <c r="IP182" s="3"/>
      <c r="IQ182" s="3"/>
      <c r="IR182" s="3"/>
      <c r="IS182" s="3"/>
      <c r="IT182" s="3"/>
      <c r="IU182" s="3"/>
      <c r="IV182" s="3"/>
    </row>
    <row r="183" spans="1:256" s="1" customFormat="1" x14ac:dyDescent="0.35">
      <c r="B183" s="15" t="s">
        <v>15</v>
      </c>
      <c r="C183" s="16">
        <f t="shared" ref="C183" si="617">C181-C182</f>
        <v>270000</v>
      </c>
      <c r="D183" s="16">
        <f t="shared" ref="D183:N183" si="618">D181-D182</f>
        <v>270000</v>
      </c>
      <c r="E183" s="16">
        <f t="shared" si="618"/>
        <v>270000</v>
      </c>
      <c r="F183" s="16">
        <f t="shared" si="618"/>
        <v>0</v>
      </c>
      <c r="G183" s="16">
        <f t="shared" si="618"/>
        <v>0</v>
      </c>
      <c r="H183" s="16">
        <f t="shared" si="618"/>
        <v>0</v>
      </c>
      <c r="I183" s="16">
        <f t="shared" si="618"/>
        <v>0</v>
      </c>
      <c r="J183" s="16">
        <f t="shared" si="618"/>
        <v>0</v>
      </c>
      <c r="K183" s="16">
        <f t="shared" si="618"/>
        <v>0</v>
      </c>
      <c r="L183" s="16">
        <f t="shared" si="618"/>
        <v>0</v>
      </c>
      <c r="M183" s="16">
        <f t="shared" si="618"/>
        <v>0</v>
      </c>
      <c r="N183" s="16">
        <f t="shared" si="618"/>
        <v>0</v>
      </c>
      <c r="O183" s="13">
        <f t="shared" si="462"/>
        <v>810000</v>
      </c>
      <c r="P183" s="14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  <c r="HU183" s="3"/>
      <c r="HV183" s="3"/>
      <c r="HW183" s="3"/>
      <c r="HX183" s="3"/>
      <c r="HY183" s="3"/>
      <c r="HZ183" s="3"/>
      <c r="IA183" s="3"/>
      <c r="IB183" s="3"/>
      <c r="IC183" s="3"/>
      <c r="ID183" s="3"/>
      <c r="IE183" s="3"/>
      <c r="IF183" s="3"/>
      <c r="IG183" s="3"/>
      <c r="IH183" s="3"/>
      <c r="II183" s="3"/>
      <c r="IJ183" s="3"/>
      <c r="IK183" s="3"/>
      <c r="IL183" s="3"/>
      <c r="IM183" s="3"/>
      <c r="IN183" s="3"/>
      <c r="IO183" s="3"/>
      <c r="IP183" s="3"/>
      <c r="IQ183" s="3"/>
      <c r="IR183" s="3"/>
      <c r="IS183" s="3"/>
      <c r="IT183" s="3"/>
      <c r="IU183" s="3"/>
      <c r="IV183" s="3"/>
    </row>
    <row r="184" spans="1:256" s="1" customFormat="1" x14ac:dyDescent="0.35">
      <c r="B184" s="15" t="s">
        <v>16</v>
      </c>
      <c r="C184" s="171">
        <f>IF(C183&gt;1000000,128000+0.3*(C183-1000000),IF(C183&gt;760000,68000+0.25*(C183-760000),IF(C183&gt;520000,20000+0.2*(C183-520000),IF(C183&gt;270000,0.08*(C183-270000),IF(C183&lt;=270000,0)))))</f>
        <v>0</v>
      </c>
      <c r="D184" s="171">
        <f t="shared" ref="D184" si="619">IF(D183&gt;1000000,128000+0.3*(D183-1000000),IF(D183&gt;760000,68000+0.25*(D183-760000),IF(D183&gt;520000,20000+0.2*(D183-520000),IF(D183&gt;270000,0.08*(D183-270000),IF(D183&lt;=270000,0)))))</f>
        <v>0</v>
      </c>
      <c r="E184" s="171">
        <f t="shared" ref="E184" si="620">IF(E183&gt;1000000,128000+0.3*(E183-1000000),IF(E183&gt;760000,68000+0.25*(E183-760000),IF(E183&gt;520000,20000+0.2*(E183-520000),IF(E183&gt;270000,0.08*(E183-270000),IF(E183&lt;=270000,0)))))</f>
        <v>0</v>
      </c>
      <c r="F184" s="171">
        <f t="shared" ref="F184" si="621">IF(F183&gt;1000000,128000+0.3*(F183-1000000),IF(F183&gt;760000,68000+0.25*(F183-760000),IF(F183&gt;520000,20000+0.2*(F183-520000),IF(F183&gt;270000,0.08*(F183-270000),IF(F183&lt;=270000,0)))))</f>
        <v>0</v>
      </c>
      <c r="G184" s="171">
        <f t="shared" ref="G184" si="622">IF(G183&gt;1000000,128000+0.3*(G183-1000000),IF(G183&gt;760000,68000+0.25*(G183-760000),IF(G183&gt;520000,20000+0.2*(G183-520000),IF(G183&gt;270000,0.08*(G183-270000),IF(G183&lt;=270000,0)))))</f>
        <v>0</v>
      </c>
      <c r="H184" s="171">
        <f t="shared" ref="H184" si="623">IF(H183&gt;1000000,128000+0.3*(H183-1000000),IF(H183&gt;760000,68000+0.25*(H183-760000),IF(H183&gt;520000,20000+0.2*(H183-520000),IF(H183&gt;270000,0.08*(H183-270000),IF(H183&lt;=270000,0)))))</f>
        <v>0</v>
      </c>
      <c r="I184" s="171">
        <f t="shared" ref="I184" si="624">IF(I183&gt;1000000,128000+0.3*(I183-1000000),IF(I183&gt;760000,68000+0.25*(I183-760000),IF(I183&gt;520000,20000+0.2*(I183-520000),IF(I183&gt;270000,0.08*(I183-270000),IF(I183&lt;=270000,0)))))</f>
        <v>0</v>
      </c>
      <c r="J184" s="171">
        <f t="shared" ref="J184" si="625">IF(J183&gt;1000000,128000+0.3*(J183-1000000),IF(J183&gt;760000,68000+0.25*(J183-760000),IF(J183&gt;520000,20000+0.2*(J183-520000),IF(J183&gt;270000,0.08*(J183-270000),IF(J183&lt;=270000,0)))))</f>
        <v>0</v>
      </c>
      <c r="K184" s="171">
        <f t="shared" ref="K184" si="626">IF(K183&gt;1000000,128000+0.3*(K183-1000000),IF(K183&gt;760000,68000+0.25*(K183-760000),IF(K183&gt;520000,20000+0.2*(K183-520000),IF(K183&gt;270000,0.08*(K183-270000),IF(K183&lt;=270000,0)))))</f>
        <v>0</v>
      </c>
      <c r="L184" s="171">
        <f t="shared" ref="L184" si="627">IF(L183&gt;1000000,128000+0.3*(L183-1000000),IF(L183&gt;760000,68000+0.25*(L183-760000),IF(L183&gt;520000,20000+0.2*(L183-520000),IF(L183&gt;270000,0.08*(L183-270000),IF(L183&lt;=270000,0)))))</f>
        <v>0</v>
      </c>
      <c r="M184" s="171">
        <f t="shared" ref="M184" si="628">IF(M183&gt;1000000,128000+0.3*(M183-1000000),IF(M183&gt;760000,68000+0.25*(M183-760000),IF(M183&gt;520000,20000+0.2*(M183-520000),IF(M183&gt;270000,0.08*(M183-270000),IF(M183&lt;=270000,0)))))</f>
        <v>0</v>
      </c>
      <c r="N184" s="171">
        <f t="shared" ref="N184" si="629">IF(N183&gt;1000000,128000+0.3*(N183-1000000),IF(N183&gt;760000,68000+0.25*(N183-760000),IF(N183&gt;520000,20000+0.2*(N183-520000),IF(N183&gt;270000,0.08*(N183-270000),IF(N183&lt;=270000,0)))))</f>
        <v>0</v>
      </c>
      <c r="O184" s="13">
        <f t="shared" si="462"/>
        <v>0</v>
      </c>
      <c r="P184" s="14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  <c r="II184" s="3"/>
      <c r="IJ184" s="3"/>
      <c r="IK184" s="3"/>
      <c r="IL184" s="3"/>
      <c r="IM184" s="3"/>
      <c r="IN184" s="3"/>
      <c r="IO184" s="3"/>
      <c r="IP184" s="3"/>
      <c r="IQ184" s="3"/>
      <c r="IR184" s="3"/>
      <c r="IS184" s="3"/>
      <c r="IT184" s="3"/>
      <c r="IU184" s="3"/>
      <c r="IV184" s="3"/>
    </row>
    <row r="185" spans="1:256" s="17" customFormat="1" x14ac:dyDescent="0.35">
      <c r="A185" s="17">
        <v>46</v>
      </c>
      <c r="B185" s="11" t="s">
        <v>439</v>
      </c>
      <c r="C185" s="12">
        <v>300000</v>
      </c>
      <c r="D185" s="12">
        <v>300000</v>
      </c>
      <c r="E185" s="12">
        <v>300000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r="M185" s="12">
        <v>0</v>
      </c>
      <c r="N185" s="12">
        <v>0</v>
      </c>
      <c r="O185" s="13">
        <f t="shared" si="462"/>
        <v>900000</v>
      </c>
      <c r="P185" s="14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/>
      <c r="IG185" s="3"/>
      <c r="IH185" s="3"/>
      <c r="II185" s="3"/>
      <c r="IJ185" s="3"/>
      <c r="IK185" s="3"/>
      <c r="IL185" s="3"/>
      <c r="IM185" s="3"/>
      <c r="IN185" s="3"/>
      <c r="IO185" s="3"/>
      <c r="IP185" s="3"/>
      <c r="IQ185" s="3"/>
      <c r="IR185" s="3"/>
      <c r="IS185" s="3"/>
      <c r="IT185" s="3"/>
      <c r="IU185" s="3"/>
      <c r="IV185" s="3"/>
    </row>
    <row r="186" spans="1:256" s="17" customFormat="1" x14ac:dyDescent="0.35">
      <c r="B186" s="15" t="s">
        <v>14</v>
      </c>
      <c r="C186" s="16">
        <f t="shared" ref="C186" si="630">C185*0.1</f>
        <v>30000</v>
      </c>
      <c r="D186" s="16">
        <f t="shared" ref="D186:N186" si="631">D185*0.1</f>
        <v>30000</v>
      </c>
      <c r="E186" s="16">
        <f t="shared" si="631"/>
        <v>30000</v>
      </c>
      <c r="F186" s="16">
        <f t="shared" si="631"/>
        <v>0</v>
      </c>
      <c r="G186" s="16">
        <f t="shared" si="631"/>
        <v>0</v>
      </c>
      <c r="H186" s="16">
        <f t="shared" si="631"/>
        <v>0</v>
      </c>
      <c r="I186" s="16">
        <f t="shared" si="631"/>
        <v>0</v>
      </c>
      <c r="J186" s="16">
        <f t="shared" si="631"/>
        <v>0</v>
      </c>
      <c r="K186" s="16">
        <f t="shared" si="631"/>
        <v>0</v>
      </c>
      <c r="L186" s="16">
        <f t="shared" si="631"/>
        <v>0</v>
      </c>
      <c r="M186" s="16">
        <f t="shared" si="631"/>
        <v>0</v>
      </c>
      <c r="N186" s="16">
        <f t="shared" si="631"/>
        <v>0</v>
      </c>
      <c r="O186" s="13">
        <f t="shared" si="462"/>
        <v>90000</v>
      </c>
      <c r="P186" s="14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  <c r="HY186" s="3"/>
      <c r="HZ186" s="3"/>
      <c r="IA186" s="3"/>
      <c r="IB186" s="3"/>
      <c r="IC186" s="3"/>
      <c r="ID186" s="3"/>
      <c r="IE186" s="3"/>
      <c r="IF186" s="3"/>
      <c r="IG186" s="3"/>
      <c r="IH186" s="3"/>
      <c r="II186" s="3"/>
      <c r="IJ186" s="3"/>
      <c r="IK186" s="3"/>
      <c r="IL186" s="3"/>
      <c r="IM186" s="3"/>
      <c r="IN186" s="3"/>
      <c r="IO186" s="3"/>
      <c r="IP186" s="3"/>
      <c r="IQ186" s="3"/>
      <c r="IR186" s="3"/>
      <c r="IS186" s="3"/>
      <c r="IT186" s="3"/>
      <c r="IU186" s="3"/>
      <c r="IV186" s="3"/>
    </row>
    <row r="187" spans="1:256" s="1" customFormat="1" x14ac:dyDescent="0.35">
      <c r="B187" s="15" t="s">
        <v>15</v>
      </c>
      <c r="C187" s="16">
        <f t="shared" ref="C187" si="632">C185-C186</f>
        <v>270000</v>
      </c>
      <c r="D187" s="16">
        <f t="shared" ref="D187:N187" si="633">D185-D186</f>
        <v>270000</v>
      </c>
      <c r="E187" s="16">
        <f t="shared" si="633"/>
        <v>270000</v>
      </c>
      <c r="F187" s="16">
        <f t="shared" si="633"/>
        <v>0</v>
      </c>
      <c r="G187" s="16">
        <f t="shared" si="633"/>
        <v>0</v>
      </c>
      <c r="H187" s="16">
        <f t="shared" si="633"/>
        <v>0</v>
      </c>
      <c r="I187" s="16">
        <f t="shared" si="633"/>
        <v>0</v>
      </c>
      <c r="J187" s="16">
        <f t="shared" si="633"/>
        <v>0</v>
      </c>
      <c r="K187" s="16">
        <f t="shared" si="633"/>
        <v>0</v>
      </c>
      <c r="L187" s="16">
        <f t="shared" si="633"/>
        <v>0</v>
      </c>
      <c r="M187" s="16">
        <f t="shared" si="633"/>
        <v>0</v>
      </c>
      <c r="N187" s="16">
        <f t="shared" si="633"/>
        <v>0</v>
      </c>
      <c r="O187" s="13">
        <f t="shared" si="462"/>
        <v>810000</v>
      </c>
      <c r="P187" s="14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  <c r="HU187" s="3"/>
      <c r="HV187" s="3"/>
      <c r="HW187" s="3"/>
      <c r="HX187" s="3"/>
      <c r="HY187" s="3"/>
      <c r="HZ187" s="3"/>
      <c r="IA187" s="3"/>
      <c r="IB187" s="3"/>
      <c r="IC187" s="3"/>
      <c r="ID187" s="3"/>
      <c r="IE187" s="3"/>
      <c r="IF187" s="3"/>
      <c r="IG187" s="3"/>
      <c r="IH187" s="3"/>
      <c r="II187" s="3"/>
      <c r="IJ187" s="3"/>
      <c r="IK187" s="3"/>
      <c r="IL187" s="3"/>
      <c r="IM187" s="3"/>
      <c r="IN187" s="3"/>
      <c r="IO187" s="3"/>
      <c r="IP187" s="3"/>
      <c r="IQ187" s="3"/>
      <c r="IR187" s="3"/>
      <c r="IS187" s="3"/>
      <c r="IT187" s="3"/>
      <c r="IU187" s="3"/>
      <c r="IV187" s="3"/>
    </row>
    <row r="188" spans="1:256" s="1" customFormat="1" x14ac:dyDescent="0.35">
      <c r="B188" s="15" t="s">
        <v>16</v>
      </c>
      <c r="C188" s="18">
        <f t="shared" ref="C188" si="634">IF(C187&gt;1000000,(C188-1000000)*0.3+130500,IF(C187&gt;760000,(C187-760000)*0.25+70500,IF(C187&gt;520000,(C187-520000)*0.2+22500,IF(C187&gt;270000,(C187-270000)*0.08+0,IF(C187&lt;270001,0,0)))))</f>
        <v>0</v>
      </c>
      <c r="D188" s="18">
        <f t="shared" ref="D188:N188" si="635">IF(D187&gt;1000000,(D188-1000000)*0.3+128000,IF(D187&gt;760000,(D187-760000)*0.25+68000,IF(D187&gt;520000,(D187-520000)*0.2+20000,IF(D187&gt;270000,(D187-270000)*0.08+0,IF(D187&lt;270001,0,0)))))</f>
        <v>0</v>
      </c>
      <c r="E188" s="18">
        <f t="shared" si="635"/>
        <v>0</v>
      </c>
      <c r="F188" s="18">
        <f t="shared" si="635"/>
        <v>0</v>
      </c>
      <c r="G188" s="18">
        <f t="shared" si="635"/>
        <v>0</v>
      </c>
      <c r="H188" s="18">
        <f t="shared" si="635"/>
        <v>0</v>
      </c>
      <c r="I188" s="18">
        <f t="shared" si="635"/>
        <v>0</v>
      </c>
      <c r="J188" s="18">
        <f t="shared" si="635"/>
        <v>0</v>
      </c>
      <c r="K188" s="18">
        <f t="shared" si="635"/>
        <v>0</v>
      </c>
      <c r="L188" s="18">
        <f t="shared" si="635"/>
        <v>0</v>
      </c>
      <c r="M188" s="18">
        <f t="shared" si="635"/>
        <v>0</v>
      </c>
      <c r="N188" s="18">
        <f t="shared" si="635"/>
        <v>0</v>
      </c>
      <c r="O188" s="13">
        <f t="shared" si="462"/>
        <v>0</v>
      </c>
      <c r="P188" s="14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3"/>
      <c r="HU188" s="3"/>
      <c r="HV188" s="3"/>
      <c r="HW188" s="3"/>
      <c r="HX188" s="3"/>
      <c r="HY188" s="3"/>
      <c r="HZ188" s="3"/>
      <c r="IA188" s="3"/>
      <c r="IB188" s="3"/>
      <c r="IC188" s="3"/>
      <c r="ID188" s="3"/>
      <c r="IE188" s="3"/>
      <c r="IF188" s="3"/>
      <c r="IG188" s="3"/>
      <c r="IH188" s="3"/>
      <c r="II188" s="3"/>
      <c r="IJ188" s="3"/>
      <c r="IK188" s="3"/>
      <c r="IL188" s="3"/>
      <c r="IM188" s="3"/>
      <c r="IN188" s="3"/>
      <c r="IO188" s="3"/>
      <c r="IP188" s="3"/>
      <c r="IQ188" s="3"/>
      <c r="IR188" s="3"/>
      <c r="IS188" s="3"/>
      <c r="IT188" s="3"/>
      <c r="IU188" s="3"/>
      <c r="IV188" s="3"/>
    </row>
    <row r="189" spans="1:256" s="17" customFormat="1" x14ac:dyDescent="0.35">
      <c r="A189" s="17">
        <v>47</v>
      </c>
      <c r="B189" s="11" t="s">
        <v>440</v>
      </c>
      <c r="C189" s="12">
        <v>300000</v>
      </c>
      <c r="D189" s="12">
        <v>300000</v>
      </c>
      <c r="E189" s="12">
        <v>300000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2">
        <v>0</v>
      </c>
      <c r="N189" s="12">
        <v>0</v>
      </c>
      <c r="O189" s="13">
        <f t="shared" si="462"/>
        <v>900000</v>
      </c>
      <c r="P189" s="14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  <c r="HZ189" s="3"/>
      <c r="IA189" s="3"/>
      <c r="IB189" s="3"/>
      <c r="IC189" s="3"/>
      <c r="ID189" s="3"/>
      <c r="IE189" s="3"/>
      <c r="IF189" s="3"/>
      <c r="IG189" s="3"/>
      <c r="IH189" s="3"/>
      <c r="II189" s="3"/>
      <c r="IJ189" s="3"/>
      <c r="IK189" s="3"/>
      <c r="IL189" s="3"/>
      <c r="IM189" s="3"/>
      <c r="IN189" s="3"/>
      <c r="IO189" s="3"/>
      <c r="IP189" s="3"/>
      <c r="IQ189" s="3"/>
      <c r="IR189" s="3"/>
      <c r="IS189" s="3"/>
      <c r="IT189" s="3"/>
      <c r="IU189" s="3"/>
      <c r="IV189" s="3"/>
    </row>
    <row r="190" spans="1:256" s="17" customFormat="1" x14ac:dyDescent="0.35">
      <c r="B190" s="15" t="s">
        <v>14</v>
      </c>
      <c r="C190" s="16">
        <f t="shared" ref="C190" si="636">C189*0.1</f>
        <v>30000</v>
      </c>
      <c r="D190" s="16">
        <f t="shared" ref="D190:N190" si="637">D189*0.1</f>
        <v>30000</v>
      </c>
      <c r="E190" s="16">
        <f t="shared" si="637"/>
        <v>30000</v>
      </c>
      <c r="F190" s="16">
        <f t="shared" si="637"/>
        <v>0</v>
      </c>
      <c r="G190" s="16">
        <f t="shared" si="637"/>
        <v>0</v>
      </c>
      <c r="H190" s="16">
        <f t="shared" si="637"/>
        <v>0</v>
      </c>
      <c r="I190" s="16">
        <f t="shared" si="637"/>
        <v>0</v>
      </c>
      <c r="J190" s="16">
        <f t="shared" si="637"/>
        <v>0</v>
      </c>
      <c r="K190" s="16">
        <f t="shared" si="637"/>
        <v>0</v>
      </c>
      <c r="L190" s="16">
        <f t="shared" si="637"/>
        <v>0</v>
      </c>
      <c r="M190" s="16">
        <f t="shared" si="637"/>
        <v>0</v>
      </c>
      <c r="N190" s="16">
        <f t="shared" si="637"/>
        <v>0</v>
      </c>
      <c r="O190" s="13">
        <f t="shared" si="462"/>
        <v>90000</v>
      </c>
      <c r="P190" s="14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  <c r="HZ190" s="3"/>
      <c r="IA190" s="3"/>
      <c r="IB190" s="3"/>
      <c r="IC190" s="3"/>
      <c r="ID190" s="3"/>
      <c r="IE190" s="3"/>
      <c r="IF190" s="3"/>
      <c r="IG190" s="3"/>
      <c r="IH190" s="3"/>
      <c r="II190" s="3"/>
      <c r="IJ190" s="3"/>
      <c r="IK190" s="3"/>
      <c r="IL190" s="3"/>
      <c r="IM190" s="3"/>
      <c r="IN190" s="3"/>
      <c r="IO190" s="3"/>
      <c r="IP190" s="3"/>
      <c r="IQ190" s="3"/>
      <c r="IR190" s="3"/>
      <c r="IS190" s="3"/>
      <c r="IT190" s="3"/>
      <c r="IU190" s="3"/>
      <c r="IV190" s="3"/>
    </row>
    <row r="191" spans="1:256" s="1" customFormat="1" x14ac:dyDescent="0.35">
      <c r="B191" s="15" t="s">
        <v>15</v>
      </c>
      <c r="C191" s="16">
        <f t="shared" ref="C191" si="638">C189-C190</f>
        <v>270000</v>
      </c>
      <c r="D191" s="16">
        <f t="shared" ref="D191:N191" si="639">D189-D190</f>
        <v>270000</v>
      </c>
      <c r="E191" s="16">
        <f t="shared" si="639"/>
        <v>270000</v>
      </c>
      <c r="F191" s="16">
        <f t="shared" si="639"/>
        <v>0</v>
      </c>
      <c r="G191" s="16">
        <f t="shared" si="639"/>
        <v>0</v>
      </c>
      <c r="H191" s="16">
        <f t="shared" si="639"/>
        <v>0</v>
      </c>
      <c r="I191" s="16">
        <f t="shared" si="639"/>
        <v>0</v>
      </c>
      <c r="J191" s="16">
        <f t="shared" si="639"/>
        <v>0</v>
      </c>
      <c r="K191" s="16">
        <f t="shared" si="639"/>
        <v>0</v>
      </c>
      <c r="L191" s="16">
        <f t="shared" si="639"/>
        <v>0</v>
      </c>
      <c r="M191" s="16">
        <f t="shared" si="639"/>
        <v>0</v>
      </c>
      <c r="N191" s="16">
        <f t="shared" si="639"/>
        <v>0</v>
      </c>
      <c r="O191" s="13">
        <f t="shared" si="462"/>
        <v>810000</v>
      </c>
      <c r="P191" s="14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3"/>
      <c r="HT191" s="3"/>
      <c r="HU191" s="3"/>
      <c r="HV191" s="3"/>
      <c r="HW191" s="3"/>
      <c r="HX191" s="3"/>
      <c r="HY191" s="3"/>
      <c r="HZ191" s="3"/>
      <c r="IA191" s="3"/>
      <c r="IB191" s="3"/>
      <c r="IC191" s="3"/>
      <c r="ID191" s="3"/>
      <c r="IE191" s="3"/>
      <c r="IF191" s="3"/>
      <c r="IG191" s="3"/>
      <c r="IH191" s="3"/>
      <c r="II191" s="3"/>
      <c r="IJ191" s="3"/>
      <c r="IK191" s="3"/>
      <c r="IL191" s="3"/>
      <c r="IM191" s="3"/>
      <c r="IN191" s="3"/>
      <c r="IO191" s="3"/>
      <c r="IP191" s="3"/>
      <c r="IQ191" s="3"/>
      <c r="IR191" s="3"/>
      <c r="IS191" s="3"/>
      <c r="IT191" s="3"/>
      <c r="IU191" s="3"/>
      <c r="IV191" s="3"/>
    </row>
    <row r="192" spans="1:256" s="1" customFormat="1" x14ac:dyDescent="0.35">
      <c r="B192" s="15" t="s">
        <v>16</v>
      </c>
      <c r="C192" s="171">
        <f>IF(C191&gt;1000000,128000+0.3*(C191-1000000),IF(C191&gt;760000,68000+0.25*(C191-760000),IF(C191&gt;520000,20000+0.2*(C191-520000),IF(C191&gt;270000,0.08*(C191-270000),IF(C191&lt;=270000,0)))))</f>
        <v>0</v>
      </c>
      <c r="D192" s="171">
        <f t="shared" ref="D192" si="640">IF(D191&gt;1000000,128000+0.3*(D191-1000000),IF(D191&gt;760000,68000+0.25*(D191-760000),IF(D191&gt;520000,20000+0.2*(D191-520000),IF(D191&gt;270000,0.08*(D191-270000),IF(D191&lt;=270000,0)))))</f>
        <v>0</v>
      </c>
      <c r="E192" s="171">
        <f t="shared" ref="E192" si="641">IF(E191&gt;1000000,128000+0.3*(E191-1000000),IF(E191&gt;760000,68000+0.25*(E191-760000),IF(E191&gt;520000,20000+0.2*(E191-520000),IF(E191&gt;270000,0.08*(E191-270000),IF(E191&lt;=270000,0)))))</f>
        <v>0</v>
      </c>
      <c r="F192" s="171">
        <f t="shared" ref="F192" si="642">IF(F191&gt;1000000,128000+0.3*(F191-1000000),IF(F191&gt;760000,68000+0.25*(F191-760000),IF(F191&gt;520000,20000+0.2*(F191-520000),IF(F191&gt;270000,0.08*(F191-270000),IF(F191&lt;=270000,0)))))</f>
        <v>0</v>
      </c>
      <c r="G192" s="171">
        <f t="shared" ref="G192" si="643">IF(G191&gt;1000000,128000+0.3*(G191-1000000),IF(G191&gt;760000,68000+0.25*(G191-760000),IF(G191&gt;520000,20000+0.2*(G191-520000),IF(G191&gt;270000,0.08*(G191-270000),IF(G191&lt;=270000,0)))))</f>
        <v>0</v>
      </c>
      <c r="H192" s="171">
        <f t="shared" ref="H192" si="644">IF(H191&gt;1000000,128000+0.3*(H191-1000000),IF(H191&gt;760000,68000+0.25*(H191-760000),IF(H191&gt;520000,20000+0.2*(H191-520000),IF(H191&gt;270000,0.08*(H191-270000),IF(H191&lt;=270000,0)))))</f>
        <v>0</v>
      </c>
      <c r="I192" s="171">
        <f t="shared" ref="I192" si="645">IF(I191&gt;1000000,128000+0.3*(I191-1000000),IF(I191&gt;760000,68000+0.25*(I191-760000),IF(I191&gt;520000,20000+0.2*(I191-520000),IF(I191&gt;270000,0.08*(I191-270000),IF(I191&lt;=270000,0)))))</f>
        <v>0</v>
      </c>
      <c r="J192" s="171">
        <f t="shared" ref="J192" si="646">IF(J191&gt;1000000,128000+0.3*(J191-1000000),IF(J191&gt;760000,68000+0.25*(J191-760000),IF(J191&gt;520000,20000+0.2*(J191-520000),IF(J191&gt;270000,0.08*(J191-270000),IF(J191&lt;=270000,0)))))</f>
        <v>0</v>
      </c>
      <c r="K192" s="171">
        <f t="shared" ref="K192" si="647">IF(K191&gt;1000000,128000+0.3*(K191-1000000),IF(K191&gt;760000,68000+0.25*(K191-760000),IF(K191&gt;520000,20000+0.2*(K191-520000),IF(K191&gt;270000,0.08*(K191-270000),IF(K191&lt;=270000,0)))))</f>
        <v>0</v>
      </c>
      <c r="L192" s="171">
        <f t="shared" ref="L192" si="648">IF(L191&gt;1000000,128000+0.3*(L191-1000000),IF(L191&gt;760000,68000+0.25*(L191-760000),IF(L191&gt;520000,20000+0.2*(L191-520000),IF(L191&gt;270000,0.08*(L191-270000),IF(L191&lt;=270000,0)))))</f>
        <v>0</v>
      </c>
      <c r="M192" s="171">
        <f t="shared" ref="M192" si="649">IF(M191&gt;1000000,128000+0.3*(M191-1000000),IF(M191&gt;760000,68000+0.25*(M191-760000),IF(M191&gt;520000,20000+0.2*(M191-520000),IF(M191&gt;270000,0.08*(M191-270000),IF(M191&lt;=270000,0)))))</f>
        <v>0</v>
      </c>
      <c r="N192" s="171">
        <f t="shared" ref="N192" si="650">IF(N191&gt;1000000,128000+0.3*(N191-1000000),IF(N191&gt;760000,68000+0.25*(N191-760000),IF(N191&gt;520000,20000+0.2*(N191-520000),IF(N191&gt;270000,0.08*(N191-270000),IF(N191&lt;=270000,0)))))</f>
        <v>0</v>
      </c>
      <c r="O192" s="13">
        <f t="shared" si="462"/>
        <v>0</v>
      </c>
      <c r="P192" s="14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  <c r="IV192" s="3"/>
    </row>
    <row r="193" spans="1:256" s="17" customFormat="1" x14ac:dyDescent="0.35">
      <c r="A193" s="17">
        <v>48</v>
      </c>
      <c r="B193" s="11" t="s">
        <v>441</v>
      </c>
      <c r="C193" s="12">
        <v>300000</v>
      </c>
      <c r="D193" s="12">
        <v>300000</v>
      </c>
      <c r="E193" s="12">
        <v>300000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2">
        <v>0</v>
      </c>
      <c r="L193" s="12">
        <v>0</v>
      </c>
      <c r="M193" s="12">
        <v>0</v>
      </c>
      <c r="N193" s="12">
        <v>0</v>
      </c>
      <c r="O193" s="13">
        <f t="shared" si="462"/>
        <v>900000</v>
      </c>
      <c r="P193" s="14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3"/>
      <c r="IN193" s="3"/>
      <c r="IO193" s="3"/>
      <c r="IP193" s="3"/>
      <c r="IQ193" s="3"/>
      <c r="IR193" s="3"/>
      <c r="IS193" s="3"/>
      <c r="IT193" s="3"/>
      <c r="IU193" s="3"/>
      <c r="IV193" s="3"/>
    </row>
    <row r="194" spans="1:256" s="17" customFormat="1" x14ac:dyDescent="0.35">
      <c r="B194" s="15" t="s">
        <v>14</v>
      </c>
      <c r="C194" s="16">
        <f t="shared" ref="C194" si="651">C193*0.1</f>
        <v>30000</v>
      </c>
      <c r="D194" s="16">
        <f t="shared" ref="D194:N194" si="652">D193*0.1</f>
        <v>30000</v>
      </c>
      <c r="E194" s="16">
        <f t="shared" si="652"/>
        <v>30000</v>
      </c>
      <c r="F194" s="16">
        <f t="shared" si="652"/>
        <v>0</v>
      </c>
      <c r="G194" s="16">
        <f t="shared" si="652"/>
        <v>0</v>
      </c>
      <c r="H194" s="16">
        <f t="shared" si="652"/>
        <v>0</v>
      </c>
      <c r="I194" s="16">
        <f t="shared" si="652"/>
        <v>0</v>
      </c>
      <c r="J194" s="16">
        <f t="shared" si="652"/>
        <v>0</v>
      </c>
      <c r="K194" s="16">
        <f t="shared" si="652"/>
        <v>0</v>
      </c>
      <c r="L194" s="16">
        <f t="shared" si="652"/>
        <v>0</v>
      </c>
      <c r="M194" s="16">
        <f t="shared" si="652"/>
        <v>0</v>
      </c>
      <c r="N194" s="16">
        <f t="shared" si="652"/>
        <v>0</v>
      </c>
      <c r="O194" s="13">
        <f t="shared" si="462"/>
        <v>90000</v>
      </c>
      <c r="P194" s="14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"/>
      <c r="IF194" s="3"/>
      <c r="IG194" s="3"/>
      <c r="IH194" s="3"/>
      <c r="II194" s="3"/>
      <c r="IJ194" s="3"/>
      <c r="IK194" s="3"/>
      <c r="IL194" s="3"/>
      <c r="IM194" s="3"/>
      <c r="IN194" s="3"/>
      <c r="IO194" s="3"/>
      <c r="IP194" s="3"/>
      <c r="IQ194" s="3"/>
      <c r="IR194" s="3"/>
      <c r="IS194" s="3"/>
      <c r="IT194" s="3"/>
      <c r="IU194" s="3"/>
      <c r="IV194" s="3"/>
    </row>
    <row r="195" spans="1:256" s="1" customFormat="1" x14ac:dyDescent="0.35">
      <c r="B195" s="15" t="s">
        <v>15</v>
      </c>
      <c r="C195" s="16">
        <f t="shared" ref="C195" si="653">C193-C194</f>
        <v>270000</v>
      </c>
      <c r="D195" s="16">
        <f t="shared" ref="D195:N195" si="654">D193-D194</f>
        <v>270000</v>
      </c>
      <c r="E195" s="16">
        <f t="shared" si="654"/>
        <v>270000</v>
      </c>
      <c r="F195" s="16">
        <f t="shared" si="654"/>
        <v>0</v>
      </c>
      <c r="G195" s="16">
        <f t="shared" si="654"/>
        <v>0</v>
      </c>
      <c r="H195" s="16">
        <f t="shared" si="654"/>
        <v>0</v>
      </c>
      <c r="I195" s="16">
        <f t="shared" si="654"/>
        <v>0</v>
      </c>
      <c r="J195" s="16">
        <f t="shared" si="654"/>
        <v>0</v>
      </c>
      <c r="K195" s="16">
        <f t="shared" si="654"/>
        <v>0</v>
      </c>
      <c r="L195" s="16">
        <f t="shared" si="654"/>
        <v>0</v>
      </c>
      <c r="M195" s="16">
        <f t="shared" si="654"/>
        <v>0</v>
      </c>
      <c r="N195" s="16">
        <f t="shared" si="654"/>
        <v>0</v>
      </c>
      <c r="O195" s="13">
        <f t="shared" si="462"/>
        <v>810000</v>
      </c>
      <c r="P195" s="14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  <c r="IV195" s="3"/>
    </row>
    <row r="196" spans="1:256" s="1" customFormat="1" x14ac:dyDescent="0.35">
      <c r="B196" s="15" t="s">
        <v>16</v>
      </c>
      <c r="C196" s="171">
        <f>IF(C195&gt;1000000,128000+0.3*(C195-1000000),IF(C195&gt;760000,68000+0.25*(C195-760000),IF(C195&gt;520000,20000+0.2*(C195-520000),IF(C195&gt;270000,0.08*(C195-270000),IF(C195&lt;=270000,0)))))</f>
        <v>0</v>
      </c>
      <c r="D196" s="171">
        <f t="shared" ref="D196" si="655">IF(D195&gt;1000000,128000+0.3*(D195-1000000),IF(D195&gt;760000,68000+0.25*(D195-760000),IF(D195&gt;520000,20000+0.2*(D195-520000),IF(D195&gt;270000,0.08*(D195-270000),IF(D195&lt;=270000,0)))))</f>
        <v>0</v>
      </c>
      <c r="E196" s="171">
        <f t="shared" ref="E196" si="656">IF(E195&gt;1000000,128000+0.3*(E195-1000000),IF(E195&gt;760000,68000+0.25*(E195-760000),IF(E195&gt;520000,20000+0.2*(E195-520000),IF(E195&gt;270000,0.08*(E195-270000),IF(E195&lt;=270000,0)))))</f>
        <v>0</v>
      </c>
      <c r="F196" s="171">
        <f t="shared" ref="F196" si="657">IF(F195&gt;1000000,128000+0.3*(F195-1000000),IF(F195&gt;760000,68000+0.25*(F195-760000),IF(F195&gt;520000,20000+0.2*(F195-520000),IF(F195&gt;270000,0.08*(F195-270000),IF(F195&lt;=270000,0)))))</f>
        <v>0</v>
      </c>
      <c r="G196" s="171">
        <f t="shared" ref="G196" si="658">IF(G195&gt;1000000,128000+0.3*(G195-1000000),IF(G195&gt;760000,68000+0.25*(G195-760000),IF(G195&gt;520000,20000+0.2*(G195-520000),IF(G195&gt;270000,0.08*(G195-270000),IF(G195&lt;=270000,0)))))</f>
        <v>0</v>
      </c>
      <c r="H196" s="171">
        <f t="shared" ref="H196" si="659">IF(H195&gt;1000000,128000+0.3*(H195-1000000),IF(H195&gt;760000,68000+0.25*(H195-760000),IF(H195&gt;520000,20000+0.2*(H195-520000),IF(H195&gt;270000,0.08*(H195-270000),IF(H195&lt;=270000,0)))))</f>
        <v>0</v>
      </c>
      <c r="I196" s="171">
        <f t="shared" ref="I196" si="660">IF(I195&gt;1000000,128000+0.3*(I195-1000000),IF(I195&gt;760000,68000+0.25*(I195-760000),IF(I195&gt;520000,20000+0.2*(I195-520000),IF(I195&gt;270000,0.08*(I195-270000),IF(I195&lt;=270000,0)))))</f>
        <v>0</v>
      </c>
      <c r="J196" s="171">
        <f t="shared" ref="J196" si="661">IF(J195&gt;1000000,128000+0.3*(J195-1000000),IF(J195&gt;760000,68000+0.25*(J195-760000),IF(J195&gt;520000,20000+0.2*(J195-520000),IF(J195&gt;270000,0.08*(J195-270000),IF(J195&lt;=270000,0)))))</f>
        <v>0</v>
      </c>
      <c r="K196" s="171">
        <f t="shared" ref="K196" si="662">IF(K195&gt;1000000,128000+0.3*(K195-1000000),IF(K195&gt;760000,68000+0.25*(K195-760000),IF(K195&gt;520000,20000+0.2*(K195-520000),IF(K195&gt;270000,0.08*(K195-270000),IF(K195&lt;=270000,0)))))</f>
        <v>0</v>
      </c>
      <c r="L196" s="171">
        <f t="shared" ref="L196" si="663">IF(L195&gt;1000000,128000+0.3*(L195-1000000),IF(L195&gt;760000,68000+0.25*(L195-760000),IF(L195&gt;520000,20000+0.2*(L195-520000),IF(L195&gt;270000,0.08*(L195-270000),IF(L195&lt;=270000,0)))))</f>
        <v>0</v>
      </c>
      <c r="M196" s="171">
        <f t="shared" ref="M196" si="664">IF(M195&gt;1000000,128000+0.3*(M195-1000000),IF(M195&gt;760000,68000+0.25*(M195-760000),IF(M195&gt;520000,20000+0.2*(M195-520000),IF(M195&gt;270000,0.08*(M195-270000),IF(M195&lt;=270000,0)))))</f>
        <v>0</v>
      </c>
      <c r="N196" s="171">
        <f t="shared" ref="N196" si="665">IF(N195&gt;1000000,128000+0.3*(N195-1000000),IF(N195&gt;760000,68000+0.25*(N195-760000),IF(N195&gt;520000,20000+0.2*(N195-520000),IF(N195&gt;270000,0.08*(N195-270000),IF(N195&lt;=270000,0)))))</f>
        <v>0</v>
      </c>
      <c r="O196" s="13">
        <f t="shared" si="462"/>
        <v>0</v>
      </c>
      <c r="P196" s="14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  <c r="IU196" s="3"/>
      <c r="IV196" s="3"/>
    </row>
    <row r="197" spans="1:256" s="17" customFormat="1" x14ac:dyDescent="0.35">
      <c r="A197" s="17">
        <v>49</v>
      </c>
      <c r="B197" s="11" t="s">
        <v>442</v>
      </c>
      <c r="C197" s="12">
        <v>300000</v>
      </c>
      <c r="D197" s="12">
        <v>300000</v>
      </c>
      <c r="E197" s="12">
        <v>300000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  <c r="O197" s="13">
        <f t="shared" ref="O197:O260" si="666">SUM(C197:N197)</f>
        <v>900000</v>
      </c>
      <c r="P197" s="14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  <c r="HU197" s="3"/>
      <c r="HV197" s="3"/>
      <c r="HW197" s="3"/>
      <c r="HX197" s="3"/>
      <c r="HY197" s="3"/>
      <c r="HZ197" s="3"/>
      <c r="IA197" s="3"/>
      <c r="IB197" s="3"/>
      <c r="IC197" s="3"/>
      <c r="ID197" s="3"/>
      <c r="IE197" s="3"/>
      <c r="IF197" s="3"/>
      <c r="IG197" s="3"/>
      <c r="IH197" s="3"/>
      <c r="II197" s="3"/>
      <c r="IJ197" s="3"/>
      <c r="IK197" s="3"/>
      <c r="IL197" s="3"/>
      <c r="IM197" s="3"/>
      <c r="IN197" s="3"/>
      <c r="IO197" s="3"/>
      <c r="IP197" s="3"/>
      <c r="IQ197" s="3"/>
      <c r="IR197" s="3"/>
      <c r="IS197" s="3"/>
      <c r="IT197" s="3"/>
      <c r="IU197" s="3"/>
      <c r="IV197" s="3"/>
    </row>
    <row r="198" spans="1:256" s="17" customFormat="1" x14ac:dyDescent="0.35">
      <c r="B198" s="15" t="s">
        <v>14</v>
      </c>
      <c r="C198" s="16">
        <f t="shared" ref="C198" si="667">C197*0.1</f>
        <v>30000</v>
      </c>
      <c r="D198" s="16">
        <f t="shared" ref="D198:N198" si="668">D197*0.1</f>
        <v>30000</v>
      </c>
      <c r="E198" s="16">
        <f t="shared" si="668"/>
        <v>30000</v>
      </c>
      <c r="F198" s="16">
        <f t="shared" si="668"/>
        <v>0</v>
      </c>
      <c r="G198" s="16">
        <f t="shared" si="668"/>
        <v>0</v>
      </c>
      <c r="H198" s="16">
        <f t="shared" si="668"/>
        <v>0</v>
      </c>
      <c r="I198" s="16">
        <f t="shared" si="668"/>
        <v>0</v>
      </c>
      <c r="J198" s="16">
        <f t="shared" si="668"/>
        <v>0</v>
      </c>
      <c r="K198" s="16">
        <f t="shared" si="668"/>
        <v>0</v>
      </c>
      <c r="L198" s="16">
        <f t="shared" si="668"/>
        <v>0</v>
      </c>
      <c r="M198" s="16">
        <f t="shared" si="668"/>
        <v>0</v>
      </c>
      <c r="N198" s="16">
        <f t="shared" si="668"/>
        <v>0</v>
      </c>
      <c r="O198" s="13">
        <f t="shared" si="666"/>
        <v>90000</v>
      </c>
      <c r="P198" s="14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  <c r="IV198" s="3"/>
    </row>
    <row r="199" spans="1:256" s="1" customFormat="1" x14ac:dyDescent="0.35">
      <c r="B199" s="15" t="s">
        <v>15</v>
      </c>
      <c r="C199" s="16">
        <f t="shared" ref="C199" si="669">C197-C198</f>
        <v>270000</v>
      </c>
      <c r="D199" s="16">
        <f t="shared" ref="D199:N199" si="670">D197-D198</f>
        <v>270000</v>
      </c>
      <c r="E199" s="16">
        <f t="shared" si="670"/>
        <v>270000</v>
      </c>
      <c r="F199" s="16">
        <f t="shared" si="670"/>
        <v>0</v>
      </c>
      <c r="G199" s="16">
        <f t="shared" si="670"/>
        <v>0</v>
      </c>
      <c r="H199" s="16">
        <f t="shared" si="670"/>
        <v>0</v>
      </c>
      <c r="I199" s="16">
        <f t="shared" si="670"/>
        <v>0</v>
      </c>
      <c r="J199" s="16">
        <f t="shared" si="670"/>
        <v>0</v>
      </c>
      <c r="K199" s="16">
        <f t="shared" si="670"/>
        <v>0</v>
      </c>
      <c r="L199" s="16">
        <f t="shared" si="670"/>
        <v>0</v>
      </c>
      <c r="M199" s="16">
        <f t="shared" si="670"/>
        <v>0</v>
      </c>
      <c r="N199" s="16">
        <f t="shared" si="670"/>
        <v>0</v>
      </c>
      <c r="O199" s="13">
        <f t="shared" si="666"/>
        <v>810000</v>
      </c>
      <c r="P199" s="14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3"/>
      <c r="HT199" s="3"/>
      <c r="HU199" s="3"/>
      <c r="HV199" s="3"/>
      <c r="HW199" s="3"/>
      <c r="HX199" s="3"/>
      <c r="HY199" s="3"/>
      <c r="HZ199" s="3"/>
      <c r="IA199" s="3"/>
      <c r="IB199" s="3"/>
      <c r="IC199" s="3"/>
      <c r="ID199" s="3"/>
      <c r="IE199" s="3"/>
      <c r="IF199" s="3"/>
      <c r="IG199" s="3"/>
      <c r="IH199" s="3"/>
      <c r="II199" s="3"/>
      <c r="IJ199" s="3"/>
      <c r="IK199" s="3"/>
      <c r="IL199" s="3"/>
      <c r="IM199" s="3"/>
      <c r="IN199" s="3"/>
      <c r="IO199" s="3"/>
      <c r="IP199" s="3"/>
      <c r="IQ199" s="3"/>
      <c r="IR199" s="3"/>
      <c r="IS199" s="3"/>
      <c r="IT199" s="3"/>
      <c r="IU199" s="3"/>
      <c r="IV199" s="3"/>
    </row>
    <row r="200" spans="1:256" s="1" customFormat="1" x14ac:dyDescent="0.35">
      <c r="B200" s="15" t="s">
        <v>16</v>
      </c>
      <c r="C200" s="18">
        <f t="shared" ref="C200" si="671">IF(C199&gt;1000000,(C200-1000000)*0.3+130500,IF(C199&gt;760000,(C199-760000)*0.25+70500,IF(C199&gt;520000,(C199-520000)*0.2+22500,IF(C199&gt;270000,(C199-270000)*0.08+0,IF(C199&lt;270001,0,0)))))</f>
        <v>0</v>
      </c>
      <c r="D200" s="18">
        <f t="shared" ref="D200:N200" si="672">IF(D199&gt;1000000,(D200-1000000)*0.3+128000,IF(D199&gt;760000,(D199-760000)*0.25+68000,IF(D199&gt;520000,(D199-520000)*0.2+20000,IF(D199&gt;270000,(D199-270000)*0.08+0,IF(D199&lt;270001,0,0)))))</f>
        <v>0</v>
      </c>
      <c r="E200" s="18">
        <f t="shared" si="672"/>
        <v>0</v>
      </c>
      <c r="F200" s="18">
        <f t="shared" si="672"/>
        <v>0</v>
      </c>
      <c r="G200" s="18">
        <f t="shared" si="672"/>
        <v>0</v>
      </c>
      <c r="H200" s="18">
        <f t="shared" si="672"/>
        <v>0</v>
      </c>
      <c r="I200" s="18">
        <f t="shared" si="672"/>
        <v>0</v>
      </c>
      <c r="J200" s="18">
        <f t="shared" si="672"/>
        <v>0</v>
      </c>
      <c r="K200" s="18">
        <f t="shared" si="672"/>
        <v>0</v>
      </c>
      <c r="L200" s="18">
        <f t="shared" si="672"/>
        <v>0</v>
      </c>
      <c r="M200" s="18">
        <f t="shared" si="672"/>
        <v>0</v>
      </c>
      <c r="N200" s="18">
        <f t="shared" si="672"/>
        <v>0</v>
      </c>
      <c r="O200" s="13">
        <f t="shared" si="666"/>
        <v>0</v>
      </c>
      <c r="P200" s="14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/>
      <c r="HW200" s="3"/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/>
      <c r="IL200" s="3"/>
      <c r="IM200" s="3"/>
      <c r="IN200" s="3"/>
      <c r="IO200" s="3"/>
      <c r="IP200" s="3"/>
      <c r="IQ200" s="3"/>
      <c r="IR200" s="3"/>
      <c r="IS200" s="3"/>
      <c r="IT200" s="3"/>
      <c r="IU200" s="3"/>
      <c r="IV200" s="3"/>
    </row>
    <row r="201" spans="1:256" s="17" customFormat="1" x14ac:dyDescent="0.35">
      <c r="A201" s="17">
        <v>50</v>
      </c>
      <c r="B201" s="11" t="s">
        <v>443</v>
      </c>
      <c r="C201" s="12">
        <v>300000</v>
      </c>
      <c r="D201" s="12">
        <v>300000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>
        <v>0</v>
      </c>
      <c r="O201" s="13">
        <f t="shared" si="666"/>
        <v>600000</v>
      </c>
      <c r="P201" s="14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  <c r="HY201" s="3"/>
      <c r="HZ201" s="3"/>
      <c r="IA201" s="3"/>
      <c r="IB201" s="3"/>
      <c r="IC201" s="3"/>
      <c r="ID201" s="3"/>
      <c r="IE201" s="3"/>
      <c r="IF201" s="3"/>
      <c r="IG201" s="3"/>
      <c r="IH201" s="3"/>
      <c r="II201" s="3"/>
      <c r="IJ201" s="3"/>
      <c r="IK201" s="3"/>
      <c r="IL201" s="3"/>
      <c r="IM201" s="3"/>
      <c r="IN201" s="3"/>
      <c r="IO201" s="3"/>
      <c r="IP201" s="3"/>
      <c r="IQ201" s="3"/>
      <c r="IR201" s="3"/>
      <c r="IS201" s="3"/>
      <c r="IT201" s="3"/>
      <c r="IU201" s="3"/>
      <c r="IV201" s="3"/>
    </row>
    <row r="202" spans="1:256" s="17" customFormat="1" x14ac:dyDescent="0.35">
      <c r="B202" s="15" t="s">
        <v>14</v>
      </c>
      <c r="C202" s="16">
        <f t="shared" ref="C202" si="673">C201*0.1</f>
        <v>30000</v>
      </c>
      <c r="D202" s="16">
        <f t="shared" ref="D202:N202" si="674">D201*0.1</f>
        <v>30000</v>
      </c>
      <c r="E202" s="16">
        <f t="shared" si="674"/>
        <v>0</v>
      </c>
      <c r="F202" s="16">
        <f t="shared" si="674"/>
        <v>0</v>
      </c>
      <c r="G202" s="16">
        <f t="shared" si="674"/>
        <v>0</v>
      </c>
      <c r="H202" s="16">
        <f t="shared" si="674"/>
        <v>0</v>
      </c>
      <c r="I202" s="16">
        <f t="shared" si="674"/>
        <v>0</v>
      </c>
      <c r="J202" s="16">
        <f t="shared" si="674"/>
        <v>0</v>
      </c>
      <c r="K202" s="16">
        <f t="shared" si="674"/>
        <v>0</v>
      </c>
      <c r="L202" s="16">
        <f t="shared" si="674"/>
        <v>0</v>
      </c>
      <c r="M202" s="16">
        <f t="shared" si="674"/>
        <v>0</v>
      </c>
      <c r="N202" s="16">
        <f t="shared" si="674"/>
        <v>0</v>
      </c>
      <c r="O202" s="13">
        <f t="shared" si="666"/>
        <v>60000</v>
      </c>
      <c r="P202" s="14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  <c r="II202" s="3"/>
      <c r="IJ202" s="3"/>
      <c r="IK202" s="3"/>
      <c r="IL202" s="3"/>
      <c r="IM202" s="3"/>
      <c r="IN202" s="3"/>
      <c r="IO202" s="3"/>
      <c r="IP202" s="3"/>
      <c r="IQ202" s="3"/>
      <c r="IR202" s="3"/>
      <c r="IS202" s="3"/>
      <c r="IT202" s="3"/>
      <c r="IU202" s="3"/>
      <c r="IV202" s="3"/>
    </row>
    <row r="203" spans="1:256" s="1" customFormat="1" x14ac:dyDescent="0.35">
      <c r="B203" s="15" t="s">
        <v>15</v>
      </c>
      <c r="C203" s="16">
        <f t="shared" ref="C203" si="675">C201-C202</f>
        <v>270000</v>
      </c>
      <c r="D203" s="16">
        <f t="shared" ref="D203:N203" si="676">D201-D202</f>
        <v>270000</v>
      </c>
      <c r="E203" s="16">
        <f t="shared" si="676"/>
        <v>0</v>
      </c>
      <c r="F203" s="16">
        <f t="shared" si="676"/>
        <v>0</v>
      </c>
      <c r="G203" s="16">
        <f t="shared" si="676"/>
        <v>0</v>
      </c>
      <c r="H203" s="16">
        <f t="shared" si="676"/>
        <v>0</v>
      </c>
      <c r="I203" s="16">
        <f t="shared" si="676"/>
        <v>0</v>
      </c>
      <c r="J203" s="16">
        <f t="shared" si="676"/>
        <v>0</v>
      </c>
      <c r="K203" s="16">
        <f t="shared" si="676"/>
        <v>0</v>
      </c>
      <c r="L203" s="16">
        <f t="shared" si="676"/>
        <v>0</v>
      </c>
      <c r="M203" s="16">
        <f t="shared" si="676"/>
        <v>0</v>
      </c>
      <c r="N203" s="16">
        <f t="shared" si="676"/>
        <v>0</v>
      </c>
      <c r="O203" s="13">
        <f t="shared" si="666"/>
        <v>540000</v>
      </c>
      <c r="P203" s="14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3"/>
      <c r="IA203" s="3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/>
      <c r="IU203" s="3"/>
      <c r="IV203" s="3"/>
    </row>
    <row r="204" spans="1:256" s="1" customFormat="1" x14ac:dyDescent="0.35">
      <c r="B204" s="15" t="s">
        <v>16</v>
      </c>
      <c r="C204" s="171">
        <f>IF(C203&gt;1000000,128000+0.3*(C203-1000000),IF(C203&gt;760000,68000+0.25*(C203-760000),IF(C203&gt;520000,20000+0.2*(C203-520000),IF(C203&gt;270000,0.08*(C203-270000),IF(C203&lt;=270000,0)))))</f>
        <v>0</v>
      </c>
      <c r="D204" s="171">
        <f t="shared" ref="D204" si="677">IF(D203&gt;1000000,128000+0.3*(D203-1000000),IF(D203&gt;760000,68000+0.25*(D203-760000),IF(D203&gt;520000,20000+0.2*(D203-520000),IF(D203&gt;270000,0.08*(D203-270000),IF(D203&lt;=270000,0)))))</f>
        <v>0</v>
      </c>
      <c r="E204" s="171">
        <f t="shared" ref="E204" si="678">IF(E203&gt;1000000,128000+0.3*(E203-1000000),IF(E203&gt;760000,68000+0.25*(E203-760000),IF(E203&gt;520000,20000+0.2*(E203-520000),IF(E203&gt;270000,0.08*(E203-270000),IF(E203&lt;=270000,0)))))</f>
        <v>0</v>
      </c>
      <c r="F204" s="171">
        <f t="shared" ref="F204" si="679">IF(F203&gt;1000000,128000+0.3*(F203-1000000),IF(F203&gt;760000,68000+0.25*(F203-760000),IF(F203&gt;520000,20000+0.2*(F203-520000),IF(F203&gt;270000,0.08*(F203-270000),IF(F203&lt;=270000,0)))))</f>
        <v>0</v>
      </c>
      <c r="G204" s="171">
        <f t="shared" ref="G204" si="680">IF(G203&gt;1000000,128000+0.3*(G203-1000000),IF(G203&gt;760000,68000+0.25*(G203-760000),IF(G203&gt;520000,20000+0.2*(G203-520000),IF(G203&gt;270000,0.08*(G203-270000),IF(G203&lt;=270000,0)))))</f>
        <v>0</v>
      </c>
      <c r="H204" s="171">
        <f t="shared" ref="H204" si="681">IF(H203&gt;1000000,128000+0.3*(H203-1000000),IF(H203&gt;760000,68000+0.25*(H203-760000),IF(H203&gt;520000,20000+0.2*(H203-520000),IF(H203&gt;270000,0.08*(H203-270000),IF(H203&lt;=270000,0)))))</f>
        <v>0</v>
      </c>
      <c r="I204" s="171">
        <f t="shared" ref="I204" si="682">IF(I203&gt;1000000,128000+0.3*(I203-1000000),IF(I203&gt;760000,68000+0.25*(I203-760000),IF(I203&gt;520000,20000+0.2*(I203-520000),IF(I203&gt;270000,0.08*(I203-270000),IF(I203&lt;=270000,0)))))</f>
        <v>0</v>
      </c>
      <c r="J204" s="171">
        <f t="shared" ref="J204" si="683">IF(J203&gt;1000000,128000+0.3*(J203-1000000),IF(J203&gt;760000,68000+0.25*(J203-760000),IF(J203&gt;520000,20000+0.2*(J203-520000),IF(J203&gt;270000,0.08*(J203-270000),IF(J203&lt;=270000,0)))))</f>
        <v>0</v>
      </c>
      <c r="K204" s="171">
        <f t="shared" ref="K204" si="684">IF(K203&gt;1000000,128000+0.3*(K203-1000000),IF(K203&gt;760000,68000+0.25*(K203-760000),IF(K203&gt;520000,20000+0.2*(K203-520000),IF(K203&gt;270000,0.08*(K203-270000),IF(K203&lt;=270000,0)))))</f>
        <v>0</v>
      </c>
      <c r="L204" s="171">
        <f t="shared" ref="L204" si="685">IF(L203&gt;1000000,128000+0.3*(L203-1000000),IF(L203&gt;760000,68000+0.25*(L203-760000),IF(L203&gt;520000,20000+0.2*(L203-520000),IF(L203&gt;270000,0.08*(L203-270000),IF(L203&lt;=270000,0)))))</f>
        <v>0</v>
      </c>
      <c r="M204" s="171">
        <f t="shared" ref="M204" si="686">IF(M203&gt;1000000,128000+0.3*(M203-1000000),IF(M203&gt;760000,68000+0.25*(M203-760000),IF(M203&gt;520000,20000+0.2*(M203-520000),IF(M203&gt;270000,0.08*(M203-270000),IF(M203&lt;=270000,0)))))</f>
        <v>0</v>
      </c>
      <c r="N204" s="171">
        <f t="shared" ref="N204" si="687">IF(N203&gt;1000000,128000+0.3*(N203-1000000),IF(N203&gt;760000,68000+0.25*(N203-760000),IF(N203&gt;520000,20000+0.2*(N203-520000),IF(N203&gt;270000,0.08*(N203-270000),IF(N203&lt;=270000,0)))))</f>
        <v>0</v>
      </c>
      <c r="O204" s="13">
        <f t="shared" si="666"/>
        <v>0</v>
      </c>
      <c r="P204" s="14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  <c r="HY204" s="3"/>
      <c r="HZ204" s="3"/>
      <c r="IA204" s="3"/>
      <c r="IB204" s="3"/>
      <c r="IC204" s="3"/>
      <c r="ID204" s="3"/>
      <c r="IE204" s="3"/>
      <c r="IF204" s="3"/>
      <c r="IG204" s="3"/>
      <c r="IH204" s="3"/>
      <c r="II204" s="3"/>
      <c r="IJ204" s="3"/>
      <c r="IK204" s="3"/>
      <c r="IL204" s="3"/>
      <c r="IM204" s="3"/>
      <c r="IN204" s="3"/>
      <c r="IO204" s="3"/>
      <c r="IP204" s="3"/>
      <c r="IQ204" s="3"/>
      <c r="IR204" s="3"/>
      <c r="IS204" s="3"/>
      <c r="IT204" s="3"/>
      <c r="IU204" s="3"/>
      <c r="IV204" s="3"/>
    </row>
    <row r="205" spans="1:256" s="17" customFormat="1" x14ac:dyDescent="0.35">
      <c r="A205" s="17">
        <v>51</v>
      </c>
      <c r="B205" s="11" t="s">
        <v>444</v>
      </c>
      <c r="C205" s="12">
        <v>300000</v>
      </c>
      <c r="D205" s="12">
        <v>300000</v>
      </c>
      <c r="E205" s="12">
        <v>300000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3">
        <f t="shared" si="666"/>
        <v>900000</v>
      </c>
      <c r="P205" s="14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3"/>
      <c r="HT205" s="3"/>
      <c r="HU205" s="3"/>
      <c r="HV205" s="3"/>
      <c r="HW205" s="3"/>
      <c r="HX205" s="3"/>
      <c r="HY205" s="3"/>
      <c r="HZ205" s="3"/>
      <c r="IA205" s="3"/>
      <c r="IB205" s="3"/>
      <c r="IC205" s="3"/>
      <c r="ID205" s="3"/>
      <c r="IE205" s="3"/>
      <c r="IF205" s="3"/>
      <c r="IG205" s="3"/>
      <c r="IH205" s="3"/>
      <c r="II205" s="3"/>
      <c r="IJ205" s="3"/>
      <c r="IK205" s="3"/>
      <c r="IL205" s="3"/>
      <c r="IM205" s="3"/>
      <c r="IN205" s="3"/>
      <c r="IO205" s="3"/>
      <c r="IP205" s="3"/>
      <c r="IQ205" s="3"/>
      <c r="IR205" s="3"/>
      <c r="IS205" s="3"/>
      <c r="IT205" s="3"/>
      <c r="IU205" s="3"/>
      <c r="IV205" s="3"/>
    </row>
    <row r="206" spans="1:256" s="17" customFormat="1" x14ac:dyDescent="0.35">
      <c r="B206" s="15" t="s">
        <v>14</v>
      </c>
      <c r="C206" s="16">
        <f t="shared" ref="C206" si="688">C205*0.1</f>
        <v>30000</v>
      </c>
      <c r="D206" s="16">
        <f t="shared" ref="D206:N206" si="689">D205*0.1</f>
        <v>30000</v>
      </c>
      <c r="E206" s="16">
        <f t="shared" si="689"/>
        <v>30000</v>
      </c>
      <c r="F206" s="16">
        <f t="shared" si="689"/>
        <v>0</v>
      </c>
      <c r="G206" s="16">
        <f t="shared" si="689"/>
        <v>0</v>
      </c>
      <c r="H206" s="16">
        <f t="shared" si="689"/>
        <v>0</v>
      </c>
      <c r="I206" s="16">
        <f t="shared" si="689"/>
        <v>0</v>
      </c>
      <c r="J206" s="16">
        <f t="shared" si="689"/>
        <v>0</v>
      </c>
      <c r="K206" s="16">
        <f t="shared" si="689"/>
        <v>0</v>
      </c>
      <c r="L206" s="16">
        <f t="shared" si="689"/>
        <v>0</v>
      </c>
      <c r="M206" s="16">
        <f t="shared" si="689"/>
        <v>0</v>
      </c>
      <c r="N206" s="16">
        <f t="shared" si="689"/>
        <v>0</v>
      </c>
      <c r="O206" s="13">
        <f t="shared" si="666"/>
        <v>90000</v>
      </c>
      <c r="P206" s="14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/>
      <c r="IU206" s="3"/>
      <c r="IV206" s="3"/>
    </row>
    <row r="207" spans="1:256" s="1" customFormat="1" x14ac:dyDescent="0.35">
      <c r="B207" s="15" t="s">
        <v>15</v>
      </c>
      <c r="C207" s="16">
        <f t="shared" ref="C207" si="690">C205-C206</f>
        <v>270000</v>
      </c>
      <c r="D207" s="16">
        <f t="shared" ref="D207:N207" si="691">D205-D206</f>
        <v>270000</v>
      </c>
      <c r="E207" s="16">
        <f t="shared" si="691"/>
        <v>270000</v>
      </c>
      <c r="F207" s="16">
        <f t="shared" si="691"/>
        <v>0</v>
      </c>
      <c r="G207" s="16">
        <f t="shared" si="691"/>
        <v>0</v>
      </c>
      <c r="H207" s="16">
        <f t="shared" si="691"/>
        <v>0</v>
      </c>
      <c r="I207" s="16">
        <f t="shared" si="691"/>
        <v>0</v>
      </c>
      <c r="J207" s="16">
        <f t="shared" si="691"/>
        <v>0</v>
      </c>
      <c r="K207" s="16">
        <f t="shared" si="691"/>
        <v>0</v>
      </c>
      <c r="L207" s="16">
        <f t="shared" si="691"/>
        <v>0</v>
      </c>
      <c r="M207" s="16">
        <f t="shared" si="691"/>
        <v>0</v>
      </c>
      <c r="N207" s="16">
        <f t="shared" si="691"/>
        <v>0</v>
      </c>
      <c r="O207" s="13">
        <f t="shared" si="666"/>
        <v>810000</v>
      </c>
      <c r="P207" s="14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3"/>
      <c r="IA207" s="3"/>
      <c r="IB207" s="3"/>
      <c r="IC207" s="3"/>
      <c r="ID207" s="3"/>
      <c r="IE207" s="3"/>
      <c r="IF207" s="3"/>
      <c r="IG207" s="3"/>
      <c r="IH207" s="3"/>
      <c r="II207" s="3"/>
      <c r="IJ207" s="3"/>
      <c r="IK207" s="3"/>
      <c r="IL207" s="3"/>
      <c r="IM207" s="3"/>
      <c r="IN207" s="3"/>
      <c r="IO207" s="3"/>
      <c r="IP207" s="3"/>
      <c r="IQ207" s="3"/>
      <c r="IR207" s="3"/>
      <c r="IS207" s="3"/>
      <c r="IT207" s="3"/>
      <c r="IU207" s="3"/>
      <c r="IV207" s="3"/>
    </row>
    <row r="208" spans="1:256" s="1" customFormat="1" x14ac:dyDescent="0.35">
      <c r="B208" s="15" t="s">
        <v>16</v>
      </c>
      <c r="C208" s="171">
        <f>IF(C207&gt;1000000,128000+0.3*(C207-1000000),IF(C207&gt;760000,68000+0.25*(C207-760000),IF(C207&gt;520000,20000+0.2*(C207-520000),IF(C207&gt;270000,0.08*(C207-270000),IF(C207&lt;=270000,0)))))</f>
        <v>0</v>
      </c>
      <c r="D208" s="171">
        <f t="shared" ref="D208" si="692">IF(D207&gt;1000000,128000+0.3*(D207-1000000),IF(D207&gt;760000,68000+0.25*(D207-760000),IF(D207&gt;520000,20000+0.2*(D207-520000),IF(D207&gt;270000,0.08*(D207-270000),IF(D207&lt;=270000,0)))))</f>
        <v>0</v>
      </c>
      <c r="E208" s="171">
        <f t="shared" ref="E208" si="693">IF(E207&gt;1000000,128000+0.3*(E207-1000000),IF(E207&gt;760000,68000+0.25*(E207-760000),IF(E207&gt;520000,20000+0.2*(E207-520000),IF(E207&gt;270000,0.08*(E207-270000),IF(E207&lt;=270000,0)))))</f>
        <v>0</v>
      </c>
      <c r="F208" s="171">
        <f t="shared" ref="F208" si="694">IF(F207&gt;1000000,128000+0.3*(F207-1000000),IF(F207&gt;760000,68000+0.25*(F207-760000),IF(F207&gt;520000,20000+0.2*(F207-520000),IF(F207&gt;270000,0.08*(F207-270000),IF(F207&lt;=270000,0)))))</f>
        <v>0</v>
      </c>
      <c r="G208" s="171">
        <f t="shared" ref="G208" si="695">IF(G207&gt;1000000,128000+0.3*(G207-1000000),IF(G207&gt;760000,68000+0.25*(G207-760000),IF(G207&gt;520000,20000+0.2*(G207-520000),IF(G207&gt;270000,0.08*(G207-270000),IF(G207&lt;=270000,0)))))</f>
        <v>0</v>
      </c>
      <c r="H208" s="171">
        <f t="shared" ref="H208" si="696">IF(H207&gt;1000000,128000+0.3*(H207-1000000),IF(H207&gt;760000,68000+0.25*(H207-760000),IF(H207&gt;520000,20000+0.2*(H207-520000),IF(H207&gt;270000,0.08*(H207-270000),IF(H207&lt;=270000,0)))))</f>
        <v>0</v>
      </c>
      <c r="I208" s="171">
        <f t="shared" ref="I208" si="697">IF(I207&gt;1000000,128000+0.3*(I207-1000000),IF(I207&gt;760000,68000+0.25*(I207-760000),IF(I207&gt;520000,20000+0.2*(I207-520000),IF(I207&gt;270000,0.08*(I207-270000),IF(I207&lt;=270000,0)))))</f>
        <v>0</v>
      </c>
      <c r="J208" s="171">
        <f t="shared" ref="J208" si="698">IF(J207&gt;1000000,128000+0.3*(J207-1000000),IF(J207&gt;760000,68000+0.25*(J207-760000),IF(J207&gt;520000,20000+0.2*(J207-520000),IF(J207&gt;270000,0.08*(J207-270000),IF(J207&lt;=270000,0)))))</f>
        <v>0</v>
      </c>
      <c r="K208" s="171">
        <f t="shared" ref="K208" si="699">IF(K207&gt;1000000,128000+0.3*(K207-1000000),IF(K207&gt;760000,68000+0.25*(K207-760000),IF(K207&gt;520000,20000+0.2*(K207-520000),IF(K207&gt;270000,0.08*(K207-270000),IF(K207&lt;=270000,0)))))</f>
        <v>0</v>
      </c>
      <c r="L208" s="171">
        <f t="shared" ref="L208" si="700">IF(L207&gt;1000000,128000+0.3*(L207-1000000),IF(L207&gt;760000,68000+0.25*(L207-760000),IF(L207&gt;520000,20000+0.2*(L207-520000),IF(L207&gt;270000,0.08*(L207-270000),IF(L207&lt;=270000,0)))))</f>
        <v>0</v>
      </c>
      <c r="M208" s="171">
        <f t="shared" ref="M208" si="701">IF(M207&gt;1000000,128000+0.3*(M207-1000000),IF(M207&gt;760000,68000+0.25*(M207-760000),IF(M207&gt;520000,20000+0.2*(M207-520000),IF(M207&gt;270000,0.08*(M207-270000),IF(M207&lt;=270000,0)))))</f>
        <v>0</v>
      </c>
      <c r="N208" s="171">
        <f t="shared" ref="N208" si="702">IF(N207&gt;1000000,128000+0.3*(N207-1000000),IF(N207&gt;760000,68000+0.25*(N207-760000),IF(N207&gt;520000,20000+0.2*(N207-520000),IF(N207&gt;270000,0.08*(N207-270000),IF(N207&lt;=270000,0)))))</f>
        <v>0</v>
      </c>
      <c r="O208" s="13">
        <f t="shared" si="666"/>
        <v>0</v>
      </c>
      <c r="P208" s="14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  <c r="II208" s="3"/>
      <c r="IJ208" s="3"/>
      <c r="IK208" s="3"/>
      <c r="IL208" s="3"/>
      <c r="IM208" s="3"/>
      <c r="IN208" s="3"/>
      <c r="IO208" s="3"/>
      <c r="IP208" s="3"/>
      <c r="IQ208" s="3"/>
      <c r="IR208" s="3"/>
      <c r="IS208" s="3"/>
      <c r="IT208" s="3"/>
      <c r="IU208" s="3"/>
      <c r="IV208" s="3"/>
    </row>
    <row r="209" spans="1:256" s="17" customFormat="1" x14ac:dyDescent="0.35">
      <c r="A209" s="17">
        <v>52</v>
      </c>
      <c r="B209" s="11" t="s">
        <v>445</v>
      </c>
      <c r="C209" s="12">
        <v>300000</v>
      </c>
      <c r="D209" s="12">
        <v>300000</v>
      </c>
      <c r="E209" s="12">
        <v>300000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3">
        <f t="shared" si="666"/>
        <v>900000</v>
      </c>
      <c r="P209" s="14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3"/>
      <c r="IA209" s="3"/>
      <c r="IB209" s="3"/>
      <c r="IC209" s="3"/>
      <c r="ID209" s="3"/>
      <c r="IE209" s="3"/>
      <c r="IF209" s="3"/>
      <c r="IG209" s="3"/>
      <c r="IH209" s="3"/>
      <c r="II209" s="3"/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  <c r="IU209" s="3"/>
      <c r="IV209" s="3"/>
    </row>
    <row r="210" spans="1:256" s="17" customFormat="1" x14ac:dyDescent="0.35">
      <c r="B210" s="15" t="s">
        <v>14</v>
      </c>
      <c r="C210" s="16">
        <f t="shared" ref="C210" si="703">C209*0.1</f>
        <v>30000</v>
      </c>
      <c r="D210" s="16">
        <f t="shared" ref="D210:N210" si="704">D209*0.1</f>
        <v>30000</v>
      </c>
      <c r="E210" s="16">
        <f t="shared" si="704"/>
        <v>30000</v>
      </c>
      <c r="F210" s="16">
        <f t="shared" si="704"/>
        <v>0</v>
      </c>
      <c r="G210" s="16">
        <f t="shared" si="704"/>
        <v>0</v>
      </c>
      <c r="H210" s="16">
        <f t="shared" si="704"/>
        <v>0</v>
      </c>
      <c r="I210" s="16">
        <f t="shared" si="704"/>
        <v>0</v>
      </c>
      <c r="J210" s="16">
        <f t="shared" si="704"/>
        <v>0</v>
      </c>
      <c r="K210" s="16">
        <f t="shared" si="704"/>
        <v>0</v>
      </c>
      <c r="L210" s="16">
        <f t="shared" si="704"/>
        <v>0</v>
      </c>
      <c r="M210" s="16">
        <f t="shared" si="704"/>
        <v>0</v>
      </c>
      <c r="N210" s="16">
        <f t="shared" si="704"/>
        <v>0</v>
      </c>
      <c r="O210" s="13">
        <f t="shared" si="666"/>
        <v>90000</v>
      </c>
      <c r="P210" s="14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/>
      <c r="IL210" s="3"/>
      <c r="IM210" s="3"/>
      <c r="IN210" s="3"/>
      <c r="IO210" s="3"/>
      <c r="IP210" s="3"/>
      <c r="IQ210" s="3"/>
      <c r="IR210" s="3"/>
      <c r="IS210" s="3"/>
      <c r="IT210" s="3"/>
      <c r="IU210" s="3"/>
      <c r="IV210" s="3"/>
    </row>
    <row r="211" spans="1:256" s="1" customFormat="1" x14ac:dyDescent="0.35">
      <c r="B211" s="15" t="s">
        <v>15</v>
      </c>
      <c r="C211" s="16">
        <f t="shared" ref="C211" si="705">C209-C210</f>
        <v>270000</v>
      </c>
      <c r="D211" s="16">
        <f t="shared" ref="D211:N211" si="706">D209-D210</f>
        <v>270000</v>
      </c>
      <c r="E211" s="16">
        <f t="shared" si="706"/>
        <v>270000</v>
      </c>
      <c r="F211" s="16">
        <f t="shared" si="706"/>
        <v>0</v>
      </c>
      <c r="G211" s="16">
        <f t="shared" si="706"/>
        <v>0</v>
      </c>
      <c r="H211" s="16">
        <f t="shared" si="706"/>
        <v>0</v>
      </c>
      <c r="I211" s="16">
        <f t="shared" si="706"/>
        <v>0</v>
      </c>
      <c r="J211" s="16">
        <f t="shared" si="706"/>
        <v>0</v>
      </c>
      <c r="K211" s="16">
        <f t="shared" si="706"/>
        <v>0</v>
      </c>
      <c r="L211" s="16">
        <f t="shared" si="706"/>
        <v>0</v>
      </c>
      <c r="M211" s="16">
        <f t="shared" si="706"/>
        <v>0</v>
      </c>
      <c r="N211" s="16">
        <f t="shared" si="706"/>
        <v>0</v>
      </c>
      <c r="O211" s="13">
        <f t="shared" si="666"/>
        <v>810000</v>
      </c>
      <c r="P211" s="14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  <c r="HU211" s="3"/>
      <c r="HV211" s="3"/>
      <c r="HW211" s="3"/>
      <c r="HX211" s="3"/>
      <c r="HY211" s="3"/>
      <c r="HZ211" s="3"/>
      <c r="IA211" s="3"/>
      <c r="IB211" s="3"/>
      <c r="IC211" s="3"/>
      <c r="ID211" s="3"/>
      <c r="IE211" s="3"/>
      <c r="IF211" s="3"/>
      <c r="IG211" s="3"/>
      <c r="IH211" s="3"/>
      <c r="II211" s="3"/>
      <c r="IJ211" s="3"/>
      <c r="IK211" s="3"/>
      <c r="IL211" s="3"/>
      <c r="IM211" s="3"/>
      <c r="IN211" s="3"/>
      <c r="IO211" s="3"/>
      <c r="IP211" s="3"/>
      <c r="IQ211" s="3"/>
      <c r="IR211" s="3"/>
      <c r="IS211" s="3"/>
      <c r="IT211" s="3"/>
      <c r="IU211" s="3"/>
      <c r="IV211" s="3"/>
    </row>
    <row r="212" spans="1:256" s="1" customFormat="1" x14ac:dyDescent="0.35">
      <c r="B212" s="15" t="s">
        <v>16</v>
      </c>
      <c r="C212" s="18">
        <f t="shared" ref="C212" si="707">IF(C211&gt;1000000,(C212-1000000)*0.3+130500,IF(C211&gt;760000,(C211-760000)*0.25+70500,IF(C211&gt;520000,(C211-520000)*0.2+22500,IF(C211&gt;270000,(C211-270000)*0.08+0,IF(C211&lt;270001,0,0)))))</f>
        <v>0</v>
      </c>
      <c r="D212" s="18">
        <f t="shared" ref="D212:N212" si="708">IF(D211&gt;1000000,(D212-1000000)*0.3+128000,IF(D211&gt;760000,(D211-760000)*0.25+68000,IF(D211&gt;520000,(D211-520000)*0.2+20000,IF(D211&gt;270000,(D211-270000)*0.08+0,IF(D211&lt;270001,0,0)))))</f>
        <v>0</v>
      </c>
      <c r="E212" s="18">
        <f t="shared" si="708"/>
        <v>0</v>
      </c>
      <c r="F212" s="18">
        <f t="shared" si="708"/>
        <v>0</v>
      </c>
      <c r="G212" s="18">
        <f t="shared" si="708"/>
        <v>0</v>
      </c>
      <c r="H212" s="18">
        <f t="shared" si="708"/>
        <v>0</v>
      </c>
      <c r="I212" s="18">
        <f t="shared" si="708"/>
        <v>0</v>
      </c>
      <c r="J212" s="18">
        <f t="shared" si="708"/>
        <v>0</v>
      </c>
      <c r="K212" s="18">
        <f t="shared" si="708"/>
        <v>0</v>
      </c>
      <c r="L212" s="18">
        <f t="shared" si="708"/>
        <v>0</v>
      </c>
      <c r="M212" s="18">
        <f t="shared" si="708"/>
        <v>0</v>
      </c>
      <c r="N212" s="18">
        <f t="shared" si="708"/>
        <v>0</v>
      </c>
      <c r="O212" s="13">
        <f t="shared" si="666"/>
        <v>0</v>
      </c>
      <c r="P212" s="14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  <c r="HU212" s="3"/>
      <c r="HV212" s="3"/>
      <c r="HW212" s="3"/>
      <c r="HX212" s="3"/>
      <c r="HY212" s="3"/>
      <c r="HZ212" s="3"/>
      <c r="IA212" s="3"/>
      <c r="IB212" s="3"/>
      <c r="IC212" s="3"/>
      <c r="ID212" s="3"/>
      <c r="IE212" s="3"/>
      <c r="IF212" s="3"/>
      <c r="IG212" s="3"/>
      <c r="IH212" s="3"/>
      <c r="II212" s="3"/>
      <c r="IJ212" s="3"/>
      <c r="IK212" s="3"/>
      <c r="IL212" s="3"/>
      <c r="IM212" s="3"/>
      <c r="IN212" s="3"/>
      <c r="IO212" s="3"/>
      <c r="IP212" s="3"/>
      <c r="IQ212" s="3"/>
      <c r="IR212" s="3"/>
      <c r="IS212" s="3"/>
      <c r="IT212" s="3"/>
      <c r="IU212" s="3"/>
      <c r="IV212" s="3"/>
    </row>
    <row r="213" spans="1:256" s="17" customFormat="1" x14ac:dyDescent="0.35">
      <c r="A213" s="17">
        <v>53</v>
      </c>
      <c r="B213" s="11" t="s">
        <v>446</v>
      </c>
      <c r="C213" s="12">
        <v>300000</v>
      </c>
      <c r="D213" s="12">
        <v>300000</v>
      </c>
      <c r="E213" s="12">
        <v>300000</v>
      </c>
      <c r="F213" s="12">
        <v>0</v>
      </c>
      <c r="G213" s="12">
        <v>0</v>
      </c>
      <c r="H213" s="12">
        <v>0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  <c r="N213" s="12">
        <v>0</v>
      </c>
      <c r="O213" s="13">
        <f t="shared" si="666"/>
        <v>900000</v>
      </c>
      <c r="P213" s="14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  <c r="HU213" s="3"/>
      <c r="HV213" s="3"/>
      <c r="HW213" s="3"/>
      <c r="HX213" s="3"/>
      <c r="HY213" s="3"/>
      <c r="HZ213" s="3"/>
      <c r="IA213" s="3"/>
      <c r="IB213" s="3"/>
      <c r="IC213" s="3"/>
      <c r="ID213" s="3"/>
      <c r="IE213" s="3"/>
      <c r="IF213" s="3"/>
      <c r="IG213" s="3"/>
      <c r="IH213" s="3"/>
      <c r="II213" s="3"/>
      <c r="IJ213" s="3"/>
      <c r="IK213" s="3"/>
      <c r="IL213" s="3"/>
      <c r="IM213" s="3"/>
      <c r="IN213" s="3"/>
      <c r="IO213" s="3"/>
      <c r="IP213" s="3"/>
      <c r="IQ213" s="3"/>
      <c r="IR213" s="3"/>
      <c r="IS213" s="3"/>
      <c r="IT213" s="3"/>
      <c r="IU213" s="3"/>
      <c r="IV213" s="3"/>
    </row>
    <row r="214" spans="1:256" s="17" customFormat="1" x14ac:dyDescent="0.35">
      <c r="B214" s="15" t="s">
        <v>14</v>
      </c>
      <c r="C214" s="16">
        <f t="shared" ref="C214" si="709">C213*0.1</f>
        <v>30000</v>
      </c>
      <c r="D214" s="16">
        <f t="shared" ref="D214:N214" si="710">D213*0.1</f>
        <v>30000</v>
      </c>
      <c r="E214" s="16">
        <f t="shared" si="710"/>
        <v>30000</v>
      </c>
      <c r="F214" s="16">
        <f t="shared" si="710"/>
        <v>0</v>
      </c>
      <c r="G214" s="16">
        <f t="shared" si="710"/>
        <v>0</v>
      </c>
      <c r="H214" s="16">
        <f t="shared" si="710"/>
        <v>0</v>
      </c>
      <c r="I214" s="16">
        <f t="shared" si="710"/>
        <v>0</v>
      </c>
      <c r="J214" s="16">
        <f t="shared" si="710"/>
        <v>0</v>
      </c>
      <c r="K214" s="16">
        <f t="shared" si="710"/>
        <v>0</v>
      </c>
      <c r="L214" s="16">
        <f t="shared" si="710"/>
        <v>0</v>
      </c>
      <c r="M214" s="16">
        <f t="shared" si="710"/>
        <v>0</v>
      </c>
      <c r="N214" s="16">
        <f t="shared" si="710"/>
        <v>0</v>
      </c>
      <c r="O214" s="13">
        <f t="shared" si="666"/>
        <v>90000</v>
      </c>
      <c r="P214" s="14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3"/>
      <c r="HT214" s="3"/>
      <c r="HU214" s="3"/>
      <c r="HV214" s="3"/>
      <c r="HW214" s="3"/>
      <c r="HX214" s="3"/>
      <c r="HY214" s="3"/>
      <c r="HZ214" s="3"/>
      <c r="IA214" s="3"/>
      <c r="IB214" s="3"/>
      <c r="IC214" s="3"/>
      <c r="ID214" s="3"/>
      <c r="IE214" s="3"/>
      <c r="IF214" s="3"/>
      <c r="IG214" s="3"/>
      <c r="IH214" s="3"/>
      <c r="II214" s="3"/>
      <c r="IJ214" s="3"/>
      <c r="IK214" s="3"/>
      <c r="IL214" s="3"/>
      <c r="IM214" s="3"/>
      <c r="IN214" s="3"/>
      <c r="IO214" s="3"/>
      <c r="IP214" s="3"/>
      <c r="IQ214" s="3"/>
      <c r="IR214" s="3"/>
      <c r="IS214" s="3"/>
      <c r="IT214" s="3"/>
      <c r="IU214" s="3"/>
      <c r="IV214" s="3"/>
    </row>
    <row r="215" spans="1:256" s="1" customFormat="1" x14ac:dyDescent="0.35">
      <c r="B215" s="15" t="s">
        <v>15</v>
      </c>
      <c r="C215" s="16">
        <f t="shared" ref="C215" si="711">C213-C214</f>
        <v>270000</v>
      </c>
      <c r="D215" s="16">
        <f t="shared" ref="D215:N215" si="712">D213-D214</f>
        <v>270000</v>
      </c>
      <c r="E215" s="16">
        <f t="shared" si="712"/>
        <v>270000</v>
      </c>
      <c r="F215" s="16">
        <f t="shared" si="712"/>
        <v>0</v>
      </c>
      <c r="G215" s="16">
        <f t="shared" si="712"/>
        <v>0</v>
      </c>
      <c r="H215" s="16">
        <f t="shared" si="712"/>
        <v>0</v>
      </c>
      <c r="I215" s="16">
        <f t="shared" si="712"/>
        <v>0</v>
      </c>
      <c r="J215" s="16">
        <f t="shared" si="712"/>
        <v>0</v>
      </c>
      <c r="K215" s="16">
        <f t="shared" si="712"/>
        <v>0</v>
      </c>
      <c r="L215" s="16">
        <f t="shared" si="712"/>
        <v>0</v>
      </c>
      <c r="M215" s="16">
        <f t="shared" si="712"/>
        <v>0</v>
      </c>
      <c r="N215" s="16">
        <f t="shared" si="712"/>
        <v>0</v>
      </c>
      <c r="O215" s="13">
        <f t="shared" si="666"/>
        <v>810000</v>
      </c>
      <c r="P215" s="14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3"/>
      <c r="HQ215" s="3"/>
      <c r="HR215" s="3"/>
      <c r="HS215" s="3"/>
      <c r="HT215" s="3"/>
      <c r="HU215" s="3"/>
      <c r="HV215" s="3"/>
      <c r="HW215" s="3"/>
      <c r="HX215" s="3"/>
      <c r="HY215" s="3"/>
      <c r="HZ215" s="3"/>
      <c r="IA215" s="3"/>
      <c r="IB215" s="3"/>
      <c r="IC215" s="3"/>
      <c r="ID215" s="3"/>
      <c r="IE215" s="3"/>
      <c r="IF215" s="3"/>
      <c r="IG215" s="3"/>
      <c r="IH215" s="3"/>
      <c r="II215" s="3"/>
      <c r="IJ215" s="3"/>
      <c r="IK215" s="3"/>
      <c r="IL215" s="3"/>
      <c r="IM215" s="3"/>
      <c r="IN215" s="3"/>
      <c r="IO215" s="3"/>
      <c r="IP215" s="3"/>
      <c r="IQ215" s="3"/>
      <c r="IR215" s="3"/>
      <c r="IS215" s="3"/>
      <c r="IT215" s="3"/>
      <c r="IU215" s="3"/>
      <c r="IV215" s="3"/>
    </row>
    <row r="216" spans="1:256" s="1" customFormat="1" x14ac:dyDescent="0.35">
      <c r="B216" s="15" t="s">
        <v>16</v>
      </c>
      <c r="C216" s="171">
        <f>IF(C215&gt;1000000,128000+0.3*(C215-1000000),IF(C215&gt;760000,68000+0.25*(C215-760000),IF(C215&gt;520000,20000+0.2*(C215-520000),IF(C215&gt;270000,0.08*(C215-270000),IF(C215&lt;=270000,0)))))</f>
        <v>0</v>
      </c>
      <c r="D216" s="171">
        <f t="shared" ref="D216" si="713">IF(D215&gt;1000000,128000+0.3*(D215-1000000),IF(D215&gt;760000,68000+0.25*(D215-760000),IF(D215&gt;520000,20000+0.2*(D215-520000),IF(D215&gt;270000,0.08*(D215-270000),IF(D215&lt;=270000,0)))))</f>
        <v>0</v>
      </c>
      <c r="E216" s="171">
        <f t="shared" ref="E216" si="714">IF(E215&gt;1000000,128000+0.3*(E215-1000000),IF(E215&gt;760000,68000+0.25*(E215-760000),IF(E215&gt;520000,20000+0.2*(E215-520000),IF(E215&gt;270000,0.08*(E215-270000),IF(E215&lt;=270000,0)))))</f>
        <v>0</v>
      </c>
      <c r="F216" s="171">
        <f t="shared" ref="F216" si="715">IF(F215&gt;1000000,128000+0.3*(F215-1000000),IF(F215&gt;760000,68000+0.25*(F215-760000),IF(F215&gt;520000,20000+0.2*(F215-520000),IF(F215&gt;270000,0.08*(F215-270000),IF(F215&lt;=270000,0)))))</f>
        <v>0</v>
      </c>
      <c r="G216" s="171">
        <f t="shared" ref="G216" si="716">IF(G215&gt;1000000,128000+0.3*(G215-1000000),IF(G215&gt;760000,68000+0.25*(G215-760000),IF(G215&gt;520000,20000+0.2*(G215-520000),IF(G215&gt;270000,0.08*(G215-270000),IF(G215&lt;=270000,0)))))</f>
        <v>0</v>
      </c>
      <c r="H216" s="171">
        <f t="shared" ref="H216" si="717">IF(H215&gt;1000000,128000+0.3*(H215-1000000),IF(H215&gt;760000,68000+0.25*(H215-760000),IF(H215&gt;520000,20000+0.2*(H215-520000),IF(H215&gt;270000,0.08*(H215-270000),IF(H215&lt;=270000,0)))))</f>
        <v>0</v>
      </c>
      <c r="I216" s="171">
        <f t="shared" ref="I216" si="718">IF(I215&gt;1000000,128000+0.3*(I215-1000000),IF(I215&gt;760000,68000+0.25*(I215-760000),IF(I215&gt;520000,20000+0.2*(I215-520000),IF(I215&gt;270000,0.08*(I215-270000),IF(I215&lt;=270000,0)))))</f>
        <v>0</v>
      </c>
      <c r="J216" s="171">
        <f t="shared" ref="J216" si="719">IF(J215&gt;1000000,128000+0.3*(J215-1000000),IF(J215&gt;760000,68000+0.25*(J215-760000),IF(J215&gt;520000,20000+0.2*(J215-520000),IF(J215&gt;270000,0.08*(J215-270000),IF(J215&lt;=270000,0)))))</f>
        <v>0</v>
      </c>
      <c r="K216" s="171">
        <f t="shared" ref="K216" si="720">IF(K215&gt;1000000,128000+0.3*(K215-1000000),IF(K215&gt;760000,68000+0.25*(K215-760000),IF(K215&gt;520000,20000+0.2*(K215-520000),IF(K215&gt;270000,0.08*(K215-270000),IF(K215&lt;=270000,0)))))</f>
        <v>0</v>
      </c>
      <c r="L216" s="171">
        <f t="shared" ref="L216" si="721">IF(L215&gt;1000000,128000+0.3*(L215-1000000),IF(L215&gt;760000,68000+0.25*(L215-760000),IF(L215&gt;520000,20000+0.2*(L215-520000),IF(L215&gt;270000,0.08*(L215-270000),IF(L215&lt;=270000,0)))))</f>
        <v>0</v>
      </c>
      <c r="M216" s="171">
        <f t="shared" ref="M216" si="722">IF(M215&gt;1000000,128000+0.3*(M215-1000000),IF(M215&gt;760000,68000+0.25*(M215-760000),IF(M215&gt;520000,20000+0.2*(M215-520000),IF(M215&gt;270000,0.08*(M215-270000),IF(M215&lt;=270000,0)))))</f>
        <v>0</v>
      </c>
      <c r="N216" s="171">
        <f t="shared" ref="N216" si="723">IF(N215&gt;1000000,128000+0.3*(N215-1000000),IF(N215&gt;760000,68000+0.25*(N215-760000),IF(N215&gt;520000,20000+0.2*(N215-520000),IF(N215&gt;270000,0.08*(N215-270000),IF(N215&lt;=270000,0)))))</f>
        <v>0</v>
      </c>
      <c r="O216" s="13">
        <f t="shared" si="666"/>
        <v>0</v>
      </c>
      <c r="P216" s="14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/>
      <c r="HY216" s="3"/>
      <c r="HZ216" s="3"/>
      <c r="IA216" s="3"/>
      <c r="IB216" s="3"/>
      <c r="IC216" s="3"/>
      <c r="ID216" s="3"/>
      <c r="IE216" s="3"/>
      <c r="IF216" s="3"/>
      <c r="IG216" s="3"/>
      <c r="IH216" s="3"/>
      <c r="II216" s="3"/>
      <c r="IJ216" s="3"/>
      <c r="IK216" s="3"/>
      <c r="IL216" s="3"/>
      <c r="IM216" s="3"/>
      <c r="IN216" s="3"/>
      <c r="IO216" s="3"/>
      <c r="IP216" s="3"/>
      <c r="IQ216" s="3"/>
      <c r="IR216" s="3"/>
      <c r="IS216" s="3"/>
      <c r="IT216" s="3"/>
      <c r="IU216" s="3"/>
      <c r="IV216" s="3"/>
    </row>
    <row r="217" spans="1:256" s="17" customFormat="1" x14ac:dyDescent="0.35">
      <c r="A217" s="17">
        <v>54</v>
      </c>
      <c r="B217" s="11" t="s">
        <v>447</v>
      </c>
      <c r="C217" s="12">
        <v>300000</v>
      </c>
      <c r="D217" s="12">
        <v>300000</v>
      </c>
      <c r="E217" s="12">
        <v>300000</v>
      </c>
      <c r="F217" s="12">
        <v>0</v>
      </c>
      <c r="G217" s="12">
        <v>0</v>
      </c>
      <c r="H217" s="12">
        <v>0</v>
      </c>
      <c r="I217" s="12">
        <v>0</v>
      </c>
      <c r="J217" s="12">
        <v>0</v>
      </c>
      <c r="K217" s="12">
        <v>0</v>
      </c>
      <c r="L217" s="12">
        <v>0</v>
      </c>
      <c r="M217" s="12">
        <v>0</v>
      </c>
      <c r="N217" s="12">
        <v>0</v>
      </c>
      <c r="O217" s="13">
        <f t="shared" si="666"/>
        <v>900000</v>
      </c>
      <c r="P217" s="14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  <c r="IA217" s="3"/>
      <c r="IB217" s="3"/>
      <c r="IC217" s="3"/>
      <c r="ID217" s="3"/>
      <c r="IE217" s="3"/>
      <c r="IF217" s="3"/>
      <c r="IG217" s="3"/>
      <c r="IH217" s="3"/>
      <c r="II217" s="3"/>
      <c r="IJ217" s="3"/>
      <c r="IK217" s="3"/>
      <c r="IL217" s="3"/>
      <c r="IM217" s="3"/>
      <c r="IN217" s="3"/>
      <c r="IO217" s="3"/>
      <c r="IP217" s="3"/>
      <c r="IQ217" s="3"/>
      <c r="IR217" s="3"/>
      <c r="IS217" s="3"/>
      <c r="IT217" s="3"/>
      <c r="IU217" s="3"/>
      <c r="IV217" s="3"/>
    </row>
    <row r="218" spans="1:256" s="17" customFormat="1" x14ac:dyDescent="0.35">
      <c r="B218" s="15" t="s">
        <v>14</v>
      </c>
      <c r="C218" s="16">
        <f t="shared" ref="C218" si="724">C217*0.1</f>
        <v>30000</v>
      </c>
      <c r="D218" s="16">
        <f t="shared" ref="D218:N218" si="725">D217*0.1</f>
        <v>30000</v>
      </c>
      <c r="E218" s="16">
        <f t="shared" si="725"/>
        <v>30000</v>
      </c>
      <c r="F218" s="16">
        <f t="shared" si="725"/>
        <v>0</v>
      </c>
      <c r="G218" s="16">
        <f t="shared" si="725"/>
        <v>0</v>
      </c>
      <c r="H218" s="16">
        <f t="shared" si="725"/>
        <v>0</v>
      </c>
      <c r="I218" s="16">
        <f t="shared" si="725"/>
        <v>0</v>
      </c>
      <c r="J218" s="16">
        <f t="shared" si="725"/>
        <v>0</v>
      </c>
      <c r="K218" s="16">
        <f t="shared" si="725"/>
        <v>0</v>
      </c>
      <c r="L218" s="16">
        <f t="shared" si="725"/>
        <v>0</v>
      </c>
      <c r="M218" s="16">
        <f t="shared" si="725"/>
        <v>0</v>
      </c>
      <c r="N218" s="16">
        <f t="shared" si="725"/>
        <v>0</v>
      </c>
      <c r="O218" s="13">
        <f t="shared" si="666"/>
        <v>90000</v>
      </c>
      <c r="P218" s="14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  <c r="IA218" s="3"/>
      <c r="IB218" s="3"/>
      <c r="IC218" s="3"/>
      <c r="ID218" s="3"/>
      <c r="IE218" s="3"/>
      <c r="IF218" s="3"/>
      <c r="IG218" s="3"/>
      <c r="IH218" s="3"/>
      <c r="II218" s="3"/>
      <c r="IJ218" s="3"/>
      <c r="IK218" s="3"/>
      <c r="IL218" s="3"/>
      <c r="IM218" s="3"/>
      <c r="IN218" s="3"/>
      <c r="IO218" s="3"/>
      <c r="IP218" s="3"/>
      <c r="IQ218" s="3"/>
      <c r="IR218" s="3"/>
      <c r="IS218" s="3"/>
      <c r="IT218" s="3"/>
      <c r="IU218" s="3"/>
      <c r="IV218" s="3"/>
    </row>
    <row r="219" spans="1:256" s="1" customFormat="1" x14ac:dyDescent="0.35">
      <c r="B219" s="15" t="s">
        <v>15</v>
      </c>
      <c r="C219" s="16">
        <f t="shared" ref="C219" si="726">C217-C218</f>
        <v>270000</v>
      </c>
      <c r="D219" s="16">
        <f t="shared" ref="D219:N219" si="727">D217-D218</f>
        <v>270000</v>
      </c>
      <c r="E219" s="16">
        <f t="shared" si="727"/>
        <v>270000</v>
      </c>
      <c r="F219" s="16">
        <f t="shared" si="727"/>
        <v>0</v>
      </c>
      <c r="G219" s="16">
        <f t="shared" si="727"/>
        <v>0</v>
      </c>
      <c r="H219" s="16">
        <f t="shared" si="727"/>
        <v>0</v>
      </c>
      <c r="I219" s="16">
        <f t="shared" si="727"/>
        <v>0</v>
      </c>
      <c r="J219" s="16">
        <f t="shared" si="727"/>
        <v>0</v>
      </c>
      <c r="K219" s="16">
        <f t="shared" si="727"/>
        <v>0</v>
      </c>
      <c r="L219" s="16">
        <f t="shared" si="727"/>
        <v>0</v>
      </c>
      <c r="M219" s="16">
        <f t="shared" si="727"/>
        <v>0</v>
      </c>
      <c r="N219" s="16">
        <f t="shared" si="727"/>
        <v>0</v>
      </c>
      <c r="O219" s="13">
        <f t="shared" si="666"/>
        <v>810000</v>
      </c>
      <c r="P219" s="14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  <c r="IA219" s="3"/>
      <c r="IB219" s="3"/>
      <c r="IC219" s="3"/>
      <c r="ID219" s="3"/>
      <c r="IE219" s="3"/>
      <c r="IF219" s="3"/>
      <c r="IG219" s="3"/>
      <c r="IH219" s="3"/>
      <c r="II219" s="3"/>
      <c r="IJ219" s="3"/>
      <c r="IK219" s="3"/>
      <c r="IL219" s="3"/>
      <c r="IM219" s="3"/>
      <c r="IN219" s="3"/>
      <c r="IO219" s="3"/>
      <c r="IP219" s="3"/>
      <c r="IQ219" s="3"/>
      <c r="IR219" s="3"/>
      <c r="IS219" s="3"/>
      <c r="IT219" s="3"/>
      <c r="IU219" s="3"/>
      <c r="IV219" s="3"/>
    </row>
    <row r="220" spans="1:256" s="1" customFormat="1" x14ac:dyDescent="0.35">
      <c r="B220" s="15" t="s">
        <v>16</v>
      </c>
      <c r="C220" s="171">
        <f>IF(C219&gt;1000000,128000+0.3*(C219-1000000),IF(C219&gt;760000,68000+0.25*(C219-760000),IF(C219&gt;520000,20000+0.2*(C219-520000),IF(C219&gt;270000,0.08*(C219-270000),IF(C219&lt;=270000,0)))))</f>
        <v>0</v>
      </c>
      <c r="D220" s="171">
        <f t="shared" ref="D220" si="728">IF(D219&gt;1000000,128000+0.3*(D219-1000000),IF(D219&gt;760000,68000+0.25*(D219-760000),IF(D219&gt;520000,20000+0.2*(D219-520000),IF(D219&gt;270000,0.08*(D219-270000),IF(D219&lt;=270000,0)))))</f>
        <v>0</v>
      </c>
      <c r="E220" s="171">
        <f t="shared" ref="E220" si="729">IF(E219&gt;1000000,128000+0.3*(E219-1000000),IF(E219&gt;760000,68000+0.25*(E219-760000),IF(E219&gt;520000,20000+0.2*(E219-520000),IF(E219&gt;270000,0.08*(E219-270000),IF(E219&lt;=270000,0)))))</f>
        <v>0</v>
      </c>
      <c r="F220" s="171">
        <f t="shared" ref="F220" si="730">IF(F219&gt;1000000,128000+0.3*(F219-1000000),IF(F219&gt;760000,68000+0.25*(F219-760000),IF(F219&gt;520000,20000+0.2*(F219-520000),IF(F219&gt;270000,0.08*(F219-270000),IF(F219&lt;=270000,0)))))</f>
        <v>0</v>
      </c>
      <c r="G220" s="171">
        <f t="shared" ref="G220" si="731">IF(G219&gt;1000000,128000+0.3*(G219-1000000),IF(G219&gt;760000,68000+0.25*(G219-760000),IF(G219&gt;520000,20000+0.2*(G219-520000),IF(G219&gt;270000,0.08*(G219-270000),IF(G219&lt;=270000,0)))))</f>
        <v>0</v>
      </c>
      <c r="H220" s="171">
        <f t="shared" ref="H220" si="732">IF(H219&gt;1000000,128000+0.3*(H219-1000000),IF(H219&gt;760000,68000+0.25*(H219-760000),IF(H219&gt;520000,20000+0.2*(H219-520000),IF(H219&gt;270000,0.08*(H219-270000),IF(H219&lt;=270000,0)))))</f>
        <v>0</v>
      </c>
      <c r="I220" s="171">
        <f t="shared" ref="I220" si="733">IF(I219&gt;1000000,128000+0.3*(I219-1000000),IF(I219&gt;760000,68000+0.25*(I219-760000),IF(I219&gt;520000,20000+0.2*(I219-520000),IF(I219&gt;270000,0.08*(I219-270000),IF(I219&lt;=270000,0)))))</f>
        <v>0</v>
      </c>
      <c r="J220" s="171">
        <f t="shared" ref="J220" si="734">IF(J219&gt;1000000,128000+0.3*(J219-1000000),IF(J219&gt;760000,68000+0.25*(J219-760000),IF(J219&gt;520000,20000+0.2*(J219-520000),IF(J219&gt;270000,0.08*(J219-270000),IF(J219&lt;=270000,0)))))</f>
        <v>0</v>
      </c>
      <c r="K220" s="171">
        <f t="shared" ref="K220" si="735">IF(K219&gt;1000000,128000+0.3*(K219-1000000),IF(K219&gt;760000,68000+0.25*(K219-760000),IF(K219&gt;520000,20000+0.2*(K219-520000),IF(K219&gt;270000,0.08*(K219-270000),IF(K219&lt;=270000,0)))))</f>
        <v>0</v>
      </c>
      <c r="L220" s="171">
        <f t="shared" ref="L220" si="736">IF(L219&gt;1000000,128000+0.3*(L219-1000000),IF(L219&gt;760000,68000+0.25*(L219-760000),IF(L219&gt;520000,20000+0.2*(L219-520000),IF(L219&gt;270000,0.08*(L219-270000),IF(L219&lt;=270000,0)))))</f>
        <v>0</v>
      </c>
      <c r="M220" s="171">
        <f t="shared" ref="M220" si="737">IF(M219&gt;1000000,128000+0.3*(M219-1000000),IF(M219&gt;760000,68000+0.25*(M219-760000),IF(M219&gt;520000,20000+0.2*(M219-520000),IF(M219&gt;270000,0.08*(M219-270000),IF(M219&lt;=270000,0)))))</f>
        <v>0</v>
      </c>
      <c r="N220" s="171">
        <f t="shared" ref="N220" si="738">IF(N219&gt;1000000,128000+0.3*(N219-1000000),IF(N219&gt;760000,68000+0.25*(N219-760000),IF(N219&gt;520000,20000+0.2*(N219-520000),IF(N219&gt;270000,0.08*(N219-270000),IF(N219&lt;=270000,0)))))</f>
        <v>0</v>
      </c>
      <c r="O220" s="13">
        <f t="shared" si="666"/>
        <v>0</v>
      </c>
      <c r="P220" s="14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  <c r="IA220" s="3"/>
      <c r="IB220" s="3"/>
      <c r="IC220" s="3"/>
      <c r="ID220" s="3"/>
      <c r="IE220" s="3"/>
      <c r="IF220" s="3"/>
      <c r="IG220" s="3"/>
      <c r="IH220" s="3"/>
      <c r="II220" s="3"/>
      <c r="IJ220" s="3"/>
      <c r="IK220" s="3"/>
      <c r="IL220" s="3"/>
      <c r="IM220" s="3"/>
      <c r="IN220" s="3"/>
      <c r="IO220" s="3"/>
      <c r="IP220" s="3"/>
      <c r="IQ220" s="3"/>
      <c r="IR220" s="3"/>
      <c r="IS220" s="3"/>
      <c r="IT220" s="3"/>
      <c r="IU220" s="3"/>
      <c r="IV220" s="3"/>
    </row>
    <row r="221" spans="1:256" s="17" customFormat="1" x14ac:dyDescent="0.35">
      <c r="A221" s="17">
        <v>55</v>
      </c>
      <c r="B221" s="11" t="s">
        <v>448</v>
      </c>
      <c r="C221" s="12">
        <v>300000</v>
      </c>
      <c r="D221" s="12">
        <v>300000</v>
      </c>
      <c r="E221" s="12">
        <v>0</v>
      </c>
      <c r="F221" s="12">
        <v>0</v>
      </c>
      <c r="G221" s="12">
        <v>0</v>
      </c>
      <c r="H221" s="12">
        <v>0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3">
        <f t="shared" si="666"/>
        <v>600000</v>
      </c>
      <c r="P221" s="14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  <c r="IA221" s="3"/>
      <c r="IB221" s="3"/>
      <c r="IC221" s="3"/>
      <c r="ID221" s="3"/>
      <c r="IE221" s="3"/>
      <c r="IF221" s="3"/>
      <c r="IG221" s="3"/>
      <c r="IH221" s="3"/>
      <c r="II221" s="3"/>
      <c r="IJ221" s="3"/>
      <c r="IK221" s="3"/>
      <c r="IL221" s="3"/>
      <c r="IM221" s="3"/>
      <c r="IN221" s="3"/>
      <c r="IO221" s="3"/>
      <c r="IP221" s="3"/>
      <c r="IQ221" s="3"/>
      <c r="IR221" s="3"/>
      <c r="IS221" s="3"/>
      <c r="IT221" s="3"/>
      <c r="IU221" s="3"/>
      <c r="IV221" s="3"/>
    </row>
    <row r="222" spans="1:256" s="17" customFormat="1" x14ac:dyDescent="0.35">
      <c r="B222" s="15" t="s">
        <v>14</v>
      </c>
      <c r="C222" s="16">
        <f t="shared" ref="C222" si="739">C221*0.1</f>
        <v>30000</v>
      </c>
      <c r="D222" s="16">
        <f t="shared" ref="D222:N222" si="740">D221*0.1</f>
        <v>30000</v>
      </c>
      <c r="E222" s="16">
        <f t="shared" si="740"/>
        <v>0</v>
      </c>
      <c r="F222" s="16">
        <f t="shared" si="740"/>
        <v>0</v>
      </c>
      <c r="G222" s="16">
        <f t="shared" si="740"/>
        <v>0</v>
      </c>
      <c r="H222" s="16">
        <f t="shared" si="740"/>
        <v>0</v>
      </c>
      <c r="I222" s="16">
        <f t="shared" si="740"/>
        <v>0</v>
      </c>
      <c r="J222" s="16">
        <f t="shared" si="740"/>
        <v>0</v>
      </c>
      <c r="K222" s="16">
        <f t="shared" si="740"/>
        <v>0</v>
      </c>
      <c r="L222" s="16">
        <f t="shared" si="740"/>
        <v>0</v>
      </c>
      <c r="M222" s="16">
        <f t="shared" si="740"/>
        <v>0</v>
      </c>
      <c r="N222" s="16">
        <f t="shared" si="740"/>
        <v>0</v>
      </c>
      <c r="O222" s="13">
        <f t="shared" si="666"/>
        <v>60000</v>
      </c>
      <c r="P222" s="14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  <c r="IA222" s="3"/>
      <c r="IB222" s="3"/>
      <c r="IC222" s="3"/>
      <c r="ID222" s="3"/>
      <c r="IE222" s="3"/>
      <c r="IF222" s="3"/>
      <c r="IG222" s="3"/>
      <c r="IH222" s="3"/>
      <c r="II222" s="3"/>
      <c r="IJ222" s="3"/>
      <c r="IK222" s="3"/>
      <c r="IL222" s="3"/>
      <c r="IM222" s="3"/>
      <c r="IN222" s="3"/>
      <c r="IO222" s="3"/>
      <c r="IP222" s="3"/>
      <c r="IQ222" s="3"/>
      <c r="IR222" s="3"/>
      <c r="IS222" s="3"/>
      <c r="IT222" s="3"/>
      <c r="IU222" s="3"/>
      <c r="IV222" s="3"/>
    </row>
    <row r="223" spans="1:256" s="1" customFormat="1" x14ac:dyDescent="0.35">
      <c r="B223" s="15" t="s">
        <v>15</v>
      </c>
      <c r="C223" s="16">
        <f t="shared" ref="C223" si="741">C221-C222</f>
        <v>270000</v>
      </c>
      <c r="D223" s="16">
        <f t="shared" ref="D223:N223" si="742">D221-D222</f>
        <v>270000</v>
      </c>
      <c r="E223" s="16">
        <f t="shared" si="742"/>
        <v>0</v>
      </c>
      <c r="F223" s="16">
        <f t="shared" si="742"/>
        <v>0</v>
      </c>
      <c r="G223" s="16">
        <f t="shared" si="742"/>
        <v>0</v>
      </c>
      <c r="H223" s="16">
        <f t="shared" si="742"/>
        <v>0</v>
      </c>
      <c r="I223" s="16">
        <f t="shared" si="742"/>
        <v>0</v>
      </c>
      <c r="J223" s="16">
        <f t="shared" si="742"/>
        <v>0</v>
      </c>
      <c r="K223" s="16">
        <f t="shared" si="742"/>
        <v>0</v>
      </c>
      <c r="L223" s="16">
        <f t="shared" si="742"/>
        <v>0</v>
      </c>
      <c r="M223" s="16">
        <f t="shared" si="742"/>
        <v>0</v>
      </c>
      <c r="N223" s="16">
        <f t="shared" si="742"/>
        <v>0</v>
      </c>
      <c r="O223" s="13">
        <f t="shared" si="666"/>
        <v>540000</v>
      </c>
      <c r="P223" s="14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  <c r="IA223" s="3"/>
      <c r="IB223" s="3"/>
      <c r="IC223" s="3"/>
      <c r="ID223" s="3"/>
      <c r="IE223" s="3"/>
      <c r="IF223" s="3"/>
      <c r="IG223" s="3"/>
      <c r="IH223" s="3"/>
      <c r="II223" s="3"/>
      <c r="IJ223" s="3"/>
      <c r="IK223" s="3"/>
      <c r="IL223" s="3"/>
      <c r="IM223" s="3"/>
      <c r="IN223" s="3"/>
      <c r="IO223" s="3"/>
      <c r="IP223" s="3"/>
      <c r="IQ223" s="3"/>
      <c r="IR223" s="3"/>
      <c r="IS223" s="3"/>
      <c r="IT223" s="3"/>
      <c r="IU223" s="3"/>
      <c r="IV223" s="3"/>
    </row>
    <row r="224" spans="1:256" s="1" customFormat="1" x14ac:dyDescent="0.35">
      <c r="B224" s="15" t="s">
        <v>16</v>
      </c>
      <c r="C224" s="171">
        <f>IF(C223&gt;1000000,128000+0.3*(C223-1000000),IF(C223&gt;760000,68000+0.25*(C223-760000),IF(C223&gt;520000,20000+0.2*(C223-520000),IF(C223&gt;270000,0.08*(C223-270000),IF(C223&lt;=270000,0)))))</f>
        <v>0</v>
      </c>
      <c r="D224" s="171">
        <f t="shared" ref="D224" si="743">IF(D223&gt;1000000,128000+0.3*(D223-1000000),IF(D223&gt;760000,68000+0.25*(D223-760000),IF(D223&gt;520000,20000+0.2*(D223-520000),IF(D223&gt;270000,0.08*(D223-270000),IF(D223&lt;=270000,0)))))</f>
        <v>0</v>
      </c>
      <c r="E224" s="171">
        <f t="shared" ref="E224" si="744">IF(E223&gt;1000000,128000+0.3*(E223-1000000),IF(E223&gt;760000,68000+0.25*(E223-760000),IF(E223&gt;520000,20000+0.2*(E223-520000),IF(E223&gt;270000,0.08*(E223-270000),IF(E223&lt;=270000,0)))))</f>
        <v>0</v>
      </c>
      <c r="F224" s="171">
        <f t="shared" ref="F224" si="745">IF(F223&gt;1000000,128000+0.3*(F223-1000000),IF(F223&gt;760000,68000+0.25*(F223-760000),IF(F223&gt;520000,20000+0.2*(F223-520000),IF(F223&gt;270000,0.08*(F223-270000),IF(F223&lt;=270000,0)))))</f>
        <v>0</v>
      </c>
      <c r="G224" s="171">
        <f t="shared" ref="G224" si="746">IF(G223&gt;1000000,128000+0.3*(G223-1000000),IF(G223&gt;760000,68000+0.25*(G223-760000),IF(G223&gt;520000,20000+0.2*(G223-520000),IF(G223&gt;270000,0.08*(G223-270000),IF(G223&lt;=270000,0)))))</f>
        <v>0</v>
      </c>
      <c r="H224" s="171">
        <f t="shared" ref="H224" si="747">IF(H223&gt;1000000,128000+0.3*(H223-1000000),IF(H223&gt;760000,68000+0.25*(H223-760000),IF(H223&gt;520000,20000+0.2*(H223-520000),IF(H223&gt;270000,0.08*(H223-270000),IF(H223&lt;=270000,0)))))</f>
        <v>0</v>
      </c>
      <c r="I224" s="171">
        <f t="shared" ref="I224" si="748">IF(I223&gt;1000000,128000+0.3*(I223-1000000),IF(I223&gt;760000,68000+0.25*(I223-760000),IF(I223&gt;520000,20000+0.2*(I223-520000),IF(I223&gt;270000,0.08*(I223-270000),IF(I223&lt;=270000,0)))))</f>
        <v>0</v>
      </c>
      <c r="J224" s="171">
        <f t="shared" ref="J224" si="749">IF(J223&gt;1000000,128000+0.3*(J223-1000000),IF(J223&gt;760000,68000+0.25*(J223-760000),IF(J223&gt;520000,20000+0.2*(J223-520000),IF(J223&gt;270000,0.08*(J223-270000),IF(J223&lt;=270000,0)))))</f>
        <v>0</v>
      </c>
      <c r="K224" s="171">
        <f t="shared" ref="K224" si="750">IF(K223&gt;1000000,128000+0.3*(K223-1000000),IF(K223&gt;760000,68000+0.25*(K223-760000),IF(K223&gt;520000,20000+0.2*(K223-520000),IF(K223&gt;270000,0.08*(K223-270000),IF(K223&lt;=270000,0)))))</f>
        <v>0</v>
      </c>
      <c r="L224" s="171">
        <f t="shared" ref="L224" si="751">IF(L223&gt;1000000,128000+0.3*(L223-1000000),IF(L223&gt;760000,68000+0.25*(L223-760000),IF(L223&gt;520000,20000+0.2*(L223-520000),IF(L223&gt;270000,0.08*(L223-270000),IF(L223&lt;=270000,0)))))</f>
        <v>0</v>
      </c>
      <c r="M224" s="171">
        <f t="shared" ref="M224" si="752">IF(M223&gt;1000000,128000+0.3*(M223-1000000),IF(M223&gt;760000,68000+0.25*(M223-760000),IF(M223&gt;520000,20000+0.2*(M223-520000),IF(M223&gt;270000,0.08*(M223-270000),IF(M223&lt;=270000,0)))))</f>
        <v>0</v>
      </c>
      <c r="N224" s="171">
        <f t="shared" ref="N224" si="753">IF(N223&gt;1000000,128000+0.3*(N223-1000000),IF(N223&gt;760000,68000+0.25*(N223-760000),IF(N223&gt;520000,20000+0.2*(N223-520000),IF(N223&gt;270000,0.08*(N223-270000),IF(N223&lt;=270000,0)))))</f>
        <v>0</v>
      </c>
      <c r="O224" s="13">
        <f t="shared" si="666"/>
        <v>0</v>
      </c>
      <c r="P224" s="14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  <c r="IA224" s="3"/>
      <c r="IB224" s="3"/>
      <c r="IC224" s="3"/>
      <c r="ID224" s="3"/>
      <c r="IE224" s="3"/>
      <c r="IF224" s="3"/>
      <c r="IG224" s="3"/>
      <c r="IH224" s="3"/>
      <c r="II224" s="3"/>
      <c r="IJ224" s="3"/>
      <c r="IK224" s="3"/>
      <c r="IL224" s="3"/>
      <c r="IM224" s="3"/>
      <c r="IN224" s="3"/>
      <c r="IO224" s="3"/>
      <c r="IP224" s="3"/>
      <c r="IQ224" s="3"/>
      <c r="IR224" s="3"/>
      <c r="IS224" s="3"/>
      <c r="IT224" s="3"/>
      <c r="IU224" s="3"/>
      <c r="IV224" s="3"/>
    </row>
    <row r="225" spans="1:256" s="17" customFormat="1" x14ac:dyDescent="0.35">
      <c r="A225" s="17">
        <v>56</v>
      </c>
      <c r="B225" s="11" t="s">
        <v>449</v>
      </c>
      <c r="C225" s="12">
        <v>300000</v>
      </c>
      <c r="D225" s="12">
        <v>300000</v>
      </c>
      <c r="E225" s="12">
        <v>300000</v>
      </c>
      <c r="F225" s="12">
        <v>0</v>
      </c>
      <c r="G225" s="12">
        <v>0</v>
      </c>
      <c r="H225" s="12">
        <v>0</v>
      </c>
      <c r="I225" s="12">
        <v>0</v>
      </c>
      <c r="J225" s="12">
        <v>0</v>
      </c>
      <c r="K225" s="12">
        <v>0</v>
      </c>
      <c r="L225" s="12">
        <v>0</v>
      </c>
      <c r="M225" s="12">
        <v>0</v>
      </c>
      <c r="N225" s="12">
        <v>0</v>
      </c>
      <c r="O225" s="13">
        <f t="shared" si="666"/>
        <v>900000</v>
      </c>
      <c r="P225" s="14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  <c r="IA225" s="3"/>
      <c r="IB225" s="3"/>
      <c r="IC225" s="3"/>
      <c r="ID225" s="3"/>
      <c r="IE225" s="3"/>
      <c r="IF225" s="3"/>
      <c r="IG225" s="3"/>
      <c r="IH225" s="3"/>
      <c r="II225" s="3"/>
      <c r="IJ225" s="3"/>
      <c r="IK225" s="3"/>
      <c r="IL225" s="3"/>
      <c r="IM225" s="3"/>
      <c r="IN225" s="3"/>
      <c r="IO225" s="3"/>
      <c r="IP225" s="3"/>
      <c r="IQ225" s="3"/>
      <c r="IR225" s="3"/>
      <c r="IS225" s="3"/>
      <c r="IT225" s="3"/>
      <c r="IU225" s="3"/>
      <c r="IV225" s="3"/>
    </row>
    <row r="226" spans="1:256" s="17" customFormat="1" x14ac:dyDescent="0.35">
      <c r="B226" s="15" t="s">
        <v>14</v>
      </c>
      <c r="C226" s="16">
        <f t="shared" ref="C226" si="754">C225*0.1</f>
        <v>30000</v>
      </c>
      <c r="D226" s="16">
        <f t="shared" ref="D226:N226" si="755">D225*0.1</f>
        <v>30000</v>
      </c>
      <c r="E226" s="16">
        <f t="shared" si="755"/>
        <v>30000</v>
      </c>
      <c r="F226" s="16">
        <f t="shared" si="755"/>
        <v>0</v>
      </c>
      <c r="G226" s="16">
        <f t="shared" si="755"/>
        <v>0</v>
      </c>
      <c r="H226" s="16">
        <f t="shared" si="755"/>
        <v>0</v>
      </c>
      <c r="I226" s="16">
        <f t="shared" si="755"/>
        <v>0</v>
      </c>
      <c r="J226" s="16">
        <f t="shared" si="755"/>
        <v>0</v>
      </c>
      <c r="K226" s="16">
        <f t="shared" si="755"/>
        <v>0</v>
      </c>
      <c r="L226" s="16">
        <f t="shared" si="755"/>
        <v>0</v>
      </c>
      <c r="M226" s="16">
        <f t="shared" si="755"/>
        <v>0</v>
      </c>
      <c r="N226" s="16">
        <f t="shared" si="755"/>
        <v>0</v>
      </c>
      <c r="O226" s="13">
        <f t="shared" si="666"/>
        <v>90000</v>
      </c>
      <c r="P226" s="14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  <c r="IA226" s="3"/>
      <c r="IB226" s="3"/>
      <c r="IC226" s="3"/>
      <c r="ID226" s="3"/>
      <c r="IE226" s="3"/>
      <c r="IF226" s="3"/>
      <c r="IG226" s="3"/>
      <c r="IH226" s="3"/>
      <c r="II226" s="3"/>
      <c r="IJ226" s="3"/>
      <c r="IK226" s="3"/>
      <c r="IL226" s="3"/>
      <c r="IM226" s="3"/>
      <c r="IN226" s="3"/>
      <c r="IO226" s="3"/>
      <c r="IP226" s="3"/>
      <c r="IQ226" s="3"/>
      <c r="IR226" s="3"/>
      <c r="IS226" s="3"/>
      <c r="IT226" s="3"/>
      <c r="IU226" s="3"/>
      <c r="IV226" s="3"/>
    </row>
    <row r="227" spans="1:256" s="1" customFormat="1" x14ac:dyDescent="0.35">
      <c r="B227" s="15" t="s">
        <v>15</v>
      </c>
      <c r="C227" s="16">
        <f t="shared" ref="C227" si="756">C225-C226</f>
        <v>270000</v>
      </c>
      <c r="D227" s="16">
        <f t="shared" ref="D227:N227" si="757">D225-D226</f>
        <v>270000</v>
      </c>
      <c r="E227" s="16">
        <f t="shared" si="757"/>
        <v>270000</v>
      </c>
      <c r="F227" s="16">
        <f t="shared" si="757"/>
        <v>0</v>
      </c>
      <c r="G227" s="16">
        <f t="shared" si="757"/>
        <v>0</v>
      </c>
      <c r="H227" s="16">
        <f t="shared" si="757"/>
        <v>0</v>
      </c>
      <c r="I227" s="16">
        <f t="shared" si="757"/>
        <v>0</v>
      </c>
      <c r="J227" s="16">
        <f t="shared" si="757"/>
        <v>0</v>
      </c>
      <c r="K227" s="16">
        <f t="shared" si="757"/>
        <v>0</v>
      </c>
      <c r="L227" s="16">
        <f t="shared" si="757"/>
        <v>0</v>
      </c>
      <c r="M227" s="16">
        <f t="shared" si="757"/>
        <v>0</v>
      </c>
      <c r="N227" s="16">
        <f t="shared" si="757"/>
        <v>0</v>
      </c>
      <c r="O227" s="13">
        <f t="shared" si="666"/>
        <v>810000</v>
      </c>
      <c r="P227" s="14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  <c r="IA227" s="3"/>
      <c r="IB227" s="3"/>
      <c r="IC227" s="3"/>
      <c r="ID227" s="3"/>
      <c r="IE227" s="3"/>
      <c r="IF227" s="3"/>
      <c r="IG227" s="3"/>
      <c r="IH227" s="3"/>
      <c r="II227" s="3"/>
      <c r="IJ227" s="3"/>
      <c r="IK227" s="3"/>
      <c r="IL227" s="3"/>
      <c r="IM227" s="3"/>
      <c r="IN227" s="3"/>
      <c r="IO227" s="3"/>
      <c r="IP227" s="3"/>
      <c r="IQ227" s="3"/>
      <c r="IR227" s="3"/>
      <c r="IS227" s="3"/>
      <c r="IT227" s="3"/>
      <c r="IU227" s="3"/>
      <c r="IV227" s="3"/>
    </row>
    <row r="228" spans="1:256" s="1" customFormat="1" x14ac:dyDescent="0.35">
      <c r="B228" s="15" t="s">
        <v>16</v>
      </c>
      <c r="C228" s="171">
        <f>IF(C227&gt;1000000,128000+0.3*(C227-1000000),IF(C227&gt;760000,68000+0.25*(C227-760000),IF(C227&gt;520000,20000+0.2*(C227-520000),IF(C227&gt;270000,0.08*(C227-270000),IF(C227&lt;=270000,0)))))</f>
        <v>0</v>
      </c>
      <c r="D228" s="171">
        <f t="shared" ref="D228" si="758">IF(D227&gt;1000000,128000+0.3*(D227-1000000),IF(D227&gt;760000,68000+0.25*(D227-760000),IF(D227&gt;520000,20000+0.2*(D227-520000),IF(D227&gt;270000,0.08*(D227-270000),IF(D227&lt;=270000,0)))))</f>
        <v>0</v>
      </c>
      <c r="E228" s="171">
        <f t="shared" ref="E228" si="759">IF(E227&gt;1000000,128000+0.3*(E227-1000000),IF(E227&gt;760000,68000+0.25*(E227-760000),IF(E227&gt;520000,20000+0.2*(E227-520000),IF(E227&gt;270000,0.08*(E227-270000),IF(E227&lt;=270000,0)))))</f>
        <v>0</v>
      </c>
      <c r="F228" s="171">
        <f t="shared" ref="F228" si="760">IF(F227&gt;1000000,128000+0.3*(F227-1000000),IF(F227&gt;760000,68000+0.25*(F227-760000),IF(F227&gt;520000,20000+0.2*(F227-520000),IF(F227&gt;270000,0.08*(F227-270000),IF(F227&lt;=270000,0)))))</f>
        <v>0</v>
      </c>
      <c r="G228" s="171">
        <f t="shared" ref="G228" si="761">IF(G227&gt;1000000,128000+0.3*(G227-1000000),IF(G227&gt;760000,68000+0.25*(G227-760000),IF(G227&gt;520000,20000+0.2*(G227-520000),IF(G227&gt;270000,0.08*(G227-270000),IF(G227&lt;=270000,0)))))</f>
        <v>0</v>
      </c>
      <c r="H228" s="171">
        <f t="shared" ref="H228" si="762">IF(H227&gt;1000000,128000+0.3*(H227-1000000),IF(H227&gt;760000,68000+0.25*(H227-760000),IF(H227&gt;520000,20000+0.2*(H227-520000),IF(H227&gt;270000,0.08*(H227-270000),IF(H227&lt;=270000,0)))))</f>
        <v>0</v>
      </c>
      <c r="I228" s="171">
        <f t="shared" ref="I228" si="763">IF(I227&gt;1000000,128000+0.3*(I227-1000000),IF(I227&gt;760000,68000+0.25*(I227-760000),IF(I227&gt;520000,20000+0.2*(I227-520000),IF(I227&gt;270000,0.08*(I227-270000),IF(I227&lt;=270000,0)))))</f>
        <v>0</v>
      </c>
      <c r="J228" s="171">
        <f t="shared" ref="J228" si="764">IF(J227&gt;1000000,128000+0.3*(J227-1000000),IF(J227&gt;760000,68000+0.25*(J227-760000),IF(J227&gt;520000,20000+0.2*(J227-520000),IF(J227&gt;270000,0.08*(J227-270000),IF(J227&lt;=270000,0)))))</f>
        <v>0</v>
      </c>
      <c r="K228" s="171">
        <f t="shared" ref="K228" si="765">IF(K227&gt;1000000,128000+0.3*(K227-1000000),IF(K227&gt;760000,68000+0.25*(K227-760000),IF(K227&gt;520000,20000+0.2*(K227-520000),IF(K227&gt;270000,0.08*(K227-270000),IF(K227&lt;=270000,0)))))</f>
        <v>0</v>
      </c>
      <c r="L228" s="171">
        <f t="shared" ref="L228" si="766">IF(L227&gt;1000000,128000+0.3*(L227-1000000),IF(L227&gt;760000,68000+0.25*(L227-760000),IF(L227&gt;520000,20000+0.2*(L227-520000),IF(L227&gt;270000,0.08*(L227-270000),IF(L227&lt;=270000,0)))))</f>
        <v>0</v>
      </c>
      <c r="M228" s="171">
        <f t="shared" ref="M228" si="767">IF(M227&gt;1000000,128000+0.3*(M227-1000000),IF(M227&gt;760000,68000+0.25*(M227-760000),IF(M227&gt;520000,20000+0.2*(M227-520000),IF(M227&gt;270000,0.08*(M227-270000),IF(M227&lt;=270000,0)))))</f>
        <v>0</v>
      </c>
      <c r="N228" s="171">
        <f t="shared" ref="N228" si="768">IF(N227&gt;1000000,128000+0.3*(N227-1000000),IF(N227&gt;760000,68000+0.25*(N227-760000),IF(N227&gt;520000,20000+0.2*(N227-520000),IF(N227&gt;270000,0.08*(N227-270000),IF(N227&lt;=270000,0)))))</f>
        <v>0</v>
      </c>
      <c r="O228" s="13">
        <f t="shared" si="666"/>
        <v>0</v>
      </c>
      <c r="P228" s="14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  <c r="IA228" s="3"/>
      <c r="IB228" s="3"/>
      <c r="IC228" s="3"/>
      <c r="ID228" s="3"/>
      <c r="IE228" s="3"/>
      <c r="IF228" s="3"/>
      <c r="IG228" s="3"/>
      <c r="IH228" s="3"/>
      <c r="II228" s="3"/>
      <c r="IJ228" s="3"/>
      <c r="IK228" s="3"/>
      <c r="IL228" s="3"/>
      <c r="IM228" s="3"/>
      <c r="IN228" s="3"/>
      <c r="IO228" s="3"/>
      <c r="IP228" s="3"/>
      <c r="IQ228" s="3"/>
      <c r="IR228" s="3"/>
      <c r="IS228" s="3"/>
      <c r="IT228" s="3"/>
      <c r="IU228" s="3"/>
      <c r="IV228" s="3"/>
    </row>
    <row r="229" spans="1:256" s="17" customFormat="1" x14ac:dyDescent="0.35">
      <c r="A229" s="17">
        <v>57</v>
      </c>
      <c r="B229" s="11" t="s">
        <v>450</v>
      </c>
      <c r="C229" s="12">
        <v>300000</v>
      </c>
      <c r="D229" s="12">
        <v>300000</v>
      </c>
      <c r="E229" s="12">
        <v>300000</v>
      </c>
      <c r="F229" s="12">
        <v>0</v>
      </c>
      <c r="G229" s="12">
        <v>0</v>
      </c>
      <c r="H229" s="12">
        <v>0</v>
      </c>
      <c r="I229" s="12">
        <v>0</v>
      </c>
      <c r="J229" s="12">
        <v>0</v>
      </c>
      <c r="K229" s="12">
        <v>0</v>
      </c>
      <c r="L229" s="12">
        <v>0</v>
      </c>
      <c r="M229" s="12">
        <v>0</v>
      </c>
      <c r="N229" s="12">
        <v>0</v>
      </c>
      <c r="O229" s="13">
        <f t="shared" si="666"/>
        <v>900000</v>
      </c>
      <c r="P229" s="14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  <c r="IA229" s="3"/>
      <c r="IB229" s="3"/>
      <c r="IC229" s="3"/>
      <c r="ID229" s="3"/>
      <c r="IE229" s="3"/>
      <c r="IF229" s="3"/>
      <c r="IG229" s="3"/>
      <c r="IH229" s="3"/>
      <c r="II229" s="3"/>
      <c r="IJ229" s="3"/>
      <c r="IK229" s="3"/>
      <c r="IL229" s="3"/>
      <c r="IM229" s="3"/>
      <c r="IN229" s="3"/>
      <c r="IO229" s="3"/>
      <c r="IP229" s="3"/>
      <c r="IQ229" s="3"/>
      <c r="IR229" s="3"/>
      <c r="IS229" s="3"/>
      <c r="IT229" s="3"/>
      <c r="IU229" s="3"/>
      <c r="IV229" s="3"/>
    </row>
    <row r="230" spans="1:256" s="17" customFormat="1" x14ac:dyDescent="0.35">
      <c r="B230" s="15" t="s">
        <v>14</v>
      </c>
      <c r="C230" s="16">
        <f t="shared" ref="C230" si="769">C229*0.1</f>
        <v>30000</v>
      </c>
      <c r="D230" s="16">
        <f t="shared" ref="D230:N230" si="770">D229*0.1</f>
        <v>30000</v>
      </c>
      <c r="E230" s="16">
        <f t="shared" si="770"/>
        <v>30000</v>
      </c>
      <c r="F230" s="16">
        <f t="shared" si="770"/>
        <v>0</v>
      </c>
      <c r="G230" s="16">
        <f t="shared" si="770"/>
        <v>0</v>
      </c>
      <c r="H230" s="16">
        <f t="shared" si="770"/>
        <v>0</v>
      </c>
      <c r="I230" s="16">
        <f t="shared" si="770"/>
        <v>0</v>
      </c>
      <c r="J230" s="16">
        <f t="shared" si="770"/>
        <v>0</v>
      </c>
      <c r="K230" s="16">
        <f t="shared" si="770"/>
        <v>0</v>
      </c>
      <c r="L230" s="16">
        <f t="shared" si="770"/>
        <v>0</v>
      </c>
      <c r="M230" s="16">
        <f t="shared" si="770"/>
        <v>0</v>
      </c>
      <c r="N230" s="16">
        <f t="shared" si="770"/>
        <v>0</v>
      </c>
      <c r="O230" s="13">
        <f t="shared" si="666"/>
        <v>90000</v>
      </c>
      <c r="P230" s="14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  <c r="IA230" s="3"/>
      <c r="IB230" s="3"/>
      <c r="IC230" s="3"/>
      <c r="ID230" s="3"/>
      <c r="IE230" s="3"/>
      <c r="IF230" s="3"/>
      <c r="IG230" s="3"/>
      <c r="IH230" s="3"/>
      <c r="II230" s="3"/>
      <c r="IJ230" s="3"/>
      <c r="IK230" s="3"/>
      <c r="IL230" s="3"/>
      <c r="IM230" s="3"/>
      <c r="IN230" s="3"/>
      <c r="IO230" s="3"/>
      <c r="IP230" s="3"/>
      <c r="IQ230" s="3"/>
      <c r="IR230" s="3"/>
      <c r="IS230" s="3"/>
      <c r="IT230" s="3"/>
      <c r="IU230" s="3"/>
      <c r="IV230" s="3"/>
    </row>
    <row r="231" spans="1:256" s="1" customFormat="1" x14ac:dyDescent="0.35">
      <c r="B231" s="15" t="s">
        <v>15</v>
      </c>
      <c r="C231" s="16">
        <f t="shared" ref="C231" si="771">C229-C230</f>
        <v>270000</v>
      </c>
      <c r="D231" s="16">
        <f t="shared" ref="D231:N231" si="772">D229-D230</f>
        <v>270000</v>
      </c>
      <c r="E231" s="16">
        <f t="shared" si="772"/>
        <v>270000</v>
      </c>
      <c r="F231" s="16">
        <f t="shared" si="772"/>
        <v>0</v>
      </c>
      <c r="G231" s="16">
        <f t="shared" si="772"/>
        <v>0</v>
      </c>
      <c r="H231" s="16">
        <f t="shared" si="772"/>
        <v>0</v>
      </c>
      <c r="I231" s="16">
        <f t="shared" si="772"/>
        <v>0</v>
      </c>
      <c r="J231" s="16">
        <f t="shared" si="772"/>
        <v>0</v>
      </c>
      <c r="K231" s="16">
        <f t="shared" si="772"/>
        <v>0</v>
      </c>
      <c r="L231" s="16">
        <f t="shared" si="772"/>
        <v>0</v>
      </c>
      <c r="M231" s="16">
        <f t="shared" si="772"/>
        <v>0</v>
      </c>
      <c r="N231" s="16">
        <f t="shared" si="772"/>
        <v>0</v>
      </c>
      <c r="O231" s="13">
        <f t="shared" si="666"/>
        <v>810000</v>
      </c>
      <c r="P231" s="14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  <c r="IA231" s="3"/>
      <c r="IB231" s="3"/>
      <c r="IC231" s="3"/>
      <c r="ID231" s="3"/>
      <c r="IE231" s="3"/>
      <c r="IF231" s="3"/>
      <c r="IG231" s="3"/>
      <c r="IH231" s="3"/>
      <c r="II231" s="3"/>
      <c r="IJ231" s="3"/>
      <c r="IK231" s="3"/>
      <c r="IL231" s="3"/>
      <c r="IM231" s="3"/>
      <c r="IN231" s="3"/>
      <c r="IO231" s="3"/>
      <c r="IP231" s="3"/>
      <c r="IQ231" s="3"/>
      <c r="IR231" s="3"/>
      <c r="IS231" s="3"/>
      <c r="IT231" s="3"/>
      <c r="IU231" s="3"/>
      <c r="IV231" s="3"/>
    </row>
    <row r="232" spans="1:256" s="1" customFormat="1" x14ac:dyDescent="0.35">
      <c r="B232" s="15" t="s">
        <v>16</v>
      </c>
      <c r="C232" s="171">
        <f>IF(C231&gt;1000000,128000+0.3*(C231-1000000),IF(C231&gt;760000,68000+0.25*(C231-760000),IF(C231&gt;520000,20000+0.2*(C231-520000),IF(C231&gt;270000,0.08*(C231-270000),IF(C231&lt;=270000,0)))))</f>
        <v>0</v>
      </c>
      <c r="D232" s="171">
        <f t="shared" ref="D232" si="773">IF(D231&gt;1000000,128000+0.3*(D231-1000000),IF(D231&gt;760000,68000+0.25*(D231-760000),IF(D231&gt;520000,20000+0.2*(D231-520000),IF(D231&gt;270000,0.08*(D231-270000),IF(D231&lt;=270000,0)))))</f>
        <v>0</v>
      </c>
      <c r="E232" s="171">
        <f t="shared" ref="E232" si="774">IF(E231&gt;1000000,128000+0.3*(E231-1000000),IF(E231&gt;760000,68000+0.25*(E231-760000),IF(E231&gt;520000,20000+0.2*(E231-520000),IF(E231&gt;270000,0.08*(E231-270000),IF(E231&lt;=270000,0)))))</f>
        <v>0</v>
      </c>
      <c r="F232" s="171">
        <f t="shared" ref="F232" si="775">IF(F231&gt;1000000,128000+0.3*(F231-1000000),IF(F231&gt;760000,68000+0.25*(F231-760000),IF(F231&gt;520000,20000+0.2*(F231-520000),IF(F231&gt;270000,0.08*(F231-270000),IF(F231&lt;=270000,0)))))</f>
        <v>0</v>
      </c>
      <c r="G232" s="171">
        <f t="shared" ref="G232" si="776">IF(G231&gt;1000000,128000+0.3*(G231-1000000),IF(G231&gt;760000,68000+0.25*(G231-760000),IF(G231&gt;520000,20000+0.2*(G231-520000),IF(G231&gt;270000,0.08*(G231-270000),IF(G231&lt;=270000,0)))))</f>
        <v>0</v>
      </c>
      <c r="H232" s="171">
        <f t="shared" ref="H232" si="777">IF(H231&gt;1000000,128000+0.3*(H231-1000000),IF(H231&gt;760000,68000+0.25*(H231-760000),IF(H231&gt;520000,20000+0.2*(H231-520000),IF(H231&gt;270000,0.08*(H231-270000),IF(H231&lt;=270000,0)))))</f>
        <v>0</v>
      </c>
      <c r="I232" s="171">
        <f t="shared" ref="I232" si="778">IF(I231&gt;1000000,128000+0.3*(I231-1000000),IF(I231&gt;760000,68000+0.25*(I231-760000),IF(I231&gt;520000,20000+0.2*(I231-520000),IF(I231&gt;270000,0.08*(I231-270000),IF(I231&lt;=270000,0)))))</f>
        <v>0</v>
      </c>
      <c r="J232" s="171">
        <f t="shared" ref="J232" si="779">IF(J231&gt;1000000,128000+0.3*(J231-1000000),IF(J231&gt;760000,68000+0.25*(J231-760000),IF(J231&gt;520000,20000+0.2*(J231-520000),IF(J231&gt;270000,0.08*(J231-270000),IF(J231&lt;=270000,0)))))</f>
        <v>0</v>
      </c>
      <c r="K232" s="171">
        <f t="shared" ref="K232" si="780">IF(K231&gt;1000000,128000+0.3*(K231-1000000),IF(K231&gt;760000,68000+0.25*(K231-760000),IF(K231&gt;520000,20000+0.2*(K231-520000),IF(K231&gt;270000,0.08*(K231-270000),IF(K231&lt;=270000,0)))))</f>
        <v>0</v>
      </c>
      <c r="L232" s="171">
        <f t="shared" ref="L232" si="781">IF(L231&gt;1000000,128000+0.3*(L231-1000000),IF(L231&gt;760000,68000+0.25*(L231-760000),IF(L231&gt;520000,20000+0.2*(L231-520000),IF(L231&gt;270000,0.08*(L231-270000),IF(L231&lt;=270000,0)))))</f>
        <v>0</v>
      </c>
      <c r="M232" s="171">
        <f t="shared" ref="M232" si="782">IF(M231&gt;1000000,128000+0.3*(M231-1000000),IF(M231&gt;760000,68000+0.25*(M231-760000),IF(M231&gt;520000,20000+0.2*(M231-520000),IF(M231&gt;270000,0.08*(M231-270000),IF(M231&lt;=270000,0)))))</f>
        <v>0</v>
      </c>
      <c r="N232" s="171">
        <f t="shared" ref="N232" si="783">IF(N231&gt;1000000,128000+0.3*(N231-1000000),IF(N231&gt;760000,68000+0.25*(N231-760000),IF(N231&gt;520000,20000+0.2*(N231-520000),IF(N231&gt;270000,0.08*(N231-270000),IF(N231&lt;=270000,0)))))</f>
        <v>0</v>
      </c>
      <c r="O232" s="13">
        <f t="shared" si="666"/>
        <v>0</v>
      </c>
      <c r="P232" s="14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  <c r="IA232" s="3"/>
      <c r="IB232" s="3"/>
      <c r="IC232" s="3"/>
      <c r="ID232" s="3"/>
      <c r="IE232" s="3"/>
      <c r="IF232" s="3"/>
      <c r="IG232" s="3"/>
      <c r="IH232" s="3"/>
      <c r="II232" s="3"/>
      <c r="IJ232" s="3"/>
      <c r="IK232" s="3"/>
      <c r="IL232" s="3"/>
      <c r="IM232" s="3"/>
      <c r="IN232" s="3"/>
      <c r="IO232" s="3"/>
      <c r="IP232" s="3"/>
      <c r="IQ232" s="3"/>
      <c r="IR232" s="3"/>
      <c r="IS232" s="3"/>
      <c r="IT232" s="3"/>
      <c r="IU232" s="3"/>
      <c r="IV232" s="3"/>
    </row>
    <row r="233" spans="1:256" s="17" customFormat="1" x14ac:dyDescent="0.35">
      <c r="A233" s="17">
        <v>58</v>
      </c>
      <c r="B233" s="11" t="s">
        <v>451</v>
      </c>
      <c r="C233" s="12">
        <v>300000</v>
      </c>
      <c r="D233" s="12">
        <v>300000</v>
      </c>
      <c r="E233" s="12">
        <v>300000</v>
      </c>
      <c r="F233" s="12">
        <v>0</v>
      </c>
      <c r="G233" s="12">
        <v>0</v>
      </c>
      <c r="H233" s="12">
        <v>0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0</v>
      </c>
      <c r="O233" s="13">
        <f t="shared" si="666"/>
        <v>900000</v>
      </c>
      <c r="P233" s="14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  <c r="IA233" s="3"/>
      <c r="IB233" s="3"/>
      <c r="IC233" s="3"/>
      <c r="ID233" s="3"/>
      <c r="IE233" s="3"/>
      <c r="IF233" s="3"/>
      <c r="IG233" s="3"/>
      <c r="IH233" s="3"/>
      <c r="II233" s="3"/>
      <c r="IJ233" s="3"/>
      <c r="IK233" s="3"/>
      <c r="IL233" s="3"/>
      <c r="IM233" s="3"/>
      <c r="IN233" s="3"/>
      <c r="IO233" s="3"/>
      <c r="IP233" s="3"/>
      <c r="IQ233" s="3"/>
      <c r="IR233" s="3"/>
      <c r="IS233" s="3"/>
      <c r="IT233" s="3"/>
      <c r="IU233" s="3"/>
      <c r="IV233" s="3"/>
    </row>
    <row r="234" spans="1:256" s="17" customFormat="1" x14ac:dyDescent="0.35">
      <c r="B234" s="15" t="s">
        <v>14</v>
      </c>
      <c r="C234" s="16">
        <f t="shared" ref="C234" si="784">C233*0.1</f>
        <v>30000</v>
      </c>
      <c r="D234" s="16">
        <f t="shared" ref="D234:N234" si="785">D233*0.1</f>
        <v>30000</v>
      </c>
      <c r="E234" s="16">
        <f t="shared" si="785"/>
        <v>30000</v>
      </c>
      <c r="F234" s="16">
        <f t="shared" si="785"/>
        <v>0</v>
      </c>
      <c r="G234" s="16">
        <f t="shared" si="785"/>
        <v>0</v>
      </c>
      <c r="H234" s="16">
        <f t="shared" si="785"/>
        <v>0</v>
      </c>
      <c r="I234" s="16">
        <f t="shared" si="785"/>
        <v>0</v>
      </c>
      <c r="J234" s="16">
        <f t="shared" si="785"/>
        <v>0</v>
      </c>
      <c r="K234" s="16">
        <f t="shared" si="785"/>
        <v>0</v>
      </c>
      <c r="L234" s="16">
        <f t="shared" si="785"/>
        <v>0</v>
      </c>
      <c r="M234" s="16">
        <f t="shared" si="785"/>
        <v>0</v>
      </c>
      <c r="N234" s="16">
        <f t="shared" si="785"/>
        <v>0</v>
      </c>
      <c r="O234" s="13">
        <f t="shared" si="666"/>
        <v>90000</v>
      </c>
      <c r="P234" s="14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  <c r="IA234" s="3"/>
      <c r="IB234" s="3"/>
      <c r="IC234" s="3"/>
      <c r="ID234" s="3"/>
      <c r="IE234" s="3"/>
      <c r="IF234" s="3"/>
      <c r="IG234" s="3"/>
      <c r="IH234" s="3"/>
      <c r="II234" s="3"/>
      <c r="IJ234" s="3"/>
      <c r="IK234" s="3"/>
      <c r="IL234" s="3"/>
      <c r="IM234" s="3"/>
      <c r="IN234" s="3"/>
      <c r="IO234" s="3"/>
      <c r="IP234" s="3"/>
      <c r="IQ234" s="3"/>
      <c r="IR234" s="3"/>
      <c r="IS234" s="3"/>
      <c r="IT234" s="3"/>
      <c r="IU234" s="3"/>
      <c r="IV234" s="3"/>
    </row>
    <row r="235" spans="1:256" s="1" customFormat="1" x14ac:dyDescent="0.35">
      <c r="B235" s="15" t="s">
        <v>15</v>
      </c>
      <c r="C235" s="16">
        <f t="shared" ref="C235" si="786">C233-C234</f>
        <v>270000</v>
      </c>
      <c r="D235" s="16">
        <f t="shared" ref="D235:N235" si="787">D233-D234</f>
        <v>270000</v>
      </c>
      <c r="E235" s="16">
        <f t="shared" si="787"/>
        <v>270000</v>
      </c>
      <c r="F235" s="16">
        <f t="shared" si="787"/>
        <v>0</v>
      </c>
      <c r="G235" s="16">
        <f t="shared" si="787"/>
        <v>0</v>
      </c>
      <c r="H235" s="16">
        <f t="shared" si="787"/>
        <v>0</v>
      </c>
      <c r="I235" s="16">
        <f t="shared" si="787"/>
        <v>0</v>
      </c>
      <c r="J235" s="16">
        <f t="shared" si="787"/>
        <v>0</v>
      </c>
      <c r="K235" s="16">
        <f t="shared" si="787"/>
        <v>0</v>
      </c>
      <c r="L235" s="16">
        <f t="shared" si="787"/>
        <v>0</v>
      </c>
      <c r="M235" s="16">
        <f t="shared" si="787"/>
        <v>0</v>
      </c>
      <c r="N235" s="16">
        <f t="shared" si="787"/>
        <v>0</v>
      </c>
      <c r="O235" s="13">
        <f t="shared" si="666"/>
        <v>810000</v>
      </c>
      <c r="P235" s="14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  <c r="IA235" s="3"/>
      <c r="IB235" s="3"/>
      <c r="IC235" s="3"/>
      <c r="ID235" s="3"/>
      <c r="IE235" s="3"/>
      <c r="IF235" s="3"/>
      <c r="IG235" s="3"/>
      <c r="IH235" s="3"/>
      <c r="II235" s="3"/>
      <c r="IJ235" s="3"/>
      <c r="IK235" s="3"/>
      <c r="IL235" s="3"/>
      <c r="IM235" s="3"/>
      <c r="IN235" s="3"/>
      <c r="IO235" s="3"/>
      <c r="IP235" s="3"/>
      <c r="IQ235" s="3"/>
      <c r="IR235" s="3"/>
      <c r="IS235" s="3"/>
      <c r="IT235" s="3"/>
      <c r="IU235" s="3"/>
      <c r="IV235" s="3"/>
    </row>
    <row r="236" spans="1:256" s="1" customFormat="1" x14ac:dyDescent="0.35">
      <c r="B236" s="15" t="s">
        <v>16</v>
      </c>
      <c r="C236" s="171">
        <f>IF(C235&gt;1000000,128000+0.3*(C235-1000000),IF(C235&gt;760000,68000+0.25*(C235-760000),IF(C235&gt;520000,20000+0.2*(C235-520000),IF(C235&gt;270000,0.08*(C235-270000),IF(C235&lt;=270000,0)))))</f>
        <v>0</v>
      </c>
      <c r="D236" s="171">
        <f t="shared" ref="D236" si="788">IF(D235&gt;1000000,128000+0.3*(D235-1000000),IF(D235&gt;760000,68000+0.25*(D235-760000),IF(D235&gt;520000,20000+0.2*(D235-520000),IF(D235&gt;270000,0.08*(D235-270000),IF(D235&lt;=270000,0)))))</f>
        <v>0</v>
      </c>
      <c r="E236" s="171">
        <f t="shared" ref="E236" si="789">IF(E235&gt;1000000,128000+0.3*(E235-1000000),IF(E235&gt;760000,68000+0.25*(E235-760000),IF(E235&gt;520000,20000+0.2*(E235-520000),IF(E235&gt;270000,0.08*(E235-270000),IF(E235&lt;=270000,0)))))</f>
        <v>0</v>
      </c>
      <c r="F236" s="171">
        <f t="shared" ref="F236" si="790">IF(F235&gt;1000000,128000+0.3*(F235-1000000),IF(F235&gt;760000,68000+0.25*(F235-760000),IF(F235&gt;520000,20000+0.2*(F235-520000),IF(F235&gt;270000,0.08*(F235-270000),IF(F235&lt;=270000,0)))))</f>
        <v>0</v>
      </c>
      <c r="G236" s="171">
        <f t="shared" ref="G236" si="791">IF(G235&gt;1000000,128000+0.3*(G235-1000000),IF(G235&gt;760000,68000+0.25*(G235-760000),IF(G235&gt;520000,20000+0.2*(G235-520000),IF(G235&gt;270000,0.08*(G235-270000),IF(G235&lt;=270000,0)))))</f>
        <v>0</v>
      </c>
      <c r="H236" s="171">
        <f t="shared" ref="H236" si="792">IF(H235&gt;1000000,128000+0.3*(H235-1000000),IF(H235&gt;760000,68000+0.25*(H235-760000),IF(H235&gt;520000,20000+0.2*(H235-520000),IF(H235&gt;270000,0.08*(H235-270000),IF(H235&lt;=270000,0)))))</f>
        <v>0</v>
      </c>
      <c r="I236" s="171">
        <f t="shared" ref="I236" si="793">IF(I235&gt;1000000,128000+0.3*(I235-1000000),IF(I235&gt;760000,68000+0.25*(I235-760000),IF(I235&gt;520000,20000+0.2*(I235-520000),IF(I235&gt;270000,0.08*(I235-270000),IF(I235&lt;=270000,0)))))</f>
        <v>0</v>
      </c>
      <c r="J236" s="171">
        <f t="shared" ref="J236" si="794">IF(J235&gt;1000000,128000+0.3*(J235-1000000),IF(J235&gt;760000,68000+0.25*(J235-760000),IF(J235&gt;520000,20000+0.2*(J235-520000),IF(J235&gt;270000,0.08*(J235-270000),IF(J235&lt;=270000,0)))))</f>
        <v>0</v>
      </c>
      <c r="K236" s="171">
        <f t="shared" ref="K236" si="795">IF(K235&gt;1000000,128000+0.3*(K235-1000000),IF(K235&gt;760000,68000+0.25*(K235-760000),IF(K235&gt;520000,20000+0.2*(K235-520000),IF(K235&gt;270000,0.08*(K235-270000),IF(K235&lt;=270000,0)))))</f>
        <v>0</v>
      </c>
      <c r="L236" s="171">
        <f t="shared" ref="L236" si="796">IF(L235&gt;1000000,128000+0.3*(L235-1000000),IF(L235&gt;760000,68000+0.25*(L235-760000),IF(L235&gt;520000,20000+0.2*(L235-520000),IF(L235&gt;270000,0.08*(L235-270000),IF(L235&lt;=270000,0)))))</f>
        <v>0</v>
      </c>
      <c r="M236" s="171">
        <f t="shared" ref="M236" si="797">IF(M235&gt;1000000,128000+0.3*(M235-1000000),IF(M235&gt;760000,68000+0.25*(M235-760000),IF(M235&gt;520000,20000+0.2*(M235-520000),IF(M235&gt;270000,0.08*(M235-270000),IF(M235&lt;=270000,0)))))</f>
        <v>0</v>
      </c>
      <c r="N236" s="171">
        <f t="shared" ref="N236" si="798">IF(N235&gt;1000000,128000+0.3*(N235-1000000),IF(N235&gt;760000,68000+0.25*(N235-760000),IF(N235&gt;520000,20000+0.2*(N235-520000),IF(N235&gt;270000,0.08*(N235-270000),IF(N235&lt;=270000,0)))))</f>
        <v>0</v>
      </c>
      <c r="O236" s="13">
        <f t="shared" si="666"/>
        <v>0</v>
      </c>
      <c r="P236" s="14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  <c r="IA236" s="3"/>
      <c r="IB236" s="3"/>
      <c r="IC236" s="3"/>
      <c r="ID236" s="3"/>
      <c r="IE236" s="3"/>
      <c r="IF236" s="3"/>
      <c r="IG236" s="3"/>
      <c r="IH236" s="3"/>
      <c r="II236" s="3"/>
      <c r="IJ236" s="3"/>
      <c r="IK236" s="3"/>
      <c r="IL236" s="3"/>
      <c r="IM236" s="3"/>
      <c r="IN236" s="3"/>
      <c r="IO236" s="3"/>
      <c r="IP236" s="3"/>
      <c r="IQ236" s="3"/>
      <c r="IR236" s="3"/>
      <c r="IS236" s="3"/>
      <c r="IT236" s="3"/>
      <c r="IU236" s="3"/>
      <c r="IV236" s="3"/>
    </row>
    <row r="237" spans="1:256" s="17" customFormat="1" x14ac:dyDescent="0.35">
      <c r="A237" s="17">
        <v>59</v>
      </c>
      <c r="B237" s="11" t="s">
        <v>452</v>
      </c>
      <c r="C237" s="12">
        <v>300000</v>
      </c>
      <c r="D237" s="12">
        <v>300000</v>
      </c>
      <c r="E237" s="12">
        <v>300000</v>
      </c>
      <c r="F237" s="12">
        <v>0</v>
      </c>
      <c r="G237" s="12">
        <v>0</v>
      </c>
      <c r="H237" s="12">
        <v>0</v>
      </c>
      <c r="I237" s="12">
        <v>0</v>
      </c>
      <c r="J237" s="12">
        <v>0</v>
      </c>
      <c r="K237" s="12">
        <v>0</v>
      </c>
      <c r="L237" s="12">
        <v>0</v>
      </c>
      <c r="M237" s="12">
        <v>0</v>
      </c>
      <c r="N237" s="12">
        <v>0</v>
      </c>
      <c r="O237" s="13">
        <f t="shared" si="666"/>
        <v>900000</v>
      </c>
      <c r="P237" s="14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  <c r="IA237" s="3"/>
      <c r="IB237" s="3"/>
      <c r="IC237" s="3"/>
      <c r="ID237" s="3"/>
      <c r="IE237" s="3"/>
      <c r="IF237" s="3"/>
      <c r="IG237" s="3"/>
      <c r="IH237" s="3"/>
      <c r="II237" s="3"/>
      <c r="IJ237" s="3"/>
      <c r="IK237" s="3"/>
      <c r="IL237" s="3"/>
      <c r="IM237" s="3"/>
      <c r="IN237" s="3"/>
      <c r="IO237" s="3"/>
      <c r="IP237" s="3"/>
      <c r="IQ237" s="3"/>
      <c r="IR237" s="3"/>
      <c r="IS237" s="3"/>
      <c r="IT237" s="3"/>
      <c r="IU237" s="3"/>
      <c r="IV237" s="3"/>
    </row>
    <row r="238" spans="1:256" s="17" customFormat="1" x14ac:dyDescent="0.35">
      <c r="B238" s="15" t="s">
        <v>14</v>
      </c>
      <c r="C238" s="16">
        <f t="shared" ref="C238" si="799">C237*0.1</f>
        <v>30000</v>
      </c>
      <c r="D238" s="16">
        <f t="shared" ref="D238:N238" si="800">D237*0.1</f>
        <v>30000</v>
      </c>
      <c r="E238" s="16">
        <f t="shared" si="800"/>
        <v>30000</v>
      </c>
      <c r="F238" s="16">
        <f t="shared" si="800"/>
        <v>0</v>
      </c>
      <c r="G238" s="16">
        <f t="shared" si="800"/>
        <v>0</v>
      </c>
      <c r="H238" s="16">
        <f t="shared" si="800"/>
        <v>0</v>
      </c>
      <c r="I238" s="16">
        <f t="shared" si="800"/>
        <v>0</v>
      </c>
      <c r="J238" s="16">
        <f t="shared" si="800"/>
        <v>0</v>
      </c>
      <c r="K238" s="16">
        <f t="shared" si="800"/>
        <v>0</v>
      </c>
      <c r="L238" s="16">
        <f t="shared" si="800"/>
        <v>0</v>
      </c>
      <c r="M238" s="16">
        <f t="shared" si="800"/>
        <v>0</v>
      </c>
      <c r="N238" s="16">
        <f t="shared" si="800"/>
        <v>0</v>
      </c>
      <c r="O238" s="13">
        <f t="shared" si="666"/>
        <v>90000</v>
      </c>
      <c r="P238" s="14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  <c r="IA238" s="3"/>
      <c r="IB238" s="3"/>
      <c r="IC238" s="3"/>
      <c r="ID238" s="3"/>
      <c r="IE238" s="3"/>
      <c r="IF238" s="3"/>
      <c r="IG238" s="3"/>
      <c r="IH238" s="3"/>
      <c r="II238" s="3"/>
      <c r="IJ238" s="3"/>
      <c r="IK238" s="3"/>
      <c r="IL238" s="3"/>
      <c r="IM238" s="3"/>
      <c r="IN238" s="3"/>
      <c r="IO238" s="3"/>
      <c r="IP238" s="3"/>
      <c r="IQ238" s="3"/>
      <c r="IR238" s="3"/>
      <c r="IS238" s="3"/>
      <c r="IT238" s="3"/>
      <c r="IU238" s="3"/>
      <c r="IV238" s="3"/>
    </row>
    <row r="239" spans="1:256" s="1" customFormat="1" x14ac:dyDescent="0.35">
      <c r="B239" s="15" t="s">
        <v>15</v>
      </c>
      <c r="C239" s="16">
        <f t="shared" ref="C239" si="801">C237-C238</f>
        <v>270000</v>
      </c>
      <c r="D239" s="16">
        <f t="shared" ref="D239:N239" si="802">D237-D238</f>
        <v>270000</v>
      </c>
      <c r="E239" s="16">
        <f t="shared" si="802"/>
        <v>270000</v>
      </c>
      <c r="F239" s="16">
        <f t="shared" si="802"/>
        <v>0</v>
      </c>
      <c r="G239" s="16">
        <f t="shared" si="802"/>
        <v>0</v>
      </c>
      <c r="H239" s="16">
        <f t="shared" si="802"/>
        <v>0</v>
      </c>
      <c r="I239" s="16">
        <f t="shared" si="802"/>
        <v>0</v>
      </c>
      <c r="J239" s="16">
        <f t="shared" si="802"/>
        <v>0</v>
      </c>
      <c r="K239" s="16">
        <f t="shared" si="802"/>
        <v>0</v>
      </c>
      <c r="L239" s="16">
        <f t="shared" si="802"/>
        <v>0</v>
      </c>
      <c r="M239" s="16">
        <f t="shared" si="802"/>
        <v>0</v>
      </c>
      <c r="N239" s="16">
        <f t="shared" si="802"/>
        <v>0</v>
      </c>
      <c r="O239" s="13">
        <f t="shared" si="666"/>
        <v>810000</v>
      </c>
      <c r="P239" s="14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  <c r="IA239" s="3"/>
      <c r="IB239" s="3"/>
      <c r="IC239" s="3"/>
      <c r="ID239" s="3"/>
      <c r="IE239" s="3"/>
      <c r="IF239" s="3"/>
      <c r="IG239" s="3"/>
      <c r="IH239" s="3"/>
      <c r="II239" s="3"/>
      <c r="IJ239" s="3"/>
      <c r="IK239" s="3"/>
      <c r="IL239" s="3"/>
      <c r="IM239" s="3"/>
      <c r="IN239" s="3"/>
      <c r="IO239" s="3"/>
      <c r="IP239" s="3"/>
      <c r="IQ239" s="3"/>
      <c r="IR239" s="3"/>
      <c r="IS239" s="3"/>
      <c r="IT239" s="3"/>
      <c r="IU239" s="3"/>
      <c r="IV239" s="3"/>
    </row>
    <row r="240" spans="1:256" s="1" customFormat="1" x14ac:dyDescent="0.35">
      <c r="B240" s="15" t="s">
        <v>16</v>
      </c>
      <c r="C240" s="171">
        <f>IF(C239&gt;1000000,128000+0.3*(C239-1000000),IF(C239&gt;760000,68000+0.25*(C239-760000),IF(C239&gt;520000,20000+0.2*(C239-520000),IF(C239&gt;270000,0.08*(C239-270000),IF(C239&lt;=270000,0)))))</f>
        <v>0</v>
      </c>
      <c r="D240" s="171">
        <f t="shared" ref="D240" si="803">IF(D239&gt;1000000,128000+0.3*(D239-1000000),IF(D239&gt;760000,68000+0.25*(D239-760000),IF(D239&gt;520000,20000+0.2*(D239-520000),IF(D239&gt;270000,0.08*(D239-270000),IF(D239&lt;=270000,0)))))</f>
        <v>0</v>
      </c>
      <c r="E240" s="171">
        <f t="shared" ref="E240" si="804">IF(E239&gt;1000000,128000+0.3*(E239-1000000),IF(E239&gt;760000,68000+0.25*(E239-760000),IF(E239&gt;520000,20000+0.2*(E239-520000),IF(E239&gt;270000,0.08*(E239-270000),IF(E239&lt;=270000,0)))))</f>
        <v>0</v>
      </c>
      <c r="F240" s="171">
        <f t="shared" ref="F240" si="805">IF(F239&gt;1000000,128000+0.3*(F239-1000000),IF(F239&gt;760000,68000+0.25*(F239-760000),IF(F239&gt;520000,20000+0.2*(F239-520000),IF(F239&gt;270000,0.08*(F239-270000),IF(F239&lt;=270000,0)))))</f>
        <v>0</v>
      </c>
      <c r="G240" s="171">
        <f t="shared" ref="G240" si="806">IF(G239&gt;1000000,128000+0.3*(G239-1000000),IF(G239&gt;760000,68000+0.25*(G239-760000),IF(G239&gt;520000,20000+0.2*(G239-520000),IF(G239&gt;270000,0.08*(G239-270000),IF(G239&lt;=270000,0)))))</f>
        <v>0</v>
      </c>
      <c r="H240" s="171">
        <f t="shared" ref="H240" si="807">IF(H239&gt;1000000,128000+0.3*(H239-1000000),IF(H239&gt;760000,68000+0.25*(H239-760000),IF(H239&gt;520000,20000+0.2*(H239-520000),IF(H239&gt;270000,0.08*(H239-270000),IF(H239&lt;=270000,0)))))</f>
        <v>0</v>
      </c>
      <c r="I240" s="171">
        <f t="shared" ref="I240" si="808">IF(I239&gt;1000000,128000+0.3*(I239-1000000),IF(I239&gt;760000,68000+0.25*(I239-760000),IF(I239&gt;520000,20000+0.2*(I239-520000),IF(I239&gt;270000,0.08*(I239-270000),IF(I239&lt;=270000,0)))))</f>
        <v>0</v>
      </c>
      <c r="J240" s="171">
        <f t="shared" ref="J240" si="809">IF(J239&gt;1000000,128000+0.3*(J239-1000000),IF(J239&gt;760000,68000+0.25*(J239-760000),IF(J239&gt;520000,20000+0.2*(J239-520000),IF(J239&gt;270000,0.08*(J239-270000),IF(J239&lt;=270000,0)))))</f>
        <v>0</v>
      </c>
      <c r="K240" s="171">
        <f t="shared" ref="K240" si="810">IF(K239&gt;1000000,128000+0.3*(K239-1000000),IF(K239&gt;760000,68000+0.25*(K239-760000),IF(K239&gt;520000,20000+0.2*(K239-520000),IF(K239&gt;270000,0.08*(K239-270000),IF(K239&lt;=270000,0)))))</f>
        <v>0</v>
      </c>
      <c r="L240" s="171">
        <f t="shared" ref="L240" si="811">IF(L239&gt;1000000,128000+0.3*(L239-1000000),IF(L239&gt;760000,68000+0.25*(L239-760000),IF(L239&gt;520000,20000+0.2*(L239-520000),IF(L239&gt;270000,0.08*(L239-270000),IF(L239&lt;=270000,0)))))</f>
        <v>0</v>
      </c>
      <c r="M240" s="171">
        <f t="shared" ref="M240" si="812">IF(M239&gt;1000000,128000+0.3*(M239-1000000),IF(M239&gt;760000,68000+0.25*(M239-760000),IF(M239&gt;520000,20000+0.2*(M239-520000),IF(M239&gt;270000,0.08*(M239-270000),IF(M239&lt;=270000,0)))))</f>
        <v>0</v>
      </c>
      <c r="N240" s="171">
        <f t="shared" ref="N240" si="813">IF(N239&gt;1000000,128000+0.3*(N239-1000000),IF(N239&gt;760000,68000+0.25*(N239-760000),IF(N239&gt;520000,20000+0.2*(N239-520000),IF(N239&gt;270000,0.08*(N239-270000),IF(N239&lt;=270000,0)))))</f>
        <v>0</v>
      </c>
      <c r="O240" s="13">
        <f t="shared" si="666"/>
        <v>0</v>
      </c>
      <c r="P240" s="14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  <c r="IA240" s="3"/>
      <c r="IB240" s="3"/>
      <c r="IC240" s="3"/>
      <c r="ID240" s="3"/>
      <c r="IE240" s="3"/>
      <c r="IF240" s="3"/>
      <c r="IG240" s="3"/>
      <c r="IH240" s="3"/>
      <c r="II240" s="3"/>
      <c r="IJ240" s="3"/>
      <c r="IK240" s="3"/>
      <c r="IL240" s="3"/>
      <c r="IM240" s="3"/>
      <c r="IN240" s="3"/>
      <c r="IO240" s="3"/>
      <c r="IP240" s="3"/>
      <c r="IQ240" s="3"/>
      <c r="IR240" s="3"/>
      <c r="IS240" s="3"/>
      <c r="IT240" s="3"/>
      <c r="IU240" s="3"/>
      <c r="IV240" s="3"/>
    </row>
    <row r="241" spans="1:256" s="17" customFormat="1" x14ac:dyDescent="0.35">
      <c r="A241" s="17">
        <v>60</v>
      </c>
      <c r="B241" s="11" t="s">
        <v>453</v>
      </c>
      <c r="C241" s="12">
        <v>300000</v>
      </c>
      <c r="D241" s="12">
        <v>300000</v>
      </c>
      <c r="E241" s="12">
        <v>300000</v>
      </c>
      <c r="F241" s="12">
        <v>0</v>
      </c>
      <c r="G241" s="12">
        <v>0</v>
      </c>
      <c r="H241" s="12">
        <v>0</v>
      </c>
      <c r="I241" s="12">
        <v>0</v>
      </c>
      <c r="J241" s="12">
        <v>0</v>
      </c>
      <c r="K241" s="12">
        <v>0</v>
      </c>
      <c r="L241" s="12">
        <v>0</v>
      </c>
      <c r="M241" s="12">
        <v>0</v>
      </c>
      <c r="N241" s="12">
        <v>0</v>
      </c>
      <c r="O241" s="13">
        <f t="shared" si="666"/>
        <v>900000</v>
      </c>
      <c r="P241" s="14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  <c r="IA241" s="3"/>
      <c r="IB241" s="3"/>
      <c r="IC241" s="3"/>
      <c r="ID241" s="3"/>
      <c r="IE241" s="3"/>
      <c r="IF241" s="3"/>
      <c r="IG241" s="3"/>
      <c r="IH241" s="3"/>
      <c r="II241" s="3"/>
      <c r="IJ241" s="3"/>
      <c r="IK241" s="3"/>
      <c r="IL241" s="3"/>
      <c r="IM241" s="3"/>
      <c r="IN241" s="3"/>
      <c r="IO241" s="3"/>
      <c r="IP241" s="3"/>
      <c r="IQ241" s="3"/>
      <c r="IR241" s="3"/>
      <c r="IS241" s="3"/>
      <c r="IT241" s="3"/>
      <c r="IU241" s="3"/>
      <c r="IV241" s="3"/>
    </row>
    <row r="242" spans="1:256" s="17" customFormat="1" x14ac:dyDescent="0.35">
      <c r="B242" s="15" t="s">
        <v>14</v>
      </c>
      <c r="C242" s="16">
        <f t="shared" ref="C242" si="814">C241*0.1</f>
        <v>30000</v>
      </c>
      <c r="D242" s="16">
        <f t="shared" ref="D242:N242" si="815">D241*0.1</f>
        <v>30000</v>
      </c>
      <c r="E242" s="16">
        <f t="shared" si="815"/>
        <v>30000</v>
      </c>
      <c r="F242" s="16">
        <f t="shared" si="815"/>
        <v>0</v>
      </c>
      <c r="G242" s="16">
        <f t="shared" si="815"/>
        <v>0</v>
      </c>
      <c r="H242" s="16">
        <f t="shared" si="815"/>
        <v>0</v>
      </c>
      <c r="I242" s="16">
        <f t="shared" si="815"/>
        <v>0</v>
      </c>
      <c r="J242" s="16">
        <f t="shared" si="815"/>
        <v>0</v>
      </c>
      <c r="K242" s="16">
        <f t="shared" si="815"/>
        <v>0</v>
      </c>
      <c r="L242" s="16">
        <f t="shared" si="815"/>
        <v>0</v>
      </c>
      <c r="M242" s="16">
        <f t="shared" si="815"/>
        <v>0</v>
      </c>
      <c r="N242" s="16">
        <f t="shared" si="815"/>
        <v>0</v>
      </c>
      <c r="O242" s="13">
        <f t="shared" si="666"/>
        <v>90000</v>
      </c>
      <c r="P242" s="14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  <c r="IA242" s="3"/>
      <c r="IB242" s="3"/>
      <c r="IC242" s="3"/>
      <c r="ID242" s="3"/>
      <c r="IE242" s="3"/>
      <c r="IF242" s="3"/>
      <c r="IG242" s="3"/>
      <c r="IH242" s="3"/>
      <c r="II242" s="3"/>
      <c r="IJ242" s="3"/>
      <c r="IK242" s="3"/>
      <c r="IL242" s="3"/>
      <c r="IM242" s="3"/>
      <c r="IN242" s="3"/>
      <c r="IO242" s="3"/>
      <c r="IP242" s="3"/>
      <c r="IQ242" s="3"/>
      <c r="IR242" s="3"/>
      <c r="IS242" s="3"/>
      <c r="IT242" s="3"/>
      <c r="IU242" s="3"/>
      <c r="IV242" s="3"/>
    </row>
    <row r="243" spans="1:256" s="1" customFormat="1" x14ac:dyDescent="0.35">
      <c r="B243" s="15" t="s">
        <v>15</v>
      </c>
      <c r="C243" s="16">
        <f t="shared" ref="C243" si="816">C241-C242</f>
        <v>270000</v>
      </c>
      <c r="D243" s="16">
        <f t="shared" ref="D243:N243" si="817">D241-D242</f>
        <v>270000</v>
      </c>
      <c r="E243" s="16">
        <f t="shared" si="817"/>
        <v>270000</v>
      </c>
      <c r="F243" s="16">
        <f t="shared" si="817"/>
        <v>0</v>
      </c>
      <c r="G243" s="16">
        <f t="shared" si="817"/>
        <v>0</v>
      </c>
      <c r="H243" s="16">
        <f t="shared" si="817"/>
        <v>0</v>
      </c>
      <c r="I243" s="16">
        <f t="shared" si="817"/>
        <v>0</v>
      </c>
      <c r="J243" s="16">
        <f t="shared" si="817"/>
        <v>0</v>
      </c>
      <c r="K243" s="16">
        <f t="shared" si="817"/>
        <v>0</v>
      </c>
      <c r="L243" s="16">
        <f t="shared" si="817"/>
        <v>0</v>
      </c>
      <c r="M243" s="16">
        <f t="shared" si="817"/>
        <v>0</v>
      </c>
      <c r="N243" s="16">
        <f t="shared" si="817"/>
        <v>0</v>
      </c>
      <c r="O243" s="13">
        <f t="shared" si="666"/>
        <v>810000</v>
      </c>
      <c r="P243" s="14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  <c r="IA243" s="3"/>
      <c r="IB243" s="3"/>
      <c r="IC243" s="3"/>
      <c r="ID243" s="3"/>
      <c r="IE243" s="3"/>
      <c r="IF243" s="3"/>
      <c r="IG243" s="3"/>
      <c r="IH243" s="3"/>
      <c r="II243" s="3"/>
      <c r="IJ243" s="3"/>
      <c r="IK243" s="3"/>
      <c r="IL243" s="3"/>
      <c r="IM243" s="3"/>
      <c r="IN243" s="3"/>
      <c r="IO243" s="3"/>
      <c r="IP243" s="3"/>
      <c r="IQ243" s="3"/>
      <c r="IR243" s="3"/>
      <c r="IS243" s="3"/>
      <c r="IT243" s="3"/>
      <c r="IU243" s="3"/>
      <c r="IV243" s="3"/>
    </row>
    <row r="244" spans="1:256" s="1" customFormat="1" x14ac:dyDescent="0.35">
      <c r="B244" s="15" t="s">
        <v>16</v>
      </c>
      <c r="C244" s="171">
        <f>IF(C243&gt;1000000,128000+0.3*(C243-1000000),IF(C243&gt;760000,68000+0.25*(C243-760000),IF(C243&gt;520000,20000+0.2*(C243-520000),IF(C243&gt;270000,0.08*(C243-270000),IF(C243&lt;=270000,0)))))</f>
        <v>0</v>
      </c>
      <c r="D244" s="171">
        <f t="shared" ref="D244" si="818">IF(D243&gt;1000000,128000+0.3*(D243-1000000),IF(D243&gt;760000,68000+0.25*(D243-760000),IF(D243&gt;520000,20000+0.2*(D243-520000),IF(D243&gt;270000,0.08*(D243-270000),IF(D243&lt;=270000,0)))))</f>
        <v>0</v>
      </c>
      <c r="E244" s="171">
        <f t="shared" ref="E244" si="819">IF(E243&gt;1000000,128000+0.3*(E243-1000000),IF(E243&gt;760000,68000+0.25*(E243-760000),IF(E243&gt;520000,20000+0.2*(E243-520000),IF(E243&gt;270000,0.08*(E243-270000),IF(E243&lt;=270000,0)))))</f>
        <v>0</v>
      </c>
      <c r="F244" s="171">
        <f t="shared" ref="F244" si="820">IF(F243&gt;1000000,128000+0.3*(F243-1000000),IF(F243&gt;760000,68000+0.25*(F243-760000),IF(F243&gt;520000,20000+0.2*(F243-520000),IF(F243&gt;270000,0.08*(F243-270000),IF(F243&lt;=270000,0)))))</f>
        <v>0</v>
      </c>
      <c r="G244" s="171">
        <f t="shared" ref="G244" si="821">IF(G243&gt;1000000,128000+0.3*(G243-1000000),IF(G243&gt;760000,68000+0.25*(G243-760000),IF(G243&gt;520000,20000+0.2*(G243-520000),IF(G243&gt;270000,0.08*(G243-270000),IF(G243&lt;=270000,0)))))</f>
        <v>0</v>
      </c>
      <c r="H244" s="171">
        <f t="shared" ref="H244" si="822">IF(H243&gt;1000000,128000+0.3*(H243-1000000),IF(H243&gt;760000,68000+0.25*(H243-760000),IF(H243&gt;520000,20000+0.2*(H243-520000),IF(H243&gt;270000,0.08*(H243-270000),IF(H243&lt;=270000,0)))))</f>
        <v>0</v>
      </c>
      <c r="I244" s="171">
        <f t="shared" ref="I244" si="823">IF(I243&gt;1000000,128000+0.3*(I243-1000000),IF(I243&gt;760000,68000+0.25*(I243-760000),IF(I243&gt;520000,20000+0.2*(I243-520000),IF(I243&gt;270000,0.08*(I243-270000),IF(I243&lt;=270000,0)))))</f>
        <v>0</v>
      </c>
      <c r="J244" s="171">
        <f t="shared" ref="J244" si="824">IF(J243&gt;1000000,128000+0.3*(J243-1000000),IF(J243&gt;760000,68000+0.25*(J243-760000),IF(J243&gt;520000,20000+0.2*(J243-520000),IF(J243&gt;270000,0.08*(J243-270000),IF(J243&lt;=270000,0)))))</f>
        <v>0</v>
      </c>
      <c r="K244" s="171">
        <f t="shared" ref="K244" si="825">IF(K243&gt;1000000,128000+0.3*(K243-1000000),IF(K243&gt;760000,68000+0.25*(K243-760000),IF(K243&gt;520000,20000+0.2*(K243-520000),IF(K243&gt;270000,0.08*(K243-270000),IF(K243&lt;=270000,0)))))</f>
        <v>0</v>
      </c>
      <c r="L244" s="171">
        <f t="shared" ref="L244" si="826">IF(L243&gt;1000000,128000+0.3*(L243-1000000),IF(L243&gt;760000,68000+0.25*(L243-760000),IF(L243&gt;520000,20000+0.2*(L243-520000),IF(L243&gt;270000,0.08*(L243-270000),IF(L243&lt;=270000,0)))))</f>
        <v>0</v>
      </c>
      <c r="M244" s="171">
        <f t="shared" ref="M244" si="827">IF(M243&gt;1000000,128000+0.3*(M243-1000000),IF(M243&gt;760000,68000+0.25*(M243-760000),IF(M243&gt;520000,20000+0.2*(M243-520000),IF(M243&gt;270000,0.08*(M243-270000),IF(M243&lt;=270000,0)))))</f>
        <v>0</v>
      </c>
      <c r="N244" s="171">
        <f t="shared" ref="N244" si="828">IF(N243&gt;1000000,128000+0.3*(N243-1000000),IF(N243&gt;760000,68000+0.25*(N243-760000),IF(N243&gt;520000,20000+0.2*(N243-520000),IF(N243&gt;270000,0.08*(N243-270000),IF(N243&lt;=270000,0)))))</f>
        <v>0</v>
      </c>
      <c r="O244" s="13">
        <f t="shared" si="666"/>
        <v>0</v>
      </c>
      <c r="P244" s="14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  <c r="IA244" s="3"/>
      <c r="IB244" s="3"/>
      <c r="IC244" s="3"/>
      <c r="ID244" s="3"/>
      <c r="IE244" s="3"/>
      <c r="IF244" s="3"/>
      <c r="IG244" s="3"/>
      <c r="IH244" s="3"/>
      <c r="II244" s="3"/>
      <c r="IJ244" s="3"/>
      <c r="IK244" s="3"/>
      <c r="IL244" s="3"/>
      <c r="IM244" s="3"/>
      <c r="IN244" s="3"/>
      <c r="IO244" s="3"/>
      <c r="IP244" s="3"/>
      <c r="IQ244" s="3"/>
      <c r="IR244" s="3"/>
      <c r="IS244" s="3"/>
      <c r="IT244" s="3"/>
      <c r="IU244" s="3"/>
      <c r="IV244" s="3"/>
    </row>
    <row r="245" spans="1:256" s="17" customFormat="1" x14ac:dyDescent="0.35">
      <c r="A245" s="17">
        <v>61</v>
      </c>
      <c r="B245" s="11" t="s">
        <v>454</v>
      </c>
      <c r="C245" s="12">
        <v>300000</v>
      </c>
      <c r="D245" s="12">
        <v>300000</v>
      </c>
      <c r="E245" s="12">
        <v>300000</v>
      </c>
      <c r="F245" s="12">
        <v>0</v>
      </c>
      <c r="G245" s="12">
        <v>0</v>
      </c>
      <c r="H245" s="12">
        <v>0</v>
      </c>
      <c r="I245" s="12">
        <v>0</v>
      </c>
      <c r="J245" s="12">
        <v>0</v>
      </c>
      <c r="K245" s="12">
        <v>0</v>
      </c>
      <c r="L245" s="12">
        <v>0</v>
      </c>
      <c r="M245" s="12">
        <v>0</v>
      </c>
      <c r="N245" s="12">
        <v>0</v>
      </c>
      <c r="O245" s="13">
        <f t="shared" si="666"/>
        <v>900000</v>
      </c>
      <c r="P245" s="14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  <c r="IA245" s="3"/>
      <c r="IB245" s="3"/>
      <c r="IC245" s="3"/>
      <c r="ID245" s="3"/>
      <c r="IE245" s="3"/>
      <c r="IF245" s="3"/>
      <c r="IG245" s="3"/>
      <c r="IH245" s="3"/>
      <c r="II245" s="3"/>
      <c r="IJ245" s="3"/>
      <c r="IK245" s="3"/>
      <c r="IL245" s="3"/>
      <c r="IM245" s="3"/>
      <c r="IN245" s="3"/>
      <c r="IO245" s="3"/>
      <c r="IP245" s="3"/>
      <c r="IQ245" s="3"/>
      <c r="IR245" s="3"/>
      <c r="IS245" s="3"/>
      <c r="IT245" s="3"/>
      <c r="IU245" s="3"/>
      <c r="IV245" s="3"/>
    </row>
    <row r="246" spans="1:256" s="17" customFormat="1" x14ac:dyDescent="0.35">
      <c r="B246" s="15" t="s">
        <v>14</v>
      </c>
      <c r="C246" s="16">
        <f t="shared" ref="C246" si="829">C245*0.1</f>
        <v>30000</v>
      </c>
      <c r="D246" s="16">
        <f t="shared" ref="D246:N246" si="830">D245*0.1</f>
        <v>30000</v>
      </c>
      <c r="E246" s="16">
        <f t="shared" si="830"/>
        <v>30000</v>
      </c>
      <c r="F246" s="16">
        <f t="shared" si="830"/>
        <v>0</v>
      </c>
      <c r="G246" s="16">
        <f t="shared" si="830"/>
        <v>0</v>
      </c>
      <c r="H246" s="16">
        <f t="shared" si="830"/>
        <v>0</v>
      </c>
      <c r="I246" s="16">
        <f t="shared" si="830"/>
        <v>0</v>
      </c>
      <c r="J246" s="16">
        <f t="shared" si="830"/>
        <v>0</v>
      </c>
      <c r="K246" s="16">
        <f t="shared" si="830"/>
        <v>0</v>
      </c>
      <c r="L246" s="16">
        <f t="shared" si="830"/>
        <v>0</v>
      </c>
      <c r="M246" s="16">
        <f t="shared" si="830"/>
        <v>0</v>
      </c>
      <c r="N246" s="16">
        <f t="shared" si="830"/>
        <v>0</v>
      </c>
      <c r="O246" s="13">
        <f t="shared" si="666"/>
        <v>90000</v>
      </c>
      <c r="P246" s="14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  <c r="IA246" s="3"/>
      <c r="IB246" s="3"/>
      <c r="IC246" s="3"/>
      <c r="ID246" s="3"/>
      <c r="IE246" s="3"/>
      <c r="IF246" s="3"/>
      <c r="IG246" s="3"/>
      <c r="IH246" s="3"/>
      <c r="II246" s="3"/>
      <c r="IJ246" s="3"/>
      <c r="IK246" s="3"/>
      <c r="IL246" s="3"/>
      <c r="IM246" s="3"/>
      <c r="IN246" s="3"/>
      <c r="IO246" s="3"/>
      <c r="IP246" s="3"/>
      <c r="IQ246" s="3"/>
      <c r="IR246" s="3"/>
      <c r="IS246" s="3"/>
      <c r="IT246" s="3"/>
      <c r="IU246" s="3"/>
      <c r="IV246" s="3"/>
    </row>
    <row r="247" spans="1:256" s="1" customFormat="1" x14ac:dyDescent="0.35">
      <c r="B247" s="15" t="s">
        <v>15</v>
      </c>
      <c r="C247" s="16">
        <f t="shared" ref="C247" si="831">C245-C246</f>
        <v>270000</v>
      </c>
      <c r="D247" s="16">
        <f t="shared" ref="D247:N247" si="832">D245-D246</f>
        <v>270000</v>
      </c>
      <c r="E247" s="16">
        <f t="shared" si="832"/>
        <v>270000</v>
      </c>
      <c r="F247" s="16">
        <f t="shared" si="832"/>
        <v>0</v>
      </c>
      <c r="G247" s="16">
        <f t="shared" si="832"/>
        <v>0</v>
      </c>
      <c r="H247" s="16">
        <f t="shared" si="832"/>
        <v>0</v>
      </c>
      <c r="I247" s="16">
        <f t="shared" si="832"/>
        <v>0</v>
      </c>
      <c r="J247" s="16">
        <f t="shared" si="832"/>
        <v>0</v>
      </c>
      <c r="K247" s="16">
        <f t="shared" si="832"/>
        <v>0</v>
      </c>
      <c r="L247" s="16">
        <f t="shared" si="832"/>
        <v>0</v>
      </c>
      <c r="M247" s="16">
        <f t="shared" si="832"/>
        <v>0</v>
      </c>
      <c r="N247" s="16">
        <f t="shared" si="832"/>
        <v>0</v>
      </c>
      <c r="O247" s="13">
        <f t="shared" si="666"/>
        <v>810000</v>
      </c>
      <c r="P247" s="14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  <c r="IA247" s="3"/>
      <c r="IB247" s="3"/>
      <c r="IC247" s="3"/>
      <c r="ID247" s="3"/>
      <c r="IE247" s="3"/>
      <c r="IF247" s="3"/>
      <c r="IG247" s="3"/>
      <c r="IH247" s="3"/>
      <c r="II247" s="3"/>
      <c r="IJ247" s="3"/>
      <c r="IK247" s="3"/>
      <c r="IL247" s="3"/>
      <c r="IM247" s="3"/>
      <c r="IN247" s="3"/>
      <c r="IO247" s="3"/>
      <c r="IP247" s="3"/>
      <c r="IQ247" s="3"/>
      <c r="IR247" s="3"/>
      <c r="IS247" s="3"/>
      <c r="IT247" s="3"/>
      <c r="IU247" s="3"/>
      <c r="IV247" s="3"/>
    </row>
    <row r="248" spans="1:256" s="1" customFormat="1" x14ac:dyDescent="0.35">
      <c r="B248" s="15" t="s">
        <v>16</v>
      </c>
      <c r="C248" s="171">
        <f>IF(C247&gt;1000000,128000+0.3*(C247-1000000),IF(C247&gt;760000,68000+0.25*(C247-760000),IF(C247&gt;520000,20000+0.2*(C247-520000),IF(C247&gt;270000,0.08*(C247-270000),IF(C247&lt;=270000,0)))))</f>
        <v>0</v>
      </c>
      <c r="D248" s="171">
        <f t="shared" ref="D248" si="833">IF(D247&gt;1000000,128000+0.3*(D247-1000000),IF(D247&gt;760000,68000+0.25*(D247-760000),IF(D247&gt;520000,20000+0.2*(D247-520000),IF(D247&gt;270000,0.08*(D247-270000),IF(D247&lt;=270000,0)))))</f>
        <v>0</v>
      </c>
      <c r="E248" s="171">
        <f t="shared" ref="E248" si="834">IF(E247&gt;1000000,128000+0.3*(E247-1000000),IF(E247&gt;760000,68000+0.25*(E247-760000),IF(E247&gt;520000,20000+0.2*(E247-520000),IF(E247&gt;270000,0.08*(E247-270000),IF(E247&lt;=270000,0)))))</f>
        <v>0</v>
      </c>
      <c r="F248" s="171">
        <f t="shared" ref="F248" si="835">IF(F247&gt;1000000,128000+0.3*(F247-1000000),IF(F247&gt;760000,68000+0.25*(F247-760000),IF(F247&gt;520000,20000+0.2*(F247-520000),IF(F247&gt;270000,0.08*(F247-270000),IF(F247&lt;=270000,0)))))</f>
        <v>0</v>
      </c>
      <c r="G248" s="171">
        <f t="shared" ref="G248" si="836">IF(G247&gt;1000000,128000+0.3*(G247-1000000),IF(G247&gt;760000,68000+0.25*(G247-760000),IF(G247&gt;520000,20000+0.2*(G247-520000),IF(G247&gt;270000,0.08*(G247-270000),IF(G247&lt;=270000,0)))))</f>
        <v>0</v>
      </c>
      <c r="H248" s="171">
        <f t="shared" ref="H248" si="837">IF(H247&gt;1000000,128000+0.3*(H247-1000000),IF(H247&gt;760000,68000+0.25*(H247-760000),IF(H247&gt;520000,20000+0.2*(H247-520000),IF(H247&gt;270000,0.08*(H247-270000),IF(H247&lt;=270000,0)))))</f>
        <v>0</v>
      </c>
      <c r="I248" s="171">
        <f t="shared" ref="I248" si="838">IF(I247&gt;1000000,128000+0.3*(I247-1000000),IF(I247&gt;760000,68000+0.25*(I247-760000),IF(I247&gt;520000,20000+0.2*(I247-520000),IF(I247&gt;270000,0.08*(I247-270000),IF(I247&lt;=270000,0)))))</f>
        <v>0</v>
      </c>
      <c r="J248" s="171">
        <f t="shared" ref="J248" si="839">IF(J247&gt;1000000,128000+0.3*(J247-1000000),IF(J247&gt;760000,68000+0.25*(J247-760000),IF(J247&gt;520000,20000+0.2*(J247-520000),IF(J247&gt;270000,0.08*(J247-270000),IF(J247&lt;=270000,0)))))</f>
        <v>0</v>
      </c>
      <c r="K248" s="171">
        <f t="shared" ref="K248" si="840">IF(K247&gt;1000000,128000+0.3*(K247-1000000),IF(K247&gt;760000,68000+0.25*(K247-760000),IF(K247&gt;520000,20000+0.2*(K247-520000),IF(K247&gt;270000,0.08*(K247-270000),IF(K247&lt;=270000,0)))))</f>
        <v>0</v>
      </c>
      <c r="L248" s="171">
        <f t="shared" ref="L248" si="841">IF(L247&gt;1000000,128000+0.3*(L247-1000000),IF(L247&gt;760000,68000+0.25*(L247-760000),IF(L247&gt;520000,20000+0.2*(L247-520000),IF(L247&gt;270000,0.08*(L247-270000),IF(L247&lt;=270000,0)))))</f>
        <v>0</v>
      </c>
      <c r="M248" s="171">
        <f t="shared" ref="M248" si="842">IF(M247&gt;1000000,128000+0.3*(M247-1000000),IF(M247&gt;760000,68000+0.25*(M247-760000),IF(M247&gt;520000,20000+0.2*(M247-520000),IF(M247&gt;270000,0.08*(M247-270000),IF(M247&lt;=270000,0)))))</f>
        <v>0</v>
      </c>
      <c r="N248" s="171">
        <f t="shared" ref="N248" si="843">IF(N247&gt;1000000,128000+0.3*(N247-1000000),IF(N247&gt;760000,68000+0.25*(N247-760000),IF(N247&gt;520000,20000+0.2*(N247-520000),IF(N247&gt;270000,0.08*(N247-270000),IF(N247&lt;=270000,0)))))</f>
        <v>0</v>
      </c>
      <c r="O248" s="13">
        <f t="shared" si="666"/>
        <v>0</v>
      </c>
      <c r="P248" s="14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  <c r="IA248" s="3"/>
      <c r="IB248" s="3"/>
      <c r="IC248" s="3"/>
      <c r="ID248" s="3"/>
      <c r="IE248" s="3"/>
      <c r="IF248" s="3"/>
      <c r="IG248" s="3"/>
      <c r="IH248" s="3"/>
      <c r="II248" s="3"/>
      <c r="IJ248" s="3"/>
      <c r="IK248" s="3"/>
      <c r="IL248" s="3"/>
      <c r="IM248" s="3"/>
      <c r="IN248" s="3"/>
      <c r="IO248" s="3"/>
      <c r="IP248" s="3"/>
      <c r="IQ248" s="3"/>
      <c r="IR248" s="3"/>
      <c r="IS248" s="3"/>
      <c r="IT248" s="3"/>
      <c r="IU248" s="3"/>
      <c r="IV248" s="3"/>
    </row>
    <row r="249" spans="1:256" s="17" customFormat="1" x14ac:dyDescent="0.35">
      <c r="A249" s="17">
        <v>62</v>
      </c>
      <c r="B249" s="11" t="s">
        <v>455</v>
      </c>
      <c r="C249" s="12">
        <v>300000</v>
      </c>
      <c r="D249" s="12">
        <v>300000</v>
      </c>
      <c r="E249" s="12">
        <v>300000</v>
      </c>
      <c r="F249" s="12">
        <v>0</v>
      </c>
      <c r="G249" s="12">
        <v>0</v>
      </c>
      <c r="H249" s="12">
        <v>0</v>
      </c>
      <c r="I249" s="12">
        <v>0</v>
      </c>
      <c r="J249" s="12">
        <v>0</v>
      </c>
      <c r="K249" s="12">
        <v>0</v>
      </c>
      <c r="L249" s="12">
        <v>0</v>
      </c>
      <c r="M249" s="12">
        <v>0</v>
      </c>
      <c r="N249" s="12">
        <v>0</v>
      </c>
      <c r="O249" s="13">
        <f t="shared" si="666"/>
        <v>900000</v>
      </c>
      <c r="P249" s="14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  <c r="IA249" s="3"/>
      <c r="IB249" s="3"/>
      <c r="IC249" s="3"/>
      <c r="ID249" s="3"/>
      <c r="IE249" s="3"/>
      <c r="IF249" s="3"/>
      <c r="IG249" s="3"/>
      <c r="IH249" s="3"/>
      <c r="II249" s="3"/>
      <c r="IJ249" s="3"/>
      <c r="IK249" s="3"/>
      <c r="IL249" s="3"/>
      <c r="IM249" s="3"/>
      <c r="IN249" s="3"/>
      <c r="IO249" s="3"/>
      <c r="IP249" s="3"/>
      <c r="IQ249" s="3"/>
      <c r="IR249" s="3"/>
      <c r="IS249" s="3"/>
      <c r="IT249" s="3"/>
      <c r="IU249" s="3"/>
      <c r="IV249" s="3"/>
    </row>
    <row r="250" spans="1:256" s="17" customFormat="1" x14ac:dyDescent="0.35">
      <c r="B250" s="15" t="s">
        <v>14</v>
      </c>
      <c r="C250" s="16">
        <f t="shared" ref="C250" si="844">C249*0.1</f>
        <v>30000</v>
      </c>
      <c r="D250" s="16">
        <f t="shared" ref="D250:N250" si="845">D249*0.1</f>
        <v>30000</v>
      </c>
      <c r="E250" s="16">
        <f t="shared" si="845"/>
        <v>30000</v>
      </c>
      <c r="F250" s="16">
        <f t="shared" si="845"/>
        <v>0</v>
      </c>
      <c r="G250" s="16">
        <f t="shared" si="845"/>
        <v>0</v>
      </c>
      <c r="H250" s="16">
        <f t="shared" si="845"/>
        <v>0</v>
      </c>
      <c r="I250" s="16">
        <f t="shared" si="845"/>
        <v>0</v>
      </c>
      <c r="J250" s="16">
        <f t="shared" si="845"/>
        <v>0</v>
      </c>
      <c r="K250" s="16">
        <f t="shared" si="845"/>
        <v>0</v>
      </c>
      <c r="L250" s="16">
        <f t="shared" si="845"/>
        <v>0</v>
      </c>
      <c r="M250" s="16">
        <f t="shared" si="845"/>
        <v>0</v>
      </c>
      <c r="N250" s="16">
        <f t="shared" si="845"/>
        <v>0</v>
      </c>
      <c r="O250" s="13">
        <f t="shared" si="666"/>
        <v>90000</v>
      </c>
      <c r="P250" s="14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  <c r="IA250" s="3"/>
      <c r="IB250" s="3"/>
      <c r="IC250" s="3"/>
      <c r="ID250" s="3"/>
      <c r="IE250" s="3"/>
      <c r="IF250" s="3"/>
      <c r="IG250" s="3"/>
      <c r="IH250" s="3"/>
      <c r="II250" s="3"/>
      <c r="IJ250" s="3"/>
      <c r="IK250" s="3"/>
      <c r="IL250" s="3"/>
      <c r="IM250" s="3"/>
      <c r="IN250" s="3"/>
      <c r="IO250" s="3"/>
      <c r="IP250" s="3"/>
      <c r="IQ250" s="3"/>
      <c r="IR250" s="3"/>
      <c r="IS250" s="3"/>
      <c r="IT250" s="3"/>
      <c r="IU250" s="3"/>
      <c r="IV250" s="3"/>
    </row>
    <row r="251" spans="1:256" s="1" customFormat="1" x14ac:dyDescent="0.35">
      <c r="B251" s="15" t="s">
        <v>15</v>
      </c>
      <c r="C251" s="16">
        <f t="shared" ref="C251" si="846">C249-C250</f>
        <v>270000</v>
      </c>
      <c r="D251" s="16">
        <f t="shared" ref="D251:N251" si="847">D249-D250</f>
        <v>270000</v>
      </c>
      <c r="E251" s="16">
        <f t="shared" si="847"/>
        <v>270000</v>
      </c>
      <c r="F251" s="16">
        <f t="shared" si="847"/>
        <v>0</v>
      </c>
      <c r="G251" s="16">
        <f t="shared" si="847"/>
        <v>0</v>
      </c>
      <c r="H251" s="16">
        <f t="shared" si="847"/>
        <v>0</v>
      </c>
      <c r="I251" s="16">
        <f t="shared" si="847"/>
        <v>0</v>
      </c>
      <c r="J251" s="16">
        <f t="shared" si="847"/>
        <v>0</v>
      </c>
      <c r="K251" s="16">
        <f t="shared" si="847"/>
        <v>0</v>
      </c>
      <c r="L251" s="16">
        <f t="shared" si="847"/>
        <v>0</v>
      </c>
      <c r="M251" s="16">
        <f t="shared" si="847"/>
        <v>0</v>
      </c>
      <c r="N251" s="16">
        <f t="shared" si="847"/>
        <v>0</v>
      </c>
      <c r="O251" s="13">
        <f t="shared" si="666"/>
        <v>810000</v>
      </c>
      <c r="P251" s="14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  <c r="IA251" s="3"/>
      <c r="IB251" s="3"/>
      <c r="IC251" s="3"/>
      <c r="ID251" s="3"/>
      <c r="IE251" s="3"/>
      <c r="IF251" s="3"/>
      <c r="IG251" s="3"/>
      <c r="IH251" s="3"/>
      <c r="II251" s="3"/>
      <c r="IJ251" s="3"/>
      <c r="IK251" s="3"/>
      <c r="IL251" s="3"/>
      <c r="IM251" s="3"/>
      <c r="IN251" s="3"/>
      <c r="IO251" s="3"/>
      <c r="IP251" s="3"/>
      <c r="IQ251" s="3"/>
      <c r="IR251" s="3"/>
      <c r="IS251" s="3"/>
      <c r="IT251" s="3"/>
      <c r="IU251" s="3"/>
      <c r="IV251" s="3"/>
    </row>
    <row r="252" spans="1:256" s="1" customFormat="1" x14ac:dyDescent="0.35">
      <c r="B252" s="15" t="s">
        <v>16</v>
      </c>
      <c r="C252" s="171">
        <f>IF(C251&gt;1000000,128000+0.3*(C251-1000000),IF(C251&gt;760000,68000+0.25*(C251-760000),IF(C251&gt;520000,20000+0.2*(C251-520000),IF(C251&gt;270000,0.08*(C251-270000),IF(C251&lt;=270000,0)))))</f>
        <v>0</v>
      </c>
      <c r="D252" s="171">
        <f t="shared" ref="D252" si="848">IF(D251&gt;1000000,128000+0.3*(D251-1000000),IF(D251&gt;760000,68000+0.25*(D251-760000),IF(D251&gt;520000,20000+0.2*(D251-520000),IF(D251&gt;270000,0.08*(D251-270000),IF(D251&lt;=270000,0)))))</f>
        <v>0</v>
      </c>
      <c r="E252" s="171">
        <f t="shared" ref="E252" si="849">IF(E251&gt;1000000,128000+0.3*(E251-1000000),IF(E251&gt;760000,68000+0.25*(E251-760000),IF(E251&gt;520000,20000+0.2*(E251-520000),IF(E251&gt;270000,0.08*(E251-270000),IF(E251&lt;=270000,0)))))</f>
        <v>0</v>
      </c>
      <c r="F252" s="171">
        <f t="shared" ref="F252" si="850">IF(F251&gt;1000000,128000+0.3*(F251-1000000),IF(F251&gt;760000,68000+0.25*(F251-760000),IF(F251&gt;520000,20000+0.2*(F251-520000),IF(F251&gt;270000,0.08*(F251-270000),IF(F251&lt;=270000,0)))))</f>
        <v>0</v>
      </c>
      <c r="G252" s="171">
        <f t="shared" ref="G252" si="851">IF(G251&gt;1000000,128000+0.3*(G251-1000000),IF(G251&gt;760000,68000+0.25*(G251-760000),IF(G251&gt;520000,20000+0.2*(G251-520000),IF(G251&gt;270000,0.08*(G251-270000),IF(G251&lt;=270000,0)))))</f>
        <v>0</v>
      </c>
      <c r="H252" s="171">
        <f t="shared" ref="H252" si="852">IF(H251&gt;1000000,128000+0.3*(H251-1000000),IF(H251&gt;760000,68000+0.25*(H251-760000),IF(H251&gt;520000,20000+0.2*(H251-520000),IF(H251&gt;270000,0.08*(H251-270000),IF(H251&lt;=270000,0)))))</f>
        <v>0</v>
      </c>
      <c r="I252" s="171">
        <f t="shared" ref="I252" si="853">IF(I251&gt;1000000,128000+0.3*(I251-1000000),IF(I251&gt;760000,68000+0.25*(I251-760000),IF(I251&gt;520000,20000+0.2*(I251-520000),IF(I251&gt;270000,0.08*(I251-270000),IF(I251&lt;=270000,0)))))</f>
        <v>0</v>
      </c>
      <c r="J252" s="171">
        <f t="shared" ref="J252" si="854">IF(J251&gt;1000000,128000+0.3*(J251-1000000),IF(J251&gt;760000,68000+0.25*(J251-760000),IF(J251&gt;520000,20000+0.2*(J251-520000),IF(J251&gt;270000,0.08*(J251-270000),IF(J251&lt;=270000,0)))))</f>
        <v>0</v>
      </c>
      <c r="K252" s="171">
        <f t="shared" ref="K252" si="855">IF(K251&gt;1000000,128000+0.3*(K251-1000000),IF(K251&gt;760000,68000+0.25*(K251-760000),IF(K251&gt;520000,20000+0.2*(K251-520000),IF(K251&gt;270000,0.08*(K251-270000),IF(K251&lt;=270000,0)))))</f>
        <v>0</v>
      </c>
      <c r="L252" s="171">
        <f t="shared" ref="L252" si="856">IF(L251&gt;1000000,128000+0.3*(L251-1000000),IF(L251&gt;760000,68000+0.25*(L251-760000),IF(L251&gt;520000,20000+0.2*(L251-520000),IF(L251&gt;270000,0.08*(L251-270000),IF(L251&lt;=270000,0)))))</f>
        <v>0</v>
      </c>
      <c r="M252" s="171">
        <f t="shared" ref="M252" si="857">IF(M251&gt;1000000,128000+0.3*(M251-1000000),IF(M251&gt;760000,68000+0.25*(M251-760000),IF(M251&gt;520000,20000+0.2*(M251-520000),IF(M251&gt;270000,0.08*(M251-270000),IF(M251&lt;=270000,0)))))</f>
        <v>0</v>
      </c>
      <c r="N252" s="171">
        <f t="shared" ref="N252" si="858">IF(N251&gt;1000000,128000+0.3*(N251-1000000),IF(N251&gt;760000,68000+0.25*(N251-760000),IF(N251&gt;520000,20000+0.2*(N251-520000),IF(N251&gt;270000,0.08*(N251-270000),IF(N251&lt;=270000,0)))))</f>
        <v>0</v>
      </c>
      <c r="O252" s="13">
        <f t="shared" si="666"/>
        <v>0</v>
      </c>
      <c r="P252" s="14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  <c r="IA252" s="3"/>
      <c r="IB252" s="3"/>
      <c r="IC252" s="3"/>
      <c r="ID252" s="3"/>
      <c r="IE252" s="3"/>
      <c r="IF252" s="3"/>
      <c r="IG252" s="3"/>
      <c r="IH252" s="3"/>
      <c r="II252" s="3"/>
      <c r="IJ252" s="3"/>
      <c r="IK252" s="3"/>
      <c r="IL252" s="3"/>
      <c r="IM252" s="3"/>
      <c r="IN252" s="3"/>
      <c r="IO252" s="3"/>
      <c r="IP252" s="3"/>
      <c r="IQ252" s="3"/>
      <c r="IR252" s="3"/>
      <c r="IS252" s="3"/>
      <c r="IT252" s="3"/>
      <c r="IU252" s="3"/>
      <c r="IV252" s="3"/>
    </row>
    <row r="253" spans="1:256" s="17" customFormat="1" x14ac:dyDescent="0.35">
      <c r="A253" s="17">
        <v>63</v>
      </c>
      <c r="B253" s="11" t="s">
        <v>456</v>
      </c>
      <c r="C253" s="12">
        <v>300000</v>
      </c>
      <c r="D253" s="12">
        <v>300000</v>
      </c>
      <c r="E253" s="12">
        <v>300000</v>
      </c>
      <c r="F253" s="12">
        <v>0</v>
      </c>
      <c r="G253" s="12">
        <v>0</v>
      </c>
      <c r="H253" s="12">
        <v>0</v>
      </c>
      <c r="I253" s="12">
        <v>0</v>
      </c>
      <c r="J253" s="12">
        <v>0</v>
      </c>
      <c r="K253" s="12">
        <v>0</v>
      </c>
      <c r="L253" s="12">
        <v>0</v>
      </c>
      <c r="M253" s="12">
        <v>0</v>
      </c>
      <c r="N253" s="12">
        <v>0</v>
      </c>
      <c r="O253" s="13">
        <f t="shared" si="666"/>
        <v>900000</v>
      </c>
      <c r="P253" s="14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  <c r="IA253" s="3"/>
      <c r="IB253" s="3"/>
      <c r="IC253" s="3"/>
      <c r="ID253" s="3"/>
      <c r="IE253" s="3"/>
      <c r="IF253" s="3"/>
      <c r="IG253" s="3"/>
      <c r="IH253" s="3"/>
      <c r="II253" s="3"/>
      <c r="IJ253" s="3"/>
      <c r="IK253" s="3"/>
      <c r="IL253" s="3"/>
      <c r="IM253" s="3"/>
      <c r="IN253" s="3"/>
      <c r="IO253" s="3"/>
      <c r="IP253" s="3"/>
      <c r="IQ253" s="3"/>
      <c r="IR253" s="3"/>
      <c r="IS253" s="3"/>
      <c r="IT253" s="3"/>
      <c r="IU253" s="3"/>
      <c r="IV253" s="3"/>
    </row>
    <row r="254" spans="1:256" s="17" customFormat="1" x14ac:dyDescent="0.35">
      <c r="B254" s="15" t="s">
        <v>14</v>
      </c>
      <c r="C254" s="16">
        <f t="shared" ref="C254" si="859">C253*0.1</f>
        <v>30000</v>
      </c>
      <c r="D254" s="16">
        <f t="shared" ref="D254:N254" si="860">D253*0.1</f>
        <v>30000</v>
      </c>
      <c r="E254" s="16">
        <f t="shared" si="860"/>
        <v>30000</v>
      </c>
      <c r="F254" s="16">
        <f t="shared" si="860"/>
        <v>0</v>
      </c>
      <c r="G254" s="16">
        <f t="shared" si="860"/>
        <v>0</v>
      </c>
      <c r="H254" s="16">
        <f t="shared" si="860"/>
        <v>0</v>
      </c>
      <c r="I254" s="16">
        <f t="shared" si="860"/>
        <v>0</v>
      </c>
      <c r="J254" s="16">
        <f t="shared" si="860"/>
        <v>0</v>
      </c>
      <c r="K254" s="16">
        <f t="shared" si="860"/>
        <v>0</v>
      </c>
      <c r="L254" s="16">
        <f t="shared" si="860"/>
        <v>0</v>
      </c>
      <c r="M254" s="16">
        <f t="shared" si="860"/>
        <v>0</v>
      </c>
      <c r="N254" s="16">
        <f t="shared" si="860"/>
        <v>0</v>
      </c>
      <c r="O254" s="13">
        <f t="shared" si="666"/>
        <v>90000</v>
      </c>
      <c r="P254" s="14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  <c r="IA254" s="3"/>
      <c r="IB254" s="3"/>
      <c r="IC254" s="3"/>
      <c r="ID254" s="3"/>
      <c r="IE254" s="3"/>
      <c r="IF254" s="3"/>
      <c r="IG254" s="3"/>
      <c r="IH254" s="3"/>
      <c r="II254" s="3"/>
      <c r="IJ254" s="3"/>
      <c r="IK254" s="3"/>
      <c r="IL254" s="3"/>
      <c r="IM254" s="3"/>
      <c r="IN254" s="3"/>
      <c r="IO254" s="3"/>
      <c r="IP254" s="3"/>
      <c r="IQ254" s="3"/>
      <c r="IR254" s="3"/>
      <c r="IS254" s="3"/>
      <c r="IT254" s="3"/>
      <c r="IU254" s="3"/>
      <c r="IV254" s="3"/>
    </row>
    <row r="255" spans="1:256" s="1" customFormat="1" x14ac:dyDescent="0.35">
      <c r="B255" s="15" t="s">
        <v>15</v>
      </c>
      <c r="C255" s="16">
        <f t="shared" ref="C255" si="861">C253-C254</f>
        <v>270000</v>
      </c>
      <c r="D255" s="16">
        <f t="shared" ref="D255:N255" si="862">D253-D254</f>
        <v>270000</v>
      </c>
      <c r="E255" s="16">
        <f t="shared" si="862"/>
        <v>270000</v>
      </c>
      <c r="F255" s="16">
        <f t="shared" si="862"/>
        <v>0</v>
      </c>
      <c r="G255" s="16">
        <f t="shared" si="862"/>
        <v>0</v>
      </c>
      <c r="H255" s="16">
        <f t="shared" si="862"/>
        <v>0</v>
      </c>
      <c r="I255" s="16">
        <f t="shared" si="862"/>
        <v>0</v>
      </c>
      <c r="J255" s="16">
        <f t="shared" si="862"/>
        <v>0</v>
      </c>
      <c r="K255" s="16">
        <f t="shared" si="862"/>
        <v>0</v>
      </c>
      <c r="L255" s="16">
        <f t="shared" si="862"/>
        <v>0</v>
      </c>
      <c r="M255" s="16">
        <f t="shared" si="862"/>
        <v>0</v>
      </c>
      <c r="N255" s="16">
        <f t="shared" si="862"/>
        <v>0</v>
      </c>
      <c r="O255" s="13">
        <f t="shared" si="666"/>
        <v>810000</v>
      </c>
      <c r="P255" s="14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  <c r="IA255" s="3"/>
      <c r="IB255" s="3"/>
      <c r="IC255" s="3"/>
      <c r="ID255" s="3"/>
      <c r="IE255" s="3"/>
      <c r="IF255" s="3"/>
      <c r="IG255" s="3"/>
      <c r="IH255" s="3"/>
      <c r="II255" s="3"/>
      <c r="IJ255" s="3"/>
      <c r="IK255" s="3"/>
      <c r="IL255" s="3"/>
      <c r="IM255" s="3"/>
      <c r="IN255" s="3"/>
      <c r="IO255" s="3"/>
      <c r="IP255" s="3"/>
      <c r="IQ255" s="3"/>
      <c r="IR255" s="3"/>
      <c r="IS255" s="3"/>
      <c r="IT255" s="3"/>
      <c r="IU255" s="3"/>
      <c r="IV255" s="3"/>
    </row>
    <row r="256" spans="1:256" s="1" customFormat="1" x14ac:dyDescent="0.35">
      <c r="B256" s="15" t="s">
        <v>16</v>
      </c>
      <c r="C256" s="171">
        <f>IF(C255&gt;1000000,128000+0.3*(C255-1000000),IF(C255&gt;760000,68000+0.25*(C255-760000),IF(C255&gt;520000,20000+0.2*(C255-520000),IF(C255&gt;270000,0.08*(C255-270000),IF(C255&lt;=270000,0)))))</f>
        <v>0</v>
      </c>
      <c r="D256" s="171">
        <f t="shared" ref="D256" si="863">IF(D255&gt;1000000,128000+0.3*(D255-1000000),IF(D255&gt;760000,68000+0.25*(D255-760000),IF(D255&gt;520000,20000+0.2*(D255-520000),IF(D255&gt;270000,0.08*(D255-270000),IF(D255&lt;=270000,0)))))</f>
        <v>0</v>
      </c>
      <c r="E256" s="171">
        <f t="shared" ref="E256" si="864">IF(E255&gt;1000000,128000+0.3*(E255-1000000),IF(E255&gt;760000,68000+0.25*(E255-760000),IF(E255&gt;520000,20000+0.2*(E255-520000),IF(E255&gt;270000,0.08*(E255-270000),IF(E255&lt;=270000,0)))))</f>
        <v>0</v>
      </c>
      <c r="F256" s="171">
        <f t="shared" ref="F256" si="865">IF(F255&gt;1000000,128000+0.3*(F255-1000000),IF(F255&gt;760000,68000+0.25*(F255-760000),IF(F255&gt;520000,20000+0.2*(F255-520000),IF(F255&gt;270000,0.08*(F255-270000),IF(F255&lt;=270000,0)))))</f>
        <v>0</v>
      </c>
      <c r="G256" s="171">
        <f t="shared" ref="G256" si="866">IF(G255&gt;1000000,128000+0.3*(G255-1000000),IF(G255&gt;760000,68000+0.25*(G255-760000),IF(G255&gt;520000,20000+0.2*(G255-520000),IF(G255&gt;270000,0.08*(G255-270000),IF(G255&lt;=270000,0)))))</f>
        <v>0</v>
      </c>
      <c r="H256" s="171">
        <f t="shared" ref="H256" si="867">IF(H255&gt;1000000,128000+0.3*(H255-1000000),IF(H255&gt;760000,68000+0.25*(H255-760000),IF(H255&gt;520000,20000+0.2*(H255-520000),IF(H255&gt;270000,0.08*(H255-270000),IF(H255&lt;=270000,0)))))</f>
        <v>0</v>
      </c>
      <c r="I256" s="171">
        <f t="shared" ref="I256" si="868">IF(I255&gt;1000000,128000+0.3*(I255-1000000),IF(I255&gt;760000,68000+0.25*(I255-760000),IF(I255&gt;520000,20000+0.2*(I255-520000),IF(I255&gt;270000,0.08*(I255-270000),IF(I255&lt;=270000,0)))))</f>
        <v>0</v>
      </c>
      <c r="J256" s="171">
        <f t="shared" ref="J256" si="869">IF(J255&gt;1000000,128000+0.3*(J255-1000000),IF(J255&gt;760000,68000+0.25*(J255-760000),IF(J255&gt;520000,20000+0.2*(J255-520000),IF(J255&gt;270000,0.08*(J255-270000),IF(J255&lt;=270000,0)))))</f>
        <v>0</v>
      </c>
      <c r="K256" s="171">
        <f t="shared" ref="K256" si="870">IF(K255&gt;1000000,128000+0.3*(K255-1000000),IF(K255&gt;760000,68000+0.25*(K255-760000),IF(K255&gt;520000,20000+0.2*(K255-520000),IF(K255&gt;270000,0.08*(K255-270000),IF(K255&lt;=270000,0)))))</f>
        <v>0</v>
      </c>
      <c r="L256" s="171">
        <f t="shared" ref="L256" si="871">IF(L255&gt;1000000,128000+0.3*(L255-1000000),IF(L255&gt;760000,68000+0.25*(L255-760000),IF(L255&gt;520000,20000+0.2*(L255-520000),IF(L255&gt;270000,0.08*(L255-270000),IF(L255&lt;=270000,0)))))</f>
        <v>0</v>
      </c>
      <c r="M256" s="171">
        <f t="shared" ref="M256" si="872">IF(M255&gt;1000000,128000+0.3*(M255-1000000),IF(M255&gt;760000,68000+0.25*(M255-760000),IF(M255&gt;520000,20000+0.2*(M255-520000),IF(M255&gt;270000,0.08*(M255-270000),IF(M255&lt;=270000,0)))))</f>
        <v>0</v>
      </c>
      <c r="N256" s="171">
        <f t="shared" ref="N256" si="873">IF(N255&gt;1000000,128000+0.3*(N255-1000000),IF(N255&gt;760000,68000+0.25*(N255-760000),IF(N255&gt;520000,20000+0.2*(N255-520000),IF(N255&gt;270000,0.08*(N255-270000),IF(N255&lt;=270000,0)))))</f>
        <v>0</v>
      </c>
      <c r="O256" s="13">
        <f t="shared" si="666"/>
        <v>0</v>
      </c>
      <c r="P256" s="14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  <c r="IA256" s="3"/>
      <c r="IB256" s="3"/>
      <c r="IC256" s="3"/>
      <c r="ID256" s="3"/>
      <c r="IE256" s="3"/>
      <c r="IF256" s="3"/>
      <c r="IG256" s="3"/>
      <c r="IH256" s="3"/>
      <c r="II256" s="3"/>
      <c r="IJ256" s="3"/>
      <c r="IK256" s="3"/>
      <c r="IL256" s="3"/>
      <c r="IM256" s="3"/>
      <c r="IN256" s="3"/>
      <c r="IO256" s="3"/>
      <c r="IP256" s="3"/>
      <c r="IQ256" s="3"/>
      <c r="IR256" s="3"/>
      <c r="IS256" s="3"/>
      <c r="IT256" s="3"/>
      <c r="IU256" s="3"/>
      <c r="IV256" s="3"/>
    </row>
    <row r="257" spans="1:256" s="17" customFormat="1" x14ac:dyDescent="0.35">
      <c r="A257" s="17">
        <v>64</v>
      </c>
      <c r="B257" s="11" t="s">
        <v>457</v>
      </c>
      <c r="C257" s="12">
        <v>300000</v>
      </c>
      <c r="D257" s="12">
        <v>300000</v>
      </c>
      <c r="E257" s="12">
        <v>300000</v>
      </c>
      <c r="F257" s="12">
        <v>0</v>
      </c>
      <c r="G257" s="12">
        <v>0</v>
      </c>
      <c r="H257" s="12">
        <v>0</v>
      </c>
      <c r="I257" s="12">
        <v>0</v>
      </c>
      <c r="J257" s="12">
        <v>0</v>
      </c>
      <c r="K257" s="12">
        <v>0</v>
      </c>
      <c r="L257" s="12">
        <v>0</v>
      </c>
      <c r="M257" s="12">
        <v>0</v>
      </c>
      <c r="N257" s="12">
        <v>0</v>
      </c>
      <c r="O257" s="13">
        <f t="shared" si="666"/>
        <v>900000</v>
      </c>
      <c r="P257" s="14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  <c r="IA257" s="3"/>
      <c r="IB257" s="3"/>
      <c r="IC257" s="3"/>
      <c r="ID257" s="3"/>
      <c r="IE257" s="3"/>
      <c r="IF257" s="3"/>
      <c r="IG257" s="3"/>
      <c r="IH257" s="3"/>
      <c r="II257" s="3"/>
      <c r="IJ257" s="3"/>
      <c r="IK257" s="3"/>
      <c r="IL257" s="3"/>
      <c r="IM257" s="3"/>
      <c r="IN257" s="3"/>
      <c r="IO257" s="3"/>
      <c r="IP257" s="3"/>
      <c r="IQ257" s="3"/>
      <c r="IR257" s="3"/>
      <c r="IS257" s="3"/>
      <c r="IT257" s="3"/>
      <c r="IU257" s="3"/>
      <c r="IV257" s="3"/>
    </row>
    <row r="258" spans="1:256" s="17" customFormat="1" x14ac:dyDescent="0.35">
      <c r="B258" s="15" t="s">
        <v>14</v>
      </c>
      <c r="C258" s="16">
        <f t="shared" ref="C258:N258" si="874">C257*0.1</f>
        <v>30000</v>
      </c>
      <c r="D258" s="16">
        <f t="shared" si="874"/>
        <v>30000</v>
      </c>
      <c r="E258" s="16">
        <f t="shared" si="874"/>
        <v>30000</v>
      </c>
      <c r="F258" s="16">
        <f t="shared" si="874"/>
        <v>0</v>
      </c>
      <c r="G258" s="16">
        <f t="shared" si="874"/>
        <v>0</v>
      </c>
      <c r="H258" s="16">
        <f t="shared" si="874"/>
        <v>0</v>
      </c>
      <c r="I258" s="16">
        <f t="shared" si="874"/>
        <v>0</v>
      </c>
      <c r="J258" s="16">
        <f t="shared" si="874"/>
        <v>0</v>
      </c>
      <c r="K258" s="16">
        <f t="shared" si="874"/>
        <v>0</v>
      </c>
      <c r="L258" s="16">
        <f t="shared" si="874"/>
        <v>0</v>
      </c>
      <c r="M258" s="16">
        <f t="shared" si="874"/>
        <v>0</v>
      </c>
      <c r="N258" s="16">
        <f t="shared" si="874"/>
        <v>0</v>
      </c>
      <c r="O258" s="13">
        <f t="shared" si="666"/>
        <v>90000</v>
      </c>
      <c r="P258" s="14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  <c r="IA258" s="3"/>
      <c r="IB258" s="3"/>
      <c r="IC258" s="3"/>
      <c r="ID258" s="3"/>
      <c r="IE258" s="3"/>
      <c r="IF258" s="3"/>
      <c r="IG258" s="3"/>
      <c r="IH258" s="3"/>
      <c r="II258" s="3"/>
      <c r="IJ258" s="3"/>
      <c r="IK258" s="3"/>
      <c r="IL258" s="3"/>
      <c r="IM258" s="3"/>
      <c r="IN258" s="3"/>
      <c r="IO258" s="3"/>
      <c r="IP258" s="3"/>
      <c r="IQ258" s="3"/>
      <c r="IR258" s="3"/>
      <c r="IS258" s="3"/>
      <c r="IT258" s="3"/>
      <c r="IU258" s="3"/>
      <c r="IV258" s="3"/>
    </row>
    <row r="259" spans="1:256" s="1" customFormat="1" x14ac:dyDescent="0.35">
      <c r="B259" s="15" t="s">
        <v>15</v>
      </c>
      <c r="C259" s="16">
        <f t="shared" ref="C259:N259" si="875">C257-C258</f>
        <v>270000</v>
      </c>
      <c r="D259" s="16">
        <f t="shared" si="875"/>
        <v>270000</v>
      </c>
      <c r="E259" s="16">
        <f t="shared" si="875"/>
        <v>270000</v>
      </c>
      <c r="F259" s="16">
        <f t="shared" si="875"/>
        <v>0</v>
      </c>
      <c r="G259" s="16">
        <f t="shared" si="875"/>
        <v>0</v>
      </c>
      <c r="H259" s="16">
        <f t="shared" si="875"/>
        <v>0</v>
      </c>
      <c r="I259" s="16">
        <f t="shared" si="875"/>
        <v>0</v>
      </c>
      <c r="J259" s="16">
        <f t="shared" si="875"/>
        <v>0</v>
      </c>
      <c r="K259" s="16">
        <f t="shared" si="875"/>
        <v>0</v>
      </c>
      <c r="L259" s="16">
        <f t="shared" si="875"/>
        <v>0</v>
      </c>
      <c r="M259" s="16">
        <f t="shared" si="875"/>
        <v>0</v>
      </c>
      <c r="N259" s="16">
        <f t="shared" si="875"/>
        <v>0</v>
      </c>
      <c r="O259" s="13">
        <f t="shared" si="666"/>
        <v>810000</v>
      </c>
      <c r="P259" s="14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  <c r="IA259" s="3"/>
      <c r="IB259" s="3"/>
      <c r="IC259" s="3"/>
      <c r="ID259" s="3"/>
      <c r="IE259" s="3"/>
      <c r="IF259" s="3"/>
      <c r="IG259" s="3"/>
      <c r="IH259" s="3"/>
      <c r="II259" s="3"/>
      <c r="IJ259" s="3"/>
      <c r="IK259" s="3"/>
      <c r="IL259" s="3"/>
      <c r="IM259" s="3"/>
      <c r="IN259" s="3"/>
      <c r="IO259" s="3"/>
      <c r="IP259" s="3"/>
      <c r="IQ259" s="3"/>
      <c r="IR259" s="3"/>
      <c r="IS259" s="3"/>
      <c r="IT259" s="3"/>
      <c r="IU259" s="3"/>
      <c r="IV259" s="3"/>
    </row>
    <row r="260" spans="1:256" s="1" customFormat="1" x14ac:dyDescent="0.35">
      <c r="B260" s="15" t="s">
        <v>16</v>
      </c>
      <c r="C260" s="171">
        <f>IF(C259&gt;1000000,128000+0.3*(C259-1000000),IF(C259&gt;760000,68000+0.25*(C259-760000),IF(C259&gt;520000,20000+0.2*(C259-520000),IF(C259&gt;270000,0.08*(C259-270000),IF(C259&lt;=270000,0)))))</f>
        <v>0</v>
      </c>
      <c r="D260" s="171">
        <f t="shared" ref="D260" si="876">IF(D259&gt;1000000,128000+0.3*(D259-1000000),IF(D259&gt;760000,68000+0.25*(D259-760000),IF(D259&gt;520000,20000+0.2*(D259-520000),IF(D259&gt;270000,0.08*(D259-270000),IF(D259&lt;=270000,0)))))</f>
        <v>0</v>
      </c>
      <c r="E260" s="171">
        <f t="shared" ref="E260" si="877">IF(E259&gt;1000000,128000+0.3*(E259-1000000),IF(E259&gt;760000,68000+0.25*(E259-760000),IF(E259&gt;520000,20000+0.2*(E259-520000),IF(E259&gt;270000,0.08*(E259-270000),IF(E259&lt;=270000,0)))))</f>
        <v>0</v>
      </c>
      <c r="F260" s="171">
        <f t="shared" ref="F260" si="878">IF(F259&gt;1000000,128000+0.3*(F259-1000000),IF(F259&gt;760000,68000+0.25*(F259-760000),IF(F259&gt;520000,20000+0.2*(F259-520000),IF(F259&gt;270000,0.08*(F259-270000),IF(F259&lt;=270000,0)))))</f>
        <v>0</v>
      </c>
      <c r="G260" s="171">
        <f t="shared" ref="G260" si="879">IF(G259&gt;1000000,128000+0.3*(G259-1000000),IF(G259&gt;760000,68000+0.25*(G259-760000),IF(G259&gt;520000,20000+0.2*(G259-520000),IF(G259&gt;270000,0.08*(G259-270000),IF(G259&lt;=270000,0)))))</f>
        <v>0</v>
      </c>
      <c r="H260" s="171">
        <f t="shared" ref="H260" si="880">IF(H259&gt;1000000,128000+0.3*(H259-1000000),IF(H259&gt;760000,68000+0.25*(H259-760000),IF(H259&gt;520000,20000+0.2*(H259-520000),IF(H259&gt;270000,0.08*(H259-270000),IF(H259&lt;=270000,0)))))</f>
        <v>0</v>
      </c>
      <c r="I260" s="171">
        <f t="shared" ref="I260" si="881">IF(I259&gt;1000000,128000+0.3*(I259-1000000),IF(I259&gt;760000,68000+0.25*(I259-760000),IF(I259&gt;520000,20000+0.2*(I259-520000),IF(I259&gt;270000,0.08*(I259-270000),IF(I259&lt;=270000,0)))))</f>
        <v>0</v>
      </c>
      <c r="J260" s="171">
        <f t="shared" ref="J260" si="882">IF(J259&gt;1000000,128000+0.3*(J259-1000000),IF(J259&gt;760000,68000+0.25*(J259-760000),IF(J259&gt;520000,20000+0.2*(J259-520000),IF(J259&gt;270000,0.08*(J259-270000),IF(J259&lt;=270000,0)))))</f>
        <v>0</v>
      </c>
      <c r="K260" s="171">
        <f t="shared" ref="K260" si="883">IF(K259&gt;1000000,128000+0.3*(K259-1000000),IF(K259&gt;760000,68000+0.25*(K259-760000),IF(K259&gt;520000,20000+0.2*(K259-520000),IF(K259&gt;270000,0.08*(K259-270000),IF(K259&lt;=270000,0)))))</f>
        <v>0</v>
      </c>
      <c r="L260" s="171">
        <f t="shared" ref="L260" si="884">IF(L259&gt;1000000,128000+0.3*(L259-1000000),IF(L259&gt;760000,68000+0.25*(L259-760000),IF(L259&gt;520000,20000+0.2*(L259-520000),IF(L259&gt;270000,0.08*(L259-270000),IF(L259&lt;=270000,0)))))</f>
        <v>0</v>
      </c>
      <c r="M260" s="171">
        <f t="shared" ref="M260" si="885">IF(M259&gt;1000000,128000+0.3*(M259-1000000),IF(M259&gt;760000,68000+0.25*(M259-760000),IF(M259&gt;520000,20000+0.2*(M259-520000),IF(M259&gt;270000,0.08*(M259-270000),IF(M259&lt;=270000,0)))))</f>
        <v>0</v>
      </c>
      <c r="N260" s="171">
        <f t="shared" ref="N260" si="886">IF(N259&gt;1000000,128000+0.3*(N259-1000000),IF(N259&gt;760000,68000+0.25*(N259-760000),IF(N259&gt;520000,20000+0.2*(N259-520000),IF(N259&gt;270000,0.08*(N259-270000),IF(N259&lt;=270000,0)))))</f>
        <v>0</v>
      </c>
      <c r="O260" s="13">
        <f t="shared" si="666"/>
        <v>0</v>
      </c>
      <c r="P260" s="14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  <c r="IA260" s="3"/>
      <c r="IB260" s="3"/>
      <c r="IC260" s="3"/>
      <c r="ID260" s="3"/>
      <c r="IE260" s="3"/>
      <c r="IF260" s="3"/>
      <c r="IG260" s="3"/>
      <c r="IH260" s="3"/>
      <c r="II260" s="3"/>
      <c r="IJ260" s="3"/>
      <c r="IK260" s="3"/>
      <c r="IL260" s="3"/>
      <c r="IM260" s="3"/>
      <c r="IN260" s="3"/>
      <c r="IO260" s="3"/>
      <c r="IP260" s="3"/>
      <c r="IQ260" s="3"/>
      <c r="IR260" s="3"/>
      <c r="IS260" s="3"/>
      <c r="IT260" s="3"/>
      <c r="IU260" s="3"/>
      <c r="IV260" s="3"/>
    </row>
    <row r="261" spans="1:256" s="17" customFormat="1" x14ac:dyDescent="0.35">
      <c r="A261" s="17">
        <v>65</v>
      </c>
      <c r="B261" s="11" t="s">
        <v>649</v>
      </c>
      <c r="C261" s="12">
        <v>0</v>
      </c>
      <c r="D261" s="12">
        <v>300000</v>
      </c>
      <c r="E261" s="12">
        <v>300000</v>
      </c>
      <c r="F261" s="12">
        <v>0</v>
      </c>
      <c r="G261" s="12">
        <v>0</v>
      </c>
      <c r="H261" s="12">
        <v>0</v>
      </c>
      <c r="I261" s="12">
        <v>0</v>
      </c>
      <c r="J261" s="12">
        <v>0</v>
      </c>
      <c r="K261" s="12">
        <v>0</v>
      </c>
      <c r="L261" s="12">
        <v>0</v>
      </c>
      <c r="M261" s="12">
        <v>0</v>
      </c>
      <c r="N261" s="12">
        <v>0</v>
      </c>
      <c r="O261" s="13">
        <f t="shared" ref="O261:O324" si="887">SUM(C261:N261)</f>
        <v>600000</v>
      </c>
      <c r="P261" s="14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  <c r="IA261" s="3"/>
      <c r="IB261" s="3"/>
      <c r="IC261" s="3"/>
      <c r="ID261" s="3"/>
      <c r="IE261" s="3"/>
      <c r="IF261" s="3"/>
      <c r="IG261" s="3"/>
      <c r="IH261" s="3"/>
      <c r="II261" s="3"/>
      <c r="IJ261" s="3"/>
      <c r="IK261" s="3"/>
      <c r="IL261" s="3"/>
      <c r="IM261" s="3"/>
      <c r="IN261" s="3"/>
      <c r="IO261" s="3"/>
      <c r="IP261" s="3"/>
      <c r="IQ261" s="3"/>
      <c r="IR261" s="3"/>
      <c r="IS261" s="3"/>
      <c r="IT261" s="3"/>
      <c r="IU261" s="3"/>
      <c r="IV261" s="3"/>
    </row>
    <row r="262" spans="1:256" s="17" customFormat="1" x14ac:dyDescent="0.35">
      <c r="B262" s="15" t="s">
        <v>14</v>
      </c>
      <c r="C262" s="16">
        <f t="shared" ref="C262:N262" si="888">C261*0.1</f>
        <v>0</v>
      </c>
      <c r="D262" s="16">
        <f t="shared" si="888"/>
        <v>30000</v>
      </c>
      <c r="E262" s="16">
        <f t="shared" si="888"/>
        <v>30000</v>
      </c>
      <c r="F262" s="16">
        <f t="shared" si="888"/>
        <v>0</v>
      </c>
      <c r="G262" s="16">
        <f t="shared" si="888"/>
        <v>0</v>
      </c>
      <c r="H262" s="16">
        <f t="shared" si="888"/>
        <v>0</v>
      </c>
      <c r="I262" s="16">
        <f t="shared" si="888"/>
        <v>0</v>
      </c>
      <c r="J262" s="16">
        <f t="shared" si="888"/>
        <v>0</v>
      </c>
      <c r="K262" s="16">
        <f t="shared" si="888"/>
        <v>0</v>
      </c>
      <c r="L262" s="16">
        <f t="shared" si="888"/>
        <v>0</v>
      </c>
      <c r="M262" s="16">
        <f t="shared" si="888"/>
        <v>0</v>
      </c>
      <c r="N262" s="16">
        <f t="shared" si="888"/>
        <v>0</v>
      </c>
      <c r="O262" s="13">
        <f t="shared" si="887"/>
        <v>60000</v>
      </c>
      <c r="P262" s="14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  <c r="IA262" s="3"/>
      <c r="IB262" s="3"/>
      <c r="IC262" s="3"/>
      <c r="ID262" s="3"/>
      <c r="IE262" s="3"/>
      <c r="IF262" s="3"/>
      <c r="IG262" s="3"/>
      <c r="IH262" s="3"/>
      <c r="II262" s="3"/>
      <c r="IJ262" s="3"/>
      <c r="IK262" s="3"/>
      <c r="IL262" s="3"/>
      <c r="IM262" s="3"/>
      <c r="IN262" s="3"/>
      <c r="IO262" s="3"/>
      <c r="IP262" s="3"/>
      <c r="IQ262" s="3"/>
      <c r="IR262" s="3"/>
      <c r="IS262" s="3"/>
      <c r="IT262" s="3"/>
      <c r="IU262" s="3"/>
      <c r="IV262" s="3"/>
    </row>
    <row r="263" spans="1:256" s="1" customFormat="1" x14ac:dyDescent="0.35">
      <c r="B263" s="15" t="s">
        <v>15</v>
      </c>
      <c r="C263" s="16">
        <f t="shared" ref="C263:N263" si="889">C261-C262</f>
        <v>0</v>
      </c>
      <c r="D263" s="16">
        <f t="shared" si="889"/>
        <v>270000</v>
      </c>
      <c r="E263" s="16">
        <f t="shared" si="889"/>
        <v>270000</v>
      </c>
      <c r="F263" s="16">
        <f t="shared" si="889"/>
        <v>0</v>
      </c>
      <c r="G263" s="16">
        <f t="shared" si="889"/>
        <v>0</v>
      </c>
      <c r="H263" s="16">
        <f t="shared" si="889"/>
        <v>0</v>
      </c>
      <c r="I263" s="16">
        <f t="shared" si="889"/>
        <v>0</v>
      </c>
      <c r="J263" s="16">
        <f t="shared" si="889"/>
        <v>0</v>
      </c>
      <c r="K263" s="16">
        <f t="shared" si="889"/>
        <v>0</v>
      </c>
      <c r="L263" s="16">
        <f t="shared" si="889"/>
        <v>0</v>
      </c>
      <c r="M263" s="16">
        <f t="shared" si="889"/>
        <v>0</v>
      </c>
      <c r="N263" s="16">
        <f t="shared" si="889"/>
        <v>0</v>
      </c>
      <c r="O263" s="13">
        <f t="shared" si="887"/>
        <v>540000</v>
      </c>
      <c r="P263" s="14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  <c r="IA263" s="3"/>
      <c r="IB263" s="3"/>
      <c r="IC263" s="3"/>
      <c r="ID263" s="3"/>
      <c r="IE263" s="3"/>
      <c r="IF263" s="3"/>
      <c r="IG263" s="3"/>
      <c r="IH263" s="3"/>
      <c r="II263" s="3"/>
      <c r="IJ263" s="3"/>
      <c r="IK263" s="3"/>
      <c r="IL263" s="3"/>
      <c r="IM263" s="3"/>
      <c r="IN263" s="3"/>
      <c r="IO263" s="3"/>
      <c r="IP263" s="3"/>
      <c r="IQ263" s="3"/>
      <c r="IR263" s="3"/>
      <c r="IS263" s="3"/>
      <c r="IT263" s="3"/>
      <c r="IU263" s="3"/>
      <c r="IV263" s="3"/>
    </row>
    <row r="264" spans="1:256" s="1" customFormat="1" x14ac:dyDescent="0.35">
      <c r="B264" s="15" t="s">
        <v>16</v>
      </c>
      <c r="C264" s="171">
        <f>IF(C263&gt;1000000,128000+0.3*(C263-1000000),IF(C263&gt;760000,68000+0.25*(C263-760000),IF(C263&gt;520000,20000+0.2*(C263-520000),IF(C263&gt;270000,0.08*(C263-270000),IF(C263&lt;=270000,0)))))</f>
        <v>0</v>
      </c>
      <c r="D264" s="171">
        <f t="shared" ref="D264" si="890">IF(D263&gt;1000000,128000+0.3*(D263-1000000),IF(D263&gt;760000,68000+0.25*(D263-760000),IF(D263&gt;520000,20000+0.2*(D263-520000),IF(D263&gt;270000,0.08*(D263-270000),IF(D263&lt;=270000,0)))))</f>
        <v>0</v>
      </c>
      <c r="E264" s="171">
        <f t="shared" ref="E264" si="891">IF(E263&gt;1000000,128000+0.3*(E263-1000000),IF(E263&gt;760000,68000+0.25*(E263-760000),IF(E263&gt;520000,20000+0.2*(E263-520000),IF(E263&gt;270000,0.08*(E263-270000),IF(E263&lt;=270000,0)))))</f>
        <v>0</v>
      </c>
      <c r="F264" s="171">
        <f t="shared" ref="F264" si="892">IF(F263&gt;1000000,128000+0.3*(F263-1000000),IF(F263&gt;760000,68000+0.25*(F263-760000),IF(F263&gt;520000,20000+0.2*(F263-520000),IF(F263&gt;270000,0.08*(F263-270000),IF(F263&lt;=270000,0)))))</f>
        <v>0</v>
      </c>
      <c r="G264" s="171">
        <f t="shared" ref="G264" si="893">IF(G263&gt;1000000,128000+0.3*(G263-1000000),IF(G263&gt;760000,68000+0.25*(G263-760000),IF(G263&gt;520000,20000+0.2*(G263-520000),IF(G263&gt;270000,0.08*(G263-270000),IF(G263&lt;=270000,0)))))</f>
        <v>0</v>
      </c>
      <c r="H264" s="171">
        <f t="shared" ref="H264" si="894">IF(H263&gt;1000000,128000+0.3*(H263-1000000),IF(H263&gt;760000,68000+0.25*(H263-760000),IF(H263&gt;520000,20000+0.2*(H263-520000),IF(H263&gt;270000,0.08*(H263-270000),IF(H263&lt;=270000,0)))))</f>
        <v>0</v>
      </c>
      <c r="I264" s="171">
        <f t="shared" ref="I264" si="895">IF(I263&gt;1000000,128000+0.3*(I263-1000000),IF(I263&gt;760000,68000+0.25*(I263-760000),IF(I263&gt;520000,20000+0.2*(I263-520000),IF(I263&gt;270000,0.08*(I263-270000),IF(I263&lt;=270000,0)))))</f>
        <v>0</v>
      </c>
      <c r="J264" s="171">
        <f t="shared" ref="J264" si="896">IF(J263&gt;1000000,128000+0.3*(J263-1000000),IF(J263&gt;760000,68000+0.25*(J263-760000),IF(J263&gt;520000,20000+0.2*(J263-520000),IF(J263&gt;270000,0.08*(J263-270000),IF(J263&lt;=270000,0)))))</f>
        <v>0</v>
      </c>
      <c r="K264" s="171">
        <f t="shared" ref="K264" si="897">IF(K263&gt;1000000,128000+0.3*(K263-1000000),IF(K263&gt;760000,68000+0.25*(K263-760000),IF(K263&gt;520000,20000+0.2*(K263-520000),IF(K263&gt;270000,0.08*(K263-270000),IF(K263&lt;=270000,0)))))</f>
        <v>0</v>
      </c>
      <c r="L264" s="171">
        <f t="shared" ref="L264" si="898">IF(L263&gt;1000000,128000+0.3*(L263-1000000),IF(L263&gt;760000,68000+0.25*(L263-760000),IF(L263&gt;520000,20000+0.2*(L263-520000),IF(L263&gt;270000,0.08*(L263-270000),IF(L263&lt;=270000,0)))))</f>
        <v>0</v>
      </c>
      <c r="M264" s="171">
        <f t="shared" ref="M264" si="899">IF(M263&gt;1000000,128000+0.3*(M263-1000000),IF(M263&gt;760000,68000+0.25*(M263-760000),IF(M263&gt;520000,20000+0.2*(M263-520000),IF(M263&gt;270000,0.08*(M263-270000),IF(M263&lt;=270000,0)))))</f>
        <v>0</v>
      </c>
      <c r="N264" s="171">
        <f t="shared" ref="N264" si="900">IF(N263&gt;1000000,128000+0.3*(N263-1000000),IF(N263&gt;760000,68000+0.25*(N263-760000),IF(N263&gt;520000,20000+0.2*(N263-520000),IF(N263&gt;270000,0.08*(N263-270000),IF(N263&lt;=270000,0)))))</f>
        <v>0</v>
      </c>
      <c r="O264" s="13">
        <f t="shared" si="887"/>
        <v>0</v>
      </c>
      <c r="P264" s="14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  <c r="IA264" s="3"/>
      <c r="IB264" s="3"/>
      <c r="IC264" s="3"/>
      <c r="ID264" s="3"/>
      <c r="IE264" s="3"/>
      <c r="IF264" s="3"/>
      <c r="IG264" s="3"/>
      <c r="IH264" s="3"/>
      <c r="II264" s="3"/>
      <c r="IJ264" s="3"/>
      <c r="IK264" s="3"/>
      <c r="IL264" s="3"/>
      <c r="IM264" s="3"/>
      <c r="IN264" s="3"/>
      <c r="IO264" s="3"/>
      <c r="IP264" s="3"/>
      <c r="IQ264" s="3"/>
      <c r="IR264" s="3"/>
      <c r="IS264" s="3"/>
      <c r="IT264" s="3"/>
      <c r="IU264" s="3"/>
      <c r="IV264" s="3"/>
    </row>
    <row r="265" spans="1:256" s="17" customFormat="1" x14ac:dyDescent="0.35">
      <c r="A265" s="17">
        <v>66</v>
      </c>
      <c r="B265" s="11" t="s">
        <v>650</v>
      </c>
      <c r="C265" s="12">
        <v>0</v>
      </c>
      <c r="D265" s="12">
        <v>300000</v>
      </c>
      <c r="E265" s="12">
        <v>300000</v>
      </c>
      <c r="F265" s="12">
        <v>0</v>
      </c>
      <c r="G265" s="12">
        <v>0</v>
      </c>
      <c r="H265" s="12">
        <v>0</v>
      </c>
      <c r="I265" s="12">
        <v>0</v>
      </c>
      <c r="J265" s="12">
        <v>0</v>
      </c>
      <c r="K265" s="12">
        <v>0</v>
      </c>
      <c r="L265" s="12">
        <v>0</v>
      </c>
      <c r="M265" s="12">
        <v>0</v>
      </c>
      <c r="N265" s="12">
        <v>0</v>
      </c>
      <c r="O265" s="13">
        <f t="shared" si="887"/>
        <v>600000</v>
      </c>
      <c r="P265" s="14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  <c r="IA265" s="3"/>
      <c r="IB265" s="3"/>
      <c r="IC265" s="3"/>
      <c r="ID265" s="3"/>
      <c r="IE265" s="3"/>
      <c r="IF265" s="3"/>
      <c r="IG265" s="3"/>
      <c r="IH265" s="3"/>
      <c r="II265" s="3"/>
      <c r="IJ265" s="3"/>
      <c r="IK265" s="3"/>
      <c r="IL265" s="3"/>
      <c r="IM265" s="3"/>
      <c r="IN265" s="3"/>
      <c r="IO265" s="3"/>
      <c r="IP265" s="3"/>
      <c r="IQ265" s="3"/>
      <c r="IR265" s="3"/>
      <c r="IS265" s="3"/>
      <c r="IT265" s="3"/>
      <c r="IU265" s="3"/>
      <c r="IV265" s="3"/>
    </row>
    <row r="266" spans="1:256" s="17" customFormat="1" x14ac:dyDescent="0.35">
      <c r="B266" s="15" t="s">
        <v>14</v>
      </c>
      <c r="C266" s="16">
        <f t="shared" ref="C266:N266" si="901">C265*0.1</f>
        <v>0</v>
      </c>
      <c r="D266" s="16">
        <f t="shared" si="901"/>
        <v>30000</v>
      </c>
      <c r="E266" s="16">
        <f t="shared" si="901"/>
        <v>30000</v>
      </c>
      <c r="F266" s="16">
        <f t="shared" si="901"/>
        <v>0</v>
      </c>
      <c r="G266" s="16">
        <f t="shared" si="901"/>
        <v>0</v>
      </c>
      <c r="H266" s="16">
        <f t="shared" si="901"/>
        <v>0</v>
      </c>
      <c r="I266" s="16">
        <f t="shared" si="901"/>
        <v>0</v>
      </c>
      <c r="J266" s="16">
        <f t="shared" si="901"/>
        <v>0</v>
      </c>
      <c r="K266" s="16">
        <f t="shared" si="901"/>
        <v>0</v>
      </c>
      <c r="L266" s="16">
        <f t="shared" si="901"/>
        <v>0</v>
      </c>
      <c r="M266" s="16">
        <f t="shared" si="901"/>
        <v>0</v>
      </c>
      <c r="N266" s="16">
        <f t="shared" si="901"/>
        <v>0</v>
      </c>
      <c r="O266" s="13">
        <f t="shared" si="887"/>
        <v>60000</v>
      </c>
      <c r="P266" s="14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  <c r="IA266" s="3"/>
      <c r="IB266" s="3"/>
      <c r="IC266" s="3"/>
      <c r="ID266" s="3"/>
      <c r="IE266" s="3"/>
      <c r="IF266" s="3"/>
      <c r="IG266" s="3"/>
      <c r="IH266" s="3"/>
      <c r="II266" s="3"/>
      <c r="IJ266" s="3"/>
      <c r="IK266" s="3"/>
      <c r="IL266" s="3"/>
      <c r="IM266" s="3"/>
      <c r="IN266" s="3"/>
      <c r="IO266" s="3"/>
      <c r="IP266" s="3"/>
      <c r="IQ266" s="3"/>
      <c r="IR266" s="3"/>
      <c r="IS266" s="3"/>
      <c r="IT266" s="3"/>
      <c r="IU266" s="3"/>
      <c r="IV266" s="3"/>
    </row>
    <row r="267" spans="1:256" s="1" customFormat="1" x14ac:dyDescent="0.35">
      <c r="B267" s="15" t="s">
        <v>15</v>
      </c>
      <c r="C267" s="16">
        <f t="shared" ref="C267:N267" si="902">C265-C266</f>
        <v>0</v>
      </c>
      <c r="D267" s="16">
        <f t="shared" si="902"/>
        <v>270000</v>
      </c>
      <c r="E267" s="16">
        <f t="shared" si="902"/>
        <v>270000</v>
      </c>
      <c r="F267" s="16">
        <f t="shared" si="902"/>
        <v>0</v>
      </c>
      <c r="G267" s="16">
        <f t="shared" si="902"/>
        <v>0</v>
      </c>
      <c r="H267" s="16">
        <f t="shared" si="902"/>
        <v>0</v>
      </c>
      <c r="I267" s="16">
        <f t="shared" si="902"/>
        <v>0</v>
      </c>
      <c r="J267" s="16">
        <f t="shared" si="902"/>
        <v>0</v>
      </c>
      <c r="K267" s="16">
        <f t="shared" si="902"/>
        <v>0</v>
      </c>
      <c r="L267" s="16">
        <f t="shared" si="902"/>
        <v>0</v>
      </c>
      <c r="M267" s="16">
        <f t="shared" si="902"/>
        <v>0</v>
      </c>
      <c r="N267" s="16">
        <f t="shared" si="902"/>
        <v>0</v>
      </c>
      <c r="O267" s="13">
        <f t="shared" si="887"/>
        <v>540000</v>
      </c>
      <c r="P267" s="14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  <c r="IA267" s="3"/>
      <c r="IB267" s="3"/>
      <c r="IC267" s="3"/>
      <c r="ID267" s="3"/>
      <c r="IE267" s="3"/>
      <c r="IF267" s="3"/>
      <c r="IG267" s="3"/>
      <c r="IH267" s="3"/>
      <c r="II267" s="3"/>
      <c r="IJ267" s="3"/>
      <c r="IK267" s="3"/>
      <c r="IL267" s="3"/>
      <c r="IM267" s="3"/>
      <c r="IN267" s="3"/>
      <c r="IO267" s="3"/>
      <c r="IP267" s="3"/>
      <c r="IQ267" s="3"/>
      <c r="IR267" s="3"/>
      <c r="IS267" s="3"/>
      <c r="IT267" s="3"/>
      <c r="IU267" s="3"/>
      <c r="IV267" s="3"/>
    </row>
    <row r="268" spans="1:256" s="1" customFormat="1" x14ac:dyDescent="0.35">
      <c r="B268" s="15" t="s">
        <v>16</v>
      </c>
      <c r="C268" s="171">
        <f>IF(C267&gt;1000000,128000+0.3*(C267-1000000),IF(C267&gt;760000,68000+0.25*(C267-760000),IF(C267&gt;520000,20000+0.2*(C267-520000),IF(C267&gt;270000,0.08*(C267-270000),IF(C267&lt;=270000,0)))))</f>
        <v>0</v>
      </c>
      <c r="D268" s="171">
        <f t="shared" ref="D268" si="903">IF(D267&gt;1000000,128000+0.3*(D267-1000000),IF(D267&gt;760000,68000+0.25*(D267-760000),IF(D267&gt;520000,20000+0.2*(D267-520000),IF(D267&gt;270000,0.08*(D267-270000),IF(D267&lt;=270000,0)))))</f>
        <v>0</v>
      </c>
      <c r="E268" s="171">
        <f t="shared" ref="E268" si="904">IF(E267&gt;1000000,128000+0.3*(E267-1000000),IF(E267&gt;760000,68000+0.25*(E267-760000),IF(E267&gt;520000,20000+0.2*(E267-520000),IF(E267&gt;270000,0.08*(E267-270000),IF(E267&lt;=270000,0)))))</f>
        <v>0</v>
      </c>
      <c r="F268" s="171">
        <f t="shared" ref="F268" si="905">IF(F267&gt;1000000,128000+0.3*(F267-1000000),IF(F267&gt;760000,68000+0.25*(F267-760000),IF(F267&gt;520000,20000+0.2*(F267-520000),IF(F267&gt;270000,0.08*(F267-270000),IF(F267&lt;=270000,0)))))</f>
        <v>0</v>
      </c>
      <c r="G268" s="171">
        <f t="shared" ref="G268" si="906">IF(G267&gt;1000000,128000+0.3*(G267-1000000),IF(G267&gt;760000,68000+0.25*(G267-760000),IF(G267&gt;520000,20000+0.2*(G267-520000),IF(G267&gt;270000,0.08*(G267-270000),IF(G267&lt;=270000,0)))))</f>
        <v>0</v>
      </c>
      <c r="H268" s="171">
        <f t="shared" ref="H268" si="907">IF(H267&gt;1000000,128000+0.3*(H267-1000000),IF(H267&gt;760000,68000+0.25*(H267-760000),IF(H267&gt;520000,20000+0.2*(H267-520000),IF(H267&gt;270000,0.08*(H267-270000),IF(H267&lt;=270000,0)))))</f>
        <v>0</v>
      </c>
      <c r="I268" s="171">
        <f t="shared" ref="I268" si="908">IF(I267&gt;1000000,128000+0.3*(I267-1000000),IF(I267&gt;760000,68000+0.25*(I267-760000),IF(I267&gt;520000,20000+0.2*(I267-520000),IF(I267&gt;270000,0.08*(I267-270000),IF(I267&lt;=270000,0)))))</f>
        <v>0</v>
      </c>
      <c r="J268" s="171">
        <f t="shared" ref="J268" si="909">IF(J267&gt;1000000,128000+0.3*(J267-1000000),IF(J267&gt;760000,68000+0.25*(J267-760000),IF(J267&gt;520000,20000+0.2*(J267-520000),IF(J267&gt;270000,0.08*(J267-270000),IF(J267&lt;=270000,0)))))</f>
        <v>0</v>
      </c>
      <c r="K268" s="171">
        <f t="shared" ref="K268" si="910">IF(K267&gt;1000000,128000+0.3*(K267-1000000),IF(K267&gt;760000,68000+0.25*(K267-760000),IF(K267&gt;520000,20000+0.2*(K267-520000),IF(K267&gt;270000,0.08*(K267-270000),IF(K267&lt;=270000,0)))))</f>
        <v>0</v>
      </c>
      <c r="L268" s="171">
        <f t="shared" ref="L268" si="911">IF(L267&gt;1000000,128000+0.3*(L267-1000000),IF(L267&gt;760000,68000+0.25*(L267-760000),IF(L267&gt;520000,20000+0.2*(L267-520000),IF(L267&gt;270000,0.08*(L267-270000),IF(L267&lt;=270000,0)))))</f>
        <v>0</v>
      </c>
      <c r="M268" s="171">
        <f t="shared" ref="M268" si="912">IF(M267&gt;1000000,128000+0.3*(M267-1000000),IF(M267&gt;760000,68000+0.25*(M267-760000),IF(M267&gt;520000,20000+0.2*(M267-520000),IF(M267&gt;270000,0.08*(M267-270000),IF(M267&lt;=270000,0)))))</f>
        <v>0</v>
      </c>
      <c r="N268" s="171">
        <f t="shared" ref="N268" si="913">IF(N267&gt;1000000,128000+0.3*(N267-1000000),IF(N267&gt;760000,68000+0.25*(N267-760000),IF(N267&gt;520000,20000+0.2*(N267-520000),IF(N267&gt;270000,0.08*(N267-270000),IF(N267&lt;=270000,0)))))</f>
        <v>0</v>
      </c>
      <c r="O268" s="13">
        <f t="shared" si="887"/>
        <v>0</v>
      </c>
      <c r="P268" s="14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  <c r="IA268" s="3"/>
      <c r="IB268" s="3"/>
      <c r="IC268" s="3"/>
      <c r="ID268" s="3"/>
      <c r="IE268" s="3"/>
      <c r="IF268" s="3"/>
      <c r="IG268" s="3"/>
      <c r="IH268" s="3"/>
      <c r="II268" s="3"/>
      <c r="IJ268" s="3"/>
      <c r="IK268" s="3"/>
      <c r="IL268" s="3"/>
      <c r="IM268" s="3"/>
      <c r="IN268" s="3"/>
      <c r="IO268" s="3"/>
      <c r="IP268" s="3"/>
      <c r="IQ268" s="3"/>
      <c r="IR268" s="3"/>
      <c r="IS268" s="3"/>
      <c r="IT268" s="3"/>
      <c r="IU268" s="3"/>
      <c r="IV268" s="3"/>
    </row>
    <row r="269" spans="1:256" s="17" customFormat="1" x14ac:dyDescent="0.35">
      <c r="A269" s="17">
        <v>67</v>
      </c>
      <c r="B269" s="11" t="s">
        <v>803</v>
      </c>
      <c r="C269" s="12">
        <v>0</v>
      </c>
      <c r="D269" s="12">
        <v>0</v>
      </c>
      <c r="E269" s="12">
        <v>300000</v>
      </c>
      <c r="F269" s="12">
        <v>0</v>
      </c>
      <c r="G269" s="12">
        <v>0</v>
      </c>
      <c r="H269" s="12">
        <v>0</v>
      </c>
      <c r="I269" s="12">
        <v>0</v>
      </c>
      <c r="J269" s="12">
        <v>0</v>
      </c>
      <c r="K269" s="12">
        <v>0</v>
      </c>
      <c r="L269" s="12">
        <v>0</v>
      </c>
      <c r="M269" s="12">
        <v>0</v>
      </c>
      <c r="N269" s="12">
        <v>0</v>
      </c>
      <c r="O269" s="13">
        <f t="shared" si="887"/>
        <v>300000</v>
      </c>
      <c r="P269" s="14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  <c r="IA269" s="3"/>
      <c r="IB269" s="3"/>
      <c r="IC269" s="3"/>
      <c r="ID269" s="3"/>
      <c r="IE269" s="3"/>
      <c r="IF269" s="3"/>
      <c r="IG269" s="3"/>
      <c r="IH269" s="3"/>
      <c r="II269" s="3"/>
      <c r="IJ269" s="3"/>
      <c r="IK269" s="3"/>
      <c r="IL269" s="3"/>
      <c r="IM269" s="3"/>
      <c r="IN269" s="3"/>
      <c r="IO269" s="3"/>
      <c r="IP269" s="3"/>
      <c r="IQ269" s="3"/>
      <c r="IR269" s="3"/>
      <c r="IS269" s="3"/>
      <c r="IT269" s="3"/>
      <c r="IU269" s="3"/>
      <c r="IV269" s="3"/>
    </row>
    <row r="270" spans="1:256" s="17" customFormat="1" x14ac:dyDescent="0.35">
      <c r="B270" s="15" t="s">
        <v>14</v>
      </c>
      <c r="C270" s="16">
        <f t="shared" ref="C270:N270" si="914">C269*0.1</f>
        <v>0</v>
      </c>
      <c r="D270" s="16">
        <f t="shared" si="914"/>
        <v>0</v>
      </c>
      <c r="E270" s="16">
        <f t="shared" si="914"/>
        <v>30000</v>
      </c>
      <c r="F270" s="16">
        <f t="shared" si="914"/>
        <v>0</v>
      </c>
      <c r="G270" s="16">
        <f t="shared" si="914"/>
        <v>0</v>
      </c>
      <c r="H270" s="16">
        <f t="shared" si="914"/>
        <v>0</v>
      </c>
      <c r="I270" s="16">
        <f t="shared" si="914"/>
        <v>0</v>
      </c>
      <c r="J270" s="16">
        <f t="shared" si="914"/>
        <v>0</v>
      </c>
      <c r="K270" s="16">
        <f t="shared" si="914"/>
        <v>0</v>
      </c>
      <c r="L270" s="16">
        <f t="shared" si="914"/>
        <v>0</v>
      </c>
      <c r="M270" s="16">
        <f t="shared" si="914"/>
        <v>0</v>
      </c>
      <c r="N270" s="16">
        <f t="shared" si="914"/>
        <v>0</v>
      </c>
      <c r="O270" s="13">
        <f t="shared" si="887"/>
        <v>30000</v>
      </c>
      <c r="P270" s="14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  <c r="IA270" s="3"/>
      <c r="IB270" s="3"/>
      <c r="IC270" s="3"/>
      <c r="ID270" s="3"/>
      <c r="IE270" s="3"/>
      <c r="IF270" s="3"/>
      <c r="IG270" s="3"/>
      <c r="IH270" s="3"/>
      <c r="II270" s="3"/>
      <c r="IJ270" s="3"/>
      <c r="IK270" s="3"/>
      <c r="IL270" s="3"/>
      <c r="IM270" s="3"/>
      <c r="IN270" s="3"/>
      <c r="IO270" s="3"/>
      <c r="IP270" s="3"/>
      <c r="IQ270" s="3"/>
      <c r="IR270" s="3"/>
      <c r="IS270" s="3"/>
      <c r="IT270" s="3"/>
      <c r="IU270" s="3"/>
      <c r="IV270" s="3"/>
    </row>
    <row r="271" spans="1:256" s="1" customFormat="1" x14ac:dyDescent="0.35">
      <c r="B271" s="15" t="s">
        <v>15</v>
      </c>
      <c r="C271" s="16">
        <f t="shared" ref="C271:N271" si="915">C269-C270</f>
        <v>0</v>
      </c>
      <c r="D271" s="16">
        <f t="shared" si="915"/>
        <v>0</v>
      </c>
      <c r="E271" s="16">
        <f t="shared" si="915"/>
        <v>270000</v>
      </c>
      <c r="F271" s="16">
        <f t="shared" si="915"/>
        <v>0</v>
      </c>
      <c r="G271" s="16">
        <f t="shared" si="915"/>
        <v>0</v>
      </c>
      <c r="H271" s="16">
        <f t="shared" si="915"/>
        <v>0</v>
      </c>
      <c r="I271" s="16">
        <f t="shared" si="915"/>
        <v>0</v>
      </c>
      <c r="J271" s="16">
        <f t="shared" si="915"/>
        <v>0</v>
      </c>
      <c r="K271" s="16">
        <f t="shared" si="915"/>
        <v>0</v>
      </c>
      <c r="L271" s="16">
        <f t="shared" si="915"/>
        <v>0</v>
      </c>
      <c r="M271" s="16">
        <f t="shared" si="915"/>
        <v>0</v>
      </c>
      <c r="N271" s="16">
        <f t="shared" si="915"/>
        <v>0</v>
      </c>
      <c r="O271" s="13">
        <f t="shared" si="887"/>
        <v>270000</v>
      </c>
      <c r="P271" s="14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3"/>
      <c r="HU271" s="3"/>
      <c r="HV271" s="3"/>
      <c r="HW271" s="3"/>
      <c r="HX271" s="3"/>
      <c r="HY271" s="3"/>
      <c r="HZ271" s="3"/>
      <c r="IA271" s="3"/>
      <c r="IB271" s="3"/>
      <c r="IC271" s="3"/>
      <c r="ID271" s="3"/>
      <c r="IE271" s="3"/>
      <c r="IF271" s="3"/>
      <c r="IG271" s="3"/>
      <c r="IH271" s="3"/>
      <c r="II271" s="3"/>
      <c r="IJ271" s="3"/>
      <c r="IK271" s="3"/>
      <c r="IL271" s="3"/>
      <c r="IM271" s="3"/>
      <c r="IN271" s="3"/>
      <c r="IO271" s="3"/>
      <c r="IP271" s="3"/>
      <c r="IQ271" s="3"/>
      <c r="IR271" s="3"/>
      <c r="IS271" s="3"/>
      <c r="IT271" s="3"/>
      <c r="IU271" s="3"/>
      <c r="IV271" s="3"/>
    </row>
    <row r="272" spans="1:256" s="1" customFormat="1" x14ac:dyDescent="0.35">
      <c r="B272" s="15" t="s">
        <v>16</v>
      </c>
      <c r="C272" s="18">
        <f t="shared" ref="C272:N272" si="916">IF(C271&gt;1000000,(C272-1000000)*0.3+128000,IF(C271&gt;760000,(C271-760000)*0.25+68000,IF(C271&gt;520000,(C271-520000)*0.2+20000,IF(C271&gt;270000,(C271-270000)*0.08+0,IF(C271&lt;270001,0,0)))))</f>
        <v>0</v>
      </c>
      <c r="D272" s="18">
        <f t="shared" si="916"/>
        <v>0</v>
      </c>
      <c r="E272" s="18">
        <f t="shared" si="916"/>
        <v>0</v>
      </c>
      <c r="F272" s="18">
        <f t="shared" si="916"/>
        <v>0</v>
      </c>
      <c r="G272" s="18">
        <f t="shared" si="916"/>
        <v>0</v>
      </c>
      <c r="H272" s="18">
        <f t="shared" si="916"/>
        <v>0</v>
      </c>
      <c r="I272" s="18">
        <f t="shared" si="916"/>
        <v>0</v>
      </c>
      <c r="J272" s="18">
        <f t="shared" si="916"/>
        <v>0</v>
      </c>
      <c r="K272" s="18">
        <f t="shared" si="916"/>
        <v>0</v>
      </c>
      <c r="L272" s="18">
        <f t="shared" si="916"/>
        <v>0</v>
      </c>
      <c r="M272" s="18">
        <f t="shared" si="916"/>
        <v>0</v>
      </c>
      <c r="N272" s="18">
        <f t="shared" si="916"/>
        <v>0</v>
      </c>
      <c r="O272" s="13">
        <f t="shared" si="887"/>
        <v>0</v>
      </c>
      <c r="P272" s="14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3"/>
      <c r="HT272" s="3"/>
      <c r="HU272" s="3"/>
      <c r="HV272" s="3"/>
      <c r="HW272" s="3"/>
      <c r="HX272" s="3"/>
      <c r="HY272" s="3"/>
      <c r="HZ272" s="3"/>
      <c r="IA272" s="3"/>
      <c r="IB272" s="3"/>
      <c r="IC272" s="3"/>
      <c r="ID272" s="3"/>
      <c r="IE272" s="3"/>
      <c r="IF272" s="3"/>
      <c r="IG272" s="3"/>
      <c r="IH272" s="3"/>
      <c r="II272" s="3"/>
      <c r="IJ272" s="3"/>
      <c r="IK272" s="3"/>
      <c r="IL272" s="3"/>
      <c r="IM272" s="3"/>
      <c r="IN272" s="3"/>
      <c r="IO272" s="3"/>
      <c r="IP272" s="3"/>
      <c r="IQ272" s="3"/>
      <c r="IR272" s="3"/>
      <c r="IS272" s="3"/>
      <c r="IT272" s="3"/>
      <c r="IU272" s="3"/>
      <c r="IV272" s="3"/>
    </row>
    <row r="273" spans="1:256" s="17" customFormat="1" x14ac:dyDescent="0.35">
      <c r="A273" s="17">
        <v>68</v>
      </c>
      <c r="B273" s="11" t="s">
        <v>804</v>
      </c>
      <c r="C273" s="12">
        <v>0</v>
      </c>
      <c r="D273" s="12">
        <v>0</v>
      </c>
      <c r="E273" s="12">
        <v>300000</v>
      </c>
      <c r="F273" s="12">
        <v>0</v>
      </c>
      <c r="G273" s="12">
        <v>0</v>
      </c>
      <c r="H273" s="12">
        <v>0</v>
      </c>
      <c r="I273" s="12">
        <v>0</v>
      </c>
      <c r="J273" s="12">
        <v>0</v>
      </c>
      <c r="K273" s="12">
        <v>0</v>
      </c>
      <c r="L273" s="12">
        <v>0</v>
      </c>
      <c r="M273" s="12">
        <v>0</v>
      </c>
      <c r="N273" s="12">
        <v>0</v>
      </c>
      <c r="O273" s="13">
        <f t="shared" si="887"/>
        <v>300000</v>
      </c>
      <c r="P273" s="14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3"/>
      <c r="HQ273" s="3"/>
      <c r="HR273" s="3"/>
      <c r="HS273" s="3"/>
      <c r="HT273" s="3"/>
      <c r="HU273" s="3"/>
      <c r="HV273" s="3"/>
      <c r="HW273" s="3"/>
      <c r="HX273" s="3"/>
      <c r="HY273" s="3"/>
      <c r="HZ273" s="3"/>
      <c r="IA273" s="3"/>
      <c r="IB273" s="3"/>
      <c r="IC273" s="3"/>
      <c r="ID273" s="3"/>
      <c r="IE273" s="3"/>
      <c r="IF273" s="3"/>
      <c r="IG273" s="3"/>
      <c r="IH273" s="3"/>
      <c r="II273" s="3"/>
      <c r="IJ273" s="3"/>
      <c r="IK273" s="3"/>
      <c r="IL273" s="3"/>
      <c r="IM273" s="3"/>
      <c r="IN273" s="3"/>
      <c r="IO273" s="3"/>
      <c r="IP273" s="3"/>
      <c r="IQ273" s="3"/>
      <c r="IR273" s="3"/>
      <c r="IS273" s="3"/>
      <c r="IT273" s="3"/>
      <c r="IU273" s="3"/>
      <c r="IV273" s="3"/>
    </row>
    <row r="274" spans="1:256" s="17" customFormat="1" x14ac:dyDescent="0.35">
      <c r="B274" s="15" t="s">
        <v>14</v>
      </c>
      <c r="C274" s="16">
        <f t="shared" ref="C274:N274" si="917">C273*0.1</f>
        <v>0</v>
      </c>
      <c r="D274" s="16">
        <f t="shared" si="917"/>
        <v>0</v>
      </c>
      <c r="E274" s="16">
        <f t="shared" si="917"/>
        <v>30000</v>
      </c>
      <c r="F274" s="16">
        <f t="shared" si="917"/>
        <v>0</v>
      </c>
      <c r="G274" s="16">
        <f t="shared" si="917"/>
        <v>0</v>
      </c>
      <c r="H274" s="16">
        <f t="shared" si="917"/>
        <v>0</v>
      </c>
      <c r="I274" s="16">
        <f t="shared" si="917"/>
        <v>0</v>
      </c>
      <c r="J274" s="16">
        <f t="shared" si="917"/>
        <v>0</v>
      </c>
      <c r="K274" s="16">
        <f t="shared" si="917"/>
        <v>0</v>
      </c>
      <c r="L274" s="16">
        <f t="shared" si="917"/>
        <v>0</v>
      </c>
      <c r="M274" s="16">
        <f t="shared" si="917"/>
        <v>0</v>
      </c>
      <c r="N274" s="16">
        <f t="shared" si="917"/>
        <v>0</v>
      </c>
      <c r="O274" s="13">
        <f t="shared" si="887"/>
        <v>30000</v>
      </c>
      <c r="P274" s="14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  <c r="HU274" s="3"/>
      <c r="HV274" s="3"/>
      <c r="HW274" s="3"/>
      <c r="HX274" s="3"/>
      <c r="HY274" s="3"/>
      <c r="HZ274" s="3"/>
      <c r="IA274" s="3"/>
      <c r="IB274" s="3"/>
      <c r="IC274" s="3"/>
      <c r="ID274" s="3"/>
      <c r="IE274" s="3"/>
      <c r="IF274" s="3"/>
      <c r="IG274" s="3"/>
      <c r="IH274" s="3"/>
      <c r="II274" s="3"/>
      <c r="IJ274" s="3"/>
      <c r="IK274" s="3"/>
      <c r="IL274" s="3"/>
      <c r="IM274" s="3"/>
      <c r="IN274" s="3"/>
      <c r="IO274" s="3"/>
      <c r="IP274" s="3"/>
      <c r="IQ274" s="3"/>
      <c r="IR274" s="3"/>
      <c r="IS274" s="3"/>
      <c r="IT274" s="3"/>
      <c r="IU274" s="3"/>
      <c r="IV274" s="3"/>
    </row>
    <row r="275" spans="1:256" s="1" customFormat="1" x14ac:dyDescent="0.35">
      <c r="B275" s="15" t="s">
        <v>15</v>
      </c>
      <c r="C275" s="16">
        <f t="shared" ref="C275:N275" si="918">C273-C274</f>
        <v>0</v>
      </c>
      <c r="D275" s="16">
        <f t="shared" si="918"/>
        <v>0</v>
      </c>
      <c r="E275" s="16">
        <f t="shared" si="918"/>
        <v>270000</v>
      </c>
      <c r="F275" s="16">
        <f t="shared" si="918"/>
        <v>0</v>
      </c>
      <c r="G275" s="16">
        <f t="shared" si="918"/>
        <v>0</v>
      </c>
      <c r="H275" s="16">
        <f t="shared" si="918"/>
        <v>0</v>
      </c>
      <c r="I275" s="16">
        <f t="shared" si="918"/>
        <v>0</v>
      </c>
      <c r="J275" s="16">
        <f t="shared" si="918"/>
        <v>0</v>
      </c>
      <c r="K275" s="16">
        <f t="shared" si="918"/>
        <v>0</v>
      </c>
      <c r="L275" s="16">
        <f t="shared" si="918"/>
        <v>0</v>
      </c>
      <c r="M275" s="16">
        <f t="shared" si="918"/>
        <v>0</v>
      </c>
      <c r="N275" s="16">
        <f t="shared" si="918"/>
        <v>0</v>
      </c>
      <c r="O275" s="13">
        <f t="shared" si="887"/>
        <v>270000</v>
      </c>
      <c r="P275" s="14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  <c r="HY275" s="3"/>
      <c r="HZ275" s="3"/>
      <c r="IA275" s="3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3"/>
      <c r="IN275" s="3"/>
      <c r="IO275" s="3"/>
      <c r="IP275" s="3"/>
      <c r="IQ275" s="3"/>
      <c r="IR275" s="3"/>
      <c r="IS275" s="3"/>
      <c r="IT275" s="3"/>
      <c r="IU275" s="3"/>
      <c r="IV275" s="3"/>
    </row>
    <row r="276" spans="1:256" s="1" customFormat="1" x14ac:dyDescent="0.35">
      <c r="B276" s="15" t="s">
        <v>16</v>
      </c>
      <c r="C276" s="18">
        <f t="shared" ref="C276:N276" si="919">IF(C275&gt;1000000,(C276-1000000)*0.3+128000,IF(C275&gt;760000,(C275-760000)*0.25+68000,IF(C275&gt;520000,(C275-520000)*0.2+20000,IF(C275&gt;270000,(C275-270000)*0.08+0,IF(C275&lt;270001,0,0)))))</f>
        <v>0</v>
      </c>
      <c r="D276" s="18">
        <f t="shared" si="919"/>
        <v>0</v>
      </c>
      <c r="E276" s="18">
        <f t="shared" si="919"/>
        <v>0</v>
      </c>
      <c r="F276" s="18">
        <f t="shared" si="919"/>
        <v>0</v>
      </c>
      <c r="G276" s="18">
        <f t="shared" si="919"/>
        <v>0</v>
      </c>
      <c r="H276" s="18">
        <f t="shared" si="919"/>
        <v>0</v>
      </c>
      <c r="I276" s="18">
        <f t="shared" si="919"/>
        <v>0</v>
      </c>
      <c r="J276" s="18">
        <f t="shared" si="919"/>
        <v>0</v>
      </c>
      <c r="K276" s="18">
        <f t="shared" si="919"/>
        <v>0</v>
      </c>
      <c r="L276" s="18">
        <f t="shared" si="919"/>
        <v>0</v>
      </c>
      <c r="M276" s="18">
        <f t="shared" si="919"/>
        <v>0</v>
      </c>
      <c r="N276" s="18">
        <f t="shared" si="919"/>
        <v>0</v>
      </c>
      <c r="O276" s="13">
        <f t="shared" si="887"/>
        <v>0</v>
      </c>
      <c r="P276" s="14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  <c r="HU276" s="3"/>
      <c r="HV276" s="3"/>
      <c r="HW276" s="3"/>
      <c r="HX276" s="3"/>
      <c r="HY276" s="3"/>
      <c r="HZ276" s="3"/>
      <c r="IA276" s="3"/>
      <c r="IB276" s="3"/>
      <c r="IC276" s="3"/>
      <c r="ID276" s="3"/>
      <c r="IE276" s="3"/>
      <c r="IF276" s="3"/>
      <c r="IG276" s="3"/>
      <c r="IH276" s="3"/>
      <c r="II276" s="3"/>
      <c r="IJ276" s="3"/>
      <c r="IK276" s="3"/>
      <c r="IL276" s="3"/>
      <c r="IM276" s="3"/>
      <c r="IN276" s="3"/>
      <c r="IO276" s="3"/>
      <c r="IP276" s="3"/>
      <c r="IQ276" s="3"/>
      <c r="IR276" s="3"/>
      <c r="IS276" s="3"/>
      <c r="IT276" s="3"/>
      <c r="IU276" s="3"/>
      <c r="IV276" s="3"/>
    </row>
    <row r="277" spans="1:256" s="17" customFormat="1" x14ac:dyDescent="0.35">
      <c r="A277" s="17">
        <v>69</v>
      </c>
      <c r="B277" s="11" t="s">
        <v>805</v>
      </c>
      <c r="C277" s="12">
        <v>0</v>
      </c>
      <c r="D277" s="12">
        <v>0</v>
      </c>
      <c r="E277" s="12">
        <v>300000</v>
      </c>
      <c r="F277" s="12">
        <v>0</v>
      </c>
      <c r="G277" s="12">
        <v>0</v>
      </c>
      <c r="H277" s="12">
        <v>0</v>
      </c>
      <c r="I277" s="12">
        <v>0</v>
      </c>
      <c r="J277" s="12">
        <v>0</v>
      </c>
      <c r="K277" s="12">
        <v>0</v>
      </c>
      <c r="L277" s="12">
        <v>0</v>
      </c>
      <c r="M277" s="12">
        <v>0</v>
      </c>
      <c r="N277" s="12">
        <v>0</v>
      </c>
      <c r="O277" s="13">
        <f t="shared" si="887"/>
        <v>300000</v>
      </c>
      <c r="P277" s="14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3"/>
      <c r="HT277" s="3"/>
      <c r="HU277" s="3"/>
      <c r="HV277" s="3"/>
      <c r="HW277" s="3"/>
      <c r="HX277" s="3"/>
      <c r="HY277" s="3"/>
      <c r="HZ277" s="3"/>
      <c r="IA277" s="3"/>
      <c r="IB277" s="3"/>
      <c r="IC277" s="3"/>
      <c r="ID277" s="3"/>
      <c r="IE277" s="3"/>
      <c r="IF277" s="3"/>
      <c r="IG277" s="3"/>
      <c r="IH277" s="3"/>
      <c r="II277" s="3"/>
      <c r="IJ277" s="3"/>
      <c r="IK277" s="3"/>
      <c r="IL277" s="3"/>
      <c r="IM277" s="3"/>
      <c r="IN277" s="3"/>
      <c r="IO277" s="3"/>
      <c r="IP277" s="3"/>
      <c r="IQ277" s="3"/>
      <c r="IR277" s="3"/>
      <c r="IS277" s="3"/>
      <c r="IT277" s="3"/>
      <c r="IU277" s="3"/>
      <c r="IV277" s="3"/>
    </row>
    <row r="278" spans="1:256" s="17" customFormat="1" x14ac:dyDescent="0.35">
      <c r="B278" s="15" t="s">
        <v>14</v>
      </c>
      <c r="C278" s="16">
        <f t="shared" ref="C278:N278" si="920">C277*0.1</f>
        <v>0</v>
      </c>
      <c r="D278" s="16">
        <f t="shared" si="920"/>
        <v>0</v>
      </c>
      <c r="E278" s="16">
        <f t="shared" si="920"/>
        <v>30000</v>
      </c>
      <c r="F278" s="16">
        <f t="shared" si="920"/>
        <v>0</v>
      </c>
      <c r="G278" s="16">
        <f t="shared" si="920"/>
        <v>0</v>
      </c>
      <c r="H278" s="16">
        <f t="shared" si="920"/>
        <v>0</v>
      </c>
      <c r="I278" s="16">
        <f t="shared" si="920"/>
        <v>0</v>
      </c>
      <c r="J278" s="16">
        <f t="shared" si="920"/>
        <v>0</v>
      </c>
      <c r="K278" s="16">
        <f t="shared" si="920"/>
        <v>0</v>
      </c>
      <c r="L278" s="16">
        <f t="shared" si="920"/>
        <v>0</v>
      </c>
      <c r="M278" s="16">
        <f t="shared" si="920"/>
        <v>0</v>
      </c>
      <c r="N278" s="16">
        <f t="shared" si="920"/>
        <v>0</v>
      </c>
      <c r="O278" s="13">
        <f t="shared" si="887"/>
        <v>30000</v>
      </c>
      <c r="P278" s="14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3"/>
      <c r="HS278" s="3"/>
      <c r="HT278" s="3"/>
      <c r="HU278" s="3"/>
      <c r="HV278" s="3"/>
      <c r="HW278" s="3"/>
      <c r="HX278" s="3"/>
      <c r="HY278" s="3"/>
      <c r="HZ278" s="3"/>
      <c r="IA278" s="3"/>
      <c r="IB278" s="3"/>
      <c r="IC278" s="3"/>
      <c r="ID278" s="3"/>
      <c r="IE278" s="3"/>
      <c r="IF278" s="3"/>
      <c r="IG278" s="3"/>
      <c r="IH278" s="3"/>
      <c r="II278" s="3"/>
      <c r="IJ278" s="3"/>
      <c r="IK278" s="3"/>
      <c r="IL278" s="3"/>
      <c r="IM278" s="3"/>
      <c r="IN278" s="3"/>
      <c r="IO278" s="3"/>
      <c r="IP278" s="3"/>
      <c r="IQ278" s="3"/>
      <c r="IR278" s="3"/>
      <c r="IS278" s="3"/>
      <c r="IT278" s="3"/>
      <c r="IU278" s="3"/>
      <c r="IV278" s="3"/>
    </row>
    <row r="279" spans="1:256" s="1" customFormat="1" x14ac:dyDescent="0.35">
      <c r="B279" s="15" t="s">
        <v>15</v>
      </c>
      <c r="C279" s="16">
        <f t="shared" ref="C279:N279" si="921">C277-C278</f>
        <v>0</v>
      </c>
      <c r="D279" s="16">
        <f t="shared" si="921"/>
        <v>0</v>
      </c>
      <c r="E279" s="16">
        <f t="shared" si="921"/>
        <v>270000</v>
      </c>
      <c r="F279" s="16">
        <f t="shared" si="921"/>
        <v>0</v>
      </c>
      <c r="G279" s="16">
        <f t="shared" si="921"/>
        <v>0</v>
      </c>
      <c r="H279" s="16">
        <f t="shared" si="921"/>
        <v>0</v>
      </c>
      <c r="I279" s="16">
        <f t="shared" si="921"/>
        <v>0</v>
      </c>
      <c r="J279" s="16">
        <f t="shared" si="921"/>
        <v>0</v>
      </c>
      <c r="K279" s="16">
        <f t="shared" si="921"/>
        <v>0</v>
      </c>
      <c r="L279" s="16">
        <f t="shared" si="921"/>
        <v>0</v>
      </c>
      <c r="M279" s="16">
        <f t="shared" si="921"/>
        <v>0</v>
      </c>
      <c r="N279" s="16">
        <f t="shared" si="921"/>
        <v>0</v>
      </c>
      <c r="O279" s="13">
        <f t="shared" si="887"/>
        <v>270000</v>
      </c>
      <c r="P279" s="14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3"/>
      <c r="HQ279" s="3"/>
      <c r="HR279" s="3"/>
      <c r="HS279" s="3"/>
      <c r="HT279" s="3"/>
      <c r="HU279" s="3"/>
      <c r="HV279" s="3"/>
      <c r="HW279" s="3"/>
      <c r="HX279" s="3"/>
      <c r="HY279" s="3"/>
      <c r="HZ279" s="3"/>
      <c r="IA279" s="3"/>
      <c r="IB279" s="3"/>
      <c r="IC279" s="3"/>
      <c r="ID279" s="3"/>
      <c r="IE279" s="3"/>
      <c r="IF279" s="3"/>
      <c r="IG279" s="3"/>
      <c r="IH279" s="3"/>
      <c r="II279" s="3"/>
      <c r="IJ279" s="3"/>
      <c r="IK279" s="3"/>
      <c r="IL279" s="3"/>
      <c r="IM279" s="3"/>
      <c r="IN279" s="3"/>
      <c r="IO279" s="3"/>
      <c r="IP279" s="3"/>
      <c r="IQ279" s="3"/>
      <c r="IR279" s="3"/>
      <c r="IS279" s="3"/>
      <c r="IT279" s="3"/>
      <c r="IU279" s="3"/>
      <c r="IV279" s="3"/>
    </row>
    <row r="280" spans="1:256" s="1" customFormat="1" x14ac:dyDescent="0.35">
      <c r="B280" s="15" t="s">
        <v>16</v>
      </c>
      <c r="C280" s="18">
        <f t="shared" ref="C280:N280" si="922">IF(C279&gt;1000000,(C280-1000000)*0.3+128000,IF(C279&gt;760000,(C279-760000)*0.25+68000,IF(C279&gt;520000,(C279-520000)*0.2+20000,IF(C279&gt;270000,(C279-270000)*0.08+0,IF(C279&lt;270001,0,0)))))</f>
        <v>0</v>
      </c>
      <c r="D280" s="18">
        <f t="shared" si="922"/>
        <v>0</v>
      </c>
      <c r="E280" s="18">
        <f t="shared" si="922"/>
        <v>0</v>
      </c>
      <c r="F280" s="18">
        <f t="shared" si="922"/>
        <v>0</v>
      </c>
      <c r="G280" s="18">
        <f t="shared" si="922"/>
        <v>0</v>
      </c>
      <c r="H280" s="18">
        <f t="shared" si="922"/>
        <v>0</v>
      </c>
      <c r="I280" s="18">
        <f t="shared" si="922"/>
        <v>0</v>
      </c>
      <c r="J280" s="18">
        <f t="shared" si="922"/>
        <v>0</v>
      </c>
      <c r="K280" s="18">
        <f t="shared" si="922"/>
        <v>0</v>
      </c>
      <c r="L280" s="18">
        <f t="shared" si="922"/>
        <v>0</v>
      </c>
      <c r="M280" s="18">
        <f t="shared" si="922"/>
        <v>0</v>
      </c>
      <c r="N280" s="18">
        <f t="shared" si="922"/>
        <v>0</v>
      </c>
      <c r="O280" s="13">
        <f t="shared" si="887"/>
        <v>0</v>
      </c>
      <c r="P280" s="14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/>
      <c r="HP280" s="3"/>
      <c r="HQ280" s="3"/>
      <c r="HR280" s="3"/>
      <c r="HS280" s="3"/>
      <c r="HT280" s="3"/>
      <c r="HU280" s="3"/>
      <c r="HV280" s="3"/>
      <c r="HW280" s="3"/>
      <c r="HX280" s="3"/>
      <c r="HY280" s="3"/>
      <c r="HZ280" s="3"/>
      <c r="IA280" s="3"/>
      <c r="IB280" s="3"/>
      <c r="IC280" s="3"/>
      <c r="ID280" s="3"/>
      <c r="IE280" s="3"/>
      <c r="IF280" s="3"/>
      <c r="IG280" s="3"/>
      <c r="IH280" s="3"/>
      <c r="II280" s="3"/>
      <c r="IJ280" s="3"/>
      <c r="IK280" s="3"/>
      <c r="IL280" s="3"/>
      <c r="IM280" s="3"/>
      <c r="IN280" s="3"/>
      <c r="IO280" s="3"/>
      <c r="IP280" s="3"/>
      <c r="IQ280" s="3"/>
      <c r="IR280" s="3"/>
      <c r="IS280" s="3"/>
      <c r="IT280" s="3"/>
      <c r="IU280" s="3"/>
      <c r="IV280" s="3"/>
    </row>
    <row r="281" spans="1:256" s="17" customFormat="1" x14ac:dyDescent="0.35">
      <c r="A281" s="17">
        <v>69</v>
      </c>
      <c r="B281" s="11" t="s">
        <v>806</v>
      </c>
      <c r="C281" s="12">
        <v>0</v>
      </c>
      <c r="D281" s="12">
        <v>0</v>
      </c>
      <c r="E281" s="12">
        <v>300000</v>
      </c>
      <c r="F281" s="12">
        <v>0</v>
      </c>
      <c r="G281" s="12">
        <v>0</v>
      </c>
      <c r="H281" s="12">
        <v>0</v>
      </c>
      <c r="I281" s="12">
        <v>0</v>
      </c>
      <c r="J281" s="12">
        <v>0</v>
      </c>
      <c r="K281" s="12">
        <v>0</v>
      </c>
      <c r="L281" s="12">
        <v>0</v>
      </c>
      <c r="M281" s="12">
        <v>0</v>
      </c>
      <c r="N281" s="12">
        <v>0</v>
      </c>
      <c r="O281" s="13">
        <f t="shared" si="887"/>
        <v>300000</v>
      </c>
      <c r="P281" s="14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  <c r="HU281" s="3"/>
      <c r="HV281" s="3"/>
      <c r="HW281" s="3"/>
      <c r="HX281" s="3"/>
      <c r="HY281" s="3"/>
      <c r="HZ281" s="3"/>
      <c r="IA281" s="3"/>
      <c r="IB281" s="3"/>
      <c r="IC281" s="3"/>
      <c r="ID281" s="3"/>
      <c r="IE281" s="3"/>
      <c r="IF281" s="3"/>
      <c r="IG281" s="3"/>
      <c r="IH281" s="3"/>
      <c r="II281" s="3"/>
      <c r="IJ281" s="3"/>
      <c r="IK281" s="3"/>
      <c r="IL281" s="3"/>
      <c r="IM281" s="3"/>
      <c r="IN281" s="3"/>
      <c r="IO281" s="3"/>
      <c r="IP281" s="3"/>
      <c r="IQ281" s="3"/>
      <c r="IR281" s="3"/>
      <c r="IS281" s="3"/>
      <c r="IT281" s="3"/>
      <c r="IU281" s="3"/>
      <c r="IV281" s="3"/>
    </row>
    <row r="282" spans="1:256" s="17" customFormat="1" x14ac:dyDescent="0.35">
      <c r="B282" s="15" t="s">
        <v>14</v>
      </c>
      <c r="C282" s="16">
        <f t="shared" ref="C282:N282" si="923">C281*0.1</f>
        <v>0</v>
      </c>
      <c r="D282" s="16">
        <f t="shared" si="923"/>
        <v>0</v>
      </c>
      <c r="E282" s="16">
        <f t="shared" si="923"/>
        <v>30000</v>
      </c>
      <c r="F282" s="16">
        <f t="shared" si="923"/>
        <v>0</v>
      </c>
      <c r="G282" s="16">
        <f t="shared" si="923"/>
        <v>0</v>
      </c>
      <c r="H282" s="16">
        <f t="shared" si="923"/>
        <v>0</v>
      </c>
      <c r="I282" s="16">
        <f t="shared" si="923"/>
        <v>0</v>
      </c>
      <c r="J282" s="16">
        <f t="shared" si="923"/>
        <v>0</v>
      </c>
      <c r="K282" s="16">
        <f t="shared" si="923"/>
        <v>0</v>
      </c>
      <c r="L282" s="16">
        <f t="shared" si="923"/>
        <v>0</v>
      </c>
      <c r="M282" s="16">
        <f t="shared" si="923"/>
        <v>0</v>
      </c>
      <c r="N282" s="16">
        <f t="shared" si="923"/>
        <v>0</v>
      </c>
      <c r="O282" s="13">
        <f t="shared" si="887"/>
        <v>30000</v>
      </c>
      <c r="P282" s="14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3"/>
      <c r="HT282" s="3"/>
      <c r="HU282" s="3"/>
      <c r="HV282" s="3"/>
      <c r="HW282" s="3"/>
      <c r="HX282" s="3"/>
      <c r="HY282" s="3"/>
      <c r="HZ282" s="3"/>
      <c r="IA282" s="3"/>
      <c r="IB282" s="3"/>
      <c r="IC282" s="3"/>
      <c r="ID282" s="3"/>
      <c r="IE282" s="3"/>
      <c r="IF282" s="3"/>
      <c r="IG282" s="3"/>
      <c r="IH282" s="3"/>
      <c r="II282" s="3"/>
      <c r="IJ282" s="3"/>
      <c r="IK282" s="3"/>
      <c r="IL282" s="3"/>
      <c r="IM282" s="3"/>
      <c r="IN282" s="3"/>
      <c r="IO282" s="3"/>
      <c r="IP282" s="3"/>
      <c r="IQ282" s="3"/>
      <c r="IR282" s="3"/>
      <c r="IS282" s="3"/>
      <c r="IT282" s="3"/>
      <c r="IU282" s="3"/>
      <c r="IV282" s="3"/>
    </row>
    <row r="283" spans="1:256" s="1" customFormat="1" x14ac:dyDescent="0.35">
      <c r="B283" s="15" t="s">
        <v>15</v>
      </c>
      <c r="C283" s="16">
        <f t="shared" ref="C283:N283" si="924">C281-C282</f>
        <v>0</v>
      </c>
      <c r="D283" s="16">
        <f t="shared" si="924"/>
        <v>0</v>
      </c>
      <c r="E283" s="16">
        <f t="shared" si="924"/>
        <v>270000</v>
      </c>
      <c r="F283" s="16">
        <f t="shared" si="924"/>
        <v>0</v>
      </c>
      <c r="G283" s="16">
        <f t="shared" si="924"/>
        <v>0</v>
      </c>
      <c r="H283" s="16">
        <f t="shared" si="924"/>
        <v>0</v>
      </c>
      <c r="I283" s="16">
        <f t="shared" si="924"/>
        <v>0</v>
      </c>
      <c r="J283" s="16">
        <f t="shared" si="924"/>
        <v>0</v>
      </c>
      <c r="K283" s="16">
        <f t="shared" si="924"/>
        <v>0</v>
      </c>
      <c r="L283" s="16">
        <f t="shared" si="924"/>
        <v>0</v>
      </c>
      <c r="M283" s="16">
        <f t="shared" si="924"/>
        <v>0</v>
      </c>
      <c r="N283" s="16">
        <f t="shared" si="924"/>
        <v>0</v>
      </c>
      <c r="O283" s="13">
        <f t="shared" si="887"/>
        <v>270000</v>
      </c>
      <c r="P283" s="14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3"/>
      <c r="HQ283" s="3"/>
      <c r="HR283" s="3"/>
      <c r="HS283" s="3"/>
      <c r="HT283" s="3"/>
      <c r="HU283" s="3"/>
      <c r="HV283" s="3"/>
      <c r="HW283" s="3"/>
      <c r="HX283" s="3"/>
      <c r="HY283" s="3"/>
      <c r="HZ283" s="3"/>
      <c r="IA283" s="3"/>
      <c r="IB283" s="3"/>
      <c r="IC283" s="3"/>
      <c r="ID283" s="3"/>
      <c r="IE283" s="3"/>
      <c r="IF283" s="3"/>
      <c r="IG283" s="3"/>
      <c r="IH283" s="3"/>
      <c r="II283" s="3"/>
      <c r="IJ283" s="3"/>
      <c r="IK283" s="3"/>
      <c r="IL283" s="3"/>
      <c r="IM283" s="3"/>
      <c r="IN283" s="3"/>
      <c r="IO283" s="3"/>
      <c r="IP283" s="3"/>
      <c r="IQ283" s="3"/>
      <c r="IR283" s="3"/>
      <c r="IS283" s="3"/>
      <c r="IT283" s="3"/>
      <c r="IU283" s="3"/>
      <c r="IV283" s="3"/>
    </row>
    <row r="284" spans="1:256" s="1" customFormat="1" x14ac:dyDescent="0.35">
      <c r="B284" s="15" t="s">
        <v>16</v>
      </c>
      <c r="C284" s="18">
        <f t="shared" ref="C284:N284" si="925">IF(C283&gt;1000000,(C284-1000000)*0.3+128000,IF(C283&gt;760000,(C283-760000)*0.25+68000,IF(C283&gt;520000,(C283-520000)*0.2+20000,IF(C283&gt;270000,(C283-270000)*0.08+0,IF(C283&lt;270001,0,0)))))</f>
        <v>0</v>
      </c>
      <c r="D284" s="18">
        <f t="shared" si="925"/>
        <v>0</v>
      </c>
      <c r="E284" s="18">
        <f t="shared" si="925"/>
        <v>0</v>
      </c>
      <c r="F284" s="18">
        <f t="shared" si="925"/>
        <v>0</v>
      </c>
      <c r="G284" s="18">
        <f t="shared" si="925"/>
        <v>0</v>
      </c>
      <c r="H284" s="18">
        <f t="shared" si="925"/>
        <v>0</v>
      </c>
      <c r="I284" s="18">
        <f t="shared" si="925"/>
        <v>0</v>
      </c>
      <c r="J284" s="18">
        <f t="shared" si="925"/>
        <v>0</v>
      </c>
      <c r="K284" s="18">
        <f t="shared" si="925"/>
        <v>0</v>
      </c>
      <c r="L284" s="18">
        <f t="shared" si="925"/>
        <v>0</v>
      </c>
      <c r="M284" s="18">
        <f t="shared" si="925"/>
        <v>0</v>
      </c>
      <c r="N284" s="18">
        <f t="shared" si="925"/>
        <v>0</v>
      </c>
      <c r="O284" s="13">
        <f t="shared" si="887"/>
        <v>0</v>
      </c>
      <c r="P284" s="14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/>
      <c r="HP284" s="3"/>
      <c r="HQ284" s="3"/>
      <c r="HR284" s="3"/>
      <c r="HS284" s="3"/>
      <c r="HT284" s="3"/>
      <c r="HU284" s="3"/>
      <c r="HV284" s="3"/>
      <c r="HW284" s="3"/>
      <c r="HX284" s="3"/>
      <c r="HY284" s="3"/>
      <c r="HZ284" s="3"/>
      <c r="IA284" s="3"/>
      <c r="IB284" s="3"/>
      <c r="IC284" s="3"/>
      <c r="ID284" s="3"/>
      <c r="IE284" s="3"/>
      <c r="IF284" s="3"/>
      <c r="IG284" s="3"/>
      <c r="IH284" s="3"/>
      <c r="II284" s="3"/>
      <c r="IJ284" s="3"/>
      <c r="IK284" s="3"/>
      <c r="IL284" s="3"/>
      <c r="IM284" s="3"/>
      <c r="IN284" s="3"/>
      <c r="IO284" s="3"/>
      <c r="IP284" s="3"/>
      <c r="IQ284" s="3"/>
      <c r="IR284" s="3"/>
      <c r="IS284" s="3"/>
      <c r="IT284" s="3"/>
      <c r="IU284" s="3"/>
      <c r="IV284" s="3"/>
    </row>
    <row r="285" spans="1:256" s="17" customFormat="1" x14ac:dyDescent="0.35">
      <c r="A285" s="17">
        <v>70</v>
      </c>
      <c r="B285" s="11" t="s">
        <v>807</v>
      </c>
      <c r="C285" s="12">
        <v>0</v>
      </c>
      <c r="D285" s="12">
        <v>0</v>
      </c>
      <c r="E285" s="12">
        <v>300000</v>
      </c>
      <c r="F285" s="12">
        <v>0</v>
      </c>
      <c r="G285" s="12">
        <v>0</v>
      </c>
      <c r="H285" s="12">
        <v>0</v>
      </c>
      <c r="I285" s="12">
        <v>0</v>
      </c>
      <c r="J285" s="12">
        <v>0</v>
      </c>
      <c r="K285" s="12">
        <v>0</v>
      </c>
      <c r="L285" s="12">
        <v>0</v>
      </c>
      <c r="M285" s="12">
        <v>0</v>
      </c>
      <c r="N285" s="12">
        <v>0</v>
      </c>
      <c r="O285" s="13">
        <f t="shared" si="887"/>
        <v>300000</v>
      </c>
      <c r="P285" s="14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HM285" s="3"/>
      <c r="HN285" s="3"/>
      <c r="HO285" s="3"/>
      <c r="HP285" s="3"/>
      <c r="HQ285" s="3"/>
      <c r="HR285" s="3"/>
      <c r="HS285" s="3"/>
      <c r="HT285" s="3"/>
      <c r="HU285" s="3"/>
      <c r="HV285" s="3"/>
      <c r="HW285" s="3"/>
      <c r="HX285" s="3"/>
      <c r="HY285" s="3"/>
      <c r="HZ285" s="3"/>
      <c r="IA285" s="3"/>
      <c r="IB285" s="3"/>
      <c r="IC285" s="3"/>
      <c r="ID285" s="3"/>
      <c r="IE285" s="3"/>
      <c r="IF285" s="3"/>
      <c r="IG285" s="3"/>
      <c r="IH285" s="3"/>
      <c r="II285" s="3"/>
      <c r="IJ285" s="3"/>
      <c r="IK285" s="3"/>
      <c r="IL285" s="3"/>
      <c r="IM285" s="3"/>
      <c r="IN285" s="3"/>
      <c r="IO285" s="3"/>
      <c r="IP285" s="3"/>
      <c r="IQ285" s="3"/>
      <c r="IR285" s="3"/>
      <c r="IS285" s="3"/>
      <c r="IT285" s="3"/>
      <c r="IU285" s="3"/>
      <c r="IV285" s="3"/>
    </row>
    <row r="286" spans="1:256" s="17" customFormat="1" x14ac:dyDescent="0.35">
      <c r="B286" s="15" t="s">
        <v>14</v>
      </c>
      <c r="C286" s="16">
        <f t="shared" ref="C286:N286" si="926">C285*0.1</f>
        <v>0</v>
      </c>
      <c r="D286" s="16">
        <f t="shared" si="926"/>
        <v>0</v>
      </c>
      <c r="E286" s="16">
        <f t="shared" si="926"/>
        <v>30000</v>
      </c>
      <c r="F286" s="16">
        <f t="shared" si="926"/>
        <v>0</v>
      </c>
      <c r="G286" s="16">
        <f t="shared" si="926"/>
        <v>0</v>
      </c>
      <c r="H286" s="16">
        <f t="shared" si="926"/>
        <v>0</v>
      </c>
      <c r="I286" s="16">
        <f t="shared" si="926"/>
        <v>0</v>
      </c>
      <c r="J286" s="16">
        <f t="shared" si="926"/>
        <v>0</v>
      </c>
      <c r="K286" s="16">
        <f t="shared" si="926"/>
        <v>0</v>
      </c>
      <c r="L286" s="16">
        <f t="shared" si="926"/>
        <v>0</v>
      </c>
      <c r="M286" s="16">
        <f t="shared" si="926"/>
        <v>0</v>
      </c>
      <c r="N286" s="16">
        <f t="shared" si="926"/>
        <v>0</v>
      </c>
      <c r="O286" s="13">
        <f t="shared" si="887"/>
        <v>30000</v>
      </c>
      <c r="P286" s="14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  <c r="HU286" s="3"/>
      <c r="HV286" s="3"/>
      <c r="HW286" s="3"/>
      <c r="HX286" s="3"/>
      <c r="HY286" s="3"/>
      <c r="HZ286" s="3"/>
      <c r="IA286" s="3"/>
      <c r="IB286" s="3"/>
      <c r="IC286" s="3"/>
      <c r="ID286" s="3"/>
      <c r="IE286" s="3"/>
      <c r="IF286" s="3"/>
      <c r="IG286" s="3"/>
      <c r="IH286" s="3"/>
      <c r="II286" s="3"/>
      <c r="IJ286" s="3"/>
      <c r="IK286" s="3"/>
      <c r="IL286" s="3"/>
      <c r="IM286" s="3"/>
      <c r="IN286" s="3"/>
      <c r="IO286" s="3"/>
      <c r="IP286" s="3"/>
      <c r="IQ286" s="3"/>
      <c r="IR286" s="3"/>
      <c r="IS286" s="3"/>
      <c r="IT286" s="3"/>
      <c r="IU286" s="3"/>
      <c r="IV286" s="3"/>
    </row>
    <row r="287" spans="1:256" s="1" customFormat="1" x14ac:dyDescent="0.35">
      <c r="B287" s="15" t="s">
        <v>15</v>
      </c>
      <c r="C287" s="16">
        <f t="shared" ref="C287:N287" si="927">C285-C286</f>
        <v>0</v>
      </c>
      <c r="D287" s="16">
        <f t="shared" si="927"/>
        <v>0</v>
      </c>
      <c r="E287" s="16">
        <f t="shared" si="927"/>
        <v>270000</v>
      </c>
      <c r="F287" s="16">
        <f t="shared" si="927"/>
        <v>0</v>
      </c>
      <c r="G287" s="16">
        <f t="shared" si="927"/>
        <v>0</v>
      </c>
      <c r="H287" s="16">
        <f t="shared" si="927"/>
        <v>0</v>
      </c>
      <c r="I287" s="16">
        <f t="shared" si="927"/>
        <v>0</v>
      </c>
      <c r="J287" s="16">
        <f t="shared" si="927"/>
        <v>0</v>
      </c>
      <c r="K287" s="16">
        <f t="shared" si="927"/>
        <v>0</v>
      </c>
      <c r="L287" s="16">
        <f t="shared" si="927"/>
        <v>0</v>
      </c>
      <c r="M287" s="16">
        <f t="shared" si="927"/>
        <v>0</v>
      </c>
      <c r="N287" s="16">
        <f t="shared" si="927"/>
        <v>0</v>
      </c>
      <c r="O287" s="13">
        <f t="shared" si="887"/>
        <v>270000</v>
      </c>
      <c r="P287" s="14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  <c r="HY287" s="3"/>
      <c r="HZ287" s="3"/>
      <c r="IA287" s="3"/>
      <c r="IB287" s="3"/>
      <c r="IC287" s="3"/>
      <c r="ID287" s="3"/>
      <c r="IE287" s="3"/>
      <c r="IF287" s="3"/>
      <c r="IG287" s="3"/>
      <c r="IH287" s="3"/>
      <c r="II287" s="3"/>
      <c r="IJ287" s="3"/>
      <c r="IK287" s="3"/>
      <c r="IL287" s="3"/>
      <c r="IM287" s="3"/>
      <c r="IN287" s="3"/>
      <c r="IO287" s="3"/>
      <c r="IP287" s="3"/>
      <c r="IQ287" s="3"/>
      <c r="IR287" s="3"/>
      <c r="IS287" s="3"/>
      <c r="IT287" s="3"/>
      <c r="IU287" s="3"/>
      <c r="IV287" s="3"/>
    </row>
    <row r="288" spans="1:256" s="1" customFormat="1" x14ac:dyDescent="0.35">
      <c r="B288" s="15" t="s">
        <v>16</v>
      </c>
      <c r="C288" s="18">
        <f t="shared" ref="C288:N288" si="928">IF(C287&gt;1000000,(C288-1000000)*0.3+128000,IF(C287&gt;760000,(C287-760000)*0.25+68000,IF(C287&gt;520000,(C287-520000)*0.2+20000,IF(C287&gt;270000,(C287-270000)*0.08+0,IF(C287&lt;270001,0,0)))))</f>
        <v>0</v>
      </c>
      <c r="D288" s="18">
        <f t="shared" si="928"/>
        <v>0</v>
      </c>
      <c r="E288" s="18">
        <f t="shared" si="928"/>
        <v>0</v>
      </c>
      <c r="F288" s="18">
        <f t="shared" si="928"/>
        <v>0</v>
      </c>
      <c r="G288" s="18">
        <f t="shared" si="928"/>
        <v>0</v>
      </c>
      <c r="H288" s="18">
        <f t="shared" si="928"/>
        <v>0</v>
      </c>
      <c r="I288" s="18">
        <f t="shared" si="928"/>
        <v>0</v>
      </c>
      <c r="J288" s="18">
        <f t="shared" si="928"/>
        <v>0</v>
      </c>
      <c r="K288" s="18">
        <f t="shared" si="928"/>
        <v>0</v>
      </c>
      <c r="L288" s="18">
        <f t="shared" si="928"/>
        <v>0</v>
      </c>
      <c r="M288" s="18">
        <f t="shared" si="928"/>
        <v>0</v>
      </c>
      <c r="N288" s="18">
        <f t="shared" si="928"/>
        <v>0</v>
      </c>
      <c r="O288" s="13">
        <f t="shared" si="887"/>
        <v>0</v>
      </c>
      <c r="P288" s="14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  <c r="HU288" s="3"/>
      <c r="HV288" s="3"/>
      <c r="HW288" s="3"/>
      <c r="HX288" s="3"/>
      <c r="HY288" s="3"/>
      <c r="HZ288" s="3"/>
      <c r="IA288" s="3"/>
      <c r="IB288" s="3"/>
      <c r="IC288" s="3"/>
      <c r="ID288" s="3"/>
      <c r="IE288" s="3"/>
      <c r="IF288" s="3"/>
      <c r="IG288" s="3"/>
      <c r="IH288" s="3"/>
      <c r="II288" s="3"/>
      <c r="IJ288" s="3"/>
      <c r="IK288" s="3"/>
      <c r="IL288" s="3"/>
      <c r="IM288" s="3"/>
      <c r="IN288" s="3"/>
      <c r="IO288" s="3"/>
      <c r="IP288" s="3"/>
      <c r="IQ288" s="3"/>
      <c r="IR288" s="3"/>
      <c r="IS288" s="3"/>
      <c r="IT288" s="3"/>
      <c r="IU288" s="3"/>
      <c r="IV288" s="3"/>
    </row>
    <row r="289" spans="1:256" s="17" customFormat="1" x14ac:dyDescent="0.35">
      <c r="A289" s="17">
        <v>71</v>
      </c>
      <c r="B289" s="11" t="s">
        <v>808</v>
      </c>
      <c r="C289" s="12">
        <v>0</v>
      </c>
      <c r="D289" s="12">
        <v>0</v>
      </c>
      <c r="E289" s="12">
        <v>300000</v>
      </c>
      <c r="F289" s="12">
        <v>0</v>
      </c>
      <c r="G289" s="12">
        <v>0</v>
      </c>
      <c r="H289" s="12">
        <v>0</v>
      </c>
      <c r="I289" s="12">
        <v>0</v>
      </c>
      <c r="J289" s="12">
        <v>0</v>
      </c>
      <c r="K289" s="12">
        <v>0</v>
      </c>
      <c r="L289" s="12">
        <v>0</v>
      </c>
      <c r="M289" s="12">
        <v>0</v>
      </c>
      <c r="N289" s="12">
        <v>0</v>
      </c>
      <c r="O289" s="13">
        <f t="shared" si="887"/>
        <v>300000</v>
      </c>
      <c r="P289" s="14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  <c r="HJ289" s="3"/>
      <c r="HK289" s="3"/>
      <c r="HL289" s="3"/>
      <c r="HM289" s="3"/>
      <c r="HN289" s="3"/>
      <c r="HO289" s="3"/>
      <c r="HP289" s="3"/>
      <c r="HQ289" s="3"/>
      <c r="HR289" s="3"/>
      <c r="HS289" s="3"/>
      <c r="HT289" s="3"/>
      <c r="HU289" s="3"/>
      <c r="HV289" s="3"/>
      <c r="HW289" s="3"/>
      <c r="HX289" s="3"/>
      <c r="HY289" s="3"/>
      <c r="HZ289" s="3"/>
      <c r="IA289" s="3"/>
      <c r="IB289" s="3"/>
      <c r="IC289" s="3"/>
      <c r="ID289" s="3"/>
      <c r="IE289" s="3"/>
      <c r="IF289" s="3"/>
      <c r="IG289" s="3"/>
      <c r="IH289" s="3"/>
      <c r="II289" s="3"/>
      <c r="IJ289" s="3"/>
      <c r="IK289" s="3"/>
      <c r="IL289" s="3"/>
      <c r="IM289" s="3"/>
      <c r="IN289" s="3"/>
      <c r="IO289" s="3"/>
      <c r="IP289" s="3"/>
      <c r="IQ289" s="3"/>
      <c r="IR289" s="3"/>
      <c r="IS289" s="3"/>
      <c r="IT289" s="3"/>
      <c r="IU289" s="3"/>
      <c r="IV289" s="3"/>
    </row>
    <row r="290" spans="1:256" s="17" customFormat="1" x14ac:dyDescent="0.35">
      <c r="B290" s="15" t="s">
        <v>14</v>
      </c>
      <c r="C290" s="16">
        <f t="shared" ref="C290:N290" si="929">C289*0.1</f>
        <v>0</v>
      </c>
      <c r="D290" s="16">
        <f t="shared" si="929"/>
        <v>0</v>
      </c>
      <c r="E290" s="16">
        <f t="shared" si="929"/>
        <v>30000</v>
      </c>
      <c r="F290" s="16">
        <f t="shared" si="929"/>
        <v>0</v>
      </c>
      <c r="G290" s="16">
        <f t="shared" si="929"/>
        <v>0</v>
      </c>
      <c r="H290" s="16">
        <f t="shared" si="929"/>
        <v>0</v>
      </c>
      <c r="I290" s="16">
        <f t="shared" si="929"/>
        <v>0</v>
      </c>
      <c r="J290" s="16">
        <f t="shared" si="929"/>
        <v>0</v>
      </c>
      <c r="K290" s="16">
        <f t="shared" si="929"/>
        <v>0</v>
      </c>
      <c r="L290" s="16">
        <f t="shared" si="929"/>
        <v>0</v>
      </c>
      <c r="M290" s="16">
        <f t="shared" si="929"/>
        <v>0</v>
      </c>
      <c r="N290" s="16">
        <f t="shared" si="929"/>
        <v>0</v>
      </c>
      <c r="O290" s="13">
        <f t="shared" si="887"/>
        <v>30000</v>
      </c>
      <c r="P290" s="14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3"/>
      <c r="HQ290" s="3"/>
      <c r="HR290" s="3"/>
      <c r="HS290" s="3"/>
      <c r="HT290" s="3"/>
      <c r="HU290" s="3"/>
      <c r="HV290" s="3"/>
      <c r="HW290" s="3"/>
      <c r="HX290" s="3"/>
      <c r="HY290" s="3"/>
      <c r="HZ290" s="3"/>
      <c r="IA290" s="3"/>
      <c r="IB290" s="3"/>
      <c r="IC290" s="3"/>
      <c r="ID290" s="3"/>
      <c r="IE290" s="3"/>
      <c r="IF290" s="3"/>
      <c r="IG290" s="3"/>
      <c r="IH290" s="3"/>
      <c r="II290" s="3"/>
      <c r="IJ290" s="3"/>
      <c r="IK290" s="3"/>
      <c r="IL290" s="3"/>
      <c r="IM290" s="3"/>
      <c r="IN290" s="3"/>
      <c r="IO290" s="3"/>
      <c r="IP290" s="3"/>
      <c r="IQ290" s="3"/>
      <c r="IR290" s="3"/>
      <c r="IS290" s="3"/>
      <c r="IT290" s="3"/>
      <c r="IU290" s="3"/>
      <c r="IV290" s="3"/>
    </row>
    <row r="291" spans="1:256" s="1" customFormat="1" x14ac:dyDescent="0.35">
      <c r="B291" s="15" t="s">
        <v>15</v>
      </c>
      <c r="C291" s="16">
        <f t="shared" ref="C291:N291" si="930">C289-C290</f>
        <v>0</v>
      </c>
      <c r="D291" s="16">
        <f t="shared" si="930"/>
        <v>0</v>
      </c>
      <c r="E291" s="16">
        <f t="shared" si="930"/>
        <v>270000</v>
      </c>
      <c r="F291" s="16">
        <f t="shared" si="930"/>
        <v>0</v>
      </c>
      <c r="G291" s="16">
        <f t="shared" si="930"/>
        <v>0</v>
      </c>
      <c r="H291" s="16">
        <f t="shared" si="930"/>
        <v>0</v>
      </c>
      <c r="I291" s="16">
        <f t="shared" si="930"/>
        <v>0</v>
      </c>
      <c r="J291" s="16">
        <f t="shared" si="930"/>
        <v>0</v>
      </c>
      <c r="K291" s="16">
        <f t="shared" si="930"/>
        <v>0</v>
      </c>
      <c r="L291" s="16">
        <f t="shared" si="930"/>
        <v>0</v>
      </c>
      <c r="M291" s="16">
        <f t="shared" si="930"/>
        <v>0</v>
      </c>
      <c r="N291" s="16">
        <f t="shared" si="930"/>
        <v>0</v>
      </c>
      <c r="O291" s="13">
        <f t="shared" si="887"/>
        <v>270000</v>
      </c>
      <c r="P291" s="14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  <c r="HU291" s="3"/>
      <c r="HV291" s="3"/>
      <c r="HW291" s="3"/>
      <c r="HX291" s="3"/>
      <c r="HY291" s="3"/>
      <c r="HZ291" s="3"/>
      <c r="IA291" s="3"/>
      <c r="IB291" s="3"/>
      <c r="IC291" s="3"/>
      <c r="ID291" s="3"/>
      <c r="IE291" s="3"/>
      <c r="IF291" s="3"/>
      <c r="IG291" s="3"/>
      <c r="IH291" s="3"/>
      <c r="II291" s="3"/>
      <c r="IJ291" s="3"/>
      <c r="IK291" s="3"/>
      <c r="IL291" s="3"/>
      <c r="IM291" s="3"/>
      <c r="IN291" s="3"/>
      <c r="IO291" s="3"/>
      <c r="IP291" s="3"/>
      <c r="IQ291" s="3"/>
      <c r="IR291" s="3"/>
      <c r="IS291" s="3"/>
      <c r="IT291" s="3"/>
      <c r="IU291" s="3"/>
      <c r="IV291" s="3"/>
    </row>
    <row r="292" spans="1:256" s="1" customFormat="1" x14ac:dyDescent="0.35">
      <c r="B292" s="15" t="s">
        <v>16</v>
      </c>
      <c r="C292" s="18">
        <f t="shared" ref="C292:N292" si="931">IF(C291&gt;1000000,(C292-1000000)*0.3+128000,IF(C291&gt;760000,(C291-760000)*0.25+68000,IF(C291&gt;520000,(C291-520000)*0.2+20000,IF(C291&gt;270000,(C291-270000)*0.08+0,IF(C291&lt;270001,0,0)))))</f>
        <v>0</v>
      </c>
      <c r="D292" s="18">
        <f t="shared" si="931"/>
        <v>0</v>
      </c>
      <c r="E292" s="18">
        <f t="shared" si="931"/>
        <v>0</v>
      </c>
      <c r="F292" s="18">
        <f t="shared" si="931"/>
        <v>0</v>
      </c>
      <c r="G292" s="18">
        <f t="shared" si="931"/>
        <v>0</v>
      </c>
      <c r="H292" s="18">
        <f t="shared" si="931"/>
        <v>0</v>
      </c>
      <c r="I292" s="18">
        <f t="shared" si="931"/>
        <v>0</v>
      </c>
      <c r="J292" s="18">
        <f t="shared" si="931"/>
        <v>0</v>
      </c>
      <c r="K292" s="18">
        <f t="shared" si="931"/>
        <v>0</v>
      </c>
      <c r="L292" s="18">
        <f t="shared" si="931"/>
        <v>0</v>
      </c>
      <c r="M292" s="18">
        <f t="shared" si="931"/>
        <v>0</v>
      </c>
      <c r="N292" s="18">
        <f t="shared" si="931"/>
        <v>0</v>
      </c>
      <c r="O292" s="13">
        <f t="shared" si="887"/>
        <v>0</v>
      </c>
      <c r="P292" s="14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3"/>
      <c r="HT292" s="3"/>
      <c r="HU292" s="3"/>
      <c r="HV292" s="3"/>
      <c r="HW292" s="3"/>
      <c r="HX292" s="3"/>
      <c r="HY292" s="3"/>
      <c r="HZ292" s="3"/>
      <c r="IA292" s="3"/>
      <c r="IB292" s="3"/>
      <c r="IC292" s="3"/>
      <c r="ID292" s="3"/>
      <c r="IE292" s="3"/>
      <c r="IF292" s="3"/>
      <c r="IG292" s="3"/>
      <c r="IH292" s="3"/>
      <c r="II292" s="3"/>
      <c r="IJ292" s="3"/>
      <c r="IK292" s="3"/>
      <c r="IL292" s="3"/>
      <c r="IM292" s="3"/>
      <c r="IN292" s="3"/>
      <c r="IO292" s="3"/>
      <c r="IP292" s="3"/>
      <c r="IQ292" s="3"/>
      <c r="IR292" s="3"/>
      <c r="IS292" s="3"/>
      <c r="IT292" s="3"/>
      <c r="IU292" s="3"/>
      <c r="IV292" s="3"/>
    </row>
    <row r="293" spans="1:256" s="17" customFormat="1" x14ac:dyDescent="0.35">
      <c r="A293" s="17">
        <v>72</v>
      </c>
      <c r="B293" s="11" t="s">
        <v>809</v>
      </c>
      <c r="C293" s="12">
        <v>0</v>
      </c>
      <c r="D293" s="12">
        <v>0</v>
      </c>
      <c r="E293" s="12">
        <v>300000</v>
      </c>
      <c r="F293" s="12">
        <v>0</v>
      </c>
      <c r="G293" s="12">
        <v>0</v>
      </c>
      <c r="H293" s="12">
        <v>0</v>
      </c>
      <c r="I293" s="12">
        <v>0</v>
      </c>
      <c r="J293" s="12">
        <v>0</v>
      </c>
      <c r="K293" s="12">
        <v>0</v>
      </c>
      <c r="L293" s="12">
        <v>0</v>
      </c>
      <c r="M293" s="12">
        <v>0</v>
      </c>
      <c r="N293" s="12">
        <v>0</v>
      </c>
      <c r="O293" s="13">
        <f t="shared" si="887"/>
        <v>300000</v>
      </c>
      <c r="P293" s="14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3"/>
      <c r="HQ293" s="3"/>
      <c r="HR293" s="3"/>
      <c r="HS293" s="3"/>
      <c r="HT293" s="3"/>
      <c r="HU293" s="3"/>
      <c r="HV293" s="3"/>
      <c r="HW293" s="3"/>
      <c r="HX293" s="3"/>
      <c r="HY293" s="3"/>
      <c r="HZ293" s="3"/>
      <c r="IA293" s="3"/>
      <c r="IB293" s="3"/>
      <c r="IC293" s="3"/>
      <c r="ID293" s="3"/>
      <c r="IE293" s="3"/>
      <c r="IF293" s="3"/>
      <c r="IG293" s="3"/>
      <c r="IH293" s="3"/>
      <c r="II293" s="3"/>
      <c r="IJ293" s="3"/>
      <c r="IK293" s="3"/>
      <c r="IL293" s="3"/>
      <c r="IM293" s="3"/>
      <c r="IN293" s="3"/>
      <c r="IO293" s="3"/>
      <c r="IP293" s="3"/>
      <c r="IQ293" s="3"/>
      <c r="IR293" s="3"/>
      <c r="IS293" s="3"/>
      <c r="IT293" s="3"/>
      <c r="IU293" s="3"/>
      <c r="IV293" s="3"/>
    </row>
    <row r="294" spans="1:256" s="17" customFormat="1" x14ac:dyDescent="0.35">
      <c r="B294" s="15" t="s">
        <v>14</v>
      </c>
      <c r="C294" s="16">
        <f t="shared" ref="C294:N294" si="932">C293*0.1</f>
        <v>0</v>
      </c>
      <c r="D294" s="16">
        <f t="shared" si="932"/>
        <v>0</v>
      </c>
      <c r="E294" s="16">
        <f t="shared" si="932"/>
        <v>30000</v>
      </c>
      <c r="F294" s="16">
        <f t="shared" si="932"/>
        <v>0</v>
      </c>
      <c r="G294" s="16">
        <f t="shared" si="932"/>
        <v>0</v>
      </c>
      <c r="H294" s="16">
        <f t="shared" si="932"/>
        <v>0</v>
      </c>
      <c r="I294" s="16">
        <f t="shared" si="932"/>
        <v>0</v>
      </c>
      <c r="J294" s="16">
        <f t="shared" si="932"/>
        <v>0</v>
      </c>
      <c r="K294" s="16">
        <f t="shared" si="932"/>
        <v>0</v>
      </c>
      <c r="L294" s="16">
        <f t="shared" si="932"/>
        <v>0</v>
      </c>
      <c r="M294" s="16">
        <f t="shared" si="932"/>
        <v>0</v>
      </c>
      <c r="N294" s="16">
        <f t="shared" si="932"/>
        <v>0</v>
      </c>
      <c r="O294" s="13">
        <f t="shared" si="887"/>
        <v>30000</v>
      </c>
      <c r="P294" s="14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  <c r="HU294" s="3"/>
      <c r="HV294" s="3"/>
      <c r="HW294" s="3"/>
      <c r="HX294" s="3"/>
      <c r="HY294" s="3"/>
      <c r="HZ294" s="3"/>
      <c r="IA294" s="3"/>
      <c r="IB294" s="3"/>
      <c r="IC294" s="3"/>
      <c r="ID294" s="3"/>
      <c r="IE294" s="3"/>
      <c r="IF294" s="3"/>
      <c r="IG294" s="3"/>
      <c r="IH294" s="3"/>
      <c r="II294" s="3"/>
      <c r="IJ294" s="3"/>
      <c r="IK294" s="3"/>
      <c r="IL294" s="3"/>
      <c r="IM294" s="3"/>
      <c r="IN294" s="3"/>
      <c r="IO294" s="3"/>
      <c r="IP294" s="3"/>
      <c r="IQ294" s="3"/>
      <c r="IR294" s="3"/>
      <c r="IS294" s="3"/>
      <c r="IT294" s="3"/>
      <c r="IU294" s="3"/>
      <c r="IV294" s="3"/>
    </row>
    <row r="295" spans="1:256" s="1" customFormat="1" x14ac:dyDescent="0.35">
      <c r="B295" s="15" t="s">
        <v>15</v>
      </c>
      <c r="C295" s="16">
        <f t="shared" ref="C295:N295" si="933">C293-C294</f>
        <v>0</v>
      </c>
      <c r="D295" s="16">
        <f t="shared" si="933"/>
        <v>0</v>
      </c>
      <c r="E295" s="16">
        <f t="shared" si="933"/>
        <v>270000</v>
      </c>
      <c r="F295" s="16">
        <f t="shared" si="933"/>
        <v>0</v>
      </c>
      <c r="G295" s="16">
        <f t="shared" si="933"/>
        <v>0</v>
      </c>
      <c r="H295" s="16">
        <f t="shared" si="933"/>
        <v>0</v>
      </c>
      <c r="I295" s="16">
        <f t="shared" si="933"/>
        <v>0</v>
      </c>
      <c r="J295" s="16">
        <f t="shared" si="933"/>
        <v>0</v>
      </c>
      <c r="K295" s="16">
        <f t="shared" si="933"/>
        <v>0</v>
      </c>
      <c r="L295" s="16">
        <f t="shared" si="933"/>
        <v>0</v>
      </c>
      <c r="M295" s="16">
        <f t="shared" si="933"/>
        <v>0</v>
      </c>
      <c r="N295" s="16">
        <f t="shared" si="933"/>
        <v>0</v>
      </c>
      <c r="O295" s="13">
        <f t="shared" si="887"/>
        <v>270000</v>
      </c>
      <c r="P295" s="14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/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/>
      <c r="IU295" s="3"/>
      <c r="IV295" s="3"/>
    </row>
    <row r="296" spans="1:256" s="1" customFormat="1" x14ac:dyDescent="0.35">
      <c r="B296" s="15" t="s">
        <v>16</v>
      </c>
      <c r="C296" s="18">
        <f t="shared" ref="C296:N296" si="934">IF(C295&gt;1000000,(C296-1000000)*0.3+128000,IF(C295&gt;760000,(C295-760000)*0.25+68000,IF(C295&gt;520000,(C295-520000)*0.2+20000,IF(C295&gt;270000,(C295-270000)*0.08+0,IF(C295&lt;270001,0,0)))))</f>
        <v>0</v>
      </c>
      <c r="D296" s="18">
        <f t="shared" si="934"/>
        <v>0</v>
      </c>
      <c r="E296" s="18">
        <f t="shared" si="934"/>
        <v>0</v>
      </c>
      <c r="F296" s="18">
        <f t="shared" si="934"/>
        <v>0</v>
      </c>
      <c r="G296" s="18">
        <f t="shared" si="934"/>
        <v>0</v>
      </c>
      <c r="H296" s="18">
        <f t="shared" si="934"/>
        <v>0</v>
      </c>
      <c r="I296" s="18">
        <f t="shared" si="934"/>
        <v>0</v>
      </c>
      <c r="J296" s="18">
        <f t="shared" si="934"/>
        <v>0</v>
      </c>
      <c r="K296" s="18">
        <f t="shared" si="934"/>
        <v>0</v>
      </c>
      <c r="L296" s="18">
        <f t="shared" si="934"/>
        <v>0</v>
      </c>
      <c r="M296" s="18">
        <f t="shared" si="934"/>
        <v>0</v>
      </c>
      <c r="N296" s="18">
        <f t="shared" si="934"/>
        <v>0</v>
      </c>
      <c r="O296" s="13">
        <f t="shared" si="887"/>
        <v>0</v>
      </c>
      <c r="P296" s="14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/>
      <c r="II296" s="3"/>
      <c r="IJ296" s="3"/>
      <c r="IK296" s="3"/>
      <c r="IL296" s="3"/>
      <c r="IM296" s="3"/>
      <c r="IN296" s="3"/>
      <c r="IO296" s="3"/>
      <c r="IP296" s="3"/>
      <c r="IQ296" s="3"/>
      <c r="IR296" s="3"/>
      <c r="IS296" s="3"/>
      <c r="IT296" s="3"/>
      <c r="IU296" s="3"/>
      <c r="IV296" s="3"/>
    </row>
    <row r="297" spans="1:256" s="17" customFormat="1" x14ac:dyDescent="0.35">
      <c r="A297" s="17">
        <v>73</v>
      </c>
      <c r="B297" s="11" t="s">
        <v>811</v>
      </c>
      <c r="C297" s="12">
        <v>0</v>
      </c>
      <c r="D297" s="12">
        <v>0</v>
      </c>
      <c r="E297" s="12">
        <v>300000</v>
      </c>
      <c r="F297" s="12">
        <v>0</v>
      </c>
      <c r="G297" s="12">
        <v>0</v>
      </c>
      <c r="H297" s="12">
        <v>0</v>
      </c>
      <c r="I297" s="12">
        <v>0</v>
      </c>
      <c r="J297" s="12">
        <v>0</v>
      </c>
      <c r="K297" s="12">
        <v>0</v>
      </c>
      <c r="L297" s="12">
        <v>0</v>
      </c>
      <c r="M297" s="12">
        <v>0</v>
      </c>
      <c r="N297" s="12">
        <v>0</v>
      </c>
      <c r="O297" s="13">
        <f t="shared" si="887"/>
        <v>300000</v>
      </c>
      <c r="P297" s="14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  <c r="HU297" s="3"/>
      <c r="HV297" s="3"/>
      <c r="HW297" s="3"/>
      <c r="HX297" s="3"/>
      <c r="HY297" s="3"/>
      <c r="HZ297" s="3"/>
      <c r="IA297" s="3"/>
      <c r="IB297" s="3"/>
      <c r="IC297" s="3"/>
      <c r="ID297" s="3"/>
      <c r="IE297" s="3"/>
      <c r="IF297" s="3"/>
      <c r="IG297" s="3"/>
      <c r="IH297" s="3"/>
      <c r="II297" s="3"/>
      <c r="IJ297" s="3"/>
      <c r="IK297" s="3"/>
      <c r="IL297" s="3"/>
      <c r="IM297" s="3"/>
      <c r="IN297" s="3"/>
      <c r="IO297" s="3"/>
      <c r="IP297" s="3"/>
      <c r="IQ297" s="3"/>
      <c r="IR297" s="3"/>
      <c r="IS297" s="3"/>
      <c r="IT297" s="3"/>
      <c r="IU297" s="3"/>
      <c r="IV297" s="3"/>
    </row>
    <row r="298" spans="1:256" s="17" customFormat="1" x14ac:dyDescent="0.35">
      <c r="B298" s="15" t="s">
        <v>14</v>
      </c>
      <c r="C298" s="16">
        <f t="shared" ref="C298:N298" si="935">C297*0.1</f>
        <v>0</v>
      </c>
      <c r="D298" s="16">
        <f t="shared" si="935"/>
        <v>0</v>
      </c>
      <c r="E298" s="16">
        <f t="shared" si="935"/>
        <v>30000</v>
      </c>
      <c r="F298" s="16">
        <f t="shared" si="935"/>
        <v>0</v>
      </c>
      <c r="G298" s="16">
        <f t="shared" si="935"/>
        <v>0</v>
      </c>
      <c r="H298" s="16">
        <f t="shared" si="935"/>
        <v>0</v>
      </c>
      <c r="I298" s="16">
        <f t="shared" si="935"/>
        <v>0</v>
      </c>
      <c r="J298" s="16">
        <f t="shared" si="935"/>
        <v>0</v>
      </c>
      <c r="K298" s="16">
        <f t="shared" si="935"/>
        <v>0</v>
      </c>
      <c r="L298" s="16">
        <f t="shared" si="935"/>
        <v>0</v>
      </c>
      <c r="M298" s="16">
        <f t="shared" si="935"/>
        <v>0</v>
      </c>
      <c r="N298" s="16">
        <f t="shared" si="935"/>
        <v>0</v>
      </c>
      <c r="O298" s="13">
        <f t="shared" si="887"/>
        <v>30000</v>
      </c>
      <c r="P298" s="14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3"/>
      <c r="HT298" s="3"/>
      <c r="HU298" s="3"/>
      <c r="HV298" s="3"/>
      <c r="HW298" s="3"/>
      <c r="HX298" s="3"/>
      <c r="HY298" s="3"/>
      <c r="HZ298" s="3"/>
      <c r="IA298" s="3"/>
      <c r="IB298" s="3"/>
      <c r="IC298" s="3"/>
      <c r="ID298" s="3"/>
      <c r="IE298" s="3"/>
      <c r="IF298" s="3"/>
      <c r="IG298" s="3"/>
      <c r="IH298" s="3"/>
      <c r="II298" s="3"/>
      <c r="IJ298" s="3"/>
      <c r="IK298" s="3"/>
      <c r="IL298" s="3"/>
      <c r="IM298" s="3"/>
      <c r="IN298" s="3"/>
      <c r="IO298" s="3"/>
      <c r="IP298" s="3"/>
      <c r="IQ298" s="3"/>
      <c r="IR298" s="3"/>
      <c r="IS298" s="3"/>
      <c r="IT298" s="3"/>
      <c r="IU298" s="3"/>
      <c r="IV298" s="3"/>
    </row>
    <row r="299" spans="1:256" s="1" customFormat="1" x14ac:dyDescent="0.35">
      <c r="B299" s="15" t="s">
        <v>15</v>
      </c>
      <c r="C299" s="16">
        <f t="shared" ref="C299:N299" si="936">C297-C298</f>
        <v>0</v>
      </c>
      <c r="D299" s="16">
        <f t="shared" si="936"/>
        <v>0</v>
      </c>
      <c r="E299" s="16">
        <f t="shared" si="936"/>
        <v>270000</v>
      </c>
      <c r="F299" s="16">
        <f t="shared" si="936"/>
        <v>0</v>
      </c>
      <c r="G299" s="16">
        <f t="shared" si="936"/>
        <v>0</v>
      </c>
      <c r="H299" s="16">
        <f t="shared" si="936"/>
        <v>0</v>
      </c>
      <c r="I299" s="16">
        <f t="shared" si="936"/>
        <v>0</v>
      </c>
      <c r="J299" s="16">
        <f t="shared" si="936"/>
        <v>0</v>
      </c>
      <c r="K299" s="16">
        <f t="shared" si="936"/>
        <v>0</v>
      </c>
      <c r="L299" s="16">
        <f t="shared" si="936"/>
        <v>0</v>
      </c>
      <c r="M299" s="16">
        <f t="shared" si="936"/>
        <v>0</v>
      </c>
      <c r="N299" s="16">
        <f t="shared" si="936"/>
        <v>0</v>
      </c>
      <c r="O299" s="13">
        <f t="shared" si="887"/>
        <v>270000</v>
      </c>
      <c r="P299" s="14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3"/>
      <c r="HT299" s="3"/>
      <c r="HU299" s="3"/>
      <c r="HV299" s="3"/>
      <c r="HW299" s="3"/>
      <c r="HX299" s="3"/>
      <c r="HY299" s="3"/>
      <c r="HZ299" s="3"/>
      <c r="IA299" s="3"/>
      <c r="IB299" s="3"/>
      <c r="IC299" s="3"/>
      <c r="ID299" s="3"/>
      <c r="IE299" s="3"/>
      <c r="IF299" s="3"/>
      <c r="IG299" s="3"/>
      <c r="IH299" s="3"/>
      <c r="II299" s="3"/>
      <c r="IJ299" s="3"/>
      <c r="IK299" s="3"/>
      <c r="IL299" s="3"/>
      <c r="IM299" s="3"/>
      <c r="IN299" s="3"/>
      <c r="IO299" s="3"/>
      <c r="IP299" s="3"/>
      <c r="IQ299" s="3"/>
      <c r="IR299" s="3"/>
      <c r="IS299" s="3"/>
      <c r="IT299" s="3"/>
      <c r="IU299" s="3"/>
      <c r="IV299" s="3"/>
    </row>
    <row r="300" spans="1:256" s="1" customFormat="1" x14ac:dyDescent="0.35">
      <c r="B300" s="15" t="s">
        <v>16</v>
      </c>
      <c r="C300" s="18">
        <f t="shared" ref="C300:N300" si="937">IF(C299&gt;1000000,(C300-1000000)*0.3+128000,IF(C299&gt;760000,(C299-760000)*0.25+68000,IF(C299&gt;520000,(C299-520000)*0.2+20000,IF(C299&gt;270000,(C299-270000)*0.08+0,IF(C299&lt;270001,0,0)))))</f>
        <v>0</v>
      </c>
      <c r="D300" s="18">
        <f t="shared" si="937"/>
        <v>0</v>
      </c>
      <c r="E300" s="18">
        <f t="shared" si="937"/>
        <v>0</v>
      </c>
      <c r="F300" s="18">
        <f t="shared" si="937"/>
        <v>0</v>
      </c>
      <c r="G300" s="18">
        <f t="shared" si="937"/>
        <v>0</v>
      </c>
      <c r="H300" s="18">
        <f t="shared" si="937"/>
        <v>0</v>
      </c>
      <c r="I300" s="18">
        <f t="shared" si="937"/>
        <v>0</v>
      </c>
      <c r="J300" s="18">
        <f t="shared" si="937"/>
        <v>0</v>
      </c>
      <c r="K300" s="18">
        <f t="shared" si="937"/>
        <v>0</v>
      </c>
      <c r="L300" s="18">
        <f t="shared" si="937"/>
        <v>0</v>
      </c>
      <c r="M300" s="18">
        <f t="shared" si="937"/>
        <v>0</v>
      </c>
      <c r="N300" s="18">
        <f t="shared" si="937"/>
        <v>0</v>
      </c>
      <c r="O300" s="13">
        <f t="shared" si="887"/>
        <v>0</v>
      </c>
      <c r="P300" s="14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  <c r="HU300" s="3"/>
      <c r="HV300" s="3"/>
      <c r="HW300" s="3"/>
      <c r="HX300" s="3"/>
      <c r="HY300" s="3"/>
      <c r="HZ300" s="3"/>
      <c r="IA300" s="3"/>
      <c r="IB300" s="3"/>
      <c r="IC300" s="3"/>
      <c r="ID300" s="3"/>
      <c r="IE300" s="3"/>
      <c r="IF300" s="3"/>
      <c r="IG300" s="3"/>
      <c r="IH300" s="3"/>
      <c r="II300" s="3"/>
      <c r="IJ300" s="3"/>
      <c r="IK300" s="3"/>
      <c r="IL300" s="3"/>
      <c r="IM300" s="3"/>
      <c r="IN300" s="3"/>
      <c r="IO300" s="3"/>
      <c r="IP300" s="3"/>
      <c r="IQ300" s="3"/>
      <c r="IR300" s="3"/>
      <c r="IS300" s="3"/>
      <c r="IT300" s="3"/>
      <c r="IU300" s="3"/>
      <c r="IV300" s="3"/>
    </row>
    <row r="301" spans="1:256" s="17" customFormat="1" x14ac:dyDescent="0.35">
      <c r="A301" s="17">
        <v>74</v>
      </c>
      <c r="B301" s="11" t="s">
        <v>812</v>
      </c>
      <c r="C301" s="12">
        <v>0</v>
      </c>
      <c r="D301" s="12">
        <v>0</v>
      </c>
      <c r="E301" s="12">
        <v>300000</v>
      </c>
      <c r="F301" s="12">
        <v>0</v>
      </c>
      <c r="G301" s="12">
        <v>0</v>
      </c>
      <c r="H301" s="12">
        <v>0</v>
      </c>
      <c r="I301" s="12">
        <v>0</v>
      </c>
      <c r="J301" s="12">
        <v>0</v>
      </c>
      <c r="K301" s="12">
        <v>0</v>
      </c>
      <c r="L301" s="12">
        <v>0</v>
      </c>
      <c r="M301" s="12">
        <v>0</v>
      </c>
      <c r="N301" s="12">
        <v>0</v>
      </c>
      <c r="O301" s="13">
        <f t="shared" si="887"/>
        <v>300000</v>
      </c>
      <c r="P301" s="14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3"/>
      <c r="HT301" s="3"/>
      <c r="HU301" s="3"/>
      <c r="HV301" s="3"/>
      <c r="HW301" s="3"/>
      <c r="HX301" s="3"/>
      <c r="HY301" s="3"/>
      <c r="HZ301" s="3"/>
      <c r="IA301" s="3"/>
      <c r="IB301" s="3"/>
      <c r="IC301" s="3"/>
      <c r="ID301" s="3"/>
      <c r="IE301" s="3"/>
      <c r="IF301" s="3"/>
      <c r="IG301" s="3"/>
      <c r="IH301" s="3"/>
      <c r="II301" s="3"/>
      <c r="IJ301" s="3"/>
      <c r="IK301" s="3"/>
      <c r="IL301" s="3"/>
      <c r="IM301" s="3"/>
      <c r="IN301" s="3"/>
      <c r="IO301" s="3"/>
      <c r="IP301" s="3"/>
      <c r="IQ301" s="3"/>
      <c r="IR301" s="3"/>
      <c r="IS301" s="3"/>
      <c r="IT301" s="3"/>
      <c r="IU301" s="3"/>
      <c r="IV301" s="3"/>
    </row>
    <row r="302" spans="1:256" s="17" customFormat="1" x14ac:dyDescent="0.35">
      <c r="B302" s="15" t="s">
        <v>14</v>
      </c>
      <c r="C302" s="16">
        <f t="shared" ref="C302:N302" si="938">C301*0.1</f>
        <v>0</v>
      </c>
      <c r="D302" s="16">
        <f t="shared" si="938"/>
        <v>0</v>
      </c>
      <c r="E302" s="16">
        <f t="shared" si="938"/>
        <v>30000</v>
      </c>
      <c r="F302" s="16">
        <f t="shared" si="938"/>
        <v>0</v>
      </c>
      <c r="G302" s="16">
        <f t="shared" si="938"/>
        <v>0</v>
      </c>
      <c r="H302" s="16">
        <f t="shared" si="938"/>
        <v>0</v>
      </c>
      <c r="I302" s="16">
        <f t="shared" si="938"/>
        <v>0</v>
      </c>
      <c r="J302" s="16">
        <f t="shared" si="938"/>
        <v>0</v>
      </c>
      <c r="K302" s="16">
        <f t="shared" si="938"/>
        <v>0</v>
      </c>
      <c r="L302" s="16">
        <f t="shared" si="938"/>
        <v>0</v>
      </c>
      <c r="M302" s="16">
        <f t="shared" si="938"/>
        <v>0</v>
      </c>
      <c r="N302" s="16">
        <f t="shared" si="938"/>
        <v>0</v>
      </c>
      <c r="O302" s="13">
        <f t="shared" si="887"/>
        <v>30000</v>
      </c>
      <c r="P302" s="14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  <c r="HU302" s="3"/>
      <c r="HV302" s="3"/>
      <c r="HW302" s="3"/>
      <c r="HX302" s="3"/>
      <c r="HY302" s="3"/>
      <c r="HZ302" s="3"/>
      <c r="IA302" s="3"/>
      <c r="IB302" s="3"/>
      <c r="IC302" s="3"/>
      <c r="ID302" s="3"/>
      <c r="IE302" s="3"/>
      <c r="IF302" s="3"/>
      <c r="IG302" s="3"/>
      <c r="IH302" s="3"/>
      <c r="II302" s="3"/>
      <c r="IJ302" s="3"/>
      <c r="IK302" s="3"/>
      <c r="IL302" s="3"/>
      <c r="IM302" s="3"/>
      <c r="IN302" s="3"/>
      <c r="IO302" s="3"/>
      <c r="IP302" s="3"/>
      <c r="IQ302" s="3"/>
      <c r="IR302" s="3"/>
      <c r="IS302" s="3"/>
      <c r="IT302" s="3"/>
      <c r="IU302" s="3"/>
      <c r="IV302" s="3"/>
    </row>
    <row r="303" spans="1:256" s="1" customFormat="1" x14ac:dyDescent="0.35">
      <c r="B303" s="15" t="s">
        <v>15</v>
      </c>
      <c r="C303" s="16">
        <f t="shared" ref="C303:N303" si="939">C301-C302</f>
        <v>0</v>
      </c>
      <c r="D303" s="16">
        <f t="shared" si="939"/>
        <v>0</v>
      </c>
      <c r="E303" s="16">
        <f t="shared" si="939"/>
        <v>270000</v>
      </c>
      <c r="F303" s="16">
        <f t="shared" si="939"/>
        <v>0</v>
      </c>
      <c r="G303" s="16">
        <f t="shared" si="939"/>
        <v>0</v>
      </c>
      <c r="H303" s="16">
        <f t="shared" si="939"/>
        <v>0</v>
      </c>
      <c r="I303" s="16">
        <f t="shared" si="939"/>
        <v>0</v>
      </c>
      <c r="J303" s="16">
        <f t="shared" si="939"/>
        <v>0</v>
      </c>
      <c r="K303" s="16">
        <f t="shared" si="939"/>
        <v>0</v>
      </c>
      <c r="L303" s="16">
        <f t="shared" si="939"/>
        <v>0</v>
      </c>
      <c r="M303" s="16">
        <f t="shared" si="939"/>
        <v>0</v>
      </c>
      <c r="N303" s="16">
        <f t="shared" si="939"/>
        <v>0</v>
      </c>
      <c r="O303" s="13">
        <f t="shared" si="887"/>
        <v>270000</v>
      </c>
      <c r="P303" s="14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/>
      <c r="HP303" s="3"/>
      <c r="HQ303" s="3"/>
      <c r="HR303" s="3"/>
      <c r="HS303" s="3"/>
      <c r="HT303" s="3"/>
      <c r="HU303" s="3"/>
      <c r="HV303" s="3"/>
      <c r="HW303" s="3"/>
      <c r="HX303" s="3"/>
      <c r="HY303" s="3"/>
      <c r="HZ303" s="3"/>
      <c r="IA303" s="3"/>
      <c r="IB303" s="3"/>
      <c r="IC303" s="3"/>
      <c r="ID303" s="3"/>
      <c r="IE303" s="3"/>
      <c r="IF303" s="3"/>
      <c r="IG303" s="3"/>
      <c r="IH303" s="3"/>
      <c r="II303" s="3"/>
      <c r="IJ303" s="3"/>
      <c r="IK303" s="3"/>
      <c r="IL303" s="3"/>
      <c r="IM303" s="3"/>
      <c r="IN303" s="3"/>
      <c r="IO303" s="3"/>
      <c r="IP303" s="3"/>
      <c r="IQ303" s="3"/>
      <c r="IR303" s="3"/>
      <c r="IS303" s="3"/>
      <c r="IT303" s="3"/>
      <c r="IU303" s="3"/>
      <c r="IV303" s="3"/>
    </row>
    <row r="304" spans="1:256" s="1" customFormat="1" ht="15" thickBot="1" x14ac:dyDescent="0.4">
      <c r="B304" s="15" t="s">
        <v>16</v>
      </c>
      <c r="C304" s="18">
        <f t="shared" ref="C304:N304" si="940">IF(C303&gt;1000000,(C304-1000000)*0.3+128000,IF(C303&gt;760000,(C303-760000)*0.25+68000,IF(C303&gt;520000,(C303-520000)*0.2+20000,IF(C303&gt;270000,(C303-270000)*0.08+0,IF(C303&lt;270001,0,0)))))</f>
        <v>0</v>
      </c>
      <c r="D304" s="18">
        <f t="shared" si="940"/>
        <v>0</v>
      </c>
      <c r="E304" s="18">
        <f t="shared" si="940"/>
        <v>0</v>
      </c>
      <c r="F304" s="18">
        <f t="shared" si="940"/>
        <v>0</v>
      </c>
      <c r="G304" s="18">
        <f t="shared" si="940"/>
        <v>0</v>
      </c>
      <c r="H304" s="18">
        <f t="shared" si="940"/>
        <v>0</v>
      </c>
      <c r="I304" s="18">
        <f t="shared" si="940"/>
        <v>0</v>
      </c>
      <c r="J304" s="18">
        <f t="shared" si="940"/>
        <v>0</v>
      </c>
      <c r="K304" s="18">
        <f t="shared" si="940"/>
        <v>0</v>
      </c>
      <c r="L304" s="18">
        <f t="shared" si="940"/>
        <v>0</v>
      </c>
      <c r="M304" s="18">
        <f t="shared" si="940"/>
        <v>0</v>
      </c>
      <c r="N304" s="18">
        <f t="shared" si="940"/>
        <v>0</v>
      </c>
      <c r="O304" s="13">
        <f t="shared" si="887"/>
        <v>0</v>
      </c>
      <c r="P304" s="14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HM304" s="3"/>
      <c r="HN304" s="3"/>
      <c r="HO304" s="3"/>
      <c r="HP304" s="3"/>
      <c r="HQ304" s="3"/>
      <c r="HR304" s="3"/>
      <c r="HS304" s="3"/>
      <c r="HT304" s="3"/>
      <c r="HU304" s="3"/>
      <c r="HV304" s="3"/>
      <c r="HW304" s="3"/>
      <c r="HX304" s="3"/>
      <c r="HY304" s="3"/>
      <c r="HZ304" s="3"/>
      <c r="IA304" s="3"/>
      <c r="IB304" s="3"/>
      <c r="IC304" s="3"/>
      <c r="ID304" s="3"/>
      <c r="IE304" s="3"/>
      <c r="IF304" s="3"/>
      <c r="IG304" s="3"/>
      <c r="IH304" s="3"/>
      <c r="II304" s="3"/>
      <c r="IJ304" s="3"/>
      <c r="IK304" s="3"/>
      <c r="IL304" s="3"/>
      <c r="IM304" s="3"/>
      <c r="IN304" s="3"/>
      <c r="IO304" s="3"/>
      <c r="IP304" s="3"/>
      <c r="IQ304" s="3"/>
      <c r="IR304" s="3"/>
      <c r="IS304" s="3"/>
      <c r="IT304" s="3"/>
      <c r="IU304" s="3"/>
      <c r="IV304" s="3"/>
    </row>
    <row r="305" spans="1:256" s="17" customFormat="1" hidden="1" x14ac:dyDescent="0.35">
      <c r="A305" s="17">
        <v>75</v>
      </c>
      <c r="B305" s="11"/>
      <c r="C305" s="12">
        <v>0</v>
      </c>
      <c r="D305" s="12">
        <v>0</v>
      </c>
      <c r="E305" s="12">
        <v>0</v>
      </c>
      <c r="F305" s="12">
        <v>0</v>
      </c>
      <c r="G305" s="12">
        <v>0</v>
      </c>
      <c r="H305" s="12">
        <v>0</v>
      </c>
      <c r="I305" s="12">
        <v>0</v>
      </c>
      <c r="J305" s="12">
        <v>0</v>
      </c>
      <c r="K305" s="12">
        <v>0</v>
      </c>
      <c r="L305" s="12">
        <v>0</v>
      </c>
      <c r="M305" s="12">
        <v>0</v>
      </c>
      <c r="N305" s="12">
        <v>0</v>
      </c>
      <c r="O305" s="13">
        <f t="shared" si="887"/>
        <v>0</v>
      </c>
      <c r="P305" s="14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HM305" s="3"/>
      <c r="HN305" s="3"/>
      <c r="HO305" s="3"/>
      <c r="HP305" s="3"/>
      <c r="HQ305" s="3"/>
      <c r="HR305" s="3"/>
      <c r="HS305" s="3"/>
      <c r="HT305" s="3"/>
      <c r="HU305" s="3"/>
      <c r="HV305" s="3"/>
      <c r="HW305" s="3"/>
      <c r="HX305" s="3"/>
      <c r="HY305" s="3"/>
      <c r="HZ305" s="3"/>
      <c r="IA305" s="3"/>
      <c r="IB305" s="3"/>
      <c r="IC305" s="3"/>
      <c r="ID305" s="3"/>
      <c r="IE305" s="3"/>
      <c r="IF305" s="3"/>
      <c r="IG305" s="3"/>
      <c r="IH305" s="3"/>
      <c r="II305" s="3"/>
      <c r="IJ305" s="3"/>
      <c r="IK305" s="3"/>
      <c r="IL305" s="3"/>
      <c r="IM305" s="3"/>
      <c r="IN305" s="3"/>
      <c r="IO305" s="3"/>
      <c r="IP305" s="3"/>
      <c r="IQ305" s="3"/>
      <c r="IR305" s="3"/>
      <c r="IS305" s="3"/>
      <c r="IT305" s="3"/>
      <c r="IU305" s="3"/>
      <c r="IV305" s="3"/>
    </row>
    <row r="306" spans="1:256" s="17" customFormat="1" hidden="1" x14ac:dyDescent="0.35">
      <c r="B306" s="15" t="s">
        <v>14</v>
      </c>
      <c r="C306" s="16">
        <f t="shared" ref="C306:N306" si="941">C305*0.1</f>
        <v>0</v>
      </c>
      <c r="D306" s="16">
        <f t="shared" si="941"/>
        <v>0</v>
      </c>
      <c r="E306" s="16">
        <f t="shared" si="941"/>
        <v>0</v>
      </c>
      <c r="F306" s="16">
        <f t="shared" si="941"/>
        <v>0</v>
      </c>
      <c r="G306" s="16">
        <f t="shared" si="941"/>
        <v>0</v>
      </c>
      <c r="H306" s="16">
        <f t="shared" si="941"/>
        <v>0</v>
      </c>
      <c r="I306" s="16">
        <f t="shared" si="941"/>
        <v>0</v>
      </c>
      <c r="J306" s="16">
        <f t="shared" si="941"/>
        <v>0</v>
      </c>
      <c r="K306" s="16">
        <f t="shared" si="941"/>
        <v>0</v>
      </c>
      <c r="L306" s="16">
        <f t="shared" si="941"/>
        <v>0</v>
      </c>
      <c r="M306" s="16">
        <f t="shared" si="941"/>
        <v>0</v>
      </c>
      <c r="N306" s="16">
        <f t="shared" si="941"/>
        <v>0</v>
      </c>
      <c r="O306" s="13">
        <f t="shared" si="887"/>
        <v>0</v>
      </c>
      <c r="P306" s="14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  <c r="HJ306" s="3"/>
      <c r="HK306" s="3"/>
      <c r="HL306" s="3"/>
      <c r="HM306" s="3"/>
      <c r="HN306" s="3"/>
      <c r="HO306" s="3"/>
      <c r="HP306" s="3"/>
      <c r="HQ306" s="3"/>
      <c r="HR306" s="3"/>
      <c r="HS306" s="3"/>
      <c r="HT306" s="3"/>
      <c r="HU306" s="3"/>
      <c r="HV306" s="3"/>
      <c r="HW306" s="3"/>
      <c r="HX306" s="3"/>
      <c r="HY306" s="3"/>
      <c r="HZ306" s="3"/>
      <c r="IA306" s="3"/>
      <c r="IB306" s="3"/>
      <c r="IC306" s="3"/>
      <c r="ID306" s="3"/>
      <c r="IE306" s="3"/>
      <c r="IF306" s="3"/>
      <c r="IG306" s="3"/>
      <c r="IH306" s="3"/>
      <c r="II306" s="3"/>
      <c r="IJ306" s="3"/>
      <c r="IK306" s="3"/>
      <c r="IL306" s="3"/>
      <c r="IM306" s="3"/>
      <c r="IN306" s="3"/>
      <c r="IO306" s="3"/>
      <c r="IP306" s="3"/>
      <c r="IQ306" s="3"/>
      <c r="IR306" s="3"/>
      <c r="IS306" s="3"/>
      <c r="IT306" s="3"/>
      <c r="IU306" s="3"/>
      <c r="IV306" s="3"/>
    </row>
    <row r="307" spans="1:256" s="1" customFormat="1" hidden="1" x14ac:dyDescent="0.35">
      <c r="B307" s="15" t="s">
        <v>15</v>
      </c>
      <c r="C307" s="16">
        <f t="shared" ref="C307:N307" si="942">C305-C306</f>
        <v>0</v>
      </c>
      <c r="D307" s="16">
        <f t="shared" si="942"/>
        <v>0</v>
      </c>
      <c r="E307" s="16">
        <f t="shared" si="942"/>
        <v>0</v>
      </c>
      <c r="F307" s="16">
        <f t="shared" si="942"/>
        <v>0</v>
      </c>
      <c r="G307" s="16">
        <f t="shared" si="942"/>
        <v>0</v>
      </c>
      <c r="H307" s="16">
        <f t="shared" si="942"/>
        <v>0</v>
      </c>
      <c r="I307" s="16">
        <f t="shared" si="942"/>
        <v>0</v>
      </c>
      <c r="J307" s="16">
        <f t="shared" si="942"/>
        <v>0</v>
      </c>
      <c r="K307" s="16">
        <f t="shared" si="942"/>
        <v>0</v>
      </c>
      <c r="L307" s="16">
        <f t="shared" si="942"/>
        <v>0</v>
      </c>
      <c r="M307" s="16">
        <f t="shared" si="942"/>
        <v>0</v>
      </c>
      <c r="N307" s="16">
        <f t="shared" si="942"/>
        <v>0</v>
      </c>
      <c r="O307" s="13">
        <f t="shared" si="887"/>
        <v>0</v>
      </c>
      <c r="P307" s="14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HM307" s="3"/>
      <c r="HN307" s="3"/>
      <c r="HO307" s="3"/>
      <c r="HP307" s="3"/>
      <c r="HQ307" s="3"/>
      <c r="HR307" s="3"/>
      <c r="HS307" s="3"/>
      <c r="HT307" s="3"/>
      <c r="HU307" s="3"/>
      <c r="HV307" s="3"/>
      <c r="HW307" s="3"/>
      <c r="HX307" s="3"/>
      <c r="HY307" s="3"/>
      <c r="HZ307" s="3"/>
      <c r="IA307" s="3"/>
      <c r="IB307" s="3"/>
      <c r="IC307" s="3"/>
      <c r="ID307" s="3"/>
      <c r="IE307" s="3"/>
      <c r="IF307" s="3"/>
      <c r="IG307" s="3"/>
      <c r="IH307" s="3"/>
      <c r="II307" s="3"/>
      <c r="IJ307" s="3"/>
      <c r="IK307" s="3"/>
      <c r="IL307" s="3"/>
      <c r="IM307" s="3"/>
      <c r="IN307" s="3"/>
      <c r="IO307" s="3"/>
      <c r="IP307" s="3"/>
      <c r="IQ307" s="3"/>
      <c r="IR307" s="3"/>
      <c r="IS307" s="3"/>
      <c r="IT307" s="3"/>
      <c r="IU307" s="3"/>
      <c r="IV307" s="3"/>
    </row>
    <row r="308" spans="1:256" s="1" customFormat="1" hidden="1" x14ac:dyDescent="0.35">
      <c r="B308" s="15" t="s">
        <v>16</v>
      </c>
      <c r="C308" s="18">
        <f t="shared" ref="C308:N308" si="943">IF(C307&gt;1000000,(C308-1000000)*0.3+128000,IF(C307&gt;760000,(C307-760000)*0.25+68000,IF(C307&gt;520000,(C307-520000)*0.2+20000,IF(C307&gt;270000,(C307-270000)*0.08+0,IF(C307&lt;270001,0,0)))))</f>
        <v>0</v>
      </c>
      <c r="D308" s="18">
        <f t="shared" si="943"/>
        <v>0</v>
      </c>
      <c r="E308" s="18">
        <f t="shared" si="943"/>
        <v>0</v>
      </c>
      <c r="F308" s="18">
        <f t="shared" si="943"/>
        <v>0</v>
      </c>
      <c r="G308" s="18">
        <f t="shared" si="943"/>
        <v>0</v>
      </c>
      <c r="H308" s="18">
        <f t="shared" si="943"/>
        <v>0</v>
      </c>
      <c r="I308" s="18">
        <f t="shared" si="943"/>
        <v>0</v>
      </c>
      <c r="J308" s="18">
        <f t="shared" si="943"/>
        <v>0</v>
      </c>
      <c r="K308" s="18">
        <f t="shared" si="943"/>
        <v>0</v>
      </c>
      <c r="L308" s="18">
        <f t="shared" si="943"/>
        <v>0</v>
      </c>
      <c r="M308" s="18">
        <f t="shared" si="943"/>
        <v>0</v>
      </c>
      <c r="N308" s="18">
        <f t="shared" si="943"/>
        <v>0</v>
      </c>
      <c r="O308" s="13">
        <f t="shared" si="887"/>
        <v>0</v>
      </c>
      <c r="P308" s="14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HM308" s="3"/>
      <c r="HN308" s="3"/>
      <c r="HO308" s="3"/>
      <c r="HP308" s="3"/>
      <c r="HQ308" s="3"/>
      <c r="HR308" s="3"/>
      <c r="HS308" s="3"/>
      <c r="HT308" s="3"/>
      <c r="HU308" s="3"/>
      <c r="HV308" s="3"/>
      <c r="HW308" s="3"/>
      <c r="HX308" s="3"/>
      <c r="HY308" s="3"/>
      <c r="HZ308" s="3"/>
      <c r="IA308" s="3"/>
      <c r="IB308" s="3"/>
      <c r="IC308" s="3"/>
      <c r="ID308" s="3"/>
      <c r="IE308" s="3"/>
      <c r="IF308" s="3"/>
      <c r="IG308" s="3"/>
      <c r="IH308" s="3"/>
      <c r="II308" s="3"/>
      <c r="IJ308" s="3"/>
      <c r="IK308" s="3"/>
      <c r="IL308" s="3"/>
      <c r="IM308" s="3"/>
      <c r="IN308" s="3"/>
      <c r="IO308" s="3"/>
      <c r="IP308" s="3"/>
      <c r="IQ308" s="3"/>
      <c r="IR308" s="3"/>
      <c r="IS308" s="3"/>
      <c r="IT308" s="3"/>
      <c r="IU308" s="3"/>
      <c r="IV308" s="3"/>
    </row>
    <row r="309" spans="1:256" s="17" customFormat="1" hidden="1" x14ac:dyDescent="0.35">
      <c r="A309" s="17">
        <v>76</v>
      </c>
      <c r="B309" s="11"/>
      <c r="C309" s="12">
        <v>0</v>
      </c>
      <c r="D309" s="12">
        <v>0</v>
      </c>
      <c r="E309" s="12">
        <v>0</v>
      </c>
      <c r="F309" s="12">
        <v>0</v>
      </c>
      <c r="G309" s="12">
        <v>0</v>
      </c>
      <c r="H309" s="12">
        <v>0</v>
      </c>
      <c r="I309" s="12">
        <v>0</v>
      </c>
      <c r="J309" s="12">
        <v>0</v>
      </c>
      <c r="K309" s="12">
        <v>0</v>
      </c>
      <c r="L309" s="12">
        <v>0</v>
      </c>
      <c r="M309" s="12">
        <v>0</v>
      </c>
      <c r="N309" s="12">
        <v>0</v>
      </c>
      <c r="O309" s="13">
        <f t="shared" si="887"/>
        <v>0</v>
      </c>
      <c r="P309" s="14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/>
      <c r="HP309" s="3"/>
      <c r="HQ309" s="3"/>
      <c r="HR309" s="3"/>
      <c r="HS309" s="3"/>
      <c r="HT309" s="3"/>
      <c r="HU309" s="3"/>
      <c r="HV309" s="3"/>
      <c r="HW309" s="3"/>
      <c r="HX309" s="3"/>
      <c r="HY309" s="3"/>
      <c r="HZ309" s="3"/>
      <c r="IA309" s="3"/>
      <c r="IB309" s="3"/>
      <c r="IC309" s="3"/>
      <c r="ID309" s="3"/>
      <c r="IE309" s="3"/>
      <c r="IF309" s="3"/>
      <c r="IG309" s="3"/>
      <c r="IH309" s="3"/>
      <c r="II309" s="3"/>
      <c r="IJ309" s="3"/>
      <c r="IK309" s="3"/>
      <c r="IL309" s="3"/>
      <c r="IM309" s="3"/>
      <c r="IN309" s="3"/>
      <c r="IO309" s="3"/>
      <c r="IP309" s="3"/>
      <c r="IQ309" s="3"/>
      <c r="IR309" s="3"/>
      <c r="IS309" s="3"/>
      <c r="IT309" s="3"/>
      <c r="IU309" s="3"/>
      <c r="IV309" s="3"/>
    </row>
    <row r="310" spans="1:256" s="17" customFormat="1" hidden="1" x14ac:dyDescent="0.35">
      <c r="B310" s="15" t="s">
        <v>14</v>
      </c>
      <c r="C310" s="16">
        <f t="shared" ref="C310:N310" si="944">C309*0.1</f>
        <v>0</v>
      </c>
      <c r="D310" s="16">
        <f t="shared" si="944"/>
        <v>0</v>
      </c>
      <c r="E310" s="16">
        <f t="shared" si="944"/>
        <v>0</v>
      </c>
      <c r="F310" s="16">
        <f t="shared" si="944"/>
        <v>0</v>
      </c>
      <c r="G310" s="16">
        <f t="shared" si="944"/>
        <v>0</v>
      </c>
      <c r="H310" s="16">
        <f t="shared" si="944"/>
        <v>0</v>
      </c>
      <c r="I310" s="16">
        <f t="shared" si="944"/>
        <v>0</v>
      </c>
      <c r="J310" s="16">
        <f t="shared" si="944"/>
        <v>0</v>
      </c>
      <c r="K310" s="16">
        <f t="shared" si="944"/>
        <v>0</v>
      </c>
      <c r="L310" s="16">
        <f t="shared" si="944"/>
        <v>0</v>
      </c>
      <c r="M310" s="16">
        <f t="shared" si="944"/>
        <v>0</v>
      </c>
      <c r="N310" s="16">
        <f t="shared" si="944"/>
        <v>0</v>
      </c>
      <c r="O310" s="13">
        <f t="shared" si="887"/>
        <v>0</v>
      </c>
      <c r="P310" s="14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/>
      <c r="HQ310" s="3"/>
      <c r="HR310" s="3"/>
      <c r="HS310" s="3"/>
      <c r="HT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/>
      <c r="II310" s="3"/>
      <c r="IJ310" s="3"/>
      <c r="IK310" s="3"/>
      <c r="IL310" s="3"/>
      <c r="IM310" s="3"/>
      <c r="IN310" s="3"/>
      <c r="IO310" s="3"/>
      <c r="IP310" s="3"/>
      <c r="IQ310" s="3"/>
      <c r="IR310" s="3"/>
      <c r="IS310" s="3"/>
      <c r="IT310" s="3"/>
      <c r="IU310" s="3"/>
      <c r="IV310" s="3"/>
    </row>
    <row r="311" spans="1:256" s="1" customFormat="1" hidden="1" x14ac:dyDescent="0.35">
      <c r="B311" s="15" t="s">
        <v>15</v>
      </c>
      <c r="C311" s="16">
        <f t="shared" ref="C311:N311" si="945">C309-C310</f>
        <v>0</v>
      </c>
      <c r="D311" s="16">
        <f t="shared" si="945"/>
        <v>0</v>
      </c>
      <c r="E311" s="16">
        <f t="shared" si="945"/>
        <v>0</v>
      </c>
      <c r="F311" s="16">
        <f t="shared" si="945"/>
        <v>0</v>
      </c>
      <c r="G311" s="16">
        <f t="shared" si="945"/>
        <v>0</v>
      </c>
      <c r="H311" s="16">
        <f t="shared" si="945"/>
        <v>0</v>
      </c>
      <c r="I311" s="16">
        <f t="shared" si="945"/>
        <v>0</v>
      </c>
      <c r="J311" s="16">
        <f t="shared" si="945"/>
        <v>0</v>
      </c>
      <c r="K311" s="16">
        <f t="shared" si="945"/>
        <v>0</v>
      </c>
      <c r="L311" s="16">
        <f t="shared" si="945"/>
        <v>0</v>
      </c>
      <c r="M311" s="16">
        <f t="shared" si="945"/>
        <v>0</v>
      </c>
      <c r="N311" s="16">
        <f t="shared" si="945"/>
        <v>0</v>
      </c>
      <c r="O311" s="13">
        <f t="shared" si="887"/>
        <v>0</v>
      </c>
      <c r="P311" s="14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/>
      <c r="HP311" s="3"/>
      <c r="HQ311" s="3"/>
      <c r="HR311" s="3"/>
      <c r="HS311" s="3"/>
      <c r="HT311" s="3"/>
      <c r="HU311" s="3"/>
      <c r="HV311" s="3"/>
      <c r="HW311" s="3"/>
      <c r="HX311" s="3"/>
      <c r="HY311" s="3"/>
      <c r="HZ311" s="3"/>
      <c r="IA311" s="3"/>
      <c r="IB311" s="3"/>
      <c r="IC311" s="3"/>
      <c r="ID311" s="3"/>
      <c r="IE311" s="3"/>
      <c r="IF311" s="3"/>
      <c r="IG311" s="3"/>
      <c r="IH311" s="3"/>
      <c r="II311" s="3"/>
      <c r="IJ311" s="3"/>
      <c r="IK311" s="3"/>
      <c r="IL311" s="3"/>
      <c r="IM311" s="3"/>
      <c r="IN311" s="3"/>
      <c r="IO311" s="3"/>
      <c r="IP311" s="3"/>
      <c r="IQ311" s="3"/>
      <c r="IR311" s="3"/>
      <c r="IS311" s="3"/>
      <c r="IT311" s="3"/>
      <c r="IU311" s="3"/>
      <c r="IV311" s="3"/>
    </row>
    <row r="312" spans="1:256" s="1" customFormat="1" hidden="1" x14ac:dyDescent="0.35">
      <c r="B312" s="15" t="s">
        <v>16</v>
      </c>
      <c r="C312" s="18">
        <f t="shared" ref="C312:N312" si="946">IF(C311&gt;1000000,(C312-1000000)*0.3+128000,IF(C311&gt;760000,(C311-760000)*0.25+68000,IF(C311&gt;520000,(C311-520000)*0.2+20000,IF(C311&gt;270000,(C311-270000)*0.08+0,IF(C311&lt;270001,0,0)))))</f>
        <v>0</v>
      </c>
      <c r="D312" s="18">
        <f t="shared" si="946"/>
        <v>0</v>
      </c>
      <c r="E312" s="18">
        <f t="shared" si="946"/>
        <v>0</v>
      </c>
      <c r="F312" s="18">
        <f t="shared" si="946"/>
        <v>0</v>
      </c>
      <c r="G312" s="18">
        <f t="shared" si="946"/>
        <v>0</v>
      </c>
      <c r="H312" s="18">
        <f t="shared" si="946"/>
        <v>0</v>
      </c>
      <c r="I312" s="18">
        <f t="shared" si="946"/>
        <v>0</v>
      </c>
      <c r="J312" s="18">
        <f t="shared" si="946"/>
        <v>0</v>
      </c>
      <c r="K312" s="18">
        <f t="shared" si="946"/>
        <v>0</v>
      </c>
      <c r="L312" s="18">
        <f t="shared" si="946"/>
        <v>0</v>
      </c>
      <c r="M312" s="18">
        <f t="shared" si="946"/>
        <v>0</v>
      </c>
      <c r="N312" s="18">
        <f t="shared" si="946"/>
        <v>0</v>
      </c>
      <c r="O312" s="13">
        <f t="shared" si="887"/>
        <v>0</v>
      </c>
      <c r="P312" s="14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HM312" s="3"/>
      <c r="HN312" s="3"/>
      <c r="HO312" s="3"/>
      <c r="HP312" s="3"/>
      <c r="HQ312" s="3"/>
      <c r="HR312" s="3"/>
      <c r="HS312" s="3"/>
      <c r="HT312" s="3"/>
      <c r="HU312" s="3"/>
      <c r="HV312" s="3"/>
      <c r="HW312" s="3"/>
      <c r="HX312" s="3"/>
      <c r="HY312" s="3"/>
      <c r="HZ312" s="3"/>
      <c r="IA312" s="3"/>
      <c r="IB312" s="3"/>
      <c r="IC312" s="3"/>
      <c r="ID312" s="3"/>
      <c r="IE312" s="3"/>
      <c r="IF312" s="3"/>
      <c r="IG312" s="3"/>
      <c r="IH312" s="3"/>
      <c r="II312" s="3"/>
      <c r="IJ312" s="3"/>
      <c r="IK312" s="3"/>
      <c r="IL312" s="3"/>
      <c r="IM312" s="3"/>
      <c r="IN312" s="3"/>
      <c r="IO312" s="3"/>
      <c r="IP312" s="3"/>
      <c r="IQ312" s="3"/>
      <c r="IR312" s="3"/>
      <c r="IS312" s="3"/>
      <c r="IT312" s="3"/>
      <c r="IU312" s="3"/>
      <c r="IV312" s="3"/>
    </row>
    <row r="313" spans="1:256" s="17" customFormat="1" hidden="1" x14ac:dyDescent="0.35">
      <c r="A313" s="17">
        <v>77</v>
      </c>
      <c r="B313" s="11"/>
      <c r="C313" s="12">
        <v>0</v>
      </c>
      <c r="D313" s="12">
        <v>0</v>
      </c>
      <c r="E313" s="12">
        <v>0</v>
      </c>
      <c r="F313" s="12">
        <v>0</v>
      </c>
      <c r="G313" s="12">
        <v>0</v>
      </c>
      <c r="H313" s="12">
        <v>0</v>
      </c>
      <c r="I313" s="12">
        <v>0</v>
      </c>
      <c r="J313" s="12">
        <v>0</v>
      </c>
      <c r="K313" s="12">
        <v>0</v>
      </c>
      <c r="L313" s="12">
        <v>0</v>
      </c>
      <c r="M313" s="12">
        <v>0</v>
      </c>
      <c r="N313" s="12">
        <v>0</v>
      </c>
      <c r="O313" s="13">
        <f t="shared" si="887"/>
        <v>0</v>
      </c>
      <c r="P313" s="14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/>
      <c r="HP313" s="3"/>
      <c r="HQ313" s="3"/>
      <c r="HR313" s="3"/>
      <c r="HS313" s="3"/>
      <c r="HT313" s="3"/>
      <c r="HU313" s="3"/>
      <c r="HV313" s="3"/>
      <c r="HW313" s="3"/>
      <c r="HX313" s="3"/>
      <c r="HY313" s="3"/>
      <c r="HZ313" s="3"/>
      <c r="IA313" s="3"/>
      <c r="IB313" s="3"/>
      <c r="IC313" s="3"/>
      <c r="ID313" s="3"/>
      <c r="IE313" s="3"/>
      <c r="IF313" s="3"/>
      <c r="IG313" s="3"/>
      <c r="IH313" s="3"/>
      <c r="II313" s="3"/>
      <c r="IJ313" s="3"/>
      <c r="IK313" s="3"/>
      <c r="IL313" s="3"/>
      <c r="IM313" s="3"/>
      <c r="IN313" s="3"/>
      <c r="IO313" s="3"/>
      <c r="IP313" s="3"/>
      <c r="IQ313" s="3"/>
      <c r="IR313" s="3"/>
      <c r="IS313" s="3"/>
      <c r="IT313" s="3"/>
      <c r="IU313" s="3"/>
      <c r="IV313" s="3"/>
    </row>
    <row r="314" spans="1:256" s="17" customFormat="1" hidden="1" x14ac:dyDescent="0.35">
      <c r="B314" s="15" t="s">
        <v>14</v>
      </c>
      <c r="C314" s="16">
        <f t="shared" ref="C314:N314" si="947">C313*0.1</f>
        <v>0</v>
      </c>
      <c r="D314" s="16">
        <f t="shared" si="947"/>
        <v>0</v>
      </c>
      <c r="E314" s="16">
        <f t="shared" si="947"/>
        <v>0</v>
      </c>
      <c r="F314" s="16">
        <f t="shared" si="947"/>
        <v>0</v>
      </c>
      <c r="G314" s="16">
        <f t="shared" si="947"/>
        <v>0</v>
      </c>
      <c r="H314" s="16">
        <f t="shared" si="947"/>
        <v>0</v>
      </c>
      <c r="I314" s="16">
        <f t="shared" si="947"/>
        <v>0</v>
      </c>
      <c r="J314" s="16">
        <f t="shared" si="947"/>
        <v>0</v>
      </c>
      <c r="K314" s="16">
        <f t="shared" si="947"/>
        <v>0</v>
      </c>
      <c r="L314" s="16">
        <f t="shared" si="947"/>
        <v>0</v>
      </c>
      <c r="M314" s="16">
        <f t="shared" si="947"/>
        <v>0</v>
      </c>
      <c r="N314" s="16">
        <f t="shared" si="947"/>
        <v>0</v>
      </c>
      <c r="O314" s="13">
        <f t="shared" si="887"/>
        <v>0</v>
      </c>
      <c r="P314" s="14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3"/>
      <c r="HQ314" s="3"/>
      <c r="HR314" s="3"/>
      <c r="HS314" s="3"/>
      <c r="HT314" s="3"/>
      <c r="HU314" s="3"/>
      <c r="HV314" s="3"/>
      <c r="HW314" s="3"/>
      <c r="HX314" s="3"/>
      <c r="HY314" s="3"/>
      <c r="HZ314" s="3"/>
      <c r="IA314" s="3"/>
      <c r="IB314" s="3"/>
      <c r="IC314" s="3"/>
      <c r="ID314" s="3"/>
      <c r="IE314" s="3"/>
      <c r="IF314" s="3"/>
      <c r="IG314" s="3"/>
      <c r="IH314" s="3"/>
      <c r="II314" s="3"/>
      <c r="IJ314" s="3"/>
      <c r="IK314" s="3"/>
      <c r="IL314" s="3"/>
      <c r="IM314" s="3"/>
      <c r="IN314" s="3"/>
      <c r="IO314" s="3"/>
      <c r="IP314" s="3"/>
      <c r="IQ314" s="3"/>
      <c r="IR314" s="3"/>
      <c r="IS314" s="3"/>
      <c r="IT314" s="3"/>
      <c r="IU314" s="3"/>
      <c r="IV314" s="3"/>
    </row>
    <row r="315" spans="1:256" s="1" customFormat="1" hidden="1" x14ac:dyDescent="0.35">
      <c r="B315" s="15" t="s">
        <v>15</v>
      </c>
      <c r="C315" s="16">
        <f t="shared" ref="C315:N315" si="948">C313-C314</f>
        <v>0</v>
      </c>
      <c r="D315" s="16">
        <f t="shared" si="948"/>
        <v>0</v>
      </c>
      <c r="E315" s="16">
        <f t="shared" si="948"/>
        <v>0</v>
      </c>
      <c r="F315" s="16">
        <f t="shared" si="948"/>
        <v>0</v>
      </c>
      <c r="G315" s="16">
        <f t="shared" si="948"/>
        <v>0</v>
      </c>
      <c r="H315" s="16">
        <f t="shared" si="948"/>
        <v>0</v>
      </c>
      <c r="I315" s="16">
        <f t="shared" si="948"/>
        <v>0</v>
      </c>
      <c r="J315" s="16">
        <f t="shared" si="948"/>
        <v>0</v>
      </c>
      <c r="K315" s="16">
        <f t="shared" si="948"/>
        <v>0</v>
      </c>
      <c r="L315" s="16">
        <f t="shared" si="948"/>
        <v>0</v>
      </c>
      <c r="M315" s="16">
        <f t="shared" si="948"/>
        <v>0</v>
      </c>
      <c r="N315" s="16">
        <f t="shared" si="948"/>
        <v>0</v>
      </c>
      <c r="O315" s="13">
        <f t="shared" si="887"/>
        <v>0</v>
      </c>
      <c r="P315" s="14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/>
      <c r="HQ315" s="3"/>
      <c r="HR315" s="3"/>
      <c r="HS315" s="3"/>
      <c r="HT315" s="3"/>
      <c r="HU315" s="3"/>
      <c r="HV315" s="3"/>
      <c r="HW315" s="3"/>
      <c r="HX315" s="3"/>
      <c r="HY315" s="3"/>
      <c r="HZ315" s="3"/>
      <c r="IA315" s="3"/>
      <c r="IB315" s="3"/>
      <c r="IC315" s="3"/>
      <c r="ID315" s="3"/>
      <c r="IE315" s="3"/>
      <c r="IF315" s="3"/>
      <c r="IG315" s="3"/>
      <c r="IH315" s="3"/>
      <c r="II315" s="3"/>
      <c r="IJ315" s="3"/>
      <c r="IK315" s="3"/>
      <c r="IL315" s="3"/>
      <c r="IM315" s="3"/>
      <c r="IN315" s="3"/>
      <c r="IO315" s="3"/>
      <c r="IP315" s="3"/>
      <c r="IQ315" s="3"/>
      <c r="IR315" s="3"/>
      <c r="IS315" s="3"/>
      <c r="IT315" s="3"/>
      <c r="IU315" s="3"/>
      <c r="IV315" s="3"/>
    </row>
    <row r="316" spans="1:256" s="1" customFormat="1" hidden="1" x14ac:dyDescent="0.35">
      <c r="B316" s="15" t="s">
        <v>16</v>
      </c>
      <c r="C316" s="18">
        <f t="shared" ref="C316:N316" si="949">IF(C315&gt;1000000,(C316-1000000)*0.3+128000,IF(C315&gt;760000,(C315-760000)*0.25+68000,IF(C315&gt;520000,(C315-520000)*0.2+20000,IF(C315&gt;270000,(C315-270000)*0.08+0,IF(C315&lt;270001,0,0)))))</f>
        <v>0</v>
      </c>
      <c r="D316" s="18">
        <f t="shared" si="949"/>
        <v>0</v>
      </c>
      <c r="E316" s="18">
        <f t="shared" si="949"/>
        <v>0</v>
      </c>
      <c r="F316" s="18">
        <f t="shared" si="949"/>
        <v>0</v>
      </c>
      <c r="G316" s="18">
        <f t="shared" si="949"/>
        <v>0</v>
      </c>
      <c r="H316" s="18">
        <f t="shared" si="949"/>
        <v>0</v>
      </c>
      <c r="I316" s="18">
        <f t="shared" si="949"/>
        <v>0</v>
      </c>
      <c r="J316" s="18">
        <f t="shared" si="949"/>
        <v>0</v>
      </c>
      <c r="K316" s="18">
        <f t="shared" si="949"/>
        <v>0</v>
      </c>
      <c r="L316" s="18">
        <f t="shared" si="949"/>
        <v>0</v>
      </c>
      <c r="M316" s="18">
        <f t="shared" si="949"/>
        <v>0</v>
      </c>
      <c r="N316" s="18">
        <f t="shared" si="949"/>
        <v>0</v>
      </c>
      <c r="O316" s="13">
        <f t="shared" si="887"/>
        <v>0</v>
      </c>
      <c r="P316" s="14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3"/>
      <c r="HQ316" s="3"/>
      <c r="HR316" s="3"/>
      <c r="HS316" s="3"/>
      <c r="HT316" s="3"/>
      <c r="HU316" s="3"/>
      <c r="HV316" s="3"/>
      <c r="HW316" s="3"/>
      <c r="HX316" s="3"/>
      <c r="HY316" s="3"/>
      <c r="HZ316" s="3"/>
      <c r="IA316" s="3"/>
      <c r="IB316" s="3"/>
      <c r="IC316" s="3"/>
      <c r="ID316" s="3"/>
      <c r="IE316" s="3"/>
      <c r="IF316" s="3"/>
      <c r="IG316" s="3"/>
      <c r="IH316" s="3"/>
      <c r="II316" s="3"/>
      <c r="IJ316" s="3"/>
      <c r="IK316" s="3"/>
      <c r="IL316" s="3"/>
      <c r="IM316" s="3"/>
      <c r="IN316" s="3"/>
      <c r="IO316" s="3"/>
      <c r="IP316" s="3"/>
      <c r="IQ316" s="3"/>
      <c r="IR316" s="3"/>
      <c r="IS316" s="3"/>
      <c r="IT316" s="3"/>
      <c r="IU316" s="3"/>
      <c r="IV316" s="3"/>
    </row>
    <row r="317" spans="1:256" s="17" customFormat="1" hidden="1" x14ac:dyDescent="0.35">
      <c r="A317" s="17">
        <v>78</v>
      </c>
      <c r="B317" s="11"/>
      <c r="C317" s="12">
        <v>0</v>
      </c>
      <c r="D317" s="12">
        <v>0</v>
      </c>
      <c r="E317" s="12">
        <v>0</v>
      </c>
      <c r="F317" s="12">
        <v>0</v>
      </c>
      <c r="G317" s="12">
        <v>0</v>
      </c>
      <c r="H317" s="12">
        <v>0</v>
      </c>
      <c r="I317" s="12">
        <v>0</v>
      </c>
      <c r="J317" s="12">
        <v>0</v>
      </c>
      <c r="K317" s="12">
        <v>0</v>
      </c>
      <c r="L317" s="12">
        <v>0</v>
      </c>
      <c r="M317" s="12">
        <v>0</v>
      </c>
      <c r="N317" s="12">
        <v>0</v>
      </c>
      <c r="O317" s="13">
        <f t="shared" si="887"/>
        <v>0</v>
      </c>
      <c r="P317" s="14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HM317" s="3"/>
      <c r="HN317" s="3"/>
      <c r="HO317" s="3"/>
      <c r="HP317" s="3"/>
      <c r="HQ317" s="3"/>
      <c r="HR317" s="3"/>
      <c r="HS317" s="3"/>
      <c r="HT317" s="3"/>
      <c r="HU317" s="3"/>
      <c r="HV317" s="3"/>
      <c r="HW317" s="3"/>
      <c r="HX317" s="3"/>
      <c r="HY317" s="3"/>
      <c r="HZ317" s="3"/>
      <c r="IA317" s="3"/>
      <c r="IB317" s="3"/>
      <c r="IC317" s="3"/>
      <c r="ID317" s="3"/>
      <c r="IE317" s="3"/>
      <c r="IF317" s="3"/>
      <c r="IG317" s="3"/>
      <c r="IH317" s="3"/>
      <c r="II317" s="3"/>
      <c r="IJ317" s="3"/>
      <c r="IK317" s="3"/>
      <c r="IL317" s="3"/>
      <c r="IM317" s="3"/>
      <c r="IN317" s="3"/>
      <c r="IO317" s="3"/>
      <c r="IP317" s="3"/>
      <c r="IQ317" s="3"/>
      <c r="IR317" s="3"/>
      <c r="IS317" s="3"/>
      <c r="IT317" s="3"/>
      <c r="IU317" s="3"/>
      <c r="IV317" s="3"/>
    </row>
    <row r="318" spans="1:256" s="17" customFormat="1" hidden="1" x14ac:dyDescent="0.35">
      <c r="B318" s="15" t="s">
        <v>14</v>
      </c>
      <c r="C318" s="16">
        <f t="shared" ref="C318:N318" si="950">C317*0.1</f>
        <v>0</v>
      </c>
      <c r="D318" s="16">
        <f t="shared" si="950"/>
        <v>0</v>
      </c>
      <c r="E318" s="16">
        <f t="shared" si="950"/>
        <v>0</v>
      </c>
      <c r="F318" s="16">
        <f t="shared" si="950"/>
        <v>0</v>
      </c>
      <c r="G318" s="16">
        <f t="shared" si="950"/>
        <v>0</v>
      </c>
      <c r="H318" s="16">
        <f t="shared" si="950"/>
        <v>0</v>
      </c>
      <c r="I318" s="16">
        <f t="shared" si="950"/>
        <v>0</v>
      </c>
      <c r="J318" s="16">
        <f t="shared" si="950"/>
        <v>0</v>
      </c>
      <c r="K318" s="16">
        <f t="shared" si="950"/>
        <v>0</v>
      </c>
      <c r="L318" s="16">
        <f t="shared" si="950"/>
        <v>0</v>
      </c>
      <c r="M318" s="16">
        <f t="shared" si="950"/>
        <v>0</v>
      </c>
      <c r="N318" s="16">
        <f t="shared" si="950"/>
        <v>0</v>
      </c>
      <c r="O318" s="13">
        <f t="shared" si="887"/>
        <v>0</v>
      </c>
      <c r="P318" s="14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  <c r="HJ318" s="3"/>
      <c r="HK318" s="3"/>
      <c r="HL318" s="3"/>
      <c r="HM318" s="3"/>
      <c r="HN318" s="3"/>
      <c r="HO318" s="3"/>
      <c r="HP318" s="3"/>
      <c r="HQ318" s="3"/>
      <c r="HR318" s="3"/>
      <c r="HS318" s="3"/>
      <c r="HT318" s="3"/>
      <c r="HU318" s="3"/>
      <c r="HV318" s="3"/>
      <c r="HW318" s="3"/>
      <c r="HX318" s="3"/>
      <c r="HY318" s="3"/>
      <c r="HZ318" s="3"/>
      <c r="IA318" s="3"/>
      <c r="IB318" s="3"/>
      <c r="IC318" s="3"/>
      <c r="ID318" s="3"/>
      <c r="IE318" s="3"/>
      <c r="IF318" s="3"/>
      <c r="IG318" s="3"/>
      <c r="IH318" s="3"/>
      <c r="II318" s="3"/>
      <c r="IJ318" s="3"/>
      <c r="IK318" s="3"/>
      <c r="IL318" s="3"/>
      <c r="IM318" s="3"/>
      <c r="IN318" s="3"/>
      <c r="IO318" s="3"/>
      <c r="IP318" s="3"/>
      <c r="IQ318" s="3"/>
      <c r="IR318" s="3"/>
      <c r="IS318" s="3"/>
      <c r="IT318" s="3"/>
      <c r="IU318" s="3"/>
      <c r="IV318" s="3"/>
    </row>
    <row r="319" spans="1:256" s="1" customFormat="1" hidden="1" x14ac:dyDescent="0.35">
      <c r="B319" s="15" t="s">
        <v>15</v>
      </c>
      <c r="C319" s="16">
        <f t="shared" ref="C319:N319" si="951">C317-C318</f>
        <v>0</v>
      </c>
      <c r="D319" s="16">
        <f t="shared" si="951"/>
        <v>0</v>
      </c>
      <c r="E319" s="16">
        <f t="shared" si="951"/>
        <v>0</v>
      </c>
      <c r="F319" s="16">
        <f t="shared" si="951"/>
        <v>0</v>
      </c>
      <c r="G319" s="16">
        <f t="shared" si="951"/>
        <v>0</v>
      </c>
      <c r="H319" s="16">
        <f t="shared" si="951"/>
        <v>0</v>
      </c>
      <c r="I319" s="16">
        <f t="shared" si="951"/>
        <v>0</v>
      </c>
      <c r="J319" s="16">
        <f t="shared" si="951"/>
        <v>0</v>
      </c>
      <c r="K319" s="16">
        <f t="shared" si="951"/>
        <v>0</v>
      </c>
      <c r="L319" s="16">
        <f t="shared" si="951"/>
        <v>0</v>
      </c>
      <c r="M319" s="16">
        <f t="shared" si="951"/>
        <v>0</v>
      </c>
      <c r="N319" s="16">
        <f t="shared" si="951"/>
        <v>0</v>
      </c>
      <c r="O319" s="13">
        <f t="shared" si="887"/>
        <v>0</v>
      </c>
      <c r="P319" s="14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/>
      <c r="HP319" s="3"/>
      <c r="HQ319" s="3"/>
      <c r="HR319" s="3"/>
      <c r="HS319" s="3"/>
      <c r="HT319" s="3"/>
      <c r="HU319" s="3"/>
      <c r="HV319" s="3"/>
      <c r="HW319" s="3"/>
      <c r="HX319" s="3"/>
      <c r="HY319" s="3"/>
      <c r="HZ319" s="3"/>
      <c r="IA319" s="3"/>
      <c r="IB319" s="3"/>
      <c r="IC319" s="3"/>
      <c r="ID319" s="3"/>
      <c r="IE319" s="3"/>
      <c r="IF319" s="3"/>
      <c r="IG319" s="3"/>
      <c r="IH319" s="3"/>
      <c r="II319" s="3"/>
      <c r="IJ319" s="3"/>
      <c r="IK319" s="3"/>
      <c r="IL319" s="3"/>
      <c r="IM319" s="3"/>
      <c r="IN319" s="3"/>
      <c r="IO319" s="3"/>
      <c r="IP319" s="3"/>
      <c r="IQ319" s="3"/>
      <c r="IR319" s="3"/>
      <c r="IS319" s="3"/>
      <c r="IT319" s="3"/>
      <c r="IU319" s="3"/>
      <c r="IV319" s="3"/>
    </row>
    <row r="320" spans="1:256" s="1" customFormat="1" hidden="1" x14ac:dyDescent="0.35">
      <c r="B320" s="15" t="s">
        <v>16</v>
      </c>
      <c r="C320" s="18">
        <f t="shared" ref="C320:N320" si="952">IF(C319&gt;1000000,(C320-1000000)*0.3+128000,IF(C319&gt;760000,(C319-760000)*0.25+68000,IF(C319&gt;520000,(C319-520000)*0.2+20000,IF(C319&gt;270000,(C319-270000)*0.08+0,IF(C319&lt;270001,0,0)))))</f>
        <v>0</v>
      </c>
      <c r="D320" s="18">
        <f t="shared" si="952"/>
        <v>0</v>
      </c>
      <c r="E320" s="18">
        <f t="shared" si="952"/>
        <v>0</v>
      </c>
      <c r="F320" s="18">
        <f t="shared" si="952"/>
        <v>0</v>
      </c>
      <c r="G320" s="18">
        <f t="shared" si="952"/>
        <v>0</v>
      </c>
      <c r="H320" s="18">
        <f t="shared" si="952"/>
        <v>0</v>
      </c>
      <c r="I320" s="18">
        <f t="shared" si="952"/>
        <v>0</v>
      </c>
      <c r="J320" s="18">
        <f t="shared" si="952"/>
        <v>0</v>
      </c>
      <c r="K320" s="18">
        <f t="shared" si="952"/>
        <v>0</v>
      </c>
      <c r="L320" s="18">
        <f t="shared" si="952"/>
        <v>0</v>
      </c>
      <c r="M320" s="18">
        <f t="shared" si="952"/>
        <v>0</v>
      </c>
      <c r="N320" s="18">
        <f t="shared" si="952"/>
        <v>0</v>
      </c>
      <c r="O320" s="13">
        <f t="shared" si="887"/>
        <v>0</v>
      </c>
      <c r="P320" s="14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  <c r="HJ320" s="3"/>
      <c r="HK320" s="3"/>
      <c r="HL320" s="3"/>
      <c r="HM320" s="3"/>
      <c r="HN320" s="3"/>
      <c r="HO320" s="3"/>
      <c r="HP320" s="3"/>
      <c r="HQ320" s="3"/>
      <c r="HR320" s="3"/>
      <c r="HS320" s="3"/>
      <c r="HT320" s="3"/>
      <c r="HU320" s="3"/>
      <c r="HV320" s="3"/>
      <c r="HW320" s="3"/>
      <c r="HX320" s="3"/>
      <c r="HY320" s="3"/>
      <c r="HZ320" s="3"/>
      <c r="IA320" s="3"/>
      <c r="IB320" s="3"/>
      <c r="IC320" s="3"/>
      <c r="ID320" s="3"/>
      <c r="IE320" s="3"/>
      <c r="IF320" s="3"/>
      <c r="IG320" s="3"/>
      <c r="IH320" s="3"/>
      <c r="II320" s="3"/>
      <c r="IJ320" s="3"/>
      <c r="IK320" s="3"/>
      <c r="IL320" s="3"/>
      <c r="IM320" s="3"/>
      <c r="IN320" s="3"/>
      <c r="IO320" s="3"/>
      <c r="IP320" s="3"/>
      <c r="IQ320" s="3"/>
      <c r="IR320" s="3"/>
      <c r="IS320" s="3"/>
      <c r="IT320" s="3"/>
      <c r="IU320" s="3"/>
      <c r="IV320" s="3"/>
    </row>
    <row r="321" spans="1:256" s="17" customFormat="1" hidden="1" x14ac:dyDescent="0.35">
      <c r="A321" s="17">
        <v>79</v>
      </c>
      <c r="B321" s="11"/>
      <c r="C321" s="12">
        <v>0</v>
      </c>
      <c r="D321" s="12">
        <v>0</v>
      </c>
      <c r="E321" s="12">
        <v>0</v>
      </c>
      <c r="F321" s="12">
        <v>0</v>
      </c>
      <c r="G321" s="12">
        <v>0</v>
      </c>
      <c r="H321" s="12">
        <v>0</v>
      </c>
      <c r="I321" s="12">
        <v>0</v>
      </c>
      <c r="J321" s="12">
        <v>0</v>
      </c>
      <c r="K321" s="12">
        <v>0</v>
      </c>
      <c r="L321" s="12">
        <v>0</v>
      </c>
      <c r="M321" s="12">
        <v>0</v>
      </c>
      <c r="N321" s="12">
        <v>0</v>
      </c>
      <c r="O321" s="13">
        <f t="shared" si="887"/>
        <v>0</v>
      </c>
      <c r="P321" s="14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HM321" s="3"/>
      <c r="HN321" s="3"/>
      <c r="HO321" s="3"/>
      <c r="HP321" s="3"/>
      <c r="HQ321" s="3"/>
      <c r="HR321" s="3"/>
      <c r="HS321" s="3"/>
      <c r="HT321" s="3"/>
      <c r="HU321" s="3"/>
      <c r="HV321" s="3"/>
      <c r="HW321" s="3"/>
      <c r="HX321" s="3"/>
      <c r="HY321" s="3"/>
      <c r="HZ321" s="3"/>
      <c r="IA321" s="3"/>
      <c r="IB321" s="3"/>
      <c r="IC321" s="3"/>
      <c r="ID321" s="3"/>
      <c r="IE321" s="3"/>
      <c r="IF321" s="3"/>
      <c r="IG321" s="3"/>
      <c r="IH321" s="3"/>
      <c r="II321" s="3"/>
      <c r="IJ321" s="3"/>
      <c r="IK321" s="3"/>
      <c r="IL321" s="3"/>
      <c r="IM321" s="3"/>
      <c r="IN321" s="3"/>
      <c r="IO321" s="3"/>
      <c r="IP321" s="3"/>
      <c r="IQ321" s="3"/>
      <c r="IR321" s="3"/>
      <c r="IS321" s="3"/>
      <c r="IT321" s="3"/>
      <c r="IU321" s="3"/>
      <c r="IV321" s="3"/>
    </row>
    <row r="322" spans="1:256" s="17" customFormat="1" hidden="1" x14ac:dyDescent="0.35">
      <c r="B322" s="15" t="s">
        <v>14</v>
      </c>
      <c r="C322" s="16">
        <f t="shared" ref="C322:N322" si="953">C321*0.1</f>
        <v>0</v>
      </c>
      <c r="D322" s="16">
        <f t="shared" si="953"/>
        <v>0</v>
      </c>
      <c r="E322" s="16">
        <f t="shared" si="953"/>
        <v>0</v>
      </c>
      <c r="F322" s="16">
        <f t="shared" si="953"/>
        <v>0</v>
      </c>
      <c r="G322" s="16">
        <f t="shared" si="953"/>
        <v>0</v>
      </c>
      <c r="H322" s="16">
        <f t="shared" si="953"/>
        <v>0</v>
      </c>
      <c r="I322" s="16">
        <f t="shared" si="953"/>
        <v>0</v>
      </c>
      <c r="J322" s="16">
        <f t="shared" si="953"/>
        <v>0</v>
      </c>
      <c r="K322" s="16">
        <f t="shared" si="953"/>
        <v>0</v>
      </c>
      <c r="L322" s="16">
        <f t="shared" si="953"/>
        <v>0</v>
      </c>
      <c r="M322" s="16">
        <f t="shared" si="953"/>
        <v>0</v>
      </c>
      <c r="N322" s="16">
        <f t="shared" si="953"/>
        <v>0</v>
      </c>
      <c r="O322" s="13">
        <f t="shared" si="887"/>
        <v>0</v>
      </c>
      <c r="P322" s="14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3"/>
      <c r="HQ322" s="3"/>
      <c r="HR322" s="3"/>
      <c r="HS322" s="3"/>
      <c r="HT322" s="3"/>
      <c r="HU322" s="3"/>
      <c r="HV322" s="3"/>
      <c r="HW322" s="3"/>
      <c r="HX322" s="3"/>
      <c r="HY322" s="3"/>
      <c r="HZ322" s="3"/>
      <c r="IA322" s="3"/>
      <c r="IB322" s="3"/>
      <c r="IC322" s="3"/>
      <c r="ID322" s="3"/>
      <c r="IE322" s="3"/>
      <c r="IF322" s="3"/>
      <c r="IG322" s="3"/>
      <c r="IH322" s="3"/>
      <c r="II322" s="3"/>
      <c r="IJ322" s="3"/>
      <c r="IK322" s="3"/>
      <c r="IL322" s="3"/>
      <c r="IM322" s="3"/>
      <c r="IN322" s="3"/>
      <c r="IO322" s="3"/>
      <c r="IP322" s="3"/>
      <c r="IQ322" s="3"/>
      <c r="IR322" s="3"/>
      <c r="IS322" s="3"/>
      <c r="IT322" s="3"/>
      <c r="IU322" s="3"/>
      <c r="IV322" s="3"/>
    </row>
    <row r="323" spans="1:256" s="1" customFormat="1" hidden="1" x14ac:dyDescent="0.35">
      <c r="B323" s="15" t="s">
        <v>15</v>
      </c>
      <c r="C323" s="16">
        <f t="shared" ref="C323:N323" si="954">C321-C322</f>
        <v>0</v>
      </c>
      <c r="D323" s="16">
        <f t="shared" si="954"/>
        <v>0</v>
      </c>
      <c r="E323" s="16">
        <f t="shared" si="954"/>
        <v>0</v>
      </c>
      <c r="F323" s="16">
        <f t="shared" si="954"/>
        <v>0</v>
      </c>
      <c r="G323" s="16">
        <f t="shared" si="954"/>
        <v>0</v>
      </c>
      <c r="H323" s="16">
        <f t="shared" si="954"/>
        <v>0</v>
      </c>
      <c r="I323" s="16">
        <f t="shared" si="954"/>
        <v>0</v>
      </c>
      <c r="J323" s="16">
        <f t="shared" si="954"/>
        <v>0</v>
      </c>
      <c r="K323" s="16">
        <f t="shared" si="954"/>
        <v>0</v>
      </c>
      <c r="L323" s="16">
        <f t="shared" si="954"/>
        <v>0</v>
      </c>
      <c r="M323" s="16">
        <f t="shared" si="954"/>
        <v>0</v>
      </c>
      <c r="N323" s="16">
        <f t="shared" si="954"/>
        <v>0</v>
      </c>
      <c r="O323" s="13">
        <f t="shared" si="887"/>
        <v>0</v>
      </c>
      <c r="P323" s="14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3"/>
      <c r="HQ323" s="3"/>
      <c r="HR323" s="3"/>
      <c r="HS323" s="3"/>
      <c r="HT323" s="3"/>
      <c r="HU323" s="3"/>
      <c r="HV323" s="3"/>
      <c r="HW323" s="3"/>
      <c r="HX323" s="3"/>
      <c r="HY323" s="3"/>
      <c r="HZ323" s="3"/>
      <c r="IA323" s="3"/>
      <c r="IB323" s="3"/>
      <c r="IC323" s="3"/>
      <c r="ID323" s="3"/>
      <c r="IE323" s="3"/>
      <c r="IF323" s="3"/>
      <c r="IG323" s="3"/>
      <c r="IH323" s="3"/>
      <c r="II323" s="3"/>
      <c r="IJ323" s="3"/>
      <c r="IK323" s="3"/>
      <c r="IL323" s="3"/>
      <c r="IM323" s="3"/>
      <c r="IN323" s="3"/>
      <c r="IO323" s="3"/>
      <c r="IP323" s="3"/>
      <c r="IQ323" s="3"/>
      <c r="IR323" s="3"/>
      <c r="IS323" s="3"/>
      <c r="IT323" s="3"/>
      <c r="IU323" s="3"/>
      <c r="IV323" s="3"/>
    </row>
    <row r="324" spans="1:256" s="1" customFormat="1" hidden="1" x14ac:dyDescent="0.35">
      <c r="B324" s="15" t="s">
        <v>16</v>
      </c>
      <c r="C324" s="18">
        <f t="shared" ref="C324:N324" si="955">IF(C323&gt;1000000,(C324-1000000)*0.3+128000,IF(C323&gt;760000,(C323-760000)*0.25+68000,IF(C323&gt;520000,(C323-520000)*0.2+20000,IF(C323&gt;270000,(C323-270000)*0.08+0,IF(C323&lt;270001,0,0)))))</f>
        <v>0</v>
      </c>
      <c r="D324" s="18">
        <f t="shared" si="955"/>
        <v>0</v>
      </c>
      <c r="E324" s="18">
        <f t="shared" si="955"/>
        <v>0</v>
      </c>
      <c r="F324" s="18">
        <f t="shared" si="955"/>
        <v>0</v>
      </c>
      <c r="G324" s="18">
        <f t="shared" si="955"/>
        <v>0</v>
      </c>
      <c r="H324" s="18">
        <f t="shared" si="955"/>
        <v>0</v>
      </c>
      <c r="I324" s="18">
        <f t="shared" si="955"/>
        <v>0</v>
      </c>
      <c r="J324" s="18">
        <f t="shared" si="955"/>
        <v>0</v>
      </c>
      <c r="K324" s="18">
        <f t="shared" si="955"/>
        <v>0</v>
      </c>
      <c r="L324" s="18">
        <f t="shared" si="955"/>
        <v>0</v>
      </c>
      <c r="M324" s="18">
        <f t="shared" si="955"/>
        <v>0</v>
      </c>
      <c r="N324" s="18">
        <f t="shared" si="955"/>
        <v>0</v>
      </c>
      <c r="O324" s="13">
        <f t="shared" si="887"/>
        <v>0</v>
      </c>
      <c r="P324" s="14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  <c r="HO324" s="3"/>
      <c r="HP324" s="3"/>
      <c r="HQ324" s="3"/>
      <c r="HR324" s="3"/>
      <c r="HS324" s="3"/>
      <c r="HT324" s="3"/>
      <c r="HU324" s="3"/>
      <c r="HV324" s="3"/>
      <c r="HW324" s="3"/>
      <c r="HX324" s="3"/>
      <c r="HY324" s="3"/>
      <c r="HZ324" s="3"/>
      <c r="IA324" s="3"/>
      <c r="IB324" s="3"/>
      <c r="IC324" s="3"/>
      <c r="ID324" s="3"/>
      <c r="IE324" s="3"/>
      <c r="IF324" s="3"/>
      <c r="IG324" s="3"/>
      <c r="IH324" s="3"/>
      <c r="II324" s="3"/>
      <c r="IJ324" s="3"/>
      <c r="IK324" s="3"/>
      <c r="IL324" s="3"/>
      <c r="IM324" s="3"/>
      <c r="IN324" s="3"/>
      <c r="IO324" s="3"/>
      <c r="IP324" s="3"/>
      <c r="IQ324" s="3"/>
      <c r="IR324" s="3"/>
      <c r="IS324" s="3"/>
      <c r="IT324" s="3"/>
      <c r="IU324" s="3"/>
      <c r="IV324" s="3"/>
    </row>
    <row r="325" spans="1:256" s="17" customFormat="1" hidden="1" x14ac:dyDescent="0.35">
      <c r="A325" s="17">
        <v>80</v>
      </c>
      <c r="B325" s="11"/>
      <c r="C325" s="12">
        <v>0</v>
      </c>
      <c r="D325" s="12">
        <v>0</v>
      </c>
      <c r="E325" s="12">
        <v>0</v>
      </c>
      <c r="F325" s="12">
        <v>0</v>
      </c>
      <c r="G325" s="12">
        <v>0</v>
      </c>
      <c r="H325" s="12">
        <v>0</v>
      </c>
      <c r="I325" s="12">
        <v>0</v>
      </c>
      <c r="J325" s="12">
        <v>0</v>
      </c>
      <c r="K325" s="12">
        <v>0</v>
      </c>
      <c r="L325" s="12">
        <v>0</v>
      </c>
      <c r="M325" s="12">
        <v>0</v>
      </c>
      <c r="N325" s="12">
        <v>0</v>
      </c>
      <c r="O325" s="13">
        <f t="shared" ref="O325:O370" si="956">SUM(C325:N325)</f>
        <v>0</v>
      </c>
      <c r="P325" s="14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3"/>
      <c r="HT325" s="3"/>
      <c r="HU325" s="3"/>
      <c r="HV325" s="3"/>
      <c r="HW325" s="3"/>
      <c r="HX325" s="3"/>
      <c r="HY325" s="3"/>
      <c r="HZ325" s="3"/>
      <c r="IA325" s="3"/>
      <c r="IB325" s="3"/>
      <c r="IC325" s="3"/>
      <c r="ID325" s="3"/>
      <c r="IE325" s="3"/>
      <c r="IF325" s="3"/>
      <c r="IG325" s="3"/>
      <c r="IH325" s="3"/>
      <c r="II325" s="3"/>
      <c r="IJ325" s="3"/>
      <c r="IK325" s="3"/>
      <c r="IL325" s="3"/>
      <c r="IM325" s="3"/>
      <c r="IN325" s="3"/>
      <c r="IO325" s="3"/>
      <c r="IP325" s="3"/>
      <c r="IQ325" s="3"/>
      <c r="IR325" s="3"/>
      <c r="IS325" s="3"/>
      <c r="IT325" s="3"/>
      <c r="IU325" s="3"/>
      <c r="IV325" s="3"/>
    </row>
    <row r="326" spans="1:256" s="17" customFormat="1" hidden="1" x14ac:dyDescent="0.35">
      <c r="B326" s="15" t="s">
        <v>14</v>
      </c>
      <c r="C326" s="16">
        <f t="shared" ref="C326:N326" si="957">C325*0.1</f>
        <v>0</v>
      </c>
      <c r="D326" s="16">
        <f t="shared" si="957"/>
        <v>0</v>
      </c>
      <c r="E326" s="16">
        <f t="shared" si="957"/>
        <v>0</v>
      </c>
      <c r="F326" s="16">
        <f t="shared" si="957"/>
        <v>0</v>
      </c>
      <c r="G326" s="16">
        <f t="shared" si="957"/>
        <v>0</v>
      </c>
      <c r="H326" s="16">
        <f t="shared" si="957"/>
        <v>0</v>
      </c>
      <c r="I326" s="16">
        <f t="shared" si="957"/>
        <v>0</v>
      </c>
      <c r="J326" s="16">
        <f t="shared" si="957"/>
        <v>0</v>
      </c>
      <c r="K326" s="16">
        <f t="shared" si="957"/>
        <v>0</v>
      </c>
      <c r="L326" s="16">
        <f t="shared" si="957"/>
        <v>0</v>
      </c>
      <c r="M326" s="16">
        <f t="shared" si="957"/>
        <v>0</v>
      </c>
      <c r="N326" s="16">
        <f t="shared" si="957"/>
        <v>0</v>
      </c>
      <c r="O326" s="13">
        <f t="shared" si="956"/>
        <v>0</v>
      </c>
      <c r="P326" s="14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  <c r="HU326" s="3"/>
      <c r="HV326" s="3"/>
      <c r="HW326" s="3"/>
      <c r="HX326" s="3"/>
      <c r="HY326" s="3"/>
      <c r="HZ326" s="3"/>
      <c r="IA326" s="3"/>
      <c r="IB326" s="3"/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N326" s="3"/>
      <c r="IO326" s="3"/>
      <c r="IP326" s="3"/>
      <c r="IQ326" s="3"/>
      <c r="IR326" s="3"/>
      <c r="IS326" s="3"/>
      <c r="IT326" s="3"/>
      <c r="IU326" s="3"/>
      <c r="IV326" s="3"/>
    </row>
    <row r="327" spans="1:256" s="1" customFormat="1" hidden="1" x14ac:dyDescent="0.35">
      <c r="B327" s="15" t="s">
        <v>15</v>
      </c>
      <c r="C327" s="16">
        <f t="shared" ref="C327:N327" si="958">C325-C326</f>
        <v>0</v>
      </c>
      <c r="D327" s="16">
        <f t="shared" si="958"/>
        <v>0</v>
      </c>
      <c r="E327" s="16">
        <f t="shared" si="958"/>
        <v>0</v>
      </c>
      <c r="F327" s="16">
        <f t="shared" si="958"/>
        <v>0</v>
      </c>
      <c r="G327" s="16">
        <f t="shared" si="958"/>
        <v>0</v>
      </c>
      <c r="H327" s="16">
        <f t="shared" si="958"/>
        <v>0</v>
      </c>
      <c r="I327" s="16">
        <f t="shared" si="958"/>
        <v>0</v>
      </c>
      <c r="J327" s="16">
        <f t="shared" si="958"/>
        <v>0</v>
      </c>
      <c r="K327" s="16">
        <f t="shared" si="958"/>
        <v>0</v>
      </c>
      <c r="L327" s="16">
        <f t="shared" si="958"/>
        <v>0</v>
      </c>
      <c r="M327" s="16">
        <f t="shared" si="958"/>
        <v>0</v>
      </c>
      <c r="N327" s="16">
        <f t="shared" si="958"/>
        <v>0</v>
      </c>
      <c r="O327" s="13">
        <f t="shared" si="956"/>
        <v>0</v>
      </c>
      <c r="P327" s="14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/>
      <c r="HP327" s="3"/>
      <c r="HQ327" s="3"/>
      <c r="HR327" s="3"/>
      <c r="HS327" s="3"/>
      <c r="HT327" s="3"/>
      <c r="HU327" s="3"/>
      <c r="HV327" s="3"/>
      <c r="HW327" s="3"/>
      <c r="HX327" s="3"/>
      <c r="HY327" s="3"/>
      <c r="HZ327" s="3"/>
      <c r="IA327" s="3"/>
      <c r="IB327" s="3"/>
      <c r="IC327" s="3"/>
      <c r="ID327" s="3"/>
      <c r="IE327" s="3"/>
      <c r="IF327" s="3"/>
      <c r="IG327" s="3"/>
      <c r="IH327" s="3"/>
      <c r="II327" s="3"/>
      <c r="IJ327" s="3"/>
      <c r="IK327" s="3"/>
      <c r="IL327" s="3"/>
      <c r="IM327" s="3"/>
      <c r="IN327" s="3"/>
      <c r="IO327" s="3"/>
      <c r="IP327" s="3"/>
      <c r="IQ327" s="3"/>
      <c r="IR327" s="3"/>
      <c r="IS327" s="3"/>
      <c r="IT327" s="3"/>
      <c r="IU327" s="3"/>
      <c r="IV327" s="3"/>
    </row>
    <row r="328" spans="1:256" s="1" customFormat="1" hidden="1" x14ac:dyDescent="0.35">
      <c r="B328" s="15" t="s">
        <v>16</v>
      </c>
      <c r="C328" s="18">
        <f t="shared" ref="C328:N328" si="959">IF(C327&gt;1000000,(C328-1000000)*0.3+128000,IF(C327&gt;760000,(C327-760000)*0.25+68000,IF(C327&gt;520000,(C327-520000)*0.2+20000,IF(C327&gt;270000,(C327-270000)*0.08+0,IF(C327&lt;270001,0,0)))))</f>
        <v>0</v>
      </c>
      <c r="D328" s="18">
        <f t="shared" si="959"/>
        <v>0</v>
      </c>
      <c r="E328" s="18">
        <f t="shared" si="959"/>
        <v>0</v>
      </c>
      <c r="F328" s="18">
        <f t="shared" si="959"/>
        <v>0</v>
      </c>
      <c r="G328" s="18">
        <f t="shared" si="959"/>
        <v>0</v>
      </c>
      <c r="H328" s="18">
        <f t="shared" si="959"/>
        <v>0</v>
      </c>
      <c r="I328" s="18">
        <f t="shared" si="959"/>
        <v>0</v>
      </c>
      <c r="J328" s="18">
        <f t="shared" si="959"/>
        <v>0</v>
      </c>
      <c r="K328" s="18">
        <f t="shared" si="959"/>
        <v>0</v>
      </c>
      <c r="L328" s="18">
        <f t="shared" si="959"/>
        <v>0</v>
      </c>
      <c r="M328" s="18">
        <f t="shared" si="959"/>
        <v>0</v>
      </c>
      <c r="N328" s="18">
        <f t="shared" si="959"/>
        <v>0</v>
      </c>
      <c r="O328" s="13">
        <f t="shared" si="956"/>
        <v>0</v>
      </c>
      <c r="P328" s="14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3"/>
      <c r="HT328" s="3"/>
      <c r="HU328" s="3"/>
      <c r="HV328" s="3"/>
      <c r="HW328" s="3"/>
      <c r="HX328" s="3"/>
      <c r="HY328" s="3"/>
      <c r="HZ328" s="3"/>
      <c r="IA328" s="3"/>
      <c r="IB328" s="3"/>
      <c r="IC328" s="3"/>
      <c r="ID328" s="3"/>
      <c r="IE328" s="3"/>
      <c r="IF328" s="3"/>
      <c r="IG328" s="3"/>
      <c r="IH328" s="3"/>
      <c r="II328" s="3"/>
      <c r="IJ328" s="3"/>
      <c r="IK328" s="3"/>
      <c r="IL328" s="3"/>
      <c r="IM328" s="3"/>
      <c r="IN328" s="3"/>
      <c r="IO328" s="3"/>
      <c r="IP328" s="3"/>
      <c r="IQ328" s="3"/>
      <c r="IR328" s="3"/>
      <c r="IS328" s="3"/>
      <c r="IT328" s="3"/>
      <c r="IU328" s="3"/>
      <c r="IV328" s="3"/>
    </row>
    <row r="329" spans="1:256" s="17" customFormat="1" hidden="1" x14ac:dyDescent="0.35">
      <c r="A329" s="17">
        <v>81</v>
      </c>
      <c r="B329" s="11"/>
      <c r="C329" s="12">
        <v>0</v>
      </c>
      <c r="D329" s="12">
        <v>0</v>
      </c>
      <c r="E329" s="12">
        <v>0</v>
      </c>
      <c r="F329" s="12">
        <v>0</v>
      </c>
      <c r="G329" s="12">
        <v>0</v>
      </c>
      <c r="H329" s="12">
        <v>0</v>
      </c>
      <c r="I329" s="12">
        <v>0</v>
      </c>
      <c r="J329" s="12">
        <v>0</v>
      </c>
      <c r="K329" s="12">
        <v>0</v>
      </c>
      <c r="L329" s="12">
        <v>0</v>
      </c>
      <c r="M329" s="12">
        <v>0</v>
      </c>
      <c r="N329" s="12">
        <v>0</v>
      </c>
      <c r="O329" s="13">
        <f t="shared" si="956"/>
        <v>0</v>
      </c>
      <c r="P329" s="14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3"/>
      <c r="HQ329" s="3"/>
      <c r="HR329" s="3"/>
      <c r="HS329" s="3"/>
      <c r="HT329" s="3"/>
      <c r="HU329" s="3"/>
      <c r="HV329" s="3"/>
      <c r="HW329" s="3"/>
      <c r="HX329" s="3"/>
      <c r="HY329" s="3"/>
      <c r="HZ329" s="3"/>
      <c r="IA329" s="3"/>
      <c r="IB329" s="3"/>
      <c r="IC329" s="3"/>
      <c r="ID329" s="3"/>
      <c r="IE329" s="3"/>
      <c r="IF329" s="3"/>
      <c r="IG329" s="3"/>
      <c r="IH329" s="3"/>
      <c r="II329" s="3"/>
      <c r="IJ329" s="3"/>
      <c r="IK329" s="3"/>
      <c r="IL329" s="3"/>
      <c r="IM329" s="3"/>
      <c r="IN329" s="3"/>
      <c r="IO329" s="3"/>
      <c r="IP329" s="3"/>
      <c r="IQ329" s="3"/>
      <c r="IR329" s="3"/>
      <c r="IS329" s="3"/>
      <c r="IT329" s="3"/>
      <c r="IU329" s="3"/>
      <c r="IV329" s="3"/>
    </row>
    <row r="330" spans="1:256" s="17" customFormat="1" hidden="1" x14ac:dyDescent="0.35">
      <c r="B330" s="15" t="s">
        <v>14</v>
      </c>
      <c r="C330" s="16">
        <f t="shared" ref="C330:N330" si="960">C329*0.1</f>
        <v>0</v>
      </c>
      <c r="D330" s="16">
        <f t="shared" si="960"/>
        <v>0</v>
      </c>
      <c r="E330" s="16">
        <f t="shared" si="960"/>
        <v>0</v>
      </c>
      <c r="F330" s="16">
        <f t="shared" si="960"/>
        <v>0</v>
      </c>
      <c r="G330" s="16">
        <f t="shared" si="960"/>
        <v>0</v>
      </c>
      <c r="H330" s="16">
        <f t="shared" si="960"/>
        <v>0</v>
      </c>
      <c r="I330" s="16">
        <f t="shared" si="960"/>
        <v>0</v>
      </c>
      <c r="J330" s="16">
        <f t="shared" si="960"/>
        <v>0</v>
      </c>
      <c r="K330" s="16">
        <f t="shared" si="960"/>
        <v>0</v>
      </c>
      <c r="L330" s="16">
        <f t="shared" si="960"/>
        <v>0</v>
      </c>
      <c r="M330" s="16">
        <f t="shared" si="960"/>
        <v>0</v>
      </c>
      <c r="N330" s="16">
        <f t="shared" si="960"/>
        <v>0</v>
      </c>
      <c r="O330" s="13">
        <f t="shared" si="956"/>
        <v>0</v>
      </c>
      <c r="P330" s="14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3"/>
      <c r="HQ330" s="3"/>
      <c r="HR330" s="3"/>
      <c r="HS330" s="3"/>
      <c r="HT330" s="3"/>
      <c r="HU330" s="3"/>
      <c r="HV330" s="3"/>
      <c r="HW330" s="3"/>
      <c r="HX330" s="3"/>
      <c r="HY330" s="3"/>
      <c r="HZ330" s="3"/>
      <c r="IA330" s="3"/>
      <c r="IB330" s="3"/>
      <c r="IC330" s="3"/>
      <c r="ID330" s="3"/>
      <c r="IE330" s="3"/>
      <c r="IF330" s="3"/>
      <c r="IG330" s="3"/>
      <c r="IH330" s="3"/>
      <c r="II330" s="3"/>
      <c r="IJ330" s="3"/>
      <c r="IK330" s="3"/>
      <c r="IL330" s="3"/>
      <c r="IM330" s="3"/>
      <c r="IN330" s="3"/>
      <c r="IO330" s="3"/>
      <c r="IP330" s="3"/>
      <c r="IQ330" s="3"/>
      <c r="IR330" s="3"/>
      <c r="IS330" s="3"/>
      <c r="IT330" s="3"/>
      <c r="IU330" s="3"/>
      <c r="IV330" s="3"/>
    </row>
    <row r="331" spans="1:256" s="1" customFormat="1" hidden="1" x14ac:dyDescent="0.35">
      <c r="B331" s="15" t="s">
        <v>15</v>
      </c>
      <c r="C331" s="16">
        <f t="shared" ref="C331:N331" si="961">C329-C330</f>
        <v>0</v>
      </c>
      <c r="D331" s="16">
        <f t="shared" si="961"/>
        <v>0</v>
      </c>
      <c r="E331" s="16">
        <f t="shared" si="961"/>
        <v>0</v>
      </c>
      <c r="F331" s="16">
        <f t="shared" si="961"/>
        <v>0</v>
      </c>
      <c r="G331" s="16">
        <f t="shared" si="961"/>
        <v>0</v>
      </c>
      <c r="H331" s="16">
        <f t="shared" si="961"/>
        <v>0</v>
      </c>
      <c r="I331" s="16">
        <f t="shared" si="961"/>
        <v>0</v>
      </c>
      <c r="J331" s="16">
        <f t="shared" si="961"/>
        <v>0</v>
      </c>
      <c r="K331" s="16">
        <f t="shared" si="961"/>
        <v>0</v>
      </c>
      <c r="L331" s="16">
        <f t="shared" si="961"/>
        <v>0</v>
      </c>
      <c r="M331" s="16">
        <f t="shared" si="961"/>
        <v>0</v>
      </c>
      <c r="N331" s="16">
        <f t="shared" si="961"/>
        <v>0</v>
      </c>
      <c r="O331" s="13">
        <f t="shared" si="956"/>
        <v>0</v>
      </c>
      <c r="P331" s="14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3"/>
      <c r="HT331" s="3"/>
      <c r="HU331" s="3"/>
      <c r="HV331" s="3"/>
      <c r="HW331" s="3"/>
      <c r="HX331" s="3"/>
      <c r="HY331" s="3"/>
      <c r="HZ331" s="3"/>
      <c r="IA331" s="3"/>
      <c r="IB331" s="3"/>
      <c r="IC331" s="3"/>
      <c r="ID331" s="3"/>
      <c r="IE331" s="3"/>
      <c r="IF331" s="3"/>
      <c r="IG331" s="3"/>
      <c r="IH331" s="3"/>
      <c r="II331" s="3"/>
      <c r="IJ331" s="3"/>
      <c r="IK331" s="3"/>
      <c r="IL331" s="3"/>
      <c r="IM331" s="3"/>
      <c r="IN331" s="3"/>
      <c r="IO331" s="3"/>
      <c r="IP331" s="3"/>
      <c r="IQ331" s="3"/>
      <c r="IR331" s="3"/>
      <c r="IS331" s="3"/>
      <c r="IT331" s="3"/>
      <c r="IU331" s="3"/>
      <c r="IV331" s="3"/>
    </row>
    <row r="332" spans="1:256" s="1" customFormat="1" hidden="1" x14ac:dyDescent="0.35">
      <c r="B332" s="15" t="s">
        <v>16</v>
      </c>
      <c r="C332" s="18">
        <f t="shared" ref="C332:N332" si="962">IF(C331&gt;1000000,(C332-1000000)*0.3+128000,IF(C331&gt;760000,(C331-760000)*0.25+68000,IF(C331&gt;520000,(C331-520000)*0.2+20000,IF(C331&gt;270000,(C331-270000)*0.08+0,IF(C331&lt;270001,0,0)))))</f>
        <v>0</v>
      </c>
      <c r="D332" s="18">
        <f t="shared" si="962"/>
        <v>0</v>
      </c>
      <c r="E332" s="18">
        <f t="shared" si="962"/>
        <v>0</v>
      </c>
      <c r="F332" s="18">
        <f t="shared" si="962"/>
        <v>0</v>
      </c>
      <c r="G332" s="18">
        <f t="shared" si="962"/>
        <v>0</v>
      </c>
      <c r="H332" s="18">
        <f t="shared" si="962"/>
        <v>0</v>
      </c>
      <c r="I332" s="18">
        <f t="shared" si="962"/>
        <v>0</v>
      </c>
      <c r="J332" s="18">
        <f t="shared" si="962"/>
        <v>0</v>
      </c>
      <c r="K332" s="18">
        <f t="shared" si="962"/>
        <v>0</v>
      </c>
      <c r="L332" s="18">
        <f t="shared" si="962"/>
        <v>0</v>
      </c>
      <c r="M332" s="18">
        <f t="shared" si="962"/>
        <v>0</v>
      </c>
      <c r="N332" s="18">
        <f t="shared" si="962"/>
        <v>0</v>
      </c>
      <c r="O332" s="13">
        <f t="shared" si="956"/>
        <v>0</v>
      </c>
      <c r="P332" s="14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HM332" s="3"/>
      <c r="HN332" s="3"/>
      <c r="HO332" s="3"/>
      <c r="HP332" s="3"/>
      <c r="HQ332" s="3"/>
      <c r="HR332" s="3"/>
      <c r="HS332" s="3"/>
      <c r="HT332" s="3"/>
      <c r="HU332" s="3"/>
      <c r="HV332" s="3"/>
      <c r="HW332" s="3"/>
      <c r="HX332" s="3"/>
      <c r="HY332" s="3"/>
      <c r="HZ332" s="3"/>
      <c r="IA332" s="3"/>
      <c r="IB332" s="3"/>
      <c r="IC332" s="3"/>
      <c r="ID332" s="3"/>
      <c r="IE332" s="3"/>
      <c r="IF332" s="3"/>
      <c r="IG332" s="3"/>
      <c r="IH332" s="3"/>
      <c r="II332" s="3"/>
      <c r="IJ332" s="3"/>
      <c r="IK332" s="3"/>
      <c r="IL332" s="3"/>
      <c r="IM332" s="3"/>
      <c r="IN332" s="3"/>
      <c r="IO332" s="3"/>
      <c r="IP332" s="3"/>
      <c r="IQ332" s="3"/>
      <c r="IR332" s="3"/>
      <c r="IS332" s="3"/>
      <c r="IT332" s="3"/>
      <c r="IU332" s="3"/>
      <c r="IV332" s="3"/>
    </row>
    <row r="333" spans="1:256" s="17" customFormat="1" hidden="1" x14ac:dyDescent="0.35">
      <c r="A333" s="17">
        <v>82</v>
      </c>
      <c r="B333" s="11"/>
      <c r="C333" s="12">
        <v>0</v>
      </c>
      <c r="D333" s="12">
        <v>0</v>
      </c>
      <c r="E333" s="12">
        <v>0</v>
      </c>
      <c r="F333" s="12">
        <v>0</v>
      </c>
      <c r="G333" s="12">
        <v>0</v>
      </c>
      <c r="H333" s="12">
        <v>0</v>
      </c>
      <c r="I333" s="12">
        <v>0</v>
      </c>
      <c r="J333" s="12">
        <v>0</v>
      </c>
      <c r="K333" s="12">
        <v>0</v>
      </c>
      <c r="L333" s="12">
        <v>0</v>
      </c>
      <c r="M333" s="12">
        <v>0</v>
      </c>
      <c r="N333" s="12">
        <v>0</v>
      </c>
      <c r="O333" s="13">
        <f t="shared" si="956"/>
        <v>0</v>
      </c>
      <c r="P333" s="14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  <c r="HJ333" s="3"/>
      <c r="HK333" s="3"/>
      <c r="HL333" s="3"/>
      <c r="HM333" s="3"/>
      <c r="HN333" s="3"/>
      <c r="HO333" s="3"/>
      <c r="HP333" s="3"/>
      <c r="HQ333" s="3"/>
      <c r="HR333" s="3"/>
      <c r="HS333" s="3"/>
      <c r="HT333" s="3"/>
      <c r="HU333" s="3"/>
      <c r="HV333" s="3"/>
      <c r="HW333" s="3"/>
      <c r="HX333" s="3"/>
      <c r="HY333" s="3"/>
      <c r="HZ333" s="3"/>
      <c r="IA333" s="3"/>
      <c r="IB333" s="3"/>
      <c r="IC333" s="3"/>
      <c r="ID333" s="3"/>
      <c r="IE333" s="3"/>
      <c r="IF333" s="3"/>
      <c r="IG333" s="3"/>
      <c r="IH333" s="3"/>
      <c r="II333" s="3"/>
      <c r="IJ333" s="3"/>
      <c r="IK333" s="3"/>
      <c r="IL333" s="3"/>
      <c r="IM333" s="3"/>
      <c r="IN333" s="3"/>
      <c r="IO333" s="3"/>
      <c r="IP333" s="3"/>
      <c r="IQ333" s="3"/>
      <c r="IR333" s="3"/>
      <c r="IS333" s="3"/>
      <c r="IT333" s="3"/>
      <c r="IU333" s="3"/>
      <c r="IV333" s="3"/>
    </row>
    <row r="334" spans="1:256" s="17" customFormat="1" hidden="1" x14ac:dyDescent="0.35">
      <c r="B334" s="15" t="s">
        <v>14</v>
      </c>
      <c r="C334" s="16">
        <f t="shared" ref="C334:N334" si="963">C333*0.1</f>
        <v>0</v>
      </c>
      <c r="D334" s="16">
        <f t="shared" si="963"/>
        <v>0</v>
      </c>
      <c r="E334" s="16">
        <f t="shared" si="963"/>
        <v>0</v>
      </c>
      <c r="F334" s="16">
        <f t="shared" si="963"/>
        <v>0</v>
      </c>
      <c r="G334" s="16">
        <f t="shared" si="963"/>
        <v>0</v>
      </c>
      <c r="H334" s="16">
        <f t="shared" si="963"/>
        <v>0</v>
      </c>
      <c r="I334" s="16">
        <f t="shared" si="963"/>
        <v>0</v>
      </c>
      <c r="J334" s="16">
        <f t="shared" si="963"/>
        <v>0</v>
      </c>
      <c r="K334" s="16">
        <f t="shared" si="963"/>
        <v>0</v>
      </c>
      <c r="L334" s="16">
        <f t="shared" si="963"/>
        <v>0</v>
      </c>
      <c r="M334" s="16">
        <f t="shared" si="963"/>
        <v>0</v>
      </c>
      <c r="N334" s="16">
        <f t="shared" si="963"/>
        <v>0</v>
      </c>
      <c r="O334" s="13">
        <f t="shared" si="956"/>
        <v>0</v>
      </c>
      <c r="P334" s="14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/>
      <c r="HO334" s="3"/>
      <c r="HP334" s="3"/>
      <c r="HQ334" s="3"/>
      <c r="HR334" s="3"/>
      <c r="HS334" s="3"/>
      <c r="HT334" s="3"/>
      <c r="HU334" s="3"/>
      <c r="HV334" s="3"/>
      <c r="HW334" s="3"/>
      <c r="HX334" s="3"/>
      <c r="HY334" s="3"/>
      <c r="HZ334" s="3"/>
      <c r="IA334" s="3"/>
      <c r="IB334" s="3"/>
      <c r="IC334" s="3"/>
      <c r="ID334" s="3"/>
      <c r="IE334" s="3"/>
      <c r="IF334" s="3"/>
      <c r="IG334" s="3"/>
      <c r="IH334" s="3"/>
      <c r="II334" s="3"/>
      <c r="IJ334" s="3"/>
      <c r="IK334" s="3"/>
      <c r="IL334" s="3"/>
      <c r="IM334" s="3"/>
      <c r="IN334" s="3"/>
      <c r="IO334" s="3"/>
      <c r="IP334" s="3"/>
      <c r="IQ334" s="3"/>
      <c r="IR334" s="3"/>
      <c r="IS334" s="3"/>
      <c r="IT334" s="3"/>
      <c r="IU334" s="3"/>
      <c r="IV334" s="3"/>
    </row>
    <row r="335" spans="1:256" s="1" customFormat="1" hidden="1" x14ac:dyDescent="0.35">
      <c r="B335" s="15" t="s">
        <v>15</v>
      </c>
      <c r="C335" s="16">
        <f t="shared" ref="C335:N335" si="964">C333-C334</f>
        <v>0</v>
      </c>
      <c r="D335" s="16">
        <f t="shared" si="964"/>
        <v>0</v>
      </c>
      <c r="E335" s="16">
        <f t="shared" si="964"/>
        <v>0</v>
      </c>
      <c r="F335" s="16">
        <f t="shared" si="964"/>
        <v>0</v>
      </c>
      <c r="G335" s="16">
        <f t="shared" si="964"/>
        <v>0</v>
      </c>
      <c r="H335" s="16">
        <f t="shared" si="964"/>
        <v>0</v>
      </c>
      <c r="I335" s="16">
        <f t="shared" si="964"/>
        <v>0</v>
      </c>
      <c r="J335" s="16">
        <f t="shared" si="964"/>
        <v>0</v>
      </c>
      <c r="K335" s="16">
        <f t="shared" si="964"/>
        <v>0</v>
      </c>
      <c r="L335" s="16">
        <f t="shared" si="964"/>
        <v>0</v>
      </c>
      <c r="M335" s="16">
        <f t="shared" si="964"/>
        <v>0</v>
      </c>
      <c r="N335" s="16">
        <f t="shared" si="964"/>
        <v>0</v>
      </c>
      <c r="O335" s="13">
        <f t="shared" si="956"/>
        <v>0</v>
      </c>
      <c r="P335" s="14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  <c r="HJ335" s="3"/>
      <c r="HK335" s="3"/>
      <c r="HL335" s="3"/>
      <c r="HM335" s="3"/>
      <c r="HN335" s="3"/>
      <c r="HO335" s="3"/>
      <c r="HP335" s="3"/>
      <c r="HQ335" s="3"/>
      <c r="HR335" s="3"/>
      <c r="HS335" s="3"/>
      <c r="HT335" s="3"/>
      <c r="HU335" s="3"/>
      <c r="HV335" s="3"/>
      <c r="HW335" s="3"/>
      <c r="HX335" s="3"/>
      <c r="HY335" s="3"/>
      <c r="HZ335" s="3"/>
      <c r="IA335" s="3"/>
      <c r="IB335" s="3"/>
      <c r="IC335" s="3"/>
      <c r="ID335" s="3"/>
      <c r="IE335" s="3"/>
      <c r="IF335" s="3"/>
      <c r="IG335" s="3"/>
      <c r="IH335" s="3"/>
      <c r="II335" s="3"/>
      <c r="IJ335" s="3"/>
      <c r="IK335" s="3"/>
      <c r="IL335" s="3"/>
      <c r="IM335" s="3"/>
      <c r="IN335" s="3"/>
      <c r="IO335" s="3"/>
      <c r="IP335" s="3"/>
      <c r="IQ335" s="3"/>
      <c r="IR335" s="3"/>
      <c r="IS335" s="3"/>
      <c r="IT335" s="3"/>
      <c r="IU335" s="3"/>
      <c r="IV335" s="3"/>
    </row>
    <row r="336" spans="1:256" s="1" customFormat="1" hidden="1" x14ac:dyDescent="0.35">
      <c r="B336" s="15" t="s">
        <v>16</v>
      </c>
      <c r="C336" s="18">
        <f t="shared" ref="C336:N336" si="965">IF(C335&gt;1000000,(C336-1000000)*0.3+128000,IF(C335&gt;760000,(C335-760000)*0.25+68000,IF(C335&gt;520000,(C335-520000)*0.2+20000,IF(C335&gt;270000,(C335-270000)*0.08+0,IF(C335&lt;270001,0,0)))))</f>
        <v>0</v>
      </c>
      <c r="D336" s="18">
        <f t="shared" si="965"/>
        <v>0</v>
      </c>
      <c r="E336" s="18">
        <f t="shared" si="965"/>
        <v>0</v>
      </c>
      <c r="F336" s="18">
        <f t="shared" si="965"/>
        <v>0</v>
      </c>
      <c r="G336" s="18">
        <f t="shared" si="965"/>
        <v>0</v>
      </c>
      <c r="H336" s="18">
        <f t="shared" si="965"/>
        <v>0</v>
      </c>
      <c r="I336" s="18">
        <f t="shared" si="965"/>
        <v>0</v>
      </c>
      <c r="J336" s="18">
        <f t="shared" si="965"/>
        <v>0</v>
      </c>
      <c r="K336" s="18">
        <f t="shared" si="965"/>
        <v>0</v>
      </c>
      <c r="L336" s="18">
        <f t="shared" si="965"/>
        <v>0</v>
      </c>
      <c r="M336" s="18">
        <f t="shared" si="965"/>
        <v>0</v>
      </c>
      <c r="N336" s="18">
        <f t="shared" si="965"/>
        <v>0</v>
      </c>
      <c r="O336" s="13">
        <f t="shared" si="956"/>
        <v>0</v>
      </c>
      <c r="P336" s="14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/>
      <c r="HQ336" s="3"/>
      <c r="HR336" s="3"/>
      <c r="HS336" s="3"/>
      <c r="HT336" s="3"/>
      <c r="HU336" s="3"/>
      <c r="HV336" s="3"/>
      <c r="HW336" s="3"/>
      <c r="HX336" s="3"/>
      <c r="HY336" s="3"/>
      <c r="HZ336" s="3"/>
      <c r="IA336" s="3"/>
      <c r="IB336" s="3"/>
      <c r="IC336" s="3"/>
      <c r="ID336" s="3"/>
      <c r="IE336" s="3"/>
      <c r="IF336" s="3"/>
      <c r="IG336" s="3"/>
      <c r="IH336" s="3"/>
      <c r="II336" s="3"/>
      <c r="IJ336" s="3"/>
      <c r="IK336" s="3"/>
      <c r="IL336" s="3"/>
      <c r="IM336" s="3"/>
      <c r="IN336" s="3"/>
      <c r="IO336" s="3"/>
      <c r="IP336" s="3"/>
      <c r="IQ336" s="3"/>
      <c r="IR336" s="3"/>
      <c r="IS336" s="3"/>
      <c r="IT336" s="3"/>
      <c r="IU336" s="3"/>
      <c r="IV336" s="3"/>
    </row>
    <row r="337" spans="1:256" s="17" customFormat="1" hidden="1" x14ac:dyDescent="0.35">
      <c r="A337" s="17">
        <v>83</v>
      </c>
      <c r="B337" s="11"/>
      <c r="C337" s="12">
        <v>0</v>
      </c>
      <c r="D337" s="12">
        <v>0</v>
      </c>
      <c r="E337" s="12">
        <v>0</v>
      </c>
      <c r="F337" s="12">
        <v>0</v>
      </c>
      <c r="G337" s="12">
        <v>0</v>
      </c>
      <c r="H337" s="12">
        <v>0</v>
      </c>
      <c r="I337" s="12">
        <v>0</v>
      </c>
      <c r="J337" s="12">
        <v>0</v>
      </c>
      <c r="K337" s="12">
        <v>0</v>
      </c>
      <c r="L337" s="12">
        <v>0</v>
      </c>
      <c r="M337" s="12">
        <v>0</v>
      </c>
      <c r="N337" s="12">
        <v>0</v>
      </c>
      <c r="O337" s="13">
        <f t="shared" si="956"/>
        <v>0</v>
      </c>
      <c r="P337" s="14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3"/>
      <c r="HQ337" s="3"/>
      <c r="HR337" s="3"/>
      <c r="HS337" s="3"/>
      <c r="HT337" s="3"/>
      <c r="HU337" s="3"/>
      <c r="HV337" s="3"/>
      <c r="HW337" s="3"/>
      <c r="HX337" s="3"/>
      <c r="HY337" s="3"/>
      <c r="HZ337" s="3"/>
      <c r="IA337" s="3"/>
      <c r="IB337" s="3"/>
      <c r="IC337" s="3"/>
      <c r="ID337" s="3"/>
      <c r="IE337" s="3"/>
      <c r="IF337" s="3"/>
      <c r="IG337" s="3"/>
      <c r="IH337" s="3"/>
      <c r="II337" s="3"/>
      <c r="IJ337" s="3"/>
      <c r="IK337" s="3"/>
      <c r="IL337" s="3"/>
      <c r="IM337" s="3"/>
      <c r="IN337" s="3"/>
      <c r="IO337" s="3"/>
      <c r="IP337" s="3"/>
      <c r="IQ337" s="3"/>
      <c r="IR337" s="3"/>
      <c r="IS337" s="3"/>
      <c r="IT337" s="3"/>
      <c r="IU337" s="3"/>
      <c r="IV337" s="3"/>
    </row>
    <row r="338" spans="1:256" s="17" customFormat="1" hidden="1" x14ac:dyDescent="0.35">
      <c r="B338" s="15" t="s">
        <v>14</v>
      </c>
      <c r="C338" s="16">
        <f t="shared" ref="C338:N338" si="966">C337*0.1</f>
        <v>0</v>
      </c>
      <c r="D338" s="16">
        <f t="shared" si="966"/>
        <v>0</v>
      </c>
      <c r="E338" s="16">
        <f t="shared" si="966"/>
        <v>0</v>
      </c>
      <c r="F338" s="16">
        <f t="shared" si="966"/>
        <v>0</v>
      </c>
      <c r="G338" s="16">
        <f t="shared" si="966"/>
        <v>0</v>
      </c>
      <c r="H338" s="16">
        <f t="shared" si="966"/>
        <v>0</v>
      </c>
      <c r="I338" s="16">
        <f t="shared" si="966"/>
        <v>0</v>
      </c>
      <c r="J338" s="16">
        <f t="shared" si="966"/>
        <v>0</v>
      </c>
      <c r="K338" s="16">
        <f t="shared" si="966"/>
        <v>0</v>
      </c>
      <c r="L338" s="16">
        <f t="shared" si="966"/>
        <v>0</v>
      </c>
      <c r="M338" s="16">
        <f t="shared" si="966"/>
        <v>0</v>
      </c>
      <c r="N338" s="16">
        <f t="shared" si="966"/>
        <v>0</v>
      </c>
      <c r="O338" s="13">
        <f t="shared" si="956"/>
        <v>0</v>
      </c>
      <c r="P338" s="14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/>
      <c r="HJ338" s="3"/>
      <c r="HK338" s="3"/>
      <c r="HL338" s="3"/>
      <c r="HM338" s="3"/>
      <c r="HN338" s="3"/>
      <c r="HO338" s="3"/>
      <c r="HP338" s="3"/>
      <c r="HQ338" s="3"/>
      <c r="HR338" s="3"/>
      <c r="HS338" s="3"/>
      <c r="HT338" s="3"/>
      <c r="HU338" s="3"/>
      <c r="HV338" s="3"/>
      <c r="HW338" s="3"/>
      <c r="HX338" s="3"/>
      <c r="HY338" s="3"/>
      <c r="HZ338" s="3"/>
      <c r="IA338" s="3"/>
      <c r="IB338" s="3"/>
      <c r="IC338" s="3"/>
      <c r="ID338" s="3"/>
      <c r="IE338" s="3"/>
      <c r="IF338" s="3"/>
      <c r="IG338" s="3"/>
      <c r="IH338" s="3"/>
      <c r="II338" s="3"/>
      <c r="IJ338" s="3"/>
      <c r="IK338" s="3"/>
      <c r="IL338" s="3"/>
      <c r="IM338" s="3"/>
      <c r="IN338" s="3"/>
      <c r="IO338" s="3"/>
      <c r="IP338" s="3"/>
      <c r="IQ338" s="3"/>
      <c r="IR338" s="3"/>
      <c r="IS338" s="3"/>
      <c r="IT338" s="3"/>
      <c r="IU338" s="3"/>
      <c r="IV338" s="3"/>
    </row>
    <row r="339" spans="1:256" s="1" customFormat="1" hidden="1" x14ac:dyDescent="0.35">
      <c r="B339" s="15" t="s">
        <v>15</v>
      </c>
      <c r="C339" s="16">
        <f t="shared" ref="C339:N339" si="967">C337-C338</f>
        <v>0</v>
      </c>
      <c r="D339" s="16">
        <f t="shared" si="967"/>
        <v>0</v>
      </c>
      <c r="E339" s="16">
        <f t="shared" si="967"/>
        <v>0</v>
      </c>
      <c r="F339" s="16">
        <f t="shared" si="967"/>
        <v>0</v>
      </c>
      <c r="G339" s="16">
        <f t="shared" si="967"/>
        <v>0</v>
      </c>
      <c r="H339" s="16">
        <f t="shared" si="967"/>
        <v>0</v>
      </c>
      <c r="I339" s="16">
        <f t="shared" si="967"/>
        <v>0</v>
      </c>
      <c r="J339" s="16">
        <f t="shared" si="967"/>
        <v>0</v>
      </c>
      <c r="K339" s="16">
        <f t="shared" si="967"/>
        <v>0</v>
      </c>
      <c r="L339" s="16">
        <f t="shared" si="967"/>
        <v>0</v>
      </c>
      <c r="M339" s="16">
        <f t="shared" si="967"/>
        <v>0</v>
      </c>
      <c r="N339" s="16">
        <f t="shared" si="967"/>
        <v>0</v>
      </c>
      <c r="O339" s="13">
        <f t="shared" si="956"/>
        <v>0</v>
      </c>
      <c r="P339" s="14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  <c r="HJ339" s="3"/>
      <c r="HK339" s="3"/>
      <c r="HL339" s="3"/>
      <c r="HM339" s="3"/>
      <c r="HN339" s="3"/>
      <c r="HO339" s="3"/>
      <c r="HP339" s="3"/>
      <c r="HQ339" s="3"/>
      <c r="HR339" s="3"/>
      <c r="HS339" s="3"/>
      <c r="HT339" s="3"/>
      <c r="HU339" s="3"/>
      <c r="HV339" s="3"/>
      <c r="HW339" s="3"/>
      <c r="HX339" s="3"/>
      <c r="HY339" s="3"/>
      <c r="HZ339" s="3"/>
      <c r="IA339" s="3"/>
      <c r="IB339" s="3"/>
      <c r="IC339" s="3"/>
      <c r="ID339" s="3"/>
      <c r="IE339" s="3"/>
      <c r="IF339" s="3"/>
      <c r="IG339" s="3"/>
      <c r="IH339" s="3"/>
      <c r="II339" s="3"/>
      <c r="IJ339" s="3"/>
      <c r="IK339" s="3"/>
      <c r="IL339" s="3"/>
      <c r="IM339" s="3"/>
      <c r="IN339" s="3"/>
      <c r="IO339" s="3"/>
      <c r="IP339" s="3"/>
      <c r="IQ339" s="3"/>
      <c r="IR339" s="3"/>
      <c r="IS339" s="3"/>
      <c r="IT339" s="3"/>
      <c r="IU339" s="3"/>
      <c r="IV339" s="3"/>
    </row>
    <row r="340" spans="1:256" s="1" customFormat="1" hidden="1" x14ac:dyDescent="0.35">
      <c r="B340" s="15" t="s">
        <v>16</v>
      </c>
      <c r="C340" s="18">
        <f t="shared" ref="C340:N340" si="968">IF(C339&gt;1000000,(C340-1000000)*0.3+128000,IF(C339&gt;760000,(C339-760000)*0.25+68000,IF(C339&gt;520000,(C339-520000)*0.2+20000,IF(C339&gt;270000,(C339-270000)*0.08+0,IF(C339&lt;270001,0,0)))))</f>
        <v>0</v>
      </c>
      <c r="D340" s="18">
        <f t="shared" si="968"/>
        <v>0</v>
      </c>
      <c r="E340" s="18">
        <f t="shared" si="968"/>
        <v>0</v>
      </c>
      <c r="F340" s="18">
        <f t="shared" si="968"/>
        <v>0</v>
      </c>
      <c r="G340" s="18">
        <f t="shared" si="968"/>
        <v>0</v>
      </c>
      <c r="H340" s="18">
        <f t="shared" si="968"/>
        <v>0</v>
      </c>
      <c r="I340" s="18">
        <f t="shared" si="968"/>
        <v>0</v>
      </c>
      <c r="J340" s="18">
        <f t="shared" si="968"/>
        <v>0</v>
      </c>
      <c r="K340" s="18">
        <f t="shared" si="968"/>
        <v>0</v>
      </c>
      <c r="L340" s="18">
        <f t="shared" si="968"/>
        <v>0</v>
      </c>
      <c r="M340" s="18">
        <f t="shared" si="968"/>
        <v>0</v>
      </c>
      <c r="N340" s="18">
        <f t="shared" si="968"/>
        <v>0</v>
      </c>
      <c r="O340" s="13">
        <f t="shared" si="956"/>
        <v>0</v>
      </c>
      <c r="P340" s="14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3"/>
      <c r="HT340" s="3"/>
      <c r="HU340" s="3"/>
      <c r="HV340" s="3"/>
      <c r="HW340" s="3"/>
      <c r="HX340" s="3"/>
      <c r="HY340" s="3"/>
      <c r="HZ340" s="3"/>
      <c r="IA340" s="3"/>
      <c r="IB340" s="3"/>
      <c r="IC340" s="3"/>
      <c r="ID340" s="3"/>
      <c r="IE340" s="3"/>
      <c r="IF340" s="3"/>
      <c r="IG340" s="3"/>
      <c r="IH340" s="3"/>
      <c r="II340" s="3"/>
      <c r="IJ340" s="3"/>
      <c r="IK340" s="3"/>
      <c r="IL340" s="3"/>
      <c r="IM340" s="3"/>
      <c r="IN340" s="3"/>
      <c r="IO340" s="3"/>
      <c r="IP340" s="3"/>
      <c r="IQ340" s="3"/>
      <c r="IR340" s="3"/>
      <c r="IS340" s="3"/>
      <c r="IT340" s="3"/>
      <c r="IU340" s="3"/>
      <c r="IV340" s="3"/>
    </row>
    <row r="341" spans="1:256" s="17" customFormat="1" hidden="1" x14ac:dyDescent="0.35">
      <c r="A341" s="17">
        <v>84</v>
      </c>
      <c r="B341" s="11"/>
      <c r="C341" s="12">
        <v>0</v>
      </c>
      <c r="D341" s="12">
        <v>0</v>
      </c>
      <c r="E341" s="12">
        <v>0</v>
      </c>
      <c r="F341" s="12">
        <v>0</v>
      </c>
      <c r="G341" s="12">
        <v>0</v>
      </c>
      <c r="H341" s="12">
        <v>0</v>
      </c>
      <c r="I341" s="12">
        <v>0</v>
      </c>
      <c r="J341" s="12">
        <v>0</v>
      </c>
      <c r="K341" s="12">
        <v>0</v>
      </c>
      <c r="L341" s="12">
        <v>0</v>
      </c>
      <c r="M341" s="12">
        <v>0</v>
      </c>
      <c r="N341" s="12">
        <v>0</v>
      </c>
      <c r="O341" s="13">
        <f t="shared" si="956"/>
        <v>0</v>
      </c>
      <c r="P341" s="14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  <c r="HJ341" s="3"/>
      <c r="HK341" s="3"/>
      <c r="HL341" s="3"/>
      <c r="HM341" s="3"/>
      <c r="HN341" s="3"/>
      <c r="HO341" s="3"/>
      <c r="HP341" s="3"/>
      <c r="HQ341" s="3"/>
      <c r="HR341" s="3"/>
      <c r="HS341" s="3"/>
      <c r="HT341" s="3"/>
      <c r="HU341" s="3"/>
      <c r="HV341" s="3"/>
      <c r="HW341" s="3"/>
      <c r="HX341" s="3"/>
      <c r="HY341" s="3"/>
      <c r="HZ341" s="3"/>
      <c r="IA341" s="3"/>
      <c r="IB341" s="3"/>
      <c r="IC341" s="3"/>
      <c r="ID341" s="3"/>
      <c r="IE341" s="3"/>
      <c r="IF341" s="3"/>
      <c r="IG341" s="3"/>
      <c r="IH341" s="3"/>
      <c r="II341" s="3"/>
      <c r="IJ341" s="3"/>
      <c r="IK341" s="3"/>
      <c r="IL341" s="3"/>
      <c r="IM341" s="3"/>
      <c r="IN341" s="3"/>
      <c r="IO341" s="3"/>
      <c r="IP341" s="3"/>
      <c r="IQ341" s="3"/>
      <c r="IR341" s="3"/>
      <c r="IS341" s="3"/>
      <c r="IT341" s="3"/>
      <c r="IU341" s="3"/>
      <c r="IV341" s="3"/>
    </row>
    <row r="342" spans="1:256" s="17" customFormat="1" hidden="1" x14ac:dyDescent="0.35">
      <c r="B342" s="15" t="s">
        <v>14</v>
      </c>
      <c r="C342" s="16">
        <f>C341*0.1</f>
        <v>0</v>
      </c>
      <c r="D342" s="16">
        <f t="shared" ref="D342:N342" si="969">D341*0.1</f>
        <v>0</v>
      </c>
      <c r="E342" s="16">
        <f t="shared" si="969"/>
        <v>0</v>
      </c>
      <c r="F342" s="16">
        <f t="shared" si="969"/>
        <v>0</v>
      </c>
      <c r="G342" s="16">
        <f t="shared" si="969"/>
        <v>0</v>
      </c>
      <c r="H342" s="16">
        <f t="shared" si="969"/>
        <v>0</v>
      </c>
      <c r="I342" s="16">
        <f t="shared" si="969"/>
        <v>0</v>
      </c>
      <c r="J342" s="16">
        <f t="shared" si="969"/>
        <v>0</v>
      </c>
      <c r="K342" s="16">
        <f t="shared" si="969"/>
        <v>0</v>
      </c>
      <c r="L342" s="16">
        <f t="shared" si="969"/>
        <v>0</v>
      </c>
      <c r="M342" s="16">
        <f t="shared" si="969"/>
        <v>0</v>
      </c>
      <c r="N342" s="16">
        <f t="shared" si="969"/>
        <v>0</v>
      </c>
      <c r="O342" s="13">
        <f t="shared" si="956"/>
        <v>0</v>
      </c>
      <c r="P342" s="14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  <c r="HJ342" s="3"/>
      <c r="HK342" s="3"/>
      <c r="HL342" s="3"/>
      <c r="HM342" s="3"/>
      <c r="HN342" s="3"/>
      <c r="HO342" s="3"/>
      <c r="HP342" s="3"/>
      <c r="HQ342" s="3"/>
      <c r="HR342" s="3"/>
      <c r="HS342" s="3"/>
      <c r="HT342" s="3"/>
      <c r="HU342" s="3"/>
      <c r="HV342" s="3"/>
      <c r="HW342" s="3"/>
      <c r="HX342" s="3"/>
      <c r="HY342" s="3"/>
      <c r="HZ342" s="3"/>
      <c r="IA342" s="3"/>
      <c r="IB342" s="3"/>
      <c r="IC342" s="3"/>
      <c r="ID342" s="3"/>
      <c r="IE342" s="3"/>
      <c r="IF342" s="3"/>
      <c r="IG342" s="3"/>
      <c r="IH342" s="3"/>
      <c r="II342" s="3"/>
      <c r="IJ342" s="3"/>
      <c r="IK342" s="3"/>
      <c r="IL342" s="3"/>
      <c r="IM342" s="3"/>
      <c r="IN342" s="3"/>
      <c r="IO342" s="3"/>
      <c r="IP342" s="3"/>
      <c r="IQ342" s="3"/>
      <c r="IR342" s="3"/>
      <c r="IS342" s="3"/>
      <c r="IT342" s="3"/>
      <c r="IU342" s="3"/>
      <c r="IV342" s="3"/>
    </row>
    <row r="343" spans="1:256" s="1" customFormat="1" hidden="1" x14ac:dyDescent="0.35">
      <c r="B343" s="15" t="s">
        <v>15</v>
      </c>
      <c r="C343" s="16">
        <f>C341-C342</f>
        <v>0</v>
      </c>
      <c r="D343" s="16">
        <f t="shared" ref="D343:N343" si="970">D341-D342</f>
        <v>0</v>
      </c>
      <c r="E343" s="16">
        <f t="shared" si="970"/>
        <v>0</v>
      </c>
      <c r="F343" s="16">
        <f t="shared" si="970"/>
        <v>0</v>
      </c>
      <c r="G343" s="16">
        <f t="shared" si="970"/>
        <v>0</v>
      </c>
      <c r="H343" s="16">
        <f t="shared" si="970"/>
        <v>0</v>
      </c>
      <c r="I343" s="16">
        <f t="shared" si="970"/>
        <v>0</v>
      </c>
      <c r="J343" s="16">
        <f t="shared" si="970"/>
        <v>0</v>
      </c>
      <c r="K343" s="16">
        <f t="shared" si="970"/>
        <v>0</v>
      </c>
      <c r="L343" s="16">
        <f t="shared" si="970"/>
        <v>0</v>
      </c>
      <c r="M343" s="16">
        <f t="shared" si="970"/>
        <v>0</v>
      </c>
      <c r="N343" s="16">
        <f t="shared" si="970"/>
        <v>0</v>
      </c>
      <c r="O343" s="13">
        <f t="shared" si="956"/>
        <v>0</v>
      </c>
      <c r="P343" s="14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  <c r="HJ343" s="3"/>
      <c r="HK343" s="3"/>
      <c r="HL343" s="3"/>
      <c r="HM343" s="3"/>
      <c r="HN343" s="3"/>
      <c r="HO343" s="3"/>
      <c r="HP343" s="3"/>
      <c r="HQ343" s="3"/>
      <c r="HR343" s="3"/>
      <c r="HS343" s="3"/>
      <c r="HT343" s="3"/>
      <c r="HU343" s="3"/>
      <c r="HV343" s="3"/>
      <c r="HW343" s="3"/>
      <c r="HX343" s="3"/>
      <c r="HY343" s="3"/>
      <c r="HZ343" s="3"/>
      <c r="IA343" s="3"/>
      <c r="IB343" s="3"/>
      <c r="IC343" s="3"/>
      <c r="ID343" s="3"/>
      <c r="IE343" s="3"/>
      <c r="IF343" s="3"/>
      <c r="IG343" s="3"/>
      <c r="IH343" s="3"/>
      <c r="II343" s="3"/>
      <c r="IJ343" s="3"/>
      <c r="IK343" s="3"/>
      <c r="IL343" s="3"/>
      <c r="IM343" s="3"/>
      <c r="IN343" s="3"/>
      <c r="IO343" s="3"/>
      <c r="IP343" s="3"/>
      <c r="IQ343" s="3"/>
      <c r="IR343" s="3"/>
      <c r="IS343" s="3"/>
      <c r="IT343" s="3"/>
      <c r="IU343" s="3"/>
      <c r="IV343" s="3"/>
    </row>
    <row r="344" spans="1:256" s="1" customFormat="1" hidden="1" x14ac:dyDescent="0.35">
      <c r="B344" s="15" t="s">
        <v>16</v>
      </c>
      <c r="C344" s="18">
        <f t="shared" ref="C344:N344" si="971">IF(C343&gt;1000000,(C344-1000000)*0.3+130500,IF(C343&gt;760000,(C343-760000)*0.25+70500,IF(C343&gt;520000,(C343-520000)*0.2+22500,IF(C343&gt;270000,(C343-270000)*0.08+0,IF(C343&lt;270001,0,0)))))</f>
        <v>0</v>
      </c>
      <c r="D344" s="18">
        <f t="shared" si="971"/>
        <v>0</v>
      </c>
      <c r="E344" s="18">
        <f t="shared" si="971"/>
        <v>0</v>
      </c>
      <c r="F344" s="18">
        <f t="shared" si="971"/>
        <v>0</v>
      </c>
      <c r="G344" s="18">
        <f t="shared" si="971"/>
        <v>0</v>
      </c>
      <c r="H344" s="18">
        <f t="shared" si="971"/>
        <v>0</v>
      </c>
      <c r="I344" s="18">
        <f t="shared" si="971"/>
        <v>0</v>
      </c>
      <c r="J344" s="18">
        <f t="shared" si="971"/>
        <v>0</v>
      </c>
      <c r="K344" s="18">
        <f t="shared" si="971"/>
        <v>0</v>
      </c>
      <c r="L344" s="18">
        <f t="shared" si="971"/>
        <v>0</v>
      </c>
      <c r="M344" s="18">
        <f t="shared" si="971"/>
        <v>0</v>
      </c>
      <c r="N344" s="18">
        <f t="shared" si="971"/>
        <v>0</v>
      </c>
      <c r="O344" s="13">
        <f t="shared" si="956"/>
        <v>0</v>
      </c>
      <c r="P344" s="14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  <c r="HJ344" s="3"/>
      <c r="HK344" s="3"/>
      <c r="HL344" s="3"/>
      <c r="HM344" s="3"/>
      <c r="HN344" s="3"/>
      <c r="HO344" s="3"/>
      <c r="HP344" s="3"/>
      <c r="HQ344" s="3"/>
      <c r="HR344" s="3"/>
      <c r="HS344" s="3"/>
      <c r="HT344" s="3"/>
      <c r="HU344" s="3"/>
      <c r="HV344" s="3"/>
      <c r="HW344" s="3"/>
      <c r="HX344" s="3"/>
      <c r="HY344" s="3"/>
      <c r="HZ344" s="3"/>
      <c r="IA344" s="3"/>
      <c r="IB344" s="3"/>
      <c r="IC344" s="3"/>
      <c r="ID344" s="3"/>
      <c r="IE344" s="3"/>
      <c r="IF344" s="3"/>
      <c r="IG344" s="3"/>
      <c r="IH344" s="3"/>
      <c r="II344" s="3"/>
      <c r="IJ344" s="3"/>
      <c r="IK344" s="3"/>
      <c r="IL344" s="3"/>
      <c r="IM344" s="3"/>
      <c r="IN344" s="3"/>
      <c r="IO344" s="3"/>
      <c r="IP344" s="3"/>
      <c r="IQ344" s="3"/>
      <c r="IR344" s="3"/>
      <c r="IS344" s="3"/>
      <c r="IT344" s="3"/>
      <c r="IU344" s="3"/>
      <c r="IV344" s="3"/>
    </row>
    <row r="345" spans="1:256" s="17" customFormat="1" hidden="1" x14ac:dyDescent="0.35">
      <c r="A345" s="17">
        <v>85</v>
      </c>
      <c r="B345" s="11"/>
      <c r="C345" s="12">
        <v>0</v>
      </c>
      <c r="D345" s="12">
        <v>0</v>
      </c>
      <c r="E345" s="12">
        <v>0</v>
      </c>
      <c r="F345" s="12">
        <v>0</v>
      </c>
      <c r="G345" s="12">
        <v>0</v>
      </c>
      <c r="H345" s="12">
        <v>0</v>
      </c>
      <c r="I345" s="12">
        <v>0</v>
      </c>
      <c r="J345" s="12">
        <v>0</v>
      </c>
      <c r="K345" s="12">
        <v>0</v>
      </c>
      <c r="L345" s="12">
        <v>0</v>
      </c>
      <c r="M345" s="12">
        <v>0</v>
      </c>
      <c r="N345" s="12">
        <v>0</v>
      </c>
      <c r="O345" s="13">
        <f t="shared" si="956"/>
        <v>0</v>
      </c>
      <c r="P345" s="14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  <c r="HJ345" s="3"/>
      <c r="HK345" s="3"/>
      <c r="HL345" s="3"/>
      <c r="HM345" s="3"/>
      <c r="HN345" s="3"/>
      <c r="HO345" s="3"/>
      <c r="HP345" s="3"/>
      <c r="HQ345" s="3"/>
      <c r="HR345" s="3"/>
      <c r="HS345" s="3"/>
      <c r="HT345" s="3"/>
      <c r="HU345" s="3"/>
      <c r="HV345" s="3"/>
      <c r="HW345" s="3"/>
      <c r="HX345" s="3"/>
      <c r="HY345" s="3"/>
      <c r="HZ345" s="3"/>
      <c r="IA345" s="3"/>
      <c r="IB345" s="3"/>
      <c r="IC345" s="3"/>
      <c r="ID345" s="3"/>
      <c r="IE345" s="3"/>
      <c r="IF345" s="3"/>
      <c r="IG345" s="3"/>
      <c r="IH345" s="3"/>
      <c r="II345" s="3"/>
      <c r="IJ345" s="3"/>
      <c r="IK345" s="3"/>
      <c r="IL345" s="3"/>
      <c r="IM345" s="3"/>
      <c r="IN345" s="3"/>
      <c r="IO345" s="3"/>
      <c r="IP345" s="3"/>
      <c r="IQ345" s="3"/>
      <c r="IR345" s="3"/>
      <c r="IS345" s="3"/>
      <c r="IT345" s="3"/>
      <c r="IU345" s="3"/>
      <c r="IV345" s="3"/>
    </row>
    <row r="346" spans="1:256" s="17" customFormat="1" hidden="1" x14ac:dyDescent="0.35">
      <c r="B346" s="15" t="s">
        <v>14</v>
      </c>
      <c r="C346" s="16">
        <f>C345*0.1</f>
        <v>0</v>
      </c>
      <c r="D346" s="16">
        <f t="shared" ref="D346:N346" si="972">D345*0.1</f>
        <v>0</v>
      </c>
      <c r="E346" s="16">
        <f t="shared" si="972"/>
        <v>0</v>
      </c>
      <c r="F346" s="16">
        <f t="shared" si="972"/>
        <v>0</v>
      </c>
      <c r="G346" s="16">
        <f t="shared" si="972"/>
        <v>0</v>
      </c>
      <c r="H346" s="16">
        <f t="shared" si="972"/>
        <v>0</v>
      </c>
      <c r="I346" s="16">
        <f t="shared" si="972"/>
        <v>0</v>
      </c>
      <c r="J346" s="16">
        <f t="shared" si="972"/>
        <v>0</v>
      </c>
      <c r="K346" s="16">
        <f t="shared" si="972"/>
        <v>0</v>
      </c>
      <c r="L346" s="16">
        <f t="shared" si="972"/>
        <v>0</v>
      </c>
      <c r="M346" s="16">
        <f t="shared" si="972"/>
        <v>0</v>
      </c>
      <c r="N346" s="16">
        <f t="shared" si="972"/>
        <v>0</v>
      </c>
      <c r="O346" s="13">
        <f t="shared" si="956"/>
        <v>0</v>
      </c>
      <c r="P346" s="14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3"/>
      <c r="HQ346" s="3"/>
      <c r="HR346" s="3"/>
      <c r="HS346" s="3"/>
      <c r="HT346" s="3"/>
      <c r="HU346" s="3"/>
      <c r="HV346" s="3"/>
      <c r="HW346" s="3"/>
      <c r="HX346" s="3"/>
      <c r="HY346" s="3"/>
      <c r="HZ346" s="3"/>
      <c r="IA346" s="3"/>
      <c r="IB346" s="3"/>
      <c r="IC346" s="3"/>
      <c r="ID346" s="3"/>
      <c r="IE346" s="3"/>
      <c r="IF346" s="3"/>
      <c r="IG346" s="3"/>
      <c r="IH346" s="3"/>
      <c r="II346" s="3"/>
      <c r="IJ346" s="3"/>
      <c r="IK346" s="3"/>
      <c r="IL346" s="3"/>
      <c r="IM346" s="3"/>
      <c r="IN346" s="3"/>
      <c r="IO346" s="3"/>
      <c r="IP346" s="3"/>
      <c r="IQ346" s="3"/>
      <c r="IR346" s="3"/>
      <c r="IS346" s="3"/>
      <c r="IT346" s="3"/>
      <c r="IU346" s="3"/>
      <c r="IV346" s="3"/>
    </row>
    <row r="347" spans="1:256" s="1" customFormat="1" hidden="1" x14ac:dyDescent="0.35">
      <c r="B347" s="15" t="s">
        <v>15</v>
      </c>
      <c r="C347" s="16">
        <f>C345-C346</f>
        <v>0</v>
      </c>
      <c r="D347" s="16">
        <f t="shared" ref="D347:N347" si="973">D345-D346</f>
        <v>0</v>
      </c>
      <c r="E347" s="16">
        <f t="shared" si="973"/>
        <v>0</v>
      </c>
      <c r="F347" s="16">
        <f t="shared" si="973"/>
        <v>0</v>
      </c>
      <c r="G347" s="16">
        <f t="shared" si="973"/>
        <v>0</v>
      </c>
      <c r="H347" s="16">
        <f t="shared" si="973"/>
        <v>0</v>
      </c>
      <c r="I347" s="16">
        <f t="shared" si="973"/>
        <v>0</v>
      </c>
      <c r="J347" s="16">
        <f t="shared" si="973"/>
        <v>0</v>
      </c>
      <c r="K347" s="16">
        <f t="shared" si="973"/>
        <v>0</v>
      </c>
      <c r="L347" s="16">
        <f t="shared" si="973"/>
        <v>0</v>
      </c>
      <c r="M347" s="16">
        <f t="shared" si="973"/>
        <v>0</v>
      </c>
      <c r="N347" s="16">
        <f t="shared" si="973"/>
        <v>0</v>
      </c>
      <c r="O347" s="13">
        <f t="shared" si="956"/>
        <v>0</v>
      </c>
      <c r="P347" s="14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  <c r="HJ347" s="3"/>
      <c r="HK347" s="3"/>
      <c r="HL347" s="3"/>
      <c r="HM347" s="3"/>
      <c r="HN347" s="3"/>
      <c r="HO347" s="3"/>
      <c r="HP347" s="3"/>
      <c r="HQ347" s="3"/>
      <c r="HR347" s="3"/>
      <c r="HS347" s="3"/>
      <c r="HT347" s="3"/>
      <c r="HU347" s="3"/>
      <c r="HV347" s="3"/>
      <c r="HW347" s="3"/>
      <c r="HX347" s="3"/>
      <c r="HY347" s="3"/>
      <c r="HZ347" s="3"/>
      <c r="IA347" s="3"/>
      <c r="IB347" s="3"/>
      <c r="IC347" s="3"/>
      <c r="ID347" s="3"/>
      <c r="IE347" s="3"/>
      <c r="IF347" s="3"/>
      <c r="IG347" s="3"/>
      <c r="IH347" s="3"/>
      <c r="II347" s="3"/>
      <c r="IJ347" s="3"/>
      <c r="IK347" s="3"/>
      <c r="IL347" s="3"/>
      <c r="IM347" s="3"/>
      <c r="IN347" s="3"/>
      <c r="IO347" s="3"/>
      <c r="IP347" s="3"/>
      <c r="IQ347" s="3"/>
      <c r="IR347" s="3"/>
      <c r="IS347" s="3"/>
      <c r="IT347" s="3"/>
      <c r="IU347" s="3"/>
      <c r="IV347" s="3"/>
    </row>
    <row r="348" spans="1:256" s="1" customFormat="1" hidden="1" x14ac:dyDescent="0.35">
      <c r="B348" s="15" t="s">
        <v>16</v>
      </c>
      <c r="C348" s="18">
        <f t="shared" ref="C348:N348" si="974">IF(C347&gt;1000000,(C348-1000000)*0.3+130500,IF(C347&gt;760000,(C347-760000)*0.25+70500,IF(C347&gt;520000,(C347-520000)*0.2+22500,IF(C347&gt;270000,(C347-270000)*0.08+0,IF(C347&lt;270001,0,0)))))</f>
        <v>0</v>
      </c>
      <c r="D348" s="18">
        <f t="shared" si="974"/>
        <v>0</v>
      </c>
      <c r="E348" s="18">
        <f t="shared" si="974"/>
        <v>0</v>
      </c>
      <c r="F348" s="18">
        <f t="shared" si="974"/>
        <v>0</v>
      </c>
      <c r="G348" s="18">
        <f t="shared" si="974"/>
        <v>0</v>
      </c>
      <c r="H348" s="18">
        <f t="shared" si="974"/>
        <v>0</v>
      </c>
      <c r="I348" s="18">
        <f t="shared" si="974"/>
        <v>0</v>
      </c>
      <c r="J348" s="18">
        <f t="shared" si="974"/>
        <v>0</v>
      </c>
      <c r="K348" s="18">
        <f t="shared" si="974"/>
        <v>0</v>
      </c>
      <c r="L348" s="18">
        <f t="shared" si="974"/>
        <v>0</v>
      </c>
      <c r="M348" s="18">
        <f t="shared" si="974"/>
        <v>0</v>
      </c>
      <c r="N348" s="18">
        <f t="shared" si="974"/>
        <v>0</v>
      </c>
      <c r="O348" s="13">
        <f t="shared" si="956"/>
        <v>0</v>
      </c>
      <c r="P348" s="14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I348" s="3"/>
      <c r="HJ348" s="3"/>
      <c r="HK348" s="3"/>
      <c r="HL348" s="3"/>
      <c r="HM348" s="3"/>
      <c r="HN348" s="3"/>
      <c r="HO348" s="3"/>
      <c r="HP348" s="3"/>
      <c r="HQ348" s="3"/>
      <c r="HR348" s="3"/>
      <c r="HS348" s="3"/>
      <c r="HT348" s="3"/>
      <c r="HU348" s="3"/>
      <c r="HV348" s="3"/>
      <c r="HW348" s="3"/>
      <c r="HX348" s="3"/>
      <c r="HY348" s="3"/>
      <c r="HZ348" s="3"/>
      <c r="IA348" s="3"/>
      <c r="IB348" s="3"/>
      <c r="IC348" s="3"/>
      <c r="ID348" s="3"/>
      <c r="IE348" s="3"/>
      <c r="IF348" s="3"/>
      <c r="IG348" s="3"/>
      <c r="IH348" s="3"/>
      <c r="II348" s="3"/>
      <c r="IJ348" s="3"/>
      <c r="IK348" s="3"/>
      <c r="IL348" s="3"/>
      <c r="IM348" s="3"/>
      <c r="IN348" s="3"/>
      <c r="IO348" s="3"/>
      <c r="IP348" s="3"/>
      <c r="IQ348" s="3"/>
      <c r="IR348" s="3"/>
      <c r="IS348" s="3"/>
      <c r="IT348" s="3"/>
      <c r="IU348" s="3"/>
      <c r="IV348" s="3"/>
    </row>
    <row r="349" spans="1:256" s="17" customFormat="1" hidden="1" x14ac:dyDescent="0.35">
      <c r="A349" s="17">
        <v>86</v>
      </c>
      <c r="B349" s="11"/>
      <c r="C349" s="12">
        <v>0</v>
      </c>
      <c r="D349" s="12">
        <v>0</v>
      </c>
      <c r="E349" s="12">
        <v>0</v>
      </c>
      <c r="F349" s="12">
        <v>0</v>
      </c>
      <c r="G349" s="12">
        <v>0</v>
      </c>
      <c r="H349" s="12">
        <v>0</v>
      </c>
      <c r="I349" s="12">
        <v>0</v>
      </c>
      <c r="J349" s="12">
        <v>0</v>
      </c>
      <c r="K349" s="12">
        <v>0</v>
      </c>
      <c r="L349" s="12">
        <v>0</v>
      </c>
      <c r="M349" s="12">
        <v>0</v>
      </c>
      <c r="N349" s="12">
        <v>0</v>
      </c>
      <c r="O349" s="13">
        <f t="shared" si="956"/>
        <v>0</v>
      </c>
      <c r="P349" s="14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  <c r="HJ349" s="3"/>
      <c r="HK349" s="3"/>
      <c r="HL349" s="3"/>
      <c r="HM349" s="3"/>
      <c r="HN349" s="3"/>
      <c r="HO349" s="3"/>
      <c r="HP349" s="3"/>
      <c r="HQ349" s="3"/>
      <c r="HR349" s="3"/>
      <c r="HS349" s="3"/>
      <c r="HT349" s="3"/>
      <c r="HU349" s="3"/>
      <c r="HV349" s="3"/>
      <c r="HW349" s="3"/>
      <c r="HX349" s="3"/>
      <c r="HY349" s="3"/>
      <c r="HZ349" s="3"/>
      <c r="IA349" s="3"/>
      <c r="IB349" s="3"/>
      <c r="IC349" s="3"/>
      <c r="ID349" s="3"/>
      <c r="IE349" s="3"/>
      <c r="IF349" s="3"/>
      <c r="IG349" s="3"/>
      <c r="IH349" s="3"/>
      <c r="II349" s="3"/>
      <c r="IJ349" s="3"/>
      <c r="IK349" s="3"/>
      <c r="IL349" s="3"/>
      <c r="IM349" s="3"/>
      <c r="IN349" s="3"/>
      <c r="IO349" s="3"/>
      <c r="IP349" s="3"/>
      <c r="IQ349" s="3"/>
      <c r="IR349" s="3"/>
      <c r="IS349" s="3"/>
      <c r="IT349" s="3"/>
      <c r="IU349" s="3"/>
      <c r="IV349" s="3"/>
    </row>
    <row r="350" spans="1:256" s="17" customFormat="1" hidden="1" x14ac:dyDescent="0.35">
      <c r="B350" s="15" t="s">
        <v>14</v>
      </c>
      <c r="C350" s="16">
        <f>C349*0.1</f>
        <v>0</v>
      </c>
      <c r="D350" s="16">
        <f t="shared" ref="D350:N350" si="975">D349*0.1</f>
        <v>0</v>
      </c>
      <c r="E350" s="16">
        <f t="shared" si="975"/>
        <v>0</v>
      </c>
      <c r="F350" s="16">
        <f t="shared" si="975"/>
        <v>0</v>
      </c>
      <c r="G350" s="16">
        <f t="shared" si="975"/>
        <v>0</v>
      </c>
      <c r="H350" s="16">
        <f t="shared" si="975"/>
        <v>0</v>
      </c>
      <c r="I350" s="16">
        <f t="shared" si="975"/>
        <v>0</v>
      </c>
      <c r="J350" s="16">
        <f t="shared" si="975"/>
        <v>0</v>
      </c>
      <c r="K350" s="16">
        <f t="shared" si="975"/>
        <v>0</v>
      </c>
      <c r="L350" s="16">
        <f t="shared" si="975"/>
        <v>0</v>
      </c>
      <c r="M350" s="16">
        <f t="shared" si="975"/>
        <v>0</v>
      </c>
      <c r="N350" s="16">
        <f t="shared" si="975"/>
        <v>0</v>
      </c>
      <c r="O350" s="13">
        <f t="shared" si="956"/>
        <v>0</v>
      </c>
      <c r="P350" s="14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  <c r="HO350" s="3"/>
      <c r="HP350" s="3"/>
      <c r="HQ350" s="3"/>
      <c r="HR350" s="3"/>
      <c r="HS350" s="3"/>
      <c r="HT350" s="3"/>
      <c r="HU350" s="3"/>
      <c r="HV350" s="3"/>
      <c r="HW350" s="3"/>
      <c r="HX350" s="3"/>
      <c r="HY350" s="3"/>
      <c r="HZ350" s="3"/>
      <c r="IA350" s="3"/>
      <c r="IB350" s="3"/>
      <c r="IC350" s="3"/>
      <c r="ID350" s="3"/>
      <c r="IE350" s="3"/>
      <c r="IF350" s="3"/>
      <c r="IG350" s="3"/>
      <c r="IH350" s="3"/>
      <c r="II350" s="3"/>
      <c r="IJ350" s="3"/>
      <c r="IK350" s="3"/>
      <c r="IL350" s="3"/>
      <c r="IM350" s="3"/>
      <c r="IN350" s="3"/>
      <c r="IO350" s="3"/>
      <c r="IP350" s="3"/>
      <c r="IQ350" s="3"/>
      <c r="IR350" s="3"/>
      <c r="IS350" s="3"/>
      <c r="IT350" s="3"/>
      <c r="IU350" s="3"/>
      <c r="IV350" s="3"/>
    </row>
    <row r="351" spans="1:256" s="1" customFormat="1" hidden="1" x14ac:dyDescent="0.35">
      <c r="B351" s="15" t="s">
        <v>15</v>
      </c>
      <c r="C351" s="16">
        <f>C349-C350</f>
        <v>0</v>
      </c>
      <c r="D351" s="16">
        <f t="shared" ref="D351:N351" si="976">D349-D350</f>
        <v>0</v>
      </c>
      <c r="E351" s="16">
        <f t="shared" si="976"/>
        <v>0</v>
      </c>
      <c r="F351" s="16">
        <f t="shared" si="976"/>
        <v>0</v>
      </c>
      <c r="G351" s="16">
        <f t="shared" si="976"/>
        <v>0</v>
      </c>
      <c r="H351" s="16">
        <f t="shared" si="976"/>
        <v>0</v>
      </c>
      <c r="I351" s="16">
        <f t="shared" si="976"/>
        <v>0</v>
      </c>
      <c r="J351" s="16">
        <f t="shared" si="976"/>
        <v>0</v>
      </c>
      <c r="K351" s="16">
        <f t="shared" si="976"/>
        <v>0</v>
      </c>
      <c r="L351" s="16">
        <f t="shared" si="976"/>
        <v>0</v>
      </c>
      <c r="M351" s="16">
        <f t="shared" si="976"/>
        <v>0</v>
      </c>
      <c r="N351" s="16">
        <f t="shared" si="976"/>
        <v>0</v>
      </c>
      <c r="O351" s="13">
        <f t="shared" si="956"/>
        <v>0</v>
      </c>
      <c r="P351" s="14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HM351" s="3"/>
      <c r="HN351" s="3"/>
      <c r="HO351" s="3"/>
      <c r="HP351" s="3"/>
      <c r="HQ351" s="3"/>
      <c r="HR351" s="3"/>
      <c r="HS351" s="3"/>
      <c r="HT351" s="3"/>
      <c r="HU351" s="3"/>
      <c r="HV351" s="3"/>
      <c r="HW351" s="3"/>
      <c r="HX351" s="3"/>
      <c r="HY351" s="3"/>
      <c r="HZ351" s="3"/>
      <c r="IA351" s="3"/>
      <c r="IB351" s="3"/>
      <c r="IC351" s="3"/>
      <c r="ID351" s="3"/>
      <c r="IE351" s="3"/>
      <c r="IF351" s="3"/>
      <c r="IG351" s="3"/>
      <c r="IH351" s="3"/>
      <c r="II351" s="3"/>
      <c r="IJ351" s="3"/>
      <c r="IK351" s="3"/>
      <c r="IL351" s="3"/>
      <c r="IM351" s="3"/>
      <c r="IN351" s="3"/>
      <c r="IO351" s="3"/>
      <c r="IP351" s="3"/>
      <c r="IQ351" s="3"/>
      <c r="IR351" s="3"/>
      <c r="IS351" s="3"/>
      <c r="IT351" s="3"/>
      <c r="IU351" s="3"/>
      <c r="IV351" s="3"/>
    </row>
    <row r="352" spans="1:256" s="1" customFormat="1" hidden="1" x14ac:dyDescent="0.35">
      <c r="B352" s="15" t="s">
        <v>16</v>
      </c>
      <c r="C352" s="18">
        <f t="shared" ref="C352:N352" si="977">IF(C351&gt;1000000,(C352-1000000)*0.3+130500,IF(C351&gt;760000,(C351-760000)*0.25+70500,IF(C351&gt;520000,(C351-520000)*0.2+22500,IF(C351&gt;270000,(C351-270000)*0.08+0,IF(C351&lt;270001,0,0)))))</f>
        <v>0</v>
      </c>
      <c r="D352" s="18">
        <f t="shared" si="977"/>
        <v>0</v>
      </c>
      <c r="E352" s="18">
        <f t="shared" si="977"/>
        <v>0</v>
      </c>
      <c r="F352" s="18">
        <f t="shared" si="977"/>
        <v>0</v>
      </c>
      <c r="G352" s="18">
        <f t="shared" si="977"/>
        <v>0</v>
      </c>
      <c r="H352" s="18">
        <f t="shared" si="977"/>
        <v>0</v>
      </c>
      <c r="I352" s="18">
        <f t="shared" si="977"/>
        <v>0</v>
      </c>
      <c r="J352" s="18">
        <f t="shared" si="977"/>
        <v>0</v>
      </c>
      <c r="K352" s="18">
        <f t="shared" si="977"/>
        <v>0</v>
      </c>
      <c r="L352" s="18">
        <f t="shared" si="977"/>
        <v>0</v>
      </c>
      <c r="M352" s="18">
        <f t="shared" si="977"/>
        <v>0</v>
      </c>
      <c r="N352" s="18">
        <f t="shared" si="977"/>
        <v>0</v>
      </c>
      <c r="O352" s="13">
        <f t="shared" si="956"/>
        <v>0</v>
      </c>
      <c r="P352" s="14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  <c r="HJ352" s="3"/>
      <c r="HK352" s="3"/>
      <c r="HL352" s="3"/>
      <c r="HM352" s="3"/>
      <c r="HN352" s="3"/>
      <c r="HO352" s="3"/>
      <c r="HP352" s="3"/>
      <c r="HQ352" s="3"/>
      <c r="HR352" s="3"/>
      <c r="HS352" s="3"/>
      <c r="HT352" s="3"/>
      <c r="HU352" s="3"/>
      <c r="HV352" s="3"/>
      <c r="HW352" s="3"/>
      <c r="HX352" s="3"/>
      <c r="HY352" s="3"/>
      <c r="HZ352" s="3"/>
      <c r="IA352" s="3"/>
      <c r="IB352" s="3"/>
      <c r="IC352" s="3"/>
      <c r="ID352" s="3"/>
      <c r="IE352" s="3"/>
      <c r="IF352" s="3"/>
      <c r="IG352" s="3"/>
      <c r="IH352" s="3"/>
      <c r="II352" s="3"/>
      <c r="IJ352" s="3"/>
      <c r="IK352" s="3"/>
      <c r="IL352" s="3"/>
      <c r="IM352" s="3"/>
      <c r="IN352" s="3"/>
      <c r="IO352" s="3"/>
      <c r="IP352" s="3"/>
      <c r="IQ352" s="3"/>
      <c r="IR352" s="3"/>
      <c r="IS352" s="3"/>
      <c r="IT352" s="3"/>
      <c r="IU352" s="3"/>
      <c r="IV352" s="3"/>
    </row>
    <row r="353" spans="1:256" s="17" customFormat="1" hidden="1" x14ac:dyDescent="0.35">
      <c r="A353" s="17">
        <v>87</v>
      </c>
      <c r="B353" s="11"/>
      <c r="C353" s="12">
        <v>0</v>
      </c>
      <c r="D353" s="12">
        <v>0</v>
      </c>
      <c r="E353" s="12">
        <v>0</v>
      </c>
      <c r="F353" s="12">
        <v>0</v>
      </c>
      <c r="G353" s="12">
        <v>0</v>
      </c>
      <c r="H353" s="12">
        <v>0</v>
      </c>
      <c r="I353" s="12">
        <v>0</v>
      </c>
      <c r="J353" s="12">
        <v>0</v>
      </c>
      <c r="K353" s="12">
        <v>0</v>
      </c>
      <c r="L353" s="12">
        <v>0</v>
      </c>
      <c r="M353" s="12">
        <v>0</v>
      </c>
      <c r="N353" s="12">
        <v>0</v>
      </c>
      <c r="O353" s="13">
        <f t="shared" si="956"/>
        <v>0</v>
      </c>
      <c r="P353" s="14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  <c r="HJ353" s="3"/>
      <c r="HK353" s="3"/>
      <c r="HL353" s="3"/>
      <c r="HM353" s="3"/>
      <c r="HN353" s="3"/>
      <c r="HO353" s="3"/>
      <c r="HP353" s="3"/>
      <c r="HQ353" s="3"/>
      <c r="HR353" s="3"/>
      <c r="HS353" s="3"/>
      <c r="HT353" s="3"/>
      <c r="HU353" s="3"/>
      <c r="HV353" s="3"/>
      <c r="HW353" s="3"/>
      <c r="HX353" s="3"/>
      <c r="HY353" s="3"/>
      <c r="HZ353" s="3"/>
      <c r="IA353" s="3"/>
      <c r="IB353" s="3"/>
      <c r="IC353" s="3"/>
      <c r="ID353" s="3"/>
      <c r="IE353" s="3"/>
      <c r="IF353" s="3"/>
      <c r="IG353" s="3"/>
      <c r="IH353" s="3"/>
      <c r="II353" s="3"/>
      <c r="IJ353" s="3"/>
      <c r="IK353" s="3"/>
      <c r="IL353" s="3"/>
      <c r="IM353" s="3"/>
      <c r="IN353" s="3"/>
      <c r="IO353" s="3"/>
      <c r="IP353" s="3"/>
      <c r="IQ353" s="3"/>
      <c r="IR353" s="3"/>
      <c r="IS353" s="3"/>
      <c r="IT353" s="3"/>
      <c r="IU353" s="3"/>
      <c r="IV353" s="3"/>
    </row>
    <row r="354" spans="1:256" s="17" customFormat="1" hidden="1" x14ac:dyDescent="0.35">
      <c r="B354" s="15" t="s">
        <v>14</v>
      </c>
      <c r="C354" s="16">
        <f>C353*0.1</f>
        <v>0</v>
      </c>
      <c r="D354" s="16">
        <f t="shared" ref="D354:N354" si="978">D353*0.1</f>
        <v>0</v>
      </c>
      <c r="E354" s="16">
        <f t="shared" si="978"/>
        <v>0</v>
      </c>
      <c r="F354" s="16">
        <f t="shared" si="978"/>
        <v>0</v>
      </c>
      <c r="G354" s="16">
        <f t="shared" si="978"/>
        <v>0</v>
      </c>
      <c r="H354" s="16">
        <f t="shared" si="978"/>
        <v>0</v>
      </c>
      <c r="I354" s="16">
        <f t="shared" si="978"/>
        <v>0</v>
      </c>
      <c r="J354" s="16">
        <f t="shared" si="978"/>
        <v>0</v>
      </c>
      <c r="K354" s="16">
        <f t="shared" si="978"/>
        <v>0</v>
      </c>
      <c r="L354" s="16">
        <f t="shared" si="978"/>
        <v>0</v>
      </c>
      <c r="M354" s="16">
        <f t="shared" si="978"/>
        <v>0</v>
      </c>
      <c r="N354" s="16">
        <f t="shared" si="978"/>
        <v>0</v>
      </c>
      <c r="O354" s="13">
        <f t="shared" si="956"/>
        <v>0</v>
      </c>
      <c r="P354" s="14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  <c r="HJ354" s="3"/>
      <c r="HK354" s="3"/>
      <c r="HL354" s="3"/>
      <c r="HM354" s="3"/>
      <c r="HN354" s="3"/>
      <c r="HO354" s="3"/>
      <c r="HP354" s="3"/>
      <c r="HQ354" s="3"/>
      <c r="HR354" s="3"/>
      <c r="HS354" s="3"/>
      <c r="HT354" s="3"/>
      <c r="HU354" s="3"/>
      <c r="HV354" s="3"/>
      <c r="HW354" s="3"/>
      <c r="HX354" s="3"/>
      <c r="HY354" s="3"/>
      <c r="HZ354" s="3"/>
      <c r="IA354" s="3"/>
      <c r="IB354" s="3"/>
      <c r="IC354" s="3"/>
      <c r="ID354" s="3"/>
      <c r="IE354" s="3"/>
      <c r="IF354" s="3"/>
      <c r="IG354" s="3"/>
      <c r="IH354" s="3"/>
      <c r="II354" s="3"/>
      <c r="IJ354" s="3"/>
      <c r="IK354" s="3"/>
      <c r="IL354" s="3"/>
      <c r="IM354" s="3"/>
      <c r="IN354" s="3"/>
      <c r="IO354" s="3"/>
      <c r="IP354" s="3"/>
      <c r="IQ354" s="3"/>
      <c r="IR354" s="3"/>
      <c r="IS354" s="3"/>
      <c r="IT354" s="3"/>
      <c r="IU354" s="3"/>
      <c r="IV354" s="3"/>
    </row>
    <row r="355" spans="1:256" s="1" customFormat="1" hidden="1" x14ac:dyDescent="0.35">
      <c r="B355" s="15" t="s">
        <v>15</v>
      </c>
      <c r="C355" s="16">
        <f>C353-C354</f>
        <v>0</v>
      </c>
      <c r="D355" s="16">
        <f t="shared" ref="D355:N355" si="979">D353-D354</f>
        <v>0</v>
      </c>
      <c r="E355" s="16">
        <f t="shared" si="979"/>
        <v>0</v>
      </c>
      <c r="F355" s="16">
        <f t="shared" si="979"/>
        <v>0</v>
      </c>
      <c r="G355" s="16">
        <f t="shared" si="979"/>
        <v>0</v>
      </c>
      <c r="H355" s="16">
        <f t="shared" si="979"/>
        <v>0</v>
      </c>
      <c r="I355" s="16">
        <f t="shared" si="979"/>
        <v>0</v>
      </c>
      <c r="J355" s="16">
        <f t="shared" si="979"/>
        <v>0</v>
      </c>
      <c r="K355" s="16">
        <f t="shared" si="979"/>
        <v>0</v>
      </c>
      <c r="L355" s="16">
        <f t="shared" si="979"/>
        <v>0</v>
      </c>
      <c r="M355" s="16">
        <f t="shared" si="979"/>
        <v>0</v>
      </c>
      <c r="N355" s="16">
        <f t="shared" si="979"/>
        <v>0</v>
      </c>
      <c r="O355" s="13">
        <f t="shared" si="956"/>
        <v>0</v>
      </c>
      <c r="P355" s="14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  <c r="HJ355" s="3"/>
      <c r="HK355" s="3"/>
      <c r="HL355" s="3"/>
      <c r="HM355" s="3"/>
      <c r="HN355" s="3"/>
      <c r="HO355" s="3"/>
      <c r="HP355" s="3"/>
      <c r="HQ355" s="3"/>
      <c r="HR355" s="3"/>
      <c r="HS355" s="3"/>
      <c r="HT355" s="3"/>
      <c r="HU355" s="3"/>
      <c r="HV355" s="3"/>
      <c r="HW355" s="3"/>
      <c r="HX355" s="3"/>
      <c r="HY355" s="3"/>
      <c r="HZ355" s="3"/>
      <c r="IA355" s="3"/>
      <c r="IB355" s="3"/>
      <c r="IC355" s="3"/>
      <c r="ID355" s="3"/>
      <c r="IE355" s="3"/>
      <c r="IF355" s="3"/>
      <c r="IG355" s="3"/>
      <c r="IH355" s="3"/>
      <c r="II355" s="3"/>
      <c r="IJ355" s="3"/>
      <c r="IK355" s="3"/>
      <c r="IL355" s="3"/>
      <c r="IM355" s="3"/>
      <c r="IN355" s="3"/>
      <c r="IO355" s="3"/>
      <c r="IP355" s="3"/>
      <c r="IQ355" s="3"/>
      <c r="IR355" s="3"/>
      <c r="IS355" s="3"/>
      <c r="IT355" s="3"/>
      <c r="IU355" s="3"/>
      <c r="IV355" s="3"/>
    </row>
    <row r="356" spans="1:256" s="1" customFormat="1" hidden="1" x14ac:dyDescent="0.35">
      <c r="B356" s="15" t="s">
        <v>16</v>
      </c>
      <c r="C356" s="18">
        <f t="shared" ref="C356:N356" si="980">IF(C355&gt;1000000,(C356-1000000)*0.3+130500,IF(C355&gt;760000,(C355-760000)*0.25+70500,IF(C355&gt;520000,(C355-520000)*0.2+22500,IF(C355&gt;270000,(C355-270000)*0.08+0,IF(C355&lt;270001,0,0)))))</f>
        <v>0</v>
      </c>
      <c r="D356" s="18">
        <f t="shared" si="980"/>
        <v>0</v>
      </c>
      <c r="E356" s="18">
        <f t="shared" si="980"/>
        <v>0</v>
      </c>
      <c r="F356" s="18">
        <f t="shared" si="980"/>
        <v>0</v>
      </c>
      <c r="G356" s="18">
        <f t="shared" si="980"/>
        <v>0</v>
      </c>
      <c r="H356" s="18">
        <f t="shared" si="980"/>
        <v>0</v>
      </c>
      <c r="I356" s="18">
        <f t="shared" si="980"/>
        <v>0</v>
      </c>
      <c r="J356" s="18">
        <f t="shared" si="980"/>
        <v>0</v>
      </c>
      <c r="K356" s="18">
        <f t="shared" si="980"/>
        <v>0</v>
      </c>
      <c r="L356" s="18">
        <f t="shared" si="980"/>
        <v>0</v>
      </c>
      <c r="M356" s="18">
        <f t="shared" si="980"/>
        <v>0</v>
      </c>
      <c r="N356" s="18">
        <f t="shared" si="980"/>
        <v>0</v>
      </c>
      <c r="O356" s="13">
        <f t="shared" si="956"/>
        <v>0</v>
      </c>
      <c r="P356" s="14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I356" s="3"/>
      <c r="HJ356" s="3"/>
      <c r="HK356" s="3"/>
      <c r="HL356" s="3"/>
      <c r="HM356" s="3"/>
      <c r="HN356" s="3"/>
      <c r="HO356" s="3"/>
      <c r="HP356" s="3"/>
      <c r="HQ356" s="3"/>
      <c r="HR356" s="3"/>
      <c r="HS356" s="3"/>
      <c r="HT356" s="3"/>
      <c r="HU356" s="3"/>
      <c r="HV356" s="3"/>
      <c r="HW356" s="3"/>
      <c r="HX356" s="3"/>
      <c r="HY356" s="3"/>
      <c r="HZ356" s="3"/>
      <c r="IA356" s="3"/>
      <c r="IB356" s="3"/>
      <c r="IC356" s="3"/>
      <c r="ID356" s="3"/>
      <c r="IE356" s="3"/>
      <c r="IF356" s="3"/>
      <c r="IG356" s="3"/>
      <c r="IH356" s="3"/>
      <c r="II356" s="3"/>
      <c r="IJ356" s="3"/>
      <c r="IK356" s="3"/>
      <c r="IL356" s="3"/>
      <c r="IM356" s="3"/>
      <c r="IN356" s="3"/>
      <c r="IO356" s="3"/>
      <c r="IP356" s="3"/>
      <c r="IQ356" s="3"/>
      <c r="IR356" s="3"/>
      <c r="IS356" s="3"/>
      <c r="IT356" s="3"/>
      <c r="IU356" s="3"/>
      <c r="IV356" s="3"/>
    </row>
    <row r="357" spans="1:256" s="17" customFormat="1" hidden="1" x14ac:dyDescent="0.35">
      <c r="A357" s="17">
        <v>88</v>
      </c>
      <c r="B357" s="11"/>
      <c r="C357" s="12">
        <v>0</v>
      </c>
      <c r="D357" s="12">
        <v>0</v>
      </c>
      <c r="E357" s="12">
        <v>0</v>
      </c>
      <c r="F357" s="12">
        <v>0</v>
      </c>
      <c r="G357" s="12">
        <v>0</v>
      </c>
      <c r="H357" s="12">
        <v>0</v>
      </c>
      <c r="I357" s="12">
        <v>0</v>
      </c>
      <c r="J357" s="12">
        <v>0</v>
      </c>
      <c r="K357" s="12">
        <v>0</v>
      </c>
      <c r="L357" s="12">
        <v>0</v>
      </c>
      <c r="M357" s="12">
        <v>0</v>
      </c>
      <c r="N357" s="12">
        <v>0</v>
      </c>
      <c r="O357" s="13">
        <f t="shared" si="956"/>
        <v>0</v>
      </c>
      <c r="P357" s="14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I357" s="3"/>
      <c r="HJ357" s="3"/>
      <c r="HK357" s="3"/>
      <c r="HL357" s="3"/>
      <c r="HM357" s="3"/>
      <c r="HN357" s="3"/>
      <c r="HO357" s="3"/>
      <c r="HP357" s="3"/>
      <c r="HQ357" s="3"/>
      <c r="HR357" s="3"/>
      <c r="HS357" s="3"/>
      <c r="HT357" s="3"/>
      <c r="HU357" s="3"/>
      <c r="HV357" s="3"/>
      <c r="HW357" s="3"/>
      <c r="HX357" s="3"/>
      <c r="HY357" s="3"/>
      <c r="HZ357" s="3"/>
      <c r="IA357" s="3"/>
      <c r="IB357" s="3"/>
      <c r="IC357" s="3"/>
      <c r="ID357" s="3"/>
      <c r="IE357" s="3"/>
      <c r="IF357" s="3"/>
      <c r="IG357" s="3"/>
      <c r="IH357" s="3"/>
      <c r="II357" s="3"/>
      <c r="IJ357" s="3"/>
      <c r="IK357" s="3"/>
      <c r="IL357" s="3"/>
      <c r="IM357" s="3"/>
      <c r="IN357" s="3"/>
      <c r="IO357" s="3"/>
      <c r="IP357" s="3"/>
      <c r="IQ357" s="3"/>
      <c r="IR357" s="3"/>
      <c r="IS357" s="3"/>
      <c r="IT357" s="3"/>
      <c r="IU357" s="3"/>
      <c r="IV357" s="3"/>
    </row>
    <row r="358" spans="1:256" s="17" customFormat="1" hidden="1" x14ac:dyDescent="0.35">
      <c r="B358" s="15" t="s">
        <v>14</v>
      </c>
      <c r="C358" s="16">
        <f>C357*0.1</f>
        <v>0</v>
      </c>
      <c r="D358" s="16">
        <f t="shared" ref="D358:N358" si="981">D357*0.1</f>
        <v>0</v>
      </c>
      <c r="E358" s="16">
        <f t="shared" si="981"/>
        <v>0</v>
      </c>
      <c r="F358" s="16">
        <f t="shared" si="981"/>
        <v>0</v>
      </c>
      <c r="G358" s="16">
        <f t="shared" si="981"/>
        <v>0</v>
      </c>
      <c r="H358" s="16">
        <f t="shared" si="981"/>
        <v>0</v>
      </c>
      <c r="I358" s="16">
        <f t="shared" si="981"/>
        <v>0</v>
      </c>
      <c r="J358" s="16">
        <f t="shared" si="981"/>
        <v>0</v>
      </c>
      <c r="K358" s="16">
        <f t="shared" si="981"/>
        <v>0</v>
      </c>
      <c r="L358" s="16">
        <f t="shared" si="981"/>
        <v>0</v>
      </c>
      <c r="M358" s="16">
        <f t="shared" si="981"/>
        <v>0</v>
      </c>
      <c r="N358" s="16">
        <f t="shared" si="981"/>
        <v>0</v>
      </c>
      <c r="O358" s="13">
        <f t="shared" si="956"/>
        <v>0</v>
      </c>
      <c r="P358" s="14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  <c r="HJ358" s="3"/>
      <c r="HK358" s="3"/>
      <c r="HL358" s="3"/>
      <c r="HM358" s="3"/>
      <c r="HN358" s="3"/>
      <c r="HO358" s="3"/>
      <c r="HP358" s="3"/>
      <c r="HQ358" s="3"/>
      <c r="HR358" s="3"/>
      <c r="HS358" s="3"/>
      <c r="HT358" s="3"/>
      <c r="HU358" s="3"/>
      <c r="HV358" s="3"/>
      <c r="HW358" s="3"/>
      <c r="HX358" s="3"/>
      <c r="HY358" s="3"/>
      <c r="HZ358" s="3"/>
      <c r="IA358" s="3"/>
      <c r="IB358" s="3"/>
      <c r="IC358" s="3"/>
      <c r="ID358" s="3"/>
      <c r="IE358" s="3"/>
      <c r="IF358" s="3"/>
      <c r="IG358" s="3"/>
      <c r="IH358" s="3"/>
      <c r="II358" s="3"/>
      <c r="IJ358" s="3"/>
      <c r="IK358" s="3"/>
      <c r="IL358" s="3"/>
      <c r="IM358" s="3"/>
      <c r="IN358" s="3"/>
      <c r="IO358" s="3"/>
      <c r="IP358" s="3"/>
      <c r="IQ358" s="3"/>
      <c r="IR358" s="3"/>
      <c r="IS358" s="3"/>
      <c r="IT358" s="3"/>
      <c r="IU358" s="3"/>
      <c r="IV358" s="3"/>
    </row>
    <row r="359" spans="1:256" s="1" customFormat="1" hidden="1" x14ac:dyDescent="0.35">
      <c r="B359" s="15" t="s">
        <v>15</v>
      </c>
      <c r="C359" s="16">
        <f>C357-C358</f>
        <v>0</v>
      </c>
      <c r="D359" s="16">
        <f t="shared" ref="D359:N359" si="982">D357-D358</f>
        <v>0</v>
      </c>
      <c r="E359" s="16">
        <f t="shared" si="982"/>
        <v>0</v>
      </c>
      <c r="F359" s="16">
        <f t="shared" si="982"/>
        <v>0</v>
      </c>
      <c r="G359" s="16">
        <f t="shared" si="982"/>
        <v>0</v>
      </c>
      <c r="H359" s="16">
        <f t="shared" si="982"/>
        <v>0</v>
      </c>
      <c r="I359" s="16">
        <f t="shared" si="982"/>
        <v>0</v>
      </c>
      <c r="J359" s="16">
        <f t="shared" si="982"/>
        <v>0</v>
      </c>
      <c r="K359" s="16">
        <f t="shared" si="982"/>
        <v>0</v>
      </c>
      <c r="L359" s="16">
        <f t="shared" si="982"/>
        <v>0</v>
      </c>
      <c r="M359" s="16">
        <f t="shared" si="982"/>
        <v>0</v>
      </c>
      <c r="N359" s="16">
        <f t="shared" si="982"/>
        <v>0</v>
      </c>
      <c r="O359" s="13">
        <f t="shared" si="956"/>
        <v>0</v>
      </c>
      <c r="P359" s="14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I359" s="3"/>
      <c r="HJ359" s="3"/>
      <c r="HK359" s="3"/>
      <c r="HL359" s="3"/>
      <c r="HM359" s="3"/>
      <c r="HN359" s="3"/>
      <c r="HO359" s="3"/>
      <c r="HP359" s="3"/>
      <c r="HQ359" s="3"/>
      <c r="HR359" s="3"/>
      <c r="HS359" s="3"/>
      <c r="HT359" s="3"/>
      <c r="HU359" s="3"/>
      <c r="HV359" s="3"/>
      <c r="HW359" s="3"/>
      <c r="HX359" s="3"/>
      <c r="HY359" s="3"/>
      <c r="HZ359" s="3"/>
      <c r="IA359" s="3"/>
      <c r="IB359" s="3"/>
      <c r="IC359" s="3"/>
      <c r="ID359" s="3"/>
      <c r="IE359" s="3"/>
      <c r="IF359" s="3"/>
      <c r="IG359" s="3"/>
      <c r="IH359" s="3"/>
      <c r="II359" s="3"/>
      <c r="IJ359" s="3"/>
      <c r="IK359" s="3"/>
      <c r="IL359" s="3"/>
      <c r="IM359" s="3"/>
      <c r="IN359" s="3"/>
      <c r="IO359" s="3"/>
      <c r="IP359" s="3"/>
      <c r="IQ359" s="3"/>
      <c r="IR359" s="3"/>
      <c r="IS359" s="3"/>
      <c r="IT359" s="3"/>
      <c r="IU359" s="3"/>
      <c r="IV359" s="3"/>
    </row>
    <row r="360" spans="1:256" s="1" customFormat="1" hidden="1" x14ac:dyDescent="0.35">
      <c r="B360" s="15" t="s">
        <v>16</v>
      </c>
      <c r="C360" s="18">
        <f t="shared" ref="C360:N360" si="983">IF(C359&gt;1000000,(C360-1000000)*0.3+130500,IF(C359&gt;760000,(C359-760000)*0.25+70500,IF(C359&gt;520000,(C359-520000)*0.2+22500,IF(C359&gt;270000,(C359-270000)*0.08+0,IF(C359&lt;270001,0,0)))))</f>
        <v>0</v>
      </c>
      <c r="D360" s="18">
        <f t="shared" si="983"/>
        <v>0</v>
      </c>
      <c r="E360" s="18">
        <f t="shared" si="983"/>
        <v>0</v>
      </c>
      <c r="F360" s="18">
        <f t="shared" si="983"/>
        <v>0</v>
      </c>
      <c r="G360" s="18">
        <f t="shared" si="983"/>
        <v>0</v>
      </c>
      <c r="H360" s="18">
        <f t="shared" si="983"/>
        <v>0</v>
      </c>
      <c r="I360" s="18">
        <f t="shared" si="983"/>
        <v>0</v>
      </c>
      <c r="J360" s="18">
        <f t="shared" si="983"/>
        <v>0</v>
      </c>
      <c r="K360" s="18">
        <f t="shared" si="983"/>
        <v>0</v>
      </c>
      <c r="L360" s="18">
        <f t="shared" si="983"/>
        <v>0</v>
      </c>
      <c r="M360" s="18">
        <f t="shared" si="983"/>
        <v>0</v>
      </c>
      <c r="N360" s="18">
        <f t="shared" si="983"/>
        <v>0</v>
      </c>
      <c r="O360" s="13">
        <f t="shared" si="956"/>
        <v>0</v>
      </c>
      <c r="P360" s="14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  <c r="HJ360" s="3"/>
      <c r="HK360" s="3"/>
      <c r="HL360" s="3"/>
      <c r="HM360" s="3"/>
      <c r="HN360" s="3"/>
      <c r="HO360" s="3"/>
      <c r="HP360" s="3"/>
      <c r="HQ360" s="3"/>
      <c r="HR360" s="3"/>
      <c r="HS360" s="3"/>
      <c r="HT360" s="3"/>
      <c r="HU360" s="3"/>
      <c r="HV360" s="3"/>
      <c r="HW360" s="3"/>
      <c r="HX360" s="3"/>
      <c r="HY360" s="3"/>
      <c r="HZ360" s="3"/>
      <c r="IA360" s="3"/>
      <c r="IB360" s="3"/>
      <c r="IC360" s="3"/>
      <c r="ID360" s="3"/>
      <c r="IE360" s="3"/>
      <c r="IF360" s="3"/>
      <c r="IG360" s="3"/>
      <c r="IH360" s="3"/>
      <c r="II360" s="3"/>
      <c r="IJ360" s="3"/>
      <c r="IK360" s="3"/>
      <c r="IL360" s="3"/>
      <c r="IM360" s="3"/>
      <c r="IN360" s="3"/>
      <c r="IO360" s="3"/>
      <c r="IP360" s="3"/>
      <c r="IQ360" s="3"/>
      <c r="IR360" s="3"/>
      <c r="IS360" s="3"/>
      <c r="IT360" s="3"/>
      <c r="IU360" s="3"/>
      <c r="IV360" s="3"/>
    </row>
    <row r="361" spans="1:256" s="17" customFormat="1" hidden="1" x14ac:dyDescent="0.35">
      <c r="A361" s="17">
        <v>89</v>
      </c>
      <c r="B361" s="11"/>
      <c r="C361" s="12">
        <v>0</v>
      </c>
      <c r="D361" s="12">
        <v>0</v>
      </c>
      <c r="E361" s="12">
        <v>0</v>
      </c>
      <c r="F361" s="12">
        <v>0</v>
      </c>
      <c r="G361" s="12">
        <v>0</v>
      </c>
      <c r="H361" s="12">
        <v>0</v>
      </c>
      <c r="I361" s="12">
        <v>0</v>
      </c>
      <c r="J361" s="12">
        <v>0</v>
      </c>
      <c r="K361" s="12">
        <v>0</v>
      </c>
      <c r="L361" s="12">
        <v>0</v>
      </c>
      <c r="M361" s="12">
        <v>0</v>
      </c>
      <c r="N361" s="12">
        <v>0</v>
      </c>
      <c r="O361" s="13">
        <f t="shared" si="956"/>
        <v>0</v>
      </c>
      <c r="P361" s="14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I361" s="3"/>
      <c r="HJ361" s="3"/>
      <c r="HK361" s="3"/>
      <c r="HL361" s="3"/>
      <c r="HM361" s="3"/>
      <c r="HN361" s="3"/>
      <c r="HO361" s="3"/>
      <c r="HP361" s="3"/>
      <c r="HQ361" s="3"/>
      <c r="HR361" s="3"/>
      <c r="HS361" s="3"/>
      <c r="HT361" s="3"/>
      <c r="HU361" s="3"/>
      <c r="HV361" s="3"/>
      <c r="HW361" s="3"/>
      <c r="HX361" s="3"/>
      <c r="HY361" s="3"/>
      <c r="HZ361" s="3"/>
      <c r="IA361" s="3"/>
      <c r="IB361" s="3"/>
      <c r="IC361" s="3"/>
      <c r="ID361" s="3"/>
      <c r="IE361" s="3"/>
      <c r="IF361" s="3"/>
      <c r="IG361" s="3"/>
      <c r="IH361" s="3"/>
      <c r="II361" s="3"/>
      <c r="IJ361" s="3"/>
      <c r="IK361" s="3"/>
      <c r="IL361" s="3"/>
      <c r="IM361" s="3"/>
      <c r="IN361" s="3"/>
      <c r="IO361" s="3"/>
      <c r="IP361" s="3"/>
      <c r="IQ361" s="3"/>
      <c r="IR361" s="3"/>
      <c r="IS361" s="3"/>
      <c r="IT361" s="3"/>
      <c r="IU361" s="3"/>
      <c r="IV361" s="3"/>
    </row>
    <row r="362" spans="1:256" s="17" customFormat="1" hidden="1" x14ac:dyDescent="0.35">
      <c r="B362" s="15" t="s">
        <v>14</v>
      </c>
      <c r="C362" s="16">
        <f>C361*0.1</f>
        <v>0</v>
      </c>
      <c r="D362" s="16">
        <f t="shared" ref="D362:N362" si="984">D361*0.1</f>
        <v>0</v>
      </c>
      <c r="E362" s="16">
        <f t="shared" si="984"/>
        <v>0</v>
      </c>
      <c r="F362" s="16">
        <f t="shared" si="984"/>
        <v>0</v>
      </c>
      <c r="G362" s="16">
        <f t="shared" si="984"/>
        <v>0</v>
      </c>
      <c r="H362" s="16">
        <f t="shared" si="984"/>
        <v>0</v>
      </c>
      <c r="I362" s="16">
        <f t="shared" si="984"/>
        <v>0</v>
      </c>
      <c r="J362" s="16">
        <f t="shared" si="984"/>
        <v>0</v>
      </c>
      <c r="K362" s="16">
        <f t="shared" si="984"/>
        <v>0</v>
      </c>
      <c r="L362" s="16">
        <f t="shared" si="984"/>
        <v>0</v>
      </c>
      <c r="M362" s="16">
        <f t="shared" si="984"/>
        <v>0</v>
      </c>
      <c r="N362" s="16">
        <f t="shared" si="984"/>
        <v>0</v>
      </c>
      <c r="O362" s="13">
        <f t="shared" si="956"/>
        <v>0</v>
      </c>
      <c r="P362" s="14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  <c r="HJ362" s="3"/>
      <c r="HK362" s="3"/>
      <c r="HL362" s="3"/>
      <c r="HM362" s="3"/>
      <c r="HN362" s="3"/>
      <c r="HO362" s="3"/>
      <c r="HP362" s="3"/>
      <c r="HQ362" s="3"/>
      <c r="HR362" s="3"/>
      <c r="HS362" s="3"/>
      <c r="HT362" s="3"/>
      <c r="HU362" s="3"/>
      <c r="HV362" s="3"/>
      <c r="HW362" s="3"/>
      <c r="HX362" s="3"/>
      <c r="HY362" s="3"/>
      <c r="HZ362" s="3"/>
      <c r="IA362" s="3"/>
      <c r="IB362" s="3"/>
      <c r="IC362" s="3"/>
      <c r="ID362" s="3"/>
      <c r="IE362" s="3"/>
      <c r="IF362" s="3"/>
      <c r="IG362" s="3"/>
      <c r="IH362" s="3"/>
      <c r="II362" s="3"/>
      <c r="IJ362" s="3"/>
      <c r="IK362" s="3"/>
      <c r="IL362" s="3"/>
      <c r="IM362" s="3"/>
      <c r="IN362" s="3"/>
      <c r="IO362" s="3"/>
      <c r="IP362" s="3"/>
      <c r="IQ362" s="3"/>
      <c r="IR362" s="3"/>
      <c r="IS362" s="3"/>
      <c r="IT362" s="3"/>
      <c r="IU362" s="3"/>
      <c r="IV362" s="3"/>
    </row>
    <row r="363" spans="1:256" s="1" customFormat="1" hidden="1" x14ac:dyDescent="0.35">
      <c r="B363" s="15" t="s">
        <v>15</v>
      </c>
      <c r="C363" s="16">
        <f>C361-C362</f>
        <v>0</v>
      </c>
      <c r="D363" s="16">
        <f t="shared" ref="D363:N363" si="985">D361-D362</f>
        <v>0</v>
      </c>
      <c r="E363" s="16">
        <f t="shared" si="985"/>
        <v>0</v>
      </c>
      <c r="F363" s="16">
        <f t="shared" si="985"/>
        <v>0</v>
      </c>
      <c r="G363" s="16">
        <f t="shared" si="985"/>
        <v>0</v>
      </c>
      <c r="H363" s="16">
        <f t="shared" si="985"/>
        <v>0</v>
      </c>
      <c r="I363" s="16">
        <f t="shared" si="985"/>
        <v>0</v>
      </c>
      <c r="J363" s="16">
        <f t="shared" si="985"/>
        <v>0</v>
      </c>
      <c r="K363" s="16">
        <f t="shared" si="985"/>
        <v>0</v>
      </c>
      <c r="L363" s="16">
        <f t="shared" si="985"/>
        <v>0</v>
      </c>
      <c r="M363" s="16">
        <f t="shared" si="985"/>
        <v>0</v>
      </c>
      <c r="N363" s="16">
        <f t="shared" si="985"/>
        <v>0</v>
      </c>
      <c r="O363" s="13">
        <f t="shared" si="956"/>
        <v>0</v>
      </c>
      <c r="P363" s="14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  <c r="HU363" s="3"/>
      <c r="HV363" s="3"/>
      <c r="HW363" s="3"/>
      <c r="HX363" s="3"/>
      <c r="HY363" s="3"/>
      <c r="HZ363" s="3"/>
      <c r="IA363" s="3"/>
      <c r="IB363" s="3"/>
      <c r="IC363" s="3"/>
      <c r="ID363" s="3"/>
      <c r="IE363" s="3"/>
      <c r="IF363" s="3"/>
      <c r="IG363" s="3"/>
      <c r="IH363" s="3"/>
      <c r="II363" s="3"/>
      <c r="IJ363" s="3"/>
      <c r="IK363" s="3"/>
      <c r="IL363" s="3"/>
      <c r="IM363" s="3"/>
      <c r="IN363" s="3"/>
      <c r="IO363" s="3"/>
      <c r="IP363" s="3"/>
      <c r="IQ363" s="3"/>
      <c r="IR363" s="3"/>
      <c r="IS363" s="3"/>
      <c r="IT363" s="3"/>
      <c r="IU363" s="3"/>
      <c r="IV363" s="3"/>
    </row>
    <row r="364" spans="1:256" s="1" customFormat="1" ht="15" hidden="1" thickBot="1" x14ac:dyDescent="0.4">
      <c r="B364" s="15" t="s">
        <v>16</v>
      </c>
      <c r="C364" s="18">
        <f t="shared" ref="C364:N364" si="986">IF(C363&gt;1000000,(C364-1000000)*0.3+130500,IF(C363&gt;760000,(C363-760000)*0.25+70500,IF(C363&gt;520000,(C363-520000)*0.2+22500,IF(C363&gt;270000,(C363-270000)*0.08+0,IF(C363&lt;270001,0,0)))))</f>
        <v>0</v>
      </c>
      <c r="D364" s="18">
        <f t="shared" si="986"/>
        <v>0</v>
      </c>
      <c r="E364" s="18">
        <f t="shared" si="986"/>
        <v>0</v>
      </c>
      <c r="F364" s="18">
        <f t="shared" si="986"/>
        <v>0</v>
      </c>
      <c r="G364" s="18">
        <f t="shared" si="986"/>
        <v>0</v>
      </c>
      <c r="H364" s="18">
        <f t="shared" si="986"/>
        <v>0</v>
      </c>
      <c r="I364" s="18">
        <f t="shared" si="986"/>
        <v>0</v>
      </c>
      <c r="J364" s="18">
        <f t="shared" si="986"/>
        <v>0</v>
      </c>
      <c r="K364" s="18">
        <f t="shared" si="986"/>
        <v>0</v>
      </c>
      <c r="L364" s="18">
        <f t="shared" si="986"/>
        <v>0</v>
      </c>
      <c r="M364" s="18">
        <f t="shared" si="986"/>
        <v>0</v>
      </c>
      <c r="N364" s="18">
        <f t="shared" si="986"/>
        <v>0</v>
      </c>
      <c r="O364" s="13">
        <f t="shared" si="956"/>
        <v>0</v>
      </c>
      <c r="P364" s="14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  <c r="HJ364" s="3"/>
      <c r="HK364" s="3"/>
      <c r="HL364" s="3"/>
      <c r="HM364" s="3"/>
      <c r="HN364" s="3"/>
      <c r="HO364" s="3"/>
      <c r="HP364" s="3"/>
      <c r="HQ364" s="3"/>
      <c r="HR364" s="3"/>
      <c r="HS364" s="3"/>
      <c r="HT364" s="3"/>
      <c r="HU364" s="3"/>
      <c r="HV364" s="3"/>
      <c r="HW364" s="3"/>
      <c r="HX364" s="3"/>
      <c r="HY364" s="3"/>
      <c r="HZ364" s="3"/>
      <c r="IA364" s="3"/>
      <c r="IB364" s="3"/>
      <c r="IC364" s="3"/>
      <c r="ID364" s="3"/>
      <c r="IE364" s="3"/>
      <c r="IF364" s="3"/>
      <c r="IG364" s="3"/>
      <c r="IH364" s="3"/>
      <c r="II364" s="3"/>
      <c r="IJ364" s="3"/>
      <c r="IK364" s="3"/>
      <c r="IL364" s="3"/>
      <c r="IM364" s="3"/>
      <c r="IN364" s="3"/>
      <c r="IO364" s="3"/>
      <c r="IP364" s="3"/>
      <c r="IQ364" s="3"/>
      <c r="IR364" s="3"/>
      <c r="IS364" s="3"/>
      <c r="IT364" s="3"/>
      <c r="IU364" s="3"/>
      <c r="IV364" s="3"/>
    </row>
    <row r="365" spans="1:256" ht="15" thickBot="1" x14ac:dyDescent="0.4">
      <c r="A365" s="3"/>
      <c r="B365" s="19" t="s">
        <v>17</v>
      </c>
      <c r="C365" s="20">
        <f>C5+C9+C13+C17+C21+C25+C29+C33+C37+C41+C45+C49+C53+C57+C61+C65+C69+C73+C77+C81+C85+C89+C93+C97+C101+C105+C109+C113+C117+C129+C125+C121+C133+C137+C141+C145+C149+C153+C157+C161+C165+C169+C173+C177+C181+C185+C189+C193+C197+C201+C205+C209+C213+C217+C221+C225+C229+C233+C237+C241+C245+C249+C253+C257+C261+C265+C269+C273+C357+C361+C277+C281+C285+C289+C293+C297+C301+C305+C309+C313+C317+C321+C325+C329+C333+C337+C341+C345+C349+C353</f>
        <v>22700000</v>
      </c>
      <c r="D365" s="20">
        <f t="shared" ref="D365:N365" si="987">D5+D9+D13+D17+D21+D25+D29+D33+D37+D41+D45+D49+D53+D57+D61+D65+D69+D73+D77+D81+D85+D89+D93+D97+D101+D105+D109+D113+D117+D129+D125+D121+D133+D137+D141+D145+D149+D153+D157+D161+D165+D169+D173+D177+D181+D185+D189+D193+D197+D201+D205+D209+D213+D217+D221+D225+D229+D233+D237+D241+D245+D249+D253+D257+D261+D265+D269+D273+D357+D361+D277+D281+D285+D289+D293+D297+D301+D305+D309+D313+D317+D321+D325+D329+D333+D337+D341+D345+D349+D353</f>
        <v>25500000</v>
      </c>
      <c r="E365" s="20">
        <f t="shared" si="987"/>
        <v>27300000</v>
      </c>
      <c r="F365" s="20">
        <f t="shared" si="987"/>
        <v>0</v>
      </c>
      <c r="G365" s="20">
        <f t="shared" si="987"/>
        <v>0</v>
      </c>
      <c r="H365" s="20">
        <f t="shared" si="987"/>
        <v>0</v>
      </c>
      <c r="I365" s="20">
        <f t="shared" si="987"/>
        <v>0</v>
      </c>
      <c r="J365" s="20">
        <f t="shared" si="987"/>
        <v>0</v>
      </c>
      <c r="K365" s="20">
        <f t="shared" si="987"/>
        <v>0</v>
      </c>
      <c r="L365" s="20">
        <f t="shared" si="987"/>
        <v>0</v>
      </c>
      <c r="M365" s="20">
        <f t="shared" si="987"/>
        <v>0</v>
      </c>
      <c r="N365" s="20">
        <f t="shared" si="987"/>
        <v>0</v>
      </c>
      <c r="O365" s="13">
        <f t="shared" si="956"/>
        <v>75500000</v>
      </c>
    </row>
    <row r="366" spans="1:256" ht="15" thickBot="1" x14ac:dyDescent="0.4">
      <c r="A366" s="3"/>
      <c r="B366" s="19" t="s">
        <v>14</v>
      </c>
      <c r="C366" s="20">
        <f>C6+C10+C14+C18+C22+C26+C30+C34+C38+C42+C46+C50+C54+C58+C62+C66+C70+C74+C78+C82+C86+C90+C94+C98+C102+C106+C110+C114+C118+C122+C126+C130+C134+C138+C142+C146+C150+C154+C158+C162+C166+C170+C174+C178+C182+C186+C190+C194+C198+C202+C206+C210+C214+C218+C222+C226+C230+C234+C238+C242+C246+C250+C254+C258+C262+C266+C270+C274+C278+C282+C286+C290+C294+C298+C302+C306+C358+C362+C310+C314+C318+C322+C326+C330+C334+C338+C342+C346+C350+C354</f>
        <v>2270000</v>
      </c>
      <c r="D366" s="20">
        <f t="shared" ref="D366:N366" si="988">D6+D10+D14+D18+D22+D26+D30+D34+D38+D42+D46+D50+D54+D58+D62+D66+D70+D74+D78+D82+D86+D90+D94+D98+D102+D106+D110+D114+D118+D122+D126+D130+D134+D138+D142+D146+D150+D154+D158+D162+D166+D170+D174+D178+D182+D186+D190+D194+D198+D202+D206+D210+D214+D218+D222+D226+D230+D234+D238+D242+D246+D250+D254+D258+D262+D266+D270+D274+D278+D282+D286+D290+D294+D298+D302+D306+D358+D362+D310+D314+D318+D322+D326+D330+D334+D338+D342+D346+D350+D354</f>
        <v>2550000</v>
      </c>
      <c r="E366" s="20">
        <f t="shared" si="988"/>
        <v>2730000</v>
      </c>
      <c r="F366" s="20">
        <f t="shared" si="988"/>
        <v>0</v>
      </c>
      <c r="G366" s="20">
        <f t="shared" si="988"/>
        <v>0</v>
      </c>
      <c r="H366" s="20">
        <f t="shared" si="988"/>
        <v>0</v>
      </c>
      <c r="I366" s="20">
        <f t="shared" si="988"/>
        <v>0</v>
      </c>
      <c r="J366" s="20">
        <f t="shared" si="988"/>
        <v>0</v>
      </c>
      <c r="K366" s="20">
        <f t="shared" si="988"/>
        <v>0</v>
      </c>
      <c r="L366" s="20">
        <f t="shared" si="988"/>
        <v>0</v>
      </c>
      <c r="M366" s="20">
        <f t="shared" si="988"/>
        <v>0</v>
      </c>
      <c r="N366" s="20">
        <f t="shared" si="988"/>
        <v>0</v>
      </c>
      <c r="O366" s="13">
        <f t="shared" si="956"/>
        <v>7550000</v>
      </c>
      <c r="R366" s="14"/>
    </row>
    <row r="367" spans="1:256" ht="15" thickBot="1" x14ac:dyDescent="0.4">
      <c r="A367" s="3"/>
      <c r="B367" s="21" t="s">
        <v>16</v>
      </c>
      <c r="C367" s="22">
        <f>C8+C12+C16+C20+C24+C28+C32+C36+C40+C44++C48+C52+C56+C60+C64+C68+C72+C76+C80+C84+C88+C92+C96+C100+C104+C108+C112+C116+C120+C124+C128+C132+C136+C140+C144+C148+C152+C156+C160+C164+C172+C176+C180+C184+C188+C192+C196+C200+C204+C208+C212+C216+C220+C224+C228+C236+C240+C244+C248+C252+C256+C260+C264+C268+C272+C276+C360+C364+C168+C232+C280+C284+C288+C292+C296+C300+C304+C308</f>
        <v>583800</v>
      </c>
      <c r="D367" s="22">
        <f t="shared" ref="D367:N367" si="989">D8+D12+D16+D20+D24+D28+D32+D36+D40+D44++D48+D52+D56+D60+D64+D68+D72+D76+D80+D84+D88+D92+D96+D100+D104+D108+D112+D116+D120+D124+D128+D132+D136+D140+D144+D148+D152+D156+D160+D164+D172+D176+D180+D184+D188+D192+D196+D200+D204+D208+D212+D216+D220+D224+D228+D236+D240+D244+D248+D252+D256+D260+D264+D268+D272+D276+D360+D364+D168+D232+D280+D284+D288+D292+D296+D300+D304+D308</f>
        <v>1103600</v>
      </c>
      <c r="E367" s="22">
        <f t="shared" si="989"/>
        <v>1103600</v>
      </c>
      <c r="F367" s="22">
        <f t="shared" si="989"/>
        <v>0</v>
      </c>
      <c r="G367" s="22">
        <f t="shared" si="989"/>
        <v>0</v>
      </c>
      <c r="H367" s="22">
        <f t="shared" si="989"/>
        <v>0</v>
      </c>
      <c r="I367" s="22">
        <f t="shared" si="989"/>
        <v>0</v>
      </c>
      <c r="J367" s="22">
        <f t="shared" si="989"/>
        <v>0</v>
      </c>
      <c r="K367" s="22">
        <f t="shared" si="989"/>
        <v>0</v>
      </c>
      <c r="L367" s="22">
        <f t="shared" si="989"/>
        <v>0</v>
      </c>
      <c r="M367" s="22">
        <f t="shared" si="989"/>
        <v>0</v>
      </c>
      <c r="N367" s="22">
        <f t="shared" si="989"/>
        <v>0</v>
      </c>
      <c r="O367" s="13">
        <f t="shared" si="956"/>
        <v>2791000</v>
      </c>
    </row>
    <row r="368" spans="1:256" ht="15" thickBot="1" x14ac:dyDescent="0.4">
      <c r="A368" s="3"/>
      <c r="B368" s="21" t="s">
        <v>18</v>
      </c>
      <c r="C368" s="21">
        <f>C365*3.5%</f>
        <v>794500.00000000012</v>
      </c>
      <c r="D368" s="21">
        <f t="shared" ref="D368:N368" si="990">D365*3.5%</f>
        <v>892500.00000000012</v>
      </c>
      <c r="E368" s="21">
        <f t="shared" si="990"/>
        <v>955500.00000000012</v>
      </c>
      <c r="F368" s="21">
        <f t="shared" si="990"/>
        <v>0</v>
      </c>
      <c r="G368" s="21">
        <f t="shared" si="990"/>
        <v>0</v>
      </c>
      <c r="H368" s="21">
        <f t="shared" si="990"/>
        <v>0</v>
      </c>
      <c r="I368" s="21">
        <f t="shared" si="990"/>
        <v>0</v>
      </c>
      <c r="J368" s="21">
        <f t="shared" si="990"/>
        <v>0</v>
      </c>
      <c r="K368" s="21">
        <f t="shared" si="990"/>
        <v>0</v>
      </c>
      <c r="L368" s="21">
        <f t="shared" si="990"/>
        <v>0</v>
      </c>
      <c r="M368" s="21">
        <f t="shared" si="990"/>
        <v>0</v>
      </c>
      <c r="N368" s="21">
        <f t="shared" si="990"/>
        <v>0</v>
      </c>
      <c r="O368" s="13">
        <f t="shared" si="956"/>
        <v>2642500.0000000005</v>
      </c>
      <c r="P368" s="23"/>
    </row>
    <row r="369" spans="1:256" ht="16" thickBot="1" x14ac:dyDescent="0.4">
      <c r="B369" s="25" t="s">
        <v>19</v>
      </c>
      <c r="C369" s="26">
        <f t="shared" ref="C369" si="991">SUM(C365)*0.5%</f>
        <v>113500</v>
      </c>
      <c r="D369" s="26">
        <f t="shared" ref="D369:N369" si="992">SUM(D365)*0.5%</f>
        <v>127500</v>
      </c>
      <c r="E369" s="26">
        <f t="shared" si="992"/>
        <v>136500</v>
      </c>
      <c r="F369" s="26">
        <f t="shared" si="992"/>
        <v>0</v>
      </c>
      <c r="G369" s="26">
        <f t="shared" si="992"/>
        <v>0</v>
      </c>
      <c r="H369" s="26">
        <f t="shared" si="992"/>
        <v>0</v>
      </c>
      <c r="I369" s="26">
        <f t="shared" si="992"/>
        <v>0</v>
      </c>
      <c r="J369" s="26">
        <f t="shared" si="992"/>
        <v>0</v>
      </c>
      <c r="K369" s="26">
        <f t="shared" si="992"/>
        <v>0</v>
      </c>
      <c r="L369" s="26">
        <f t="shared" si="992"/>
        <v>0</v>
      </c>
      <c r="M369" s="26">
        <f t="shared" si="992"/>
        <v>0</v>
      </c>
      <c r="N369" s="26">
        <f t="shared" si="992"/>
        <v>0</v>
      </c>
      <c r="O369" s="13">
        <f t="shared" si="956"/>
        <v>377500</v>
      </c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  <c r="BS369" s="27"/>
      <c r="BT369" s="27"/>
      <c r="BU369" s="27"/>
      <c r="BV369" s="27"/>
      <c r="BW369" s="27"/>
      <c r="BX369" s="27"/>
      <c r="BY369" s="27"/>
      <c r="BZ369" s="27"/>
      <c r="CA369" s="27"/>
      <c r="CB369" s="27"/>
      <c r="CC369" s="27"/>
      <c r="CD369" s="27"/>
      <c r="CE369" s="27"/>
      <c r="CF369" s="27"/>
      <c r="CG369" s="27"/>
      <c r="CH369" s="27"/>
      <c r="CI369" s="27"/>
      <c r="CJ369" s="27"/>
      <c r="CK369" s="27"/>
      <c r="CL369" s="27"/>
      <c r="CM369" s="27"/>
      <c r="CN369" s="27"/>
      <c r="CO369" s="27"/>
      <c r="CP369" s="27"/>
      <c r="CQ369" s="27"/>
      <c r="CR369" s="27"/>
      <c r="CS369" s="27"/>
      <c r="CT369" s="27"/>
      <c r="CU369" s="27"/>
      <c r="CV369" s="27"/>
      <c r="CW369" s="27"/>
      <c r="CX369" s="27"/>
      <c r="CY369" s="27"/>
      <c r="CZ369" s="27"/>
      <c r="DA369" s="27"/>
      <c r="DB369" s="27"/>
      <c r="DC369" s="27"/>
      <c r="DD369" s="27"/>
      <c r="DE369" s="27"/>
      <c r="DF369" s="27"/>
      <c r="DG369" s="27"/>
      <c r="DH369" s="27"/>
      <c r="DI369" s="27"/>
      <c r="DJ369" s="27"/>
      <c r="DK369" s="27"/>
      <c r="DL369" s="27"/>
      <c r="DM369" s="27"/>
      <c r="DN369" s="27"/>
      <c r="DO369" s="27"/>
      <c r="DP369" s="27"/>
      <c r="DQ369" s="27"/>
      <c r="DR369" s="27"/>
      <c r="DS369" s="27"/>
      <c r="DT369" s="27"/>
      <c r="DU369" s="27"/>
      <c r="DV369" s="27"/>
      <c r="DW369" s="27"/>
      <c r="DX369" s="27"/>
      <c r="DY369" s="27"/>
      <c r="DZ369" s="27"/>
      <c r="EA369" s="27"/>
      <c r="EB369" s="27"/>
      <c r="EC369" s="27"/>
      <c r="ED369" s="27"/>
      <c r="EE369" s="27"/>
      <c r="EF369" s="27"/>
      <c r="EG369" s="27"/>
      <c r="EH369" s="27"/>
      <c r="EI369" s="27"/>
      <c r="EJ369" s="27"/>
      <c r="EK369" s="27"/>
      <c r="EL369" s="27"/>
      <c r="EM369" s="27"/>
      <c r="EN369" s="27"/>
      <c r="EO369" s="27"/>
      <c r="EP369" s="27"/>
      <c r="EQ369" s="27"/>
      <c r="ER369" s="27"/>
      <c r="ES369" s="27"/>
      <c r="ET369" s="27"/>
      <c r="EU369" s="27"/>
      <c r="EV369" s="27"/>
      <c r="EW369" s="27"/>
      <c r="EX369" s="27"/>
      <c r="EY369" s="27"/>
      <c r="EZ369" s="27"/>
      <c r="FA369" s="27"/>
      <c r="FB369" s="27"/>
      <c r="FC369" s="27"/>
      <c r="FD369" s="27"/>
      <c r="FE369" s="27"/>
      <c r="FF369" s="27"/>
      <c r="FG369" s="27"/>
      <c r="FH369" s="27"/>
      <c r="FI369" s="27"/>
      <c r="FJ369" s="27"/>
      <c r="FK369" s="27"/>
      <c r="FL369" s="27"/>
      <c r="FM369" s="27"/>
      <c r="FN369" s="27"/>
      <c r="FO369" s="27"/>
      <c r="FP369" s="27"/>
      <c r="FQ369" s="27"/>
      <c r="FR369" s="27"/>
      <c r="FS369" s="27"/>
      <c r="FT369" s="27"/>
      <c r="FU369" s="27"/>
      <c r="FV369" s="27"/>
      <c r="FW369" s="27"/>
      <c r="FX369" s="27"/>
      <c r="FY369" s="27"/>
      <c r="FZ369" s="27"/>
      <c r="GA369" s="27"/>
      <c r="GB369" s="27"/>
      <c r="GC369" s="27"/>
      <c r="GD369" s="27"/>
      <c r="GE369" s="27"/>
      <c r="GF369" s="27"/>
      <c r="GG369" s="27"/>
      <c r="GH369" s="27"/>
      <c r="GI369" s="27"/>
      <c r="GJ369" s="27"/>
      <c r="GK369" s="27"/>
      <c r="GL369" s="27"/>
      <c r="GM369" s="27"/>
      <c r="GN369" s="27"/>
      <c r="GO369" s="27"/>
      <c r="GP369" s="27"/>
      <c r="GQ369" s="27"/>
      <c r="GR369" s="27"/>
      <c r="GS369" s="27"/>
      <c r="GT369" s="27"/>
      <c r="GU369" s="27"/>
      <c r="GV369" s="27"/>
      <c r="GW369" s="27"/>
      <c r="GX369" s="27"/>
      <c r="GY369" s="27"/>
      <c r="GZ369" s="27"/>
      <c r="HA369" s="27"/>
      <c r="HB369" s="27"/>
      <c r="HC369" s="27"/>
      <c r="HD369" s="27"/>
      <c r="HE369" s="27"/>
      <c r="HF369" s="27"/>
      <c r="HG369" s="27"/>
      <c r="HH369" s="27"/>
      <c r="HI369" s="27"/>
      <c r="HJ369" s="27"/>
      <c r="HK369" s="27"/>
      <c r="HL369" s="27"/>
      <c r="HM369" s="27"/>
      <c r="HN369" s="27"/>
      <c r="HO369" s="27"/>
      <c r="HP369" s="27"/>
      <c r="HQ369" s="27"/>
      <c r="HR369" s="27"/>
      <c r="HS369" s="27"/>
      <c r="HT369" s="27"/>
      <c r="HU369" s="27"/>
      <c r="HV369" s="27"/>
      <c r="HW369" s="27"/>
      <c r="HX369" s="27"/>
      <c r="HY369" s="27"/>
      <c r="HZ369" s="27"/>
      <c r="IA369" s="27"/>
      <c r="IB369" s="27"/>
      <c r="IC369" s="27"/>
      <c r="ID369" s="27"/>
      <c r="IE369" s="27"/>
      <c r="IF369" s="27"/>
      <c r="IG369" s="27"/>
      <c r="IH369" s="27"/>
      <c r="II369" s="27"/>
      <c r="IJ369" s="27"/>
      <c r="IK369" s="27"/>
      <c r="IL369" s="27"/>
      <c r="IM369" s="27"/>
      <c r="IN369" s="27"/>
      <c r="IO369" s="27"/>
      <c r="IP369" s="27"/>
      <c r="IQ369" s="27"/>
      <c r="IR369" s="27"/>
      <c r="IS369" s="27"/>
      <c r="IT369" s="27"/>
      <c r="IU369" s="27"/>
      <c r="IV369" s="27"/>
    </row>
    <row r="370" spans="1:256" ht="15" thickBot="1" x14ac:dyDescent="0.4">
      <c r="B370" s="21" t="s">
        <v>20</v>
      </c>
      <c r="C370" s="28">
        <f>C366</f>
        <v>2270000</v>
      </c>
      <c r="D370" s="28">
        <f t="shared" ref="D370:N370" si="993">D366</f>
        <v>2550000</v>
      </c>
      <c r="E370" s="28">
        <f t="shared" si="993"/>
        <v>2730000</v>
      </c>
      <c r="F370" s="28">
        <f t="shared" si="993"/>
        <v>0</v>
      </c>
      <c r="G370" s="28">
        <f t="shared" si="993"/>
        <v>0</v>
      </c>
      <c r="H370" s="28">
        <f t="shared" si="993"/>
        <v>0</v>
      </c>
      <c r="I370" s="28">
        <f t="shared" si="993"/>
        <v>0</v>
      </c>
      <c r="J370" s="28">
        <f t="shared" si="993"/>
        <v>0</v>
      </c>
      <c r="K370" s="28">
        <f t="shared" si="993"/>
        <v>0</v>
      </c>
      <c r="L370" s="28">
        <f t="shared" si="993"/>
        <v>0</v>
      </c>
      <c r="M370" s="28">
        <f t="shared" si="993"/>
        <v>0</v>
      </c>
      <c r="N370" s="28">
        <f t="shared" si="993"/>
        <v>0</v>
      </c>
      <c r="O370" s="13">
        <f t="shared" si="956"/>
        <v>7550000</v>
      </c>
    </row>
    <row r="372" spans="1:256" ht="15" thickBot="1" x14ac:dyDescent="0.4">
      <c r="J372" s="14"/>
      <c r="P372" s="29"/>
    </row>
    <row r="373" spans="1:256" x14ac:dyDescent="0.35">
      <c r="A373" s="30"/>
      <c r="C373" s="31" t="s">
        <v>21</v>
      </c>
      <c r="D373" s="203" t="s">
        <v>22</v>
      </c>
      <c r="E373" s="204"/>
      <c r="F373" s="204"/>
      <c r="G373" s="205"/>
      <c r="H373" s="30"/>
      <c r="I373" s="30"/>
      <c r="J373" s="4"/>
      <c r="K373" s="31" t="s">
        <v>23</v>
      </c>
      <c r="L373" s="203" t="s">
        <v>22</v>
      </c>
      <c r="M373" s="204"/>
      <c r="N373" s="204"/>
      <c r="O373" s="205"/>
      <c r="P373" s="30"/>
    </row>
    <row r="374" spans="1:256" s="10" customFormat="1" x14ac:dyDescent="0.35">
      <c r="A374" s="32"/>
      <c r="B374" s="33" t="s">
        <v>24</v>
      </c>
      <c r="C374" s="34" t="s">
        <v>25</v>
      </c>
      <c r="D374" s="34" t="s">
        <v>26</v>
      </c>
      <c r="E374" s="34" t="s">
        <v>27</v>
      </c>
      <c r="F374" s="34" t="s">
        <v>28</v>
      </c>
      <c r="G374" s="34" t="s">
        <v>29</v>
      </c>
      <c r="H374" s="34" t="s">
        <v>30</v>
      </c>
      <c r="I374" s="35"/>
      <c r="J374" s="33" t="s">
        <v>24</v>
      </c>
      <c r="K374" s="34" t="s">
        <v>25</v>
      </c>
      <c r="L374" s="34" t="s">
        <v>26</v>
      </c>
      <c r="M374" s="34" t="s">
        <v>27</v>
      </c>
      <c r="N374" s="34" t="s">
        <v>28</v>
      </c>
      <c r="O374" s="34" t="s">
        <v>29</v>
      </c>
      <c r="P374" s="34" t="s">
        <v>30</v>
      </c>
    </row>
    <row r="375" spans="1:256" x14ac:dyDescent="0.35">
      <c r="A375" s="30"/>
      <c r="B375" s="36" t="s">
        <v>31</v>
      </c>
      <c r="C375" s="37">
        <f>C367</f>
        <v>583800</v>
      </c>
      <c r="D375" s="38" t="s">
        <v>458</v>
      </c>
      <c r="E375" s="38" t="s">
        <v>459</v>
      </c>
      <c r="F375" s="38" t="s">
        <v>460</v>
      </c>
      <c r="G375" s="39">
        <v>583800</v>
      </c>
      <c r="H375" s="37">
        <f>IF(C375&lt;=0,0,IF(C375&gt;0,(C375-G375)))</f>
        <v>0</v>
      </c>
      <c r="I375" s="40"/>
      <c r="J375" s="36" t="s">
        <v>31</v>
      </c>
      <c r="K375" s="37">
        <f>C368</f>
        <v>794500.00000000012</v>
      </c>
      <c r="L375" s="38" t="s">
        <v>458</v>
      </c>
      <c r="M375" s="38" t="s">
        <v>459</v>
      </c>
      <c r="N375" s="38" t="s">
        <v>460</v>
      </c>
      <c r="O375" s="41">
        <v>794500</v>
      </c>
      <c r="P375" s="37">
        <f t="shared" ref="P375:P386" si="994">IF(K375&lt;=0,0,IF(K375&gt;0,(K375-O375)))</f>
        <v>1.1641532182693481E-10</v>
      </c>
    </row>
    <row r="376" spans="1:256" x14ac:dyDescent="0.35">
      <c r="A376" s="30"/>
      <c r="B376" s="36" t="s">
        <v>32</v>
      </c>
      <c r="C376" s="37">
        <f>D367</f>
        <v>1103600</v>
      </c>
      <c r="D376" s="38" t="s">
        <v>735</v>
      </c>
      <c r="E376" s="38" t="s">
        <v>734</v>
      </c>
      <c r="F376" s="38" t="s">
        <v>647</v>
      </c>
      <c r="G376" s="39">
        <v>1103600</v>
      </c>
      <c r="H376" s="37">
        <f t="shared" ref="H376:H386" si="995">IF(C376&lt;=0,0,IF(C376&gt;0,(C376-G376)))</f>
        <v>0</v>
      </c>
      <c r="I376" s="30"/>
      <c r="J376" s="36" t="s">
        <v>32</v>
      </c>
      <c r="K376" s="37">
        <f>D368</f>
        <v>892500.00000000012</v>
      </c>
      <c r="L376" s="38" t="s">
        <v>735</v>
      </c>
      <c r="M376" s="38" t="s">
        <v>736</v>
      </c>
      <c r="N376" s="38" t="s">
        <v>647</v>
      </c>
      <c r="O376" s="41">
        <v>892500</v>
      </c>
      <c r="P376" s="37">
        <f t="shared" si="994"/>
        <v>1.1641532182693481E-10</v>
      </c>
    </row>
    <row r="377" spans="1:256" x14ac:dyDescent="0.35">
      <c r="A377" s="30"/>
      <c r="B377" s="36" t="s">
        <v>33</v>
      </c>
      <c r="C377" s="37">
        <f>E367</f>
        <v>1103600</v>
      </c>
      <c r="D377" s="38" t="s">
        <v>813</v>
      </c>
      <c r="E377" s="42">
        <v>9984127340453</v>
      </c>
      <c r="F377" s="43" t="s">
        <v>814</v>
      </c>
      <c r="G377" s="39">
        <v>1103600</v>
      </c>
      <c r="H377" s="37">
        <f t="shared" si="995"/>
        <v>0</v>
      </c>
      <c r="I377" s="30"/>
      <c r="J377" s="36" t="s">
        <v>33</v>
      </c>
      <c r="K377" s="37">
        <f>E368</f>
        <v>955500.00000000012</v>
      </c>
      <c r="L377" s="38" t="s">
        <v>813</v>
      </c>
      <c r="M377" s="42">
        <v>9984217340448</v>
      </c>
      <c r="N377" s="43" t="s">
        <v>814</v>
      </c>
      <c r="O377" s="41">
        <v>955500</v>
      </c>
      <c r="P377" s="37">
        <f t="shared" si="994"/>
        <v>1.1641532182693481E-10</v>
      </c>
    </row>
    <row r="378" spans="1:256" x14ac:dyDescent="0.35">
      <c r="A378" s="30"/>
      <c r="B378" s="36" t="s">
        <v>34</v>
      </c>
      <c r="C378" s="37">
        <f>F367</f>
        <v>0</v>
      </c>
      <c r="D378" s="38"/>
      <c r="E378" s="38"/>
      <c r="F378" s="43"/>
      <c r="G378" s="39"/>
      <c r="H378" s="37">
        <f t="shared" si="995"/>
        <v>0</v>
      </c>
      <c r="I378" s="30"/>
      <c r="J378" s="36" t="s">
        <v>34</v>
      </c>
      <c r="K378" s="37">
        <f>F368</f>
        <v>0</v>
      </c>
      <c r="L378" s="38"/>
      <c r="M378" s="38"/>
      <c r="N378" s="43"/>
      <c r="O378" s="41"/>
      <c r="P378" s="37">
        <f t="shared" si="994"/>
        <v>0</v>
      </c>
    </row>
    <row r="379" spans="1:256" x14ac:dyDescent="0.35">
      <c r="A379" s="30"/>
      <c r="B379" s="36" t="s">
        <v>5</v>
      </c>
      <c r="C379" s="37">
        <f>G367</f>
        <v>0</v>
      </c>
      <c r="D379" s="38"/>
      <c r="E379" s="38"/>
      <c r="F379" s="43"/>
      <c r="G379" s="39"/>
      <c r="H379" s="37">
        <f t="shared" si="995"/>
        <v>0</v>
      </c>
      <c r="I379" s="30"/>
      <c r="J379" s="36" t="s">
        <v>5</v>
      </c>
      <c r="K379" s="37">
        <f>G368</f>
        <v>0</v>
      </c>
      <c r="L379" s="38"/>
      <c r="M379" s="38"/>
      <c r="N379" s="43"/>
      <c r="O379" s="41"/>
      <c r="P379" s="37">
        <f t="shared" si="994"/>
        <v>0</v>
      </c>
    </row>
    <row r="380" spans="1:256" x14ac:dyDescent="0.35">
      <c r="A380" s="30"/>
      <c r="B380" s="36" t="s">
        <v>35</v>
      </c>
      <c r="C380" s="44">
        <f>H367</f>
        <v>0</v>
      </c>
      <c r="D380" s="38"/>
      <c r="E380" s="38"/>
      <c r="F380" s="43"/>
      <c r="G380" s="39"/>
      <c r="H380" s="37">
        <f t="shared" si="995"/>
        <v>0</v>
      </c>
      <c r="I380" s="30"/>
      <c r="J380" s="36" t="s">
        <v>35</v>
      </c>
      <c r="K380" s="44">
        <f>H368</f>
        <v>0</v>
      </c>
      <c r="L380" s="38"/>
      <c r="M380" s="38"/>
      <c r="N380" s="43"/>
      <c r="O380" s="45"/>
      <c r="P380" s="37">
        <f t="shared" si="994"/>
        <v>0</v>
      </c>
    </row>
    <row r="381" spans="1:256" x14ac:dyDescent="0.35">
      <c r="A381" s="30"/>
      <c r="B381" s="36" t="s">
        <v>36</v>
      </c>
      <c r="C381" s="44">
        <f>I367</f>
        <v>0</v>
      </c>
      <c r="D381" s="46"/>
      <c r="E381" s="46"/>
      <c r="F381" s="43"/>
      <c r="G381" s="39"/>
      <c r="H381" s="37">
        <f t="shared" si="995"/>
        <v>0</v>
      </c>
      <c r="I381" s="30"/>
      <c r="J381" s="36" t="s">
        <v>36</v>
      </c>
      <c r="K381" s="44">
        <f>I368</f>
        <v>0</v>
      </c>
      <c r="L381" s="46"/>
      <c r="M381" s="46"/>
      <c r="N381" s="43"/>
      <c r="O381" s="45"/>
      <c r="P381" s="37">
        <f t="shared" si="994"/>
        <v>0</v>
      </c>
    </row>
    <row r="382" spans="1:256" x14ac:dyDescent="0.35">
      <c r="A382" s="30"/>
      <c r="B382" s="36" t="s">
        <v>37</v>
      </c>
      <c r="C382" s="44">
        <f>J367</f>
        <v>0</v>
      </c>
      <c r="D382" s="46"/>
      <c r="E382" s="42"/>
      <c r="F382" s="43"/>
      <c r="G382" s="39"/>
      <c r="H382" s="37">
        <f t="shared" si="995"/>
        <v>0</v>
      </c>
      <c r="I382" s="30"/>
      <c r="J382" s="36" t="s">
        <v>37</v>
      </c>
      <c r="K382" s="44">
        <f>J368</f>
        <v>0</v>
      </c>
      <c r="L382" s="46"/>
      <c r="M382" s="42"/>
      <c r="N382" s="43"/>
      <c r="O382" s="45"/>
      <c r="P382" s="37">
        <f t="shared" si="994"/>
        <v>0</v>
      </c>
    </row>
    <row r="383" spans="1:256" x14ac:dyDescent="0.35">
      <c r="A383" s="30"/>
      <c r="B383" s="36" t="s">
        <v>38</v>
      </c>
      <c r="C383" s="44">
        <f>K367</f>
        <v>0</v>
      </c>
      <c r="D383" s="46"/>
      <c r="E383" s="46"/>
      <c r="F383" s="43"/>
      <c r="G383" s="39"/>
      <c r="H383" s="37">
        <f t="shared" si="995"/>
        <v>0</v>
      </c>
      <c r="J383" s="36" t="s">
        <v>38</v>
      </c>
      <c r="K383" s="44">
        <f>K368</f>
        <v>0</v>
      </c>
      <c r="L383" s="46"/>
      <c r="M383" s="46"/>
      <c r="N383" s="43"/>
      <c r="O383" s="45"/>
      <c r="P383" s="37">
        <f t="shared" si="994"/>
        <v>0</v>
      </c>
    </row>
    <row r="384" spans="1:256" x14ac:dyDescent="0.35">
      <c r="A384" s="30"/>
      <c r="B384" s="36" t="s">
        <v>39</v>
      </c>
      <c r="C384" s="44">
        <f>L367</f>
        <v>0</v>
      </c>
      <c r="D384" s="46"/>
      <c r="E384" s="46"/>
      <c r="F384" s="43"/>
      <c r="G384" s="39"/>
      <c r="H384" s="37">
        <f t="shared" si="995"/>
        <v>0</v>
      </c>
      <c r="I384" s="30"/>
      <c r="J384" s="36" t="s">
        <v>39</v>
      </c>
      <c r="K384" s="44">
        <f>L368</f>
        <v>0</v>
      </c>
      <c r="L384" s="46"/>
      <c r="M384" s="46"/>
      <c r="N384" s="43"/>
      <c r="O384" s="45"/>
      <c r="P384" s="37">
        <f t="shared" si="994"/>
        <v>0</v>
      </c>
    </row>
    <row r="385" spans="1:256" x14ac:dyDescent="0.35">
      <c r="A385" s="30"/>
      <c r="B385" s="36" t="s">
        <v>40</v>
      </c>
      <c r="C385" s="44">
        <f>M367</f>
        <v>0</v>
      </c>
      <c r="D385" s="46"/>
      <c r="E385" s="46"/>
      <c r="F385" s="43"/>
      <c r="G385" s="39"/>
      <c r="H385" s="37">
        <f t="shared" si="995"/>
        <v>0</v>
      </c>
      <c r="I385" s="30"/>
      <c r="J385" s="36" t="s">
        <v>40</v>
      </c>
      <c r="K385" s="44">
        <f>M368</f>
        <v>0</v>
      </c>
      <c r="L385" s="46"/>
      <c r="M385" s="46"/>
      <c r="N385" s="43"/>
      <c r="O385" s="45"/>
      <c r="P385" s="37">
        <f t="shared" si="994"/>
        <v>0</v>
      </c>
    </row>
    <row r="386" spans="1:256" x14ac:dyDescent="0.35">
      <c r="A386" s="30"/>
      <c r="B386" s="36" t="s">
        <v>41</v>
      </c>
      <c r="C386" s="44">
        <f>N367</f>
        <v>0</v>
      </c>
      <c r="D386" s="46"/>
      <c r="E386" s="46"/>
      <c r="F386" s="43"/>
      <c r="G386" s="47"/>
      <c r="H386" s="37">
        <f t="shared" si="995"/>
        <v>0</v>
      </c>
      <c r="I386" s="30"/>
      <c r="J386" s="36" t="s">
        <v>41</v>
      </c>
      <c r="K386" s="44">
        <f>N368</f>
        <v>0</v>
      </c>
      <c r="L386" s="46"/>
      <c r="M386" s="46"/>
      <c r="N386" s="43"/>
      <c r="O386" s="45"/>
      <c r="P386" s="37">
        <f t="shared" si="994"/>
        <v>0</v>
      </c>
    </row>
    <row r="387" spans="1:256" ht="15" thickBot="1" x14ac:dyDescent="0.4">
      <c r="A387" s="30"/>
      <c r="B387" s="48"/>
      <c r="C387" s="49"/>
      <c r="D387" s="49"/>
      <c r="E387" s="50"/>
      <c r="F387" s="51"/>
      <c r="G387" s="51"/>
      <c r="H387" s="52"/>
      <c r="I387" s="30"/>
      <c r="J387" s="48"/>
      <c r="K387" s="49"/>
      <c r="L387" s="50"/>
      <c r="M387" s="50"/>
      <c r="N387" s="51"/>
      <c r="O387" s="51"/>
      <c r="P387" s="52"/>
    </row>
    <row r="388" spans="1:256" ht="15" thickBot="1" x14ac:dyDescent="0.4">
      <c r="A388" s="53"/>
      <c r="B388" s="54" t="s">
        <v>13</v>
      </c>
      <c r="C388" s="55">
        <f>SUM(C375:C386)</f>
        <v>2791000</v>
      </c>
      <c r="D388" s="55"/>
      <c r="E388" s="56"/>
      <c r="F388" s="57"/>
      <c r="G388" s="55">
        <f>SUM(G375:G386)</f>
        <v>2791000</v>
      </c>
      <c r="H388" s="55">
        <f>SUM(H375:H386)</f>
        <v>0</v>
      </c>
      <c r="I388" s="53"/>
      <c r="J388" s="54" t="s">
        <v>13</v>
      </c>
      <c r="K388" s="55">
        <f>SUM(K375:K386)</f>
        <v>2642500.0000000005</v>
      </c>
      <c r="L388" s="56"/>
      <c r="M388" s="56"/>
      <c r="N388" s="57"/>
      <c r="O388" s="55">
        <f>SUM(O375:O386)</f>
        <v>2642500</v>
      </c>
      <c r="P388" s="55">
        <f>SUM(P375:P386)</f>
        <v>3.4924596548080444E-10</v>
      </c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8"/>
      <c r="AL388" s="58"/>
      <c r="AM388" s="58"/>
      <c r="AN388" s="58"/>
      <c r="AO388" s="58"/>
      <c r="AP388" s="58"/>
      <c r="AQ388" s="58"/>
      <c r="AR388" s="58"/>
      <c r="AS388" s="58"/>
      <c r="AT388" s="58"/>
      <c r="AU388" s="58"/>
      <c r="AV388" s="58"/>
      <c r="AW388" s="58"/>
      <c r="AX388" s="58"/>
      <c r="AY388" s="58"/>
      <c r="AZ388" s="58"/>
      <c r="BA388" s="58"/>
      <c r="BB388" s="58"/>
      <c r="BC388" s="58"/>
      <c r="BD388" s="58"/>
      <c r="BE388" s="58"/>
      <c r="BF388" s="58"/>
      <c r="BG388" s="58"/>
      <c r="BH388" s="58"/>
      <c r="BI388" s="58"/>
      <c r="BJ388" s="58"/>
      <c r="BK388" s="58"/>
      <c r="BL388" s="58"/>
      <c r="BM388" s="58"/>
      <c r="BN388" s="58"/>
      <c r="BO388" s="58"/>
      <c r="BP388" s="58"/>
      <c r="BQ388" s="58"/>
      <c r="BR388" s="58"/>
      <c r="BS388" s="58"/>
      <c r="BT388" s="58"/>
      <c r="BU388" s="58"/>
      <c r="BV388" s="58"/>
      <c r="BW388" s="58"/>
      <c r="BX388" s="58"/>
      <c r="BY388" s="58"/>
      <c r="BZ388" s="58"/>
      <c r="CA388" s="58"/>
      <c r="CB388" s="58"/>
      <c r="CC388" s="58"/>
      <c r="CD388" s="58"/>
      <c r="CE388" s="58"/>
      <c r="CF388" s="58"/>
      <c r="CG388" s="58"/>
      <c r="CH388" s="58"/>
      <c r="CI388" s="58"/>
      <c r="CJ388" s="58"/>
      <c r="CK388" s="58"/>
      <c r="CL388" s="58"/>
      <c r="CM388" s="58"/>
      <c r="CN388" s="58"/>
      <c r="CO388" s="58"/>
      <c r="CP388" s="58"/>
      <c r="CQ388" s="58"/>
      <c r="CR388" s="58"/>
      <c r="CS388" s="58"/>
      <c r="CT388" s="58"/>
      <c r="CU388" s="58"/>
      <c r="CV388" s="58"/>
      <c r="CW388" s="58"/>
      <c r="CX388" s="58"/>
      <c r="CY388" s="58"/>
      <c r="CZ388" s="58"/>
      <c r="DA388" s="58"/>
      <c r="DB388" s="58"/>
      <c r="DC388" s="58"/>
      <c r="DD388" s="58"/>
      <c r="DE388" s="58"/>
      <c r="DF388" s="58"/>
      <c r="DG388" s="58"/>
      <c r="DH388" s="58"/>
      <c r="DI388" s="58"/>
      <c r="DJ388" s="58"/>
      <c r="DK388" s="58"/>
      <c r="DL388" s="58"/>
      <c r="DM388" s="58"/>
      <c r="DN388" s="58"/>
      <c r="DO388" s="58"/>
      <c r="DP388" s="58"/>
      <c r="DQ388" s="58"/>
      <c r="DR388" s="58"/>
      <c r="DS388" s="58"/>
      <c r="DT388" s="58"/>
      <c r="DU388" s="58"/>
      <c r="DV388" s="58"/>
      <c r="DW388" s="58"/>
      <c r="DX388" s="58"/>
      <c r="DY388" s="58"/>
      <c r="DZ388" s="58"/>
      <c r="EA388" s="58"/>
      <c r="EB388" s="58"/>
      <c r="EC388" s="58"/>
      <c r="ED388" s="58"/>
      <c r="EE388" s="58"/>
      <c r="EF388" s="58"/>
      <c r="EG388" s="58"/>
      <c r="EH388" s="58"/>
      <c r="EI388" s="58"/>
      <c r="EJ388" s="58"/>
      <c r="EK388" s="58"/>
      <c r="EL388" s="58"/>
      <c r="EM388" s="58"/>
      <c r="EN388" s="58"/>
      <c r="EO388" s="58"/>
      <c r="EP388" s="58"/>
      <c r="EQ388" s="58"/>
      <c r="ER388" s="58"/>
      <c r="ES388" s="58"/>
      <c r="ET388" s="58"/>
      <c r="EU388" s="58"/>
      <c r="EV388" s="58"/>
      <c r="EW388" s="58"/>
      <c r="EX388" s="58"/>
      <c r="EY388" s="58"/>
      <c r="EZ388" s="58"/>
      <c r="FA388" s="58"/>
      <c r="FB388" s="58"/>
      <c r="FC388" s="58"/>
      <c r="FD388" s="58"/>
      <c r="FE388" s="58"/>
      <c r="FF388" s="58"/>
      <c r="FG388" s="58"/>
      <c r="FH388" s="58"/>
      <c r="FI388" s="58"/>
      <c r="FJ388" s="58"/>
      <c r="FK388" s="58"/>
      <c r="FL388" s="58"/>
      <c r="FM388" s="58"/>
      <c r="FN388" s="58"/>
      <c r="FO388" s="58"/>
      <c r="FP388" s="58"/>
      <c r="FQ388" s="58"/>
      <c r="FR388" s="58"/>
      <c r="FS388" s="58"/>
      <c r="FT388" s="58"/>
      <c r="FU388" s="58"/>
      <c r="FV388" s="58"/>
      <c r="FW388" s="58"/>
      <c r="FX388" s="58"/>
      <c r="FY388" s="58"/>
      <c r="FZ388" s="58"/>
      <c r="GA388" s="58"/>
      <c r="GB388" s="58"/>
      <c r="GC388" s="58"/>
      <c r="GD388" s="58"/>
      <c r="GE388" s="58"/>
      <c r="GF388" s="58"/>
      <c r="GG388" s="58"/>
      <c r="GH388" s="58"/>
      <c r="GI388" s="58"/>
      <c r="GJ388" s="58"/>
      <c r="GK388" s="58"/>
      <c r="GL388" s="58"/>
      <c r="GM388" s="58"/>
      <c r="GN388" s="58"/>
      <c r="GO388" s="58"/>
      <c r="GP388" s="58"/>
      <c r="GQ388" s="58"/>
      <c r="GR388" s="58"/>
      <c r="GS388" s="58"/>
      <c r="GT388" s="58"/>
      <c r="GU388" s="58"/>
      <c r="GV388" s="58"/>
      <c r="GW388" s="58"/>
      <c r="GX388" s="58"/>
      <c r="GY388" s="58"/>
      <c r="GZ388" s="58"/>
      <c r="HA388" s="58"/>
      <c r="HB388" s="58"/>
      <c r="HC388" s="58"/>
      <c r="HD388" s="58"/>
      <c r="HE388" s="58"/>
      <c r="HF388" s="58"/>
      <c r="HG388" s="58"/>
      <c r="HH388" s="58"/>
      <c r="HI388" s="58"/>
      <c r="HJ388" s="58"/>
      <c r="HK388" s="58"/>
      <c r="HL388" s="58"/>
      <c r="HM388" s="58"/>
      <c r="HN388" s="58"/>
      <c r="HO388" s="58"/>
      <c r="HP388" s="58"/>
      <c r="HQ388" s="58"/>
      <c r="HR388" s="58"/>
      <c r="HS388" s="58"/>
      <c r="HT388" s="58"/>
      <c r="HU388" s="58"/>
      <c r="HV388" s="58"/>
      <c r="HW388" s="58"/>
      <c r="HX388" s="58"/>
      <c r="HY388" s="58"/>
      <c r="HZ388" s="58"/>
      <c r="IA388" s="58"/>
      <c r="IB388" s="58"/>
      <c r="IC388" s="58"/>
      <c r="ID388" s="58"/>
      <c r="IE388" s="58"/>
      <c r="IF388" s="58"/>
      <c r="IG388" s="58"/>
      <c r="IH388" s="58"/>
      <c r="II388" s="58"/>
      <c r="IJ388" s="58"/>
      <c r="IK388" s="58"/>
      <c r="IL388" s="58"/>
      <c r="IM388" s="58"/>
      <c r="IN388" s="58"/>
      <c r="IO388" s="58"/>
      <c r="IP388" s="58"/>
      <c r="IQ388" s="58"/>
      <c r="IR388" s="58"/>
      <c r="IS388" s="58"/>
      <c r="IT388" s="58"/>
      <c r="IU388" s="58"/>
      <c r="IV388" s="58"/>
    </row>
    <row r="389" spans="1:256" x14ac:dyDescent="0.35">
      <c r="H389" s="59"/>
    </row>
    <row r="391" spans="1:256" ht="15" thickBot="1" x14ac:dyDescent="0.4">
      <c r="A391" s="1"/>
    </row>
    <row r="392" spans="1:256" s="10" customFormat="1" x14ac:dyDescent="0.35">
      <c r="A392" s="6"/>
      <c r="C392" s="31" t="s">
        <v>14</v>
      </c>
      <c r="D392" s="203" t="s">
        <v>22</v>
      </c>
      <c r="E392" s="204"/>
      <c r="F392" s="204"/>
      <c r="G392" s="205"/>
      <c r="H392" s="32"/>
      <c r="K392" s="31" t="s">
        <v>19</v>
      </c>
      <c r="L392" s="203" t="s">
        <v>22</v>
      </c>
      <c r="M392" s="204"/>
      <c r="N392" s="204"/>
      <c r="O392" s="205"/>
      <c r="P392" s="32"/>
    </row>
    <row r="393" spans="1:256" s="10" customFormat="1" x14ac:dyDescent="0.35">
      <c r="A393" s="6"/>
      <c r="B393" s="33" t="s">
        <v>24</v>
      </c>
      <c r="C393" s="34" t="s">
        <v>25</v>
      </c>
      <c r="D393" s="34" t="s">
        <v>26</v>
      </c>
      <c r="E393" s="34" t="s">
        <v>27</v>
      </c>
      <c r="F393" s="34" t="s">
        <v>28</v>
      </c>
      <c r="G393" s="34" t="s">
        <v>29</v>
      </c>
      <c r="H393" s="34" t="s">
        <v>30</v>
      </c>
      <c r="J393" s="33" t="s">
        <v>24</v>
      </c>
      <c r="K393" s="34" t="s">
        <v>25</v>
      </c>
      <c r="L393" s="34" t="s">
        <v>26</v>
      </c>
      <c r="M393" s="34" t="s">
        <v>27</v>
      </c>
      <c r="N393" s="34" t="s">
        <v>28</v>
      </c>
      <c r="O393" s="34" t="s">
        <v>29</v>
      </c>
      <c r="P393" s="34" t="s">
        <v>30</v>
      </c>
    </row>
    <row r="394" spans="1:256" x14ac:dyDescent="0.35">
      <c r="A394" s="1"/>
      <c r="B394" s="36" t="s">
        <v>31</v>
      </c>
      <c r="C394" s="60">
        <f>C366+C370</f>
        <v>4540000</v>
      </c>
      <c r="D394" s="38" t="s">
        <v>646</v>
      </c>
      <c r="E394" s="42">
        <v>995531968804</v>
      </c>
      <c r="F394" s="38" t="s">
        <v>647</v>
      </c>
      <c r="G394" s="41">
        <v>4540000</v>
      </c>
      <c r="H394" s="60">
        <f>IF(C394&lt;=0,0,IF(C394&gt;0,(C394-G394)))</f>
        <v>0</v>
      </c>
      <c r="J394" s="36" t="s">
        <v>31</v>
      </c>
      <c r="K394" s="37">
        <f>C369</f>
        <v>113500</v>
      </c>
      <c r="L394" s="38" t="s">
        <v>458</v>
      </c>
      <c r="M394" s="61">
        <v>991761165184</v>
      </c>
      <c r="N394" s="38" t="s">
        <v>460</v>
      </c>
      <c r="O394" s="41">
        <v>113500</v>
      </c>
      <c r="P394" s="37">
        <f>IF(K394&lt;=0,0,IF(K394&gt;0,(K394-O394)))</f>
        <v>0</v>
      </c>
    </row>
    <row r="395" spans="1:256" x14ac:dyDescent="0.35">
      <c r="A395" s="1"/>
      <c r="B395" s="36" t="s">
        <v>32</v>
      </c>
      <c r="C395" s="60">
        <f>D366+D370</f>
        <v>5100000</v>
      </c>
      <c r="D395" s="38" t="s">
        <v>732</v>
      </c>
      <c r="E395" s="42">
        <v>995532020102</v>
      </c>
      <c r="F395" s="43" t="s">
        <v>733</v>
      </c>
      <c r="G395" s="41">
        <v>5100000</v>
      </c>
      <c r="H395" s="60">
        <f t="shared" ref="H395:H405" si="996">IF(C395&lt;=0,0,IF(C395&gt;0,(C395-G395)))</f>
        <v>0</v>
      </c>
      <c r="J395" s="36" t="s">
        <v>32</v>
      </c>
      <c r="K395" s="37">
        <f>D369</f>
        <v>127500</v>
      </c>
      <c r="L395" s="38" t="s">
        <v>737</v>
      </c>
      <c r="M395" s="42">
        <v>991761181792</v>
      </c>
      <c r="N395" s="38" t="s">
        <v>460</v>
      </c>
      <c r="O395" s="41">
        <v>127500</v>
      </c>
      <c r="P395" s="37">
        <f t="shared" ref="P395:P405" si="997">IF(K395&lt;=0,0,IF(K395&gt;0,(K395-O395)))</f>
        <v>0</v>
      </c>
    </row>
    <row r="396" spans="1:256" x14ac:dyDescent="0.35">
      <c r="A396" s="1"/>
      <c r="B396" s="36" t="s">
        <v>33</v>
      </c>
      <c r="C396" s="60">
        <f>E366+E370</f>
        <v>5460000</v>
      </c>
      <c r="D396" s="38" t="s">
        <v>952</v>
      </c>
      <c r="E396" s="42">
        <v>995532083504</v>
      </c>
      <c r="F396" s="43" t="s">
        <v>647</v>
      </c>
      <c r="G396" s="41">
        <v>5460000</v>
      </c>
      <c r="H396" s="60">
        <f t="shared" si="996"/>
        <v>0</v>
      </c>
      <c r="J396" s="36" t="s">
        <v>33</v>
      </c>
      <c r="K396" s="37">
        <f>E369</f>
        <v>136500</v>
      </c>
      <c r="L396" s="38" t="s">
        <v>813</v>
      </c>
      <c r="M396" s="42">
        <v>991761205604</v>
      </c>
      <c r="N396" s="43" t="s">
        <v>814</v>
      </c>
      <c r="O396" s="41">
        <v>136500</v>
      </c>
      <c r="P396" s="37">
        <f t="shared" si="997"/>
        <v>0</v>
      </c>
    </row>
    <row r="397" spans="1:256" x14ac:dyDescent="0.35">
      <c r="A397" s="1"/>
      <c r="B397" s="36" t="s">
        <v>34</v>
      </c>
      <c r="C397" s="60">
        <f>F366+F370</f>
        <v>0</v>
      </c>
      <c r="D397" s="38"/>
      <c r="E397" s="42"/>
      <c r="F397" s="43"/>
      <c r="G397" s="41"/>
      <c r="H397" s="60">
        <f t="shared" si="996"/>
        <v>0</v>
      </c>
      <c r="J397" s="36" t="s">
        <v>34</v>
      </c>
      <c r="K397" s="37">
        <f>F369</f>
        <v>0</v>
      </c>
      <c r="L397" s="38"/>
      <c r="M397" s="42"/>
      <c r="N397" s="43"/>
      <c r="O397" s="41"/>
      <c r="P397" s="37">
        <f t="shared" si="997"/>
        <v>0</v>
      </c>
    </row>
    <row r="398" spans="1:256" x14ac:dyDescent="0.35">
      <c r="A398" s="1"/>
      <c r="B398" s="36" t="s">
        <v>5</v>
      </c>
      <c r="C398" s="60">
        <f>G366+G370</f>
        <v>0</v>
      </c>
      <c r="D398" s="38"/>
      <c r="E398" s="42"/>
      <c r="F398" s="43"/>
      <c r="G398" s="41"/>
      <c r="H398" s="60">
        <f t="shared" si="996"/>
        <v>0</v>
      </c>
      <c r="J398" s="36" t="s">
        <v>5</v>
      </c>
      <c r="K398" s="37">
        <f>G369</f>
        <v>0</v>
      </c>
      <c r="L398" s="38"/>
      <c r="M398" s="42"/>
      <c r="N398" s="43"/>
      <c r="O398" s="41"/>
      <c r="P398" s="37">
        <f t="shared" si="997"/>
        <v>0</v>
      </c>
    </row>
    <row r="399" spans="1:256" x14ac:dyDescent="0.35">
      <c r="A399" s="1"/>
      <c r="B399" s="36" t="s">
        <v>35</v>
      </c>
      <c r="C399" s="41">
        <f>H366+H370</f>
        <v>0</v>
      </c>
      <c r="D399" s="38"/>
      <c r="E399" s="42"/>
      <c r="F399" s="43"/>
      <c r="G399" s="45"/>
      <c r="H399" s="60">
        <f t="shared" si="996"/>
        <v>0</v>
      </c>
      <c r="J399" s="36" t="s">
        <v>35</v>
      </c>
      <c r="K399" s="44">
        <f>H369</f>
        <v>0</v>
      </c>
      <c r="L399" s="38"/>
      <c r="M399" s="42"/>
      <c r="N399" s="43"/>
      <c r="O399" s="45"/>
      <c r="P399" s="37">
        <f t="shared" si="997"/>
        <v>0</v>
      </c>
    </row>
    <row r="400" spans="1:256" x14ac:dyDescent="0.35">
      <c r="A400" s="1"/>
      <c r="B400" s="36" t="s">
        <v>36</v>
      </c>
      <c r="C400" s="41">
        <f>I366+I370</f>
        <v>0</v>
      </c>
      <c r="D400" s="46"/>
      <c r="E400" s="42"/>
      <c r="F400" s="43"/>
      <c r="G400" s="45"/>
      <c r="H400" s="60">
        <f t="shared" si="996"/>
        <v>0</v>
      </c>
      <c r="J400" s="36" t="s">
        <v>36</v>
      </c>
      <c r="K400" s="44">
        <f>I369</f>
        <v>0</v>
      </c>
      <c r="L400" s="46"/>
      <c r="M400" s="42"/>
      <c r="N400" s="43"/>
      <c r="O400" s="45"/>
      <c r="P400" s="37">
        <f t="shared" si="997"/>
        <v>0</v>
      </c>
    </row>
    <row r="401" spans="1:16" x14ac:dyDescent="0.35">
      <c r="A401" s="1"/>
      <c r="B401" s="36" t="s">
        <v>37</v>
      </c>
      <c r="C401" s="41">
        <f>J366+J370</f>
        <v>0</v>
      </c>
      <c r="D401" s="46"/>
      <c r="E401" s="42"/>
      <c r="F401" s="43"/>
      <c r="G401" s="45"/>
      <c r="H401" s="60">
        <f t="shared" si="996"/>
        <v>0</v>
      </c>
      <c r="J401" s="36" t="s">
        <v>37</v>
      </c>
      <c r="K401" s="44">
        <f>J369</f>
        <v>0</v>
      </c>
      <c r="L401" s="46"/>
      <c r="M401" s="42"/>
      <c r="N401" s="43"/>
      <c r="O401" s="45"/>
      <c r="P401" s="37">
        <f t="shared" si="997"/>
        <v>0</v>
      </c>
    </row>
    <row r="402" spans="1:16" x14ac:dyDescent="0.35">
      <c r="A402" s="1"/>
      <c r="B402" s="36" t="s">
        <v>38</v>
      </c>
      <c r="C402" s="41">
        <f>K366+K370</f>
        <v>0</v>
      </c>
      <c r="D402" s="46"/>
      <c r="E402" s="42"/>
      <c r="F402" s="43"/>
      <c r="G402" s="45"/>
      <c r="H402" s="60">
        <f t="shared" si="996"/>
        <v>0</v>
      </c>
      <c r="J402" s="36" t="s">
        <v>38</v>
      </c>
      <c r="K402" s="44">
        <f>K369</f>
        <v>0</v>
      </c>
      <c r="L402" s="46"/>
      <c r="M402" s="62"/>
      <c r="N402" s="43"/>
      <c r="O402" s="45"/>
      <c r="P402" s="37">
        <f t="shared" si="997"/>
        <v>0</v>
      </c>
    </row>
    <row r="403" spans="1:16" x14ac:dyDescent="0.35">
      <c r="A403" s="1"/>
      <c r="B403" s="36" t="s">
        <v>39</v>
      </c>
      <c r="C403" s="41">
        <f>L366+L370</f>
        <v>0</v>
      </c>
      <c r="D403" s="46"/>
      <c r="E403" s="42"/>
      <c r="F403" s="43"/>
      <c r="G403" s="45"/>
      <c r="H403" s="60">
        <f t="shared" si="996"/>
        <v>0</v>
      </c>
      <c r="J403" s="36" t="s">
        <v>39</v>
      </c>
      <c r="K403" s="44">
        <f>L369</f>
        <v>0</v>
      </c>
      <c r="L403" s="46"/>
      <c r="M403" s="46"/>
      <c r="N403" s="43"/>
      <c r="O403" s="45"/>
      <c r="P403" s="37">
        <f t="shared" si="997"/>
        <v>0</v>
      </c>
    </row>
    <row r="404" spans="1:16" x14ac:dyDescent="0.35">
      <c r="A404" s="1"/>
      <c r="B404" s="36" t="s">
        <v>40</v>
      </c>
      <c r="C404" s="41">
        <f>M366+M370</f>
        <v>0</v>
      </c>
      <c r="D404" s="46"/>
      <c r="E404" s="42"/>
      <c r="F404" s="43"/>
      <c r="G404" s="45"/>
      <c r="H404" s="60">
        <f t="shared" si="996"/>
        <v>0</v>
      </c>
      <c r="J404" s="36" t="s">
        <v>40</v>
      </c>
      <c r="K404" s="44">
        <f>M369</f>
        <v>0</v>
      </c>
      <c r="L404" s="46"/>
      <c r="M404" s="46"/>
      <c r="N404" s="43"/>
      <c r="O404" s="45"/>
      <c r="P404" s="37">
        <f t="shared" si="997"/>
        <v>0</v>
      </c>
    </row>
    <row r="405" spans="1:16" x14ac:dyDescent="0.35">
      <c r="A405" s="1"/>
      <c r="B405" s="36" t="s">
        <v>41</v>
      </c>
      <c r="C405" s="63">
        <f>N366+N370</f>
        <v>0</v>
      </c>
      <c r="D405" s="64"/>
      <c r="E405" s="65"/>
      <c r="F405" s="66"/>
      <c r="G405" s="67"/>
      <c r="H405" s="60">
        <f t="shared" si="996"/>
        <v>0</v>
      </c>
      <c r="J405" s="36" t="s">
        <v>41</v>
      </c>
      <c r="K405" s="44">
        <f>N369</f>
        <v>0</v>
      </c>
      <c r="L405" s="46"/>
      <c r="M405" s="62"/>
      <c r="N405" s="43"/>
      <c r="O405" s="45"/>
      <c r="P405" s="37">
        <f t="shared" si="997"/>
        <v>0</v>
      </c>
    </row>
    <row r="406" spans="1:16" ht="15" thickBot="1" x14ac:dyDescent="0.4">
      <c r="A406" s="1"/>
      <c r="B406" s="48"/>
      <c r="C406" s="50"/>
      <c r="D406" s="50"/>
      <c r="E406" s="50"/>
      <c r="F406" s="51"/>
      <c r="G406" s="51"/>
      <c r="H406" s="51"/>
      <c r="J406" s="48"/>
      <c r="K406" s="49"/>
      <c r="L406" s="50"/>
      <c r="M406" s="50"/>
      <c r="N406" s="51"/>
      <c r="O406" s="51"/>
      <c r="P406" s="52"/>
    </row>
    <row r="407" spans="1:16" ht="15" thickBot="1" x14ac:dyDescent="0.4">
      <c r="A407" s="1"/>
      <c r="B407" s="54" t="s">
        <v>13</v>
      </c>
      <c r="C407" s="56">
        <f>SUM(C394:C405)</f>
        <v>15100000</v>
      </c>
      <c r="D407" s="56"/>
      <c r="E407" s="56"/>
      <c r="F407" s="57"/>
      <c r="G407" s="56">
        <f>SUM(G394:G405)</f>
        <v>15100000</v>
      </c>
      <c r="H407" s="68">
        <f>SUM(H394:H405)</f>
        <v>0</v>
      </c>
      <c r="J407" s="54" t="s">
        <v>13</v>
      </c>
      <c r="K407" s="55">
        <f>SUM(K394:K405)</f>
        <v>377500</v>
      </c>
      <c r="L407" s="56"/>
      <c r="M407" s="56"/>
      <c r="N407" s="57"/>
      <c r="O407" s="56">
        <f>SUM(O394:O405)</f>
        <v>377500</v>
      </c>
      <c r="P407" s="69">
        <f>SUM(P394:P405)</f>
        <v>0</v>
      </c>
    </row>
    <row r="408" spans="1:16" x14ac:dyDescent="0.35">
      <c r="A408" s="1"/>
      <c r="J408" s="4"/>
      <c r="K408" s="4"/>
      <c r="L408" s="4"/>
      <c r="M408" s="4"/>
    </row>
    <row r="472" spans="3:4" x14ac:dyDescent="0.35">
      <c r="D472" s="4" t="s">
        <v>42</v>
      </c>
    </row>
    <row r="473" spans="3:4" x14ac:dyDescent="0.35">
      <c r="C473" s="4" t="s">
        <v>43</v>
      </c>
      <c r="D473" s="4" t="s">
        <v>44</v>
      </c>
    </row>
    <row r="474" spans="3:4" x14ac:dyDescent="0.35">
      <c r="C474" s="4" t="s">
        <v>45</v>
      </c>
      <c r="D474" s="4" t="s">
        <v>46</v>
      </c>
    </row>
  </sheetData>
  <mergeCells count="6">
    <mergeCell ref="D2:M2"/>
    <mergeCell ref="B3:O3"/>
    <mergeCell ref="D373:G373"/>
    <mergeCell ref="L373:O373"/>
    <mergeCell ref="D392:G392"/>
    <mergeCell ref="L392:O39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320DE-1444-4EDA-B95C-7742E002E92B}">
  <dimension ref="A2:G3725"/>
  <sheetViews>
    <sheetView tabSelected="1" topLeftCell="A3395" workbookViewId="0">
      <selection activeCell="D3405" sqref="D3405"/>
    </sheetView>
  </sheetViews>
  <sheetFormatPr defaultRowHeight="14.5" x14ac:dyDescent="0.35"/>
  <cols>
    <col min="1" max="1" width="10.1796875" bestFit="1" customWidth="1"/>
    <col min="2" max="2" width="31.81640625" bestFit="1" customWidth="1"/>
    <col min="3" max="3" width="47" bestFit="1" customWidth="1"/>
    <col min="4" max="4" width="17.54296875" bestFit="1" customWidth="1"/>
    <col min="5" max="5" width="22.6328125" bestFit="1" customWidth="1"/>
    <col min="6" max="7" width="13.81640625" bestFit="1" customWidth="1"/>
  </cols>
  <sheetData>
    <row r="2" spans="1:7" s="53" customFormat="1" ht="23.5" x14ac:dyDescent="0.55000000000000004">
      <c r="B2" s="206" t="s">
        <v>0</v>
      </c>
      <c r="C2" s="206"/>
      <c r="D2" s="206"/>
      <c r="E2" s="70"/>
      <c r="F2" s="71"/>
    </row>
    <row r="3" spans="1:7" s="53" customFormat="1" ht="20.5" x14ac:dyDescent="0.45">
      <c r="B3" s="72"/>
      <c r="C3" s="73" t="s">
        <v>76</v>
      </c>
      <c r="D3" s="74"/>
      <c r="F3" s="75"/>
    </row>
    <row r="4" spans="1:7" s="53" customFormat="1" ht="21" thickBot="1" x14ac:dyDescent="0.5">
      <c r="B4" s="72" t="s">
        <v>95</v>
      </c>
      <c r="C4" s="76" t="s">
        <v>47</v>
      </c>
      <c r="D4" s="74"/>
      <c r="F4" s="75"/>
    </row>
    <row r="5" spans="1:7" s="53" customFormat="1" ht="15" thickBot="1" x14ac:dyDescent="0.4">
      <c r="A5" s="77" t="s">
        <v>48</v>
      </c>
      <c r="B5" s="78" t="s">
        <v>26</v>
      </c>
      <c r="C5" s="78" t="s">
        <v>49</v>
      </c>
      <c r="D5" s="79" t="s">
        <v>29</v>
      </c>
      <c r="F5" s="75"/>
    </row>
    <row r="6" spans="1:7" s="53" customFormat="1" ht="14.5" customHeight="1" x14ac:dyDescent="0.35">
      <c r="A6" s="207" t="s">
        <v>31</v>
      </c>
      <c r="B6" s="80" t="s">
        <v>139</v>
      </c>
      <c r="C6" s="81" t="s">
        <v>50</v>
      </c>
      <c r="D6" s="82">
        <f>F13</f>
        <v>12225000</v>
      </c>
      <c r="F6" s="75"/>
    </row>
    <row r="7" spans="1:7" s="53" customFormat="1" ht="21" thickBot="1" x14ac:dyDescent="0.5">
      <c r="A7" s="208"/>
      <c r="B7" s="72"/>
      <c r="C7" s="72"/>
      <c r="D7" s="74"/>
      <c r="F7" s="75"/>
    </row>
    <row r="8" spans="1:7" s="53" customFormat="1" ht="15" thickBot="1" x14ac:dyDescent="0.4">
      <c r="A8" s="208"/>
      <c r="B8" s="83" t="s">
        <v>26</v>
      </c>
      <c r="C8" s="84" t="s">
        <v>51</v>
      </c>
      <c r="D8" s="85" t="s">
        <v>52</v>
      </c>
      <c r="F8" s="75"/>
    </row>
    <row r="9" spans="1:7" s="89" customFormat="1" x14ac:dyDescent="0.35">
      <c r="A9" s="208"/>
      <c r="B9" s="86" t="str">
        <f>B6</f>
        <v>05th January,2026</v>
      </c>
      <c r="C9" s="87" t="s">
        <v>461</v>
      </c>
      <c r="D9" s="88">
        <f>1900*2779</f>
        <v>5280100</v>
      </c>
      <c r="F9" s="90"/>
    </row>
    <row r="10" spans="1:7" s="53" customFormat="1" x14ac:dyDescent="0.35">
      <c r="A10" s="208"/>
      <c r="B10" s="91"/>
      <c r="C10" s="92" t="s">
        <v>53</v>
      </c>
      <c r="D10" s="93">
        <f>325*2450</f>
        <v>796250</v>
      </c>
      <c r="F10" s="75"/>
    </row>
    <row r="11" spans="1:7" s="53" customFormat="1" x14ac:dyDescent="0.35">
      <c r="A11" s="208"/>
      <c r="B11" s="91" t="s">
        <v>54</v>
      </c>
      <c r="C11" s="92" t="s">
        <v>55</v>
      </c>
      <c r="D11" s="93">
        <v>1000000</v>
      </c>
      <c r="F11" s="75"/>
    </row>
    <row r="12" spans="1:7" s="53" customFormat="1" x14ac:dyDescent="0.35">
      <c r="A12" s="208"/>
      <c r="B12" s="91" t="s">
        <v>56</v>
      </c>
      <c r="C12" s="92" t="s">
        <v>57</v>
      </c>
      <c r="D12" s="93">
        <v>40000</v>
      </c>
      <c r="E12" s="210" t="s">
        <v>58</v>
      </c>
      <c r="F12" s="210"/>
    </row>
    <row r="13" spans="1:7" s="53" customFormat="1" x14ac:dyDescent="0.35">
      <c r="A13" s="208"/>
      <c r="B13" s="91" t="s">
        <v>59</v>
      </c>
      <c r="C13" s="92" t="s">
        <v>60</v>
      </c>
      <c r="D13" s="93">
        <f>400*140</f>
        <v>56000</v>
      </c>
      <c r="E13" s="94" t="s">
        <v>61</v>
      </c>
      <c r="F13" s="95">
        <f>5000*2445</f>
        <v>12225000</v>
      </c>
    </row>
    <row r="14" spans="1:7" s="53" customFormat="1" x14ac:dyDescent="0.35">
      <c r="A14" s="208"/>
      <c r="B14" s="91"/>
      <c r="C14" s="92" t="s">
        <v>62</v>
      </c>
      <c r="D14" s="93">
        <f>3600*140</f>
        <v>504000</v>
      </c>
      <c r="E14" s="96" t="s">
        <v>63</v>
      </c>
      <c r="F14" s="75">
        <f>(3000*2445)</f>
        <v>7335000</v>
      </c>
    </row>
    <row r="15" spans="1:7" s="53" customFormat="1" ht="15" thickBot="1" x14ac:dyDescent="0.4">
      <c r="A15" s="208"/>
      <c r="B15" s="91" t="s">
        <v>64</v>
      </c>
      <c r="C15" s="92" t="s">
        <v>65</v>
      </c>
      <c r="D15" s="97">
        <v>30000</v>
      </c>
      <c r="E15" s="98" t="s">
        <v>66</v>
      </c>
      <c r="F15" s="99">
        <f>F13-F14</f>
        <v>4890000</v>
      </c>
      <c r="G15" s="100">
        <f>F15/2445</f>
        <v>2000</v>
      </c>
    </row>
    <row r="16" spans="1:7" s="53" customFormat="1" ht="15" thickTop="1" x14ac:dyDescent="0.35">
      <c r="A16" s="208"/>
      <c r="B16" s="91"/>
      <c r="C16" s="92" t="s">
        <v>67</v>
      </c>
      <c r="D16" s="93">
        <v>150000</v>
      </c>
      <c r="F16" s="75"/>
    </row>
    <row r="17" spans="1:6" s="53" customFormat="1" x14ac:dyDescent="0.35">
      <c r="A17" s="208"/>
      <c r="B17" s="91" t="s">
        <v>94</v>
      </c>
      <c r="C17" s="101" t="s">
        <v>68</v>
      </c>
      <c r="D17" s="93">
        <v>15000</v>
      </c>
      <c r="E17" s="94" t="s">
        <v>69</v>
      </c>
      <c r="F17" s="95"/>
    </row>
    <row r="18" spans="1:6" s="53" customFormat="1" x14ac:dyDescent="0.35">
      <c r="A18" s="208"/>
      <c r="B18" s="102"/>
      <c r="C18" s="101" t="s">
        <v>70</v>
      </c>
      <c r="D18" s="103">
        <v>10000</v>
      </c>
      <c r="E18" s="104"/>
      <c r="F18" s="105"/>
    </row>
    <row r="19" spans="1:6" s="53" customFormat="1" x14ac:dyDescent="0.35">
      <c r="A19" s="208"/>
      <c r="B19" s="102"/>
      <c r="C19" s="101" t="s">
        <v>71</v>
      </c>
      <c r="D19" s="103">
        <v>30000</v>
      </c>
      <c r="E19" s="104" t="s">
        <v>72</v>
      </c>
      <c r="F19" s="105"/>
    </row>
    <row r="20" spans="1:6" s="53" customFormat="1" x14ac:dyDescent="0.35">
      <c r="A20" s="208"/>
      <c r="B20" s="102"/>
      <c r="C20" s="92"/>
      <c r="D20" s="106"/>
      <c r="E20" s="168" t="s">
        <v>131</v>
      </c>
      <c r="F20" s="105"/>
    </row>
    <row r="21" spans="1:6" s="53" customFormat="1" ht="15" thickBot="1" x14ac:dyDescent="0.4">
      <c r="A21" s="208"/>
      <c r="B21" s="107"/>
      <c r="C21" s="108"/>
      <c r="D21" s="109"/>
      <c r="F21" s="75"/>
    </row>
    <row r="22" spans="1:6" s="53" customFormat="1" ht="15" thickBot="1" x14ac:dyDescent="0.4">
      <c r="A22" s="208"/>
      <c r="B22" s="110"/>
      <c r="C22" s="111" t="s">
        <v>74</v>
      </c>
      <c r="D22" s="112">
        <f>SUM(D9:D21)</f>
        <v>7911350</v>
      </c>
      <c r="F22" s="75"/>
    </row>
    <row r="23" spans="1:6" s="53" customFormat="1" ht="15.5" thickTop="1" thickBot="1" x14ac:dyDescent="0.4">
      <c r="A23" s="209"/>
      <c r="B23" s="211"/>
      <c r="C23" s="211"/>
      <c r="D23" s="211"/>
      <c r="F23" s="75"/>
    </row>
    <row r="24" spans="1:6" s="53" customFormat="1" x14ac:dyDescent="0.35">
      <c r="B24" s="89"/>
      <c r="C24" s="53" t="s">
        <v>75</v>
      </c>
      <c r="D24" s="113">
        <f>D6-D22</f>
        <v>4313650</v>
      </c>
      <c r="F24" s="75"/>
    </row>
    <row r="25" spans="1:6" s="53" customFormat="1" x14ac:dyDescent="0.35">
      <c r="B25" s="89"/>
      <c r="D25" s="113"/>
      <c r="F25" s="75"/>
    </row>
    <row r="26" spans="1:6" s="53" customFormat="1" x14ac:dyDescent="0.35">
      <c r="A26" s="114"/>
      <c r="B26" s="115"/>
      <c r="C26" s="114"/>
      <c r="D26" s="116"/>
      <c r="E26" s="114"/>
      <c r="F26" s="117"/>
    </row>
    <row r="27" spans="1:6" x14ac:dyDescent="0.35">
      <c r="F27" s="118"/>
    </row>
    <row r="28" spans="1:6" s="53" customFormat="1" ht="23.5" x14ac:dyDescent="0.55000000000000004">
      <c r="B28" s="206" t="s">
        <v>0</v>
      </c>
      <c r="C28" s="206"/>
      <c r="D28" s="206"/>
      <c r="E28" s="70"/>
      <c r="F28" s="71"/>
    </row>
    <row r="29" spans="1:6" s="53" customFormat="1" ht="20.5" x14ac:dyDescent="0.45">
      <c r="B29" s="72"/>
      <c r="C29" s="73" t="s">
        <v>98</v>
      </c>
      <c r="D29" s="74"/>
      <c r="F29" s="75"/>
    </row>
    <row r="30" spans="1:6" s="53" customFormat="1" ht="21" thickBot="1" x14ac:dyDescent="0.5">
      <c r="B30" s="72" t="s">
        <v>99</v>
      </c>
      <c r="C30" s="76" t="s">
        <v>47</v>
      </c>
      <c r="D30" s="74"/>
      <c r="F30" s="75"/>
    </row>
    <row r="31" spans="1:6" s="53" customFormat="1" ht="15" thickBot="1" x14ac:dyDescent="0.4">
      <c r="A31" s="77" t="s">
        <v>48</v>
      </c>
      <c r="B31" s="78" t="s">
        <v>26</v>
      </c>
      <c r="C31" s="78" t="s">
        <v>49</v>
      </c>
      <c r="D31" s="79" t="s">
        <v>29</v>
      </c>
      <c r="F31" s="75"/>
    </row>
    <row r="32" spans="1:6" s="53" customFormat="1" ht="14.5" customHeight="1" x14ac:dyDescent="0.35">
      <c r="A32" s="207" t="s">
        <v>31</v>
      </c>
      <c r="B32" s="80" t="s">
        <v>139</v>
      </c>
      <c r="C32" s="81" t="s">
        <v>50</v>
      </c>
      <c r="D32" s="82">
        <f>F39</f>
        <v>12225000</v>
      </c>
      <c r="F32" s="75"/>
    </row>
    <row r="33" spans="1:7" s="53" customFormat="1" ht="21" thickBot="1" x14ac:dyDescent="0.5">
      <c r="A33" s="208"/>
      <c r="B33" s="72"/>
      <c r="C33" s="72"/>
      <c r="D33" s="74"/>
      <c r="F33" s="75"/>
    </row>
    <row r="34" spans="1:7" s="53" customFormat="1" ht="15" thickBot="1" x14ac:dyDescent="0.4">
      <c r="A34" s="208"/>
      <c r="B34" s="83" t="s">
        <v>26</v>
      </c>
      <c r="C34" s="84" t="s">
        <v>51</v>
      </c>
      <c r="D34" s="85" t="s">
        <v>52</v>
      </c>
      <c r="F34" s="75"/>
    </row>
    <row r="35" spans="1:7" s="89" customFormat="1" x14ac:dyDescent="0.35">
      <c r="A35" s="208"/>
      <c r="B35" s="86" t="str">
        <f>B32</f>
        <v>05th January,2026</v>
      </c>
      <c r="C35" s="87" t="s">
        <v>461</v>
      </c>
      <c r="D35" s="88">
        <f>1900*2779</f>
        <v>5280100</v>
      </c>
      <c r="F35" s="90"/>
    </row>
    <row r="36" spans="1:7" s="53" customFormat="1" x14ac:dyDescent="0.35">
      <c r="A36" s="208"/>
      <c r="B36" s="91"/>
      <c r="C36" s="92" t="s">
        <v>53</v>
      </c>
      <c r="D36" s="93">
        <f>325*2450</f>
        <v>796250</v>
      </c>
      <c r="F36" s="75"/>
    </row>
    <row r="37" spans="1:7" s="53" customFormat="1" x14ac:dyDescent="0.35">
      <c r="A37" s="208"/>
      <c r="B37" s="91" t="s">
        <v>54</v>
      </c>
      <c r="C37" s="92" t="s">
        <v>55</v>
      </c>
      <c r="D37" s="93">
        <v>1000000</v>
      </c>
      <c r="F37" s="75"/>
    </row>
    <row r="38" spans="1:7" s="53" customFormat="1" x14ac:dyDescent="0.35">
      <c r="A38" s="208"/>
      <c r="B38" s="91" t="s">
        <v>56</v>
      </c>
      <c r="C38" s="92" t="s">
        <v>57</v>
      </c>
      <c r="D38" s="93">
        <v>40000</v>
      </c>
      <c r="E38" s="210" t="s">
        <v>58</v>
      </c>
      <c r="F38" s="210"/>
    </row>
    <row r="39" spans="1:7" s="53" customFormat="1" x14ac:dyDescent="0.35">
      <c r="A39" s="208"/>
      <c r="B39" s="91" t="s">
        <v>59</v>
      </c>
      <c r="C39" s="92" t="s">
        <v>60</v>
      </c>
      <c r="D39" s="93">
        <f>1000*140</f>
        <v>140000</v>
      </c>
      <c r="E39" s="94" t="s">
        <v>61</v>
      </c>
      <c r="F39" s="95">
        <f>5000*2445</f>
        <v>12225000</v>
      </c>
    </row>
    <row r="40" spans="1:7" s="53" customFormat="1" x14ac:dyDescent="0.35">
      <c r="A40" s="208"/>
      <c r="B40" s="91"/>
      <c r="C40" s="92" t="s">
        <v>62</v>
      </c>
      <c r="D40" s="93">
        <f>4200*140</f>
        <v>588000</v>
      </c>
      <c r="E40" s="96" t="s">
        <v>63</v>
      </c>
      <c r="F40" s="75">
        <f>(3000*2445)+(2000*2445)</f>
        <v>12225000</v>
      </c>
    </row>
    <row r="41" spans="1:7" s="53" customFormat="1" ht="15" thickBot="1" x14ac:dyDescent="0.4">
      <c r="A41" s="208"/>
      <c r="B41" s="91" t="s">
        <v>64</v>
      </c>
      <c r="C41" s="92" t="s">
        <v>65</v>
      </c>
      <c r="D41" s="97">
        <v>30000</v>
      </c>
      <c r="E41" s="98" t="s">
        <v>66</v>
      </c>
      <c r="F41" s="99">
        <f>F39-F40</f>
        <v>0</v>
      </c>
      <c r="G41" s="100">
        <f>F41/2445</f>
        <v>0</v>
      </c>
    </row>
    <row r="42" spans="1:7" s="53" customFormat="1" ht="15" thickTop="1" x14ac:dyDescent="0.35">
      <c r="A42" s="208"/>
      <c r="B42" s="91"/>
      <c r="C42" s="92" t="s">
        <v>67</v>
      </c>
      <c r="D42" s="93">
        <v>150000</v>
      </c>
      <c r="F42" s="75"/>
    </row>
    <row r="43" spans="1:7" s="53" customFormat="1" x14ac:dyDescent="0.35">
      <c r="A43" s="208"/>
      <c r="B43" s="91" t="s">
        <v>97</v>
      </c>
      <c r="C43" s="101" t="s">
        <v>68</v>
      </c>
      <c r="D43" s="93">
        <v>15000</v>
      </c>
      <c r="E43" s="94" t="s">
        <v>69</v>
      </c>
      <c r="F43" s="95"/>
    </row>
    <row r="44" spans="1:7" s="53" customFormat="1" x14ac:dyDescent="0.35">
      <c r="A44" s="208"/>
      <c r="B44" s="102"/>
      <c r="C44" s="101" t="s">
        <v>70</v>
      </c>
      <c r="D44" s="103">
        <v>10000</v>
      </c>
      <c r="E44" s="104"/>
      <c r="F44" s="105"/>
    </row>
    <row r="45" spans="1:7" s="53" customFormat="1" x14ac:dyDescent="0.35">
      <c r="A45" s="208"/>
      <c r="B45" s="102"/>
      <c r="C45" s="101" t="s">
        <v>71</v>
      </c>
      <c r="D45" s="103">
        <v>40000</v>
      </c>
      <c r="E45" s="104" t="s">
        <v>72</v>
      </c>
      <c r="F45" s="105"/>
    </row>
    <row r="46" spans="1:7" s="53" customFormat="1" x14ac:dyDescent="0.35">
      <c r="A46" s="208"/>
      <c r="B46" s="102"/>
      <c r="C46" s="92" t="s">
        <v>73</v>
      </c>
      <c r="D46" s="106">
        <f>745*140</f>
        <v>104300</v>
      </c>
      <c r="E46" s="169" t="s">
        <v>131</v>
      </c>
      <c r="F46" s="105"/>
    </row>
    <row r="47" spans="1:7" s="53" customFormat="1" ht="15" thickBot="1" x14ac:dyDescent="0.4">
      <c r="A47" s="208"/>
      <c r="B47" s="107"/>
      <c r="C47" s="108"/>
      <c r="D47" s="109"/>
      <c r="E47" s="53" t="s">
        <v>654</v>
      </c>
      <c r="F47" s="75"/>
    </row>
    <row r="48" spans="1:7" s="53" customFormat="1" ht="15" thickBot="1" x14ac:dyDescent="0.4">
      <c r="A48" s="208"/>
      <c r="B48" s="110"/>
      <c r="C48" s="111" t="s">
        <v>74</v>
      </c>
      <c r="D48" s="112">
        <f>SUM(D35:D47)</f>
        <v>8193650</v>
      </c>
      <c r="F48" s="75"/>
    </row>
    <row r="49" spans="1:6" s="53" customFormat="1" ht="15.5" thickTop="1" thickBot="1" x14ac:dyDescent="0.4">
      <c r="A49" s="209"/>
      <c r="B49" s="211"/>
      <c r="C49" s="211"/>
      <c r="D49" s="211"/>
      <c r="F49" s="75"/>
    </row>
    <row r="50" spans="1:6" s="53" customFormat="1" x14ac:dyDescent="0.35">
      <c r="B50" s="89"/>
      <c r="C50" s="53" t="s">
        <v>75</v>
      </c>
      <c r="D50" s="113">
        <f>D32-D48</f>
        <v>4031350</v>
      </c>
      <c r="F50" s="75"/>
    </row>
    <row r="51" spans="1:6" s="53" customFormat="1" x14ac:dyDescent="0.35">
      <c r="B51" s="89"/>
      <c r="D51" s="113"/>
      <c r="F51" s="75"/>
    </row>
    <row r="52" spans="1:6" s="53" customFormat="1" x14ac:dyDescent="0.35">
      <c r="A52" s="114"/>
      <c r="B52" s="115"/>
      <c r="C52" s="114"/>
      <c r="D52" s="116"/>
      <c r="E52" s="114"/>
      <c r="F52" s="117"/>
    </row>
    <row r="53" spans="1:6" x14ac:dyDescent="0.35">
      <c r="F53" s="118"/>
    </row>
    <row r="54" spans="1:6" s="53" customFormat="1" ht="23.5" x14ac:dyDescent="0.55000000000000004">
      <c r="B54" s="206" t="s">
        <v>0</v>
      </c>
      <c r="C54" s="206"/>
      <c r="D54" s="206"/>
      <c r="E54" s="70"/>
      <c r="F54" s="71"/>
    </row>
    <row r="55" spans="1:6" s="53" customFormat="1" ht="20.5" x14ac:dyDescent="0.45">
      <c r="B55" s="72"/>
      <c r="C55" s="73" t="s">
        <v>104</v>
      </c>
      <c r="D55" s="74"/>
      <c r="F55" s="75"/>
    </row>
    <row r="56" spans="1:6" s="53" customFormat="1" ht="21" thickBot="1" x14ac:dyDescent="0.5">
      <c r="B56" s="72" t="s">
        <v>105</v>
      </c>
      <c r="C56" s="76" t="s">
        <v>47</v>
      </c>
      <c r="D56" s="74"/>
      <c r="F56" s="75"/>
    </row>
    <row r="57" spans="1:6" s="53" customFormat="1" ht="15" thickBot="1" x14ac:dyDescent="0.4">
      <c r="A57" s="77" t="s">
        <v>48</v>
      </c>
      <c r="B57" s="78" t="s">
        <v>26</v>
      </c>
      <c r="C57" s="78" t="s">
        <v>49</v>
      </c>
      <c r="D57" s="79" t="s">
        <v>29</v>
      </c>
      <c r="F57" s="75"/>
    </row>
    <row r="58" spans="1:6" s="53" customFormat="1" ht="14.5" customHeight="1" x14ac:dyDescent="0.35">
      <c r="A58" s="207" t="s">
        <v>31</v>
      </c>
      <c r="B58" s="80" t="s">
        <v>140</v>
      </c>
      <c r="C58" s="81" t="s">
        <v>103</v>
      </c>
      <c r="D58" s="82">
        <f>F65</f>
        <v>12225000</v>
      </c>
      <c r="F58" s="75"/>
    </row>
    <row r="59" spans="1:6" s="53" customFormat="1" ht="21" thickBot="1" x14ac:dyDescent="0.5">
      <c r="A59" s="208"/>
      <c r="B59" s="72"/>
      <c r="C59" s="72"/>
      <c r="D59" s="74"/>
      <c r="F59" s="75"/>
    </row>
    <row r="60" spans="1:6" s="53" customFormat="1" ht="15" thickBot="1" x14ac:dyDescent="0.4">
      <c r="A60" s="208"/>
      <c r="B60" s="83" t="s">
        <v>26</v>
      </c>
      <c r="C60" s="84" t="s">
        <v>51</v>
      </c>
      <c r="D60" s="85" t="s">
        <v>52</v>
      </c>
      <c r="F60" s="75"/>
    </row>
    <row r="61" spans="1:6" s="89" customFormat="1" x14ac:dyDescent="0.35">
      <c r="A61" s="208"/>
      <c r="B61" s="86" t="str">
        <f>B58</f>
        <v>06th January,2026</v>
      </c>
      <c r="C61" s="87" t="s">
        <v>461</v>
      </c>
      <c r="D61" s="88">
        <f>1900*2779</f>
        <v>5280100</v>
      </c>
      <c r="F61" s="90"/>
    </row>
    <row r="62" spans="1:6" s="53" customFormat="1" x14ac:dyDescent="0.35">
      <c r="A62" s="208"/>
      <c r="B62" s="91"/>
      <c r="C62" s="92" t="s">
        <v>53</v>
      </c>
      <c r="D62" s="93">
        <f>325*2450</f>
        <v>796250</v>
      </c>
      <c r="F62" s="75"/>
    </row>
    <row r="63" spans="1:6" s="53" customFormat="1" x14ac:dyDescent="0.35">
      <c r="A63" s="208"/>
      <c r="B63" s="91" t="s">
        <v>54</v>
      </c>
      <c r="C63" s="92" t="s">
        <v>55</v>
      </c>
      <c r="D63" s="93">
        <v>1000000</v>
      </c>
      <c r="F63" s="75"/>
    </row>
    <row r="64" spans="1:6" s="53" customFormat="1" x14ac:dyDescent="0.35">
      <c r="A64" s="208"/>
      <c r="B64" s="91" t="s">
        <v>56</v>
      </c>
      <c r="C64" s="92" t="s">
        <v>57</v>
      </c>
      <c r="D64" s="93">
        <v>40000</v>
      </c>
      <c r="E64" s="210" t="s">
        <v>58</v>
      </c>
      <c r="F64" s="210"/>
    </row>
    <row r="65" spans="1:7" s="53" customFormat="1" x14ac:dyDescent="0.35">
      <c r="A65" s="208"/>
      <c r="B65" s="91" t="s">
        <v>59</v>
      </c>
      <c r="C65" s="92" t="s">
        <v>60</v>
      </c>
      <c r="D65" s="93">
        <f>1000*140</f>
        <v>140000</v>
      </c>
      <c r="E65" s="94" t="s">
        <v>61</v>
      </c>
      <c r="F65" s="95">
        <f>5000*2445</f>
        <v>12225000</v>
      </c>
    </row>
    <row r="66" spans="1:7" s="53" customFormat="1" x14ac:dyDescent="0.35">
      <c r="A66" s="208"/>
      <c r="B66" s="91"/>
      <c r="C66" s="92" t="s">
        <v>62</v>
      </c>
      <c r="D66" s="93">
        <f>4200*140</f>
        <v>588000</v>
      </c>
      <c r="E66" s="96" t="s">
        <v>63</v>
      </c>
      <c r="F66" s="75">
        <f>(3000*2445)+(2000*2445)</f>
        <v>12225000</v>
      </c>
    </row>
    <row r="67" spans="1:7" s="53" customFormat="1" ht="15" thickBot="1" x14ac:dyDescent="0.4">
      <c r="A67" s="208"/>
      <c r="B67" s="91" t="s">
        <v>64</v>
      </c>
      <c r="C67" s="92" t="s">
        <v>65</v>
      </c>
      <c r="D67" s="97">
        <v>30000</v>
      </c>
      <c r="E67" s="98" t="s">
        <v>66</v>
      </c>
      <c r="F67" s="99">
        <f>F65-F66</f>
        <v>0</v>
      </c>
      <c r="G67" s="100">
        <f>F67/2445</f>
        <v>0</v>
      </c>
    </row>
    <row r="68" spans="1:7" s="53" customFormat="1" ht="15" thickTop="1" x14ac:dyDescent="0.35">
      <c r="A68" s="208"/>
      <c r="B68" s="91"/>
      <c r="C68" s="92" t="s">
        <v>67</v>
      </c>
      <c r="D68" s="93">
        <v>150000</v>
      </c>
      <c r="F68" s="75"/>
    </row>
    <row r="69" spans="1:7" s="53" customFormat="1" x14ac:dyDescent="0.35">
      <c r="A69" s="208"/>
      <c r="B69" s="91" t="s">
        <v>102</v>
      </c>
      <c r="C69" s="101" t="s">
        <v>68</v>
      </c>
      <c r="D69" s="93">
        <v>15000</v>
      </c>
      <c r="E69" s="94" t="s">
        <v>69</v>
      </c>
      <c r="F69" s="95"/>
    </row>
    <row r="70" spans="1:7" s="53" customFormat="1" x14ac:dyDescent="0.35">
      <c r="A70" s="208"/>
      <c r="B70" s="102"/>
      <c r="C70" s="101" t="s">
        <v>70</v>
      </c>
      <c r="D70" s="103">
        <v>10000</v>
      </c>
      <c r="E70" s="104"/>
      <c r="F70" s="105"/>
    </row>
    <row r="71" spans="1:7" s="53" customFormat="1" x14ac:dyDescent="0.35">
      <c r="A71" s="208"/>
      <c r="B71" s="102"/>
      <c r="C71" s="101" t="s">
        <v>71</v>
      </c>
      <c r="D71" s="103">
        <v>30000</v>
      </c>
      <c r="E71" s="104" t="s">
        <v>72</v>
      </c>
      <c r="F71" s="105"/>
    </row>
    <row r="72" spans="1:7" s="53" customFormat="1" x14ac:dyDescent="0.35">
      <c r="A72" s="208"/>
      <c r="B72" s="102"/>
      <c r="C72" s="92" t="s">
        <v>73</v>
      </c>
      <c r="D72" s="106">
        <f>324*140</f>
        <v>45360</v>
      </c>
      <c r="E72" s="53" t="s">
        <v>129</v>
      </c>
      <c r="F72" s="105"/>
    </row>
    <row r="73" spans="1:7" s="53" customFormat="1" ht="15" thickBot="1" x14ac:dyDescent="0.4">
      <c r="A73" s="208"/>
      <c r="B73" s="107"/>
      <c r="C73" s="108"/>
      <c r="D73" s="109"/>
      <c r="E73" s="53" t="s">
        <v>689</v>
      </c>
      <c r="F73" s="75"/>
    </row>
    <row r="74" spans="1:7" s="53" customFormat="1" ht="15" thickBot="1" x14ac:dyDescent="0.4">
      <c r="A74" s="208"/>
      <c r="B74" s="110"/>
      <c r="C74" s="111" t="s">
        <v>74</v>
      </c>
      <c r="D74" s="112">
        <f>SUM(D61:D73)</f>
        <v>8124710</v>
      </c>
      <c r="F74" s="75"/>
    </row>
    <row r="75" spans="1:7" s="53" customFormat="1" ht="15.5" thickTop="1" thickBot="1" x14ac:dyDescent="0.4">
      <c r="A75" s="209"/>
      <c r="B75" s="211"/>
      <c r="C75" s="211"/>
      <c r="D75" s="211"/>
      <c r="F75" s="75"/>
    </row>
    <row r="76" spans="1:7" s="53" customFormat="1" x14ac:dyDescent="0.35">
      <c r="B76" s="89"/>
      <c r="C76" s="53" t="s">
        <v>75</v>
      </c>
      <c r="D76" s="113">
        <f>D58-D74</f>
        <v>4100290</v>
      </c>
      <c r="F76" s="75"/>
    </row>
    <row r="77" spans="1:7" s="53" customFormat="1" x14ac:dyDescent="0.35">
      <c r="B77" s="89"/>
      <c r="D77" s="113"/>
      <c r="F77" s="75"/>
    </row>
    <row r="78" spans="1:7" s="53" customFormat="1" x14ac:dyDescent="0.35">
      <c r="A78" s="114"/>
      <c r="B78" s="115"/>
      <c r="C78" s="114"/>
      <c r="D78" s="116"/>
      <c r="E78" s="114"/>
      <c r="F78" s="117"/>
    </row>
    <row r="79" spans="1:7" x14ac:dyDescent="0.35">
      <c r="F79" s="118"/>
    </row>
    <row r="80" spans="1:7" s="53" customFormat="1" ht="23.5" x14ac:dyDescent="0.55000000000000004">
      <c r="B80" s="206" t="s">
        <v>0</v>
      </c>
      <c r="C80" s="206"/>
      <c r="D80" s="206"/>
      <c r="E80" s="70"/>
      <c r="F80" s="71"/>
    </row>
    <row r="81" spans="1:7" s="53" customFormat="1" ht="20.5" x14ac:dyDescent="0.45">
      <c r="B81" s="72"/>
      <c r="C81" s="73" t="s">
        <v>114</v>
      </c>
      <c r="D81" s="74"/>
      <c r="F81" s="75"/>
    </row>
    <row r="82" spans="1:7" s="53" customFormat="1" ht="21" thickBot="1" x14ac:dyDescent="0.5">
      <c r="B82" s="72" t="s">
        <v>109</v>
      </c>
      <c r="C82" s="76" t="s">
        <v>47</v>
      </c>
      <c r="D82" s="74"/>
      <c r="F82" s="75"/>
    </row>
    <row r="83" spans="1:7" s="53" customFormat="1" ht="15" thickBot="1" x14ac:dyDescent="0.4">
      <c r="A83" s="77" t="s">
        <v>48</v>
      </c>
      <c r="B83" s="78" t="s">
        <v>26</v>
      </c>
      <c r="C83" s="78" t="s">
        <v>49</v>
      </c>
      <c r="D83" s="79" t="s">
        <v>29</v>
      </c>
      <c r="F83" s="75"/>
    </row>
    <row r="84" spans="1:7" s="53" customFormat="1" ht="14.5" customHeight="1" x14ac:dyDescent="0.35">
      <c r="A84" s="207" t="s">
        <v>31</v>
      </c>
      <c r="B84" s="80" t="s">
        <v>141</v>
      </c>
      <c r="C84" s="81" t="s">
        <v>50</v>
      </c>
      <c r="D84" s="82">
        <f>F91</f>
        <v>12225000</v>
      </c>
      <c r="F84" s="75"/>
    </row>
    <row r="85" spans="1:7" s="53" customFormat="1" ht="21" thickBot="1" x14ac:dyDescent="0.5">
      <c r="A85" s="208"/>
      <c r="B85" s="72"/>
      <c r="C85" s="72"/>
      <c r="D85" s="74"/>
      <c r="F85" s="75"/>
    </row>
    <row r="86" spans="1:7" s="53" customFormat="1" ht="15" thickBot="1" x14ac:dyDescent="0.4">
      <c r="A86" s="208"/>
      <c r="B86" s="83" t="s">
        <v>26</v>
      </c>
      <c r="C86" s="84" t="s">
        <v>51</v>
      </c>
      <c r="D86" s="85" t="s">
        <v>52</v>
      </c>
      <c r="F86" s="75"/>
    </row>
    <row r="87" spans="1:7" s="89" customFormat="1" x14ac:dyDescent="0.35">
      <c r="A87" s="208"/>
      <c r="B87" s="86" t="str">
        <f>B84</f>
        <v>07th January,2026</v>
      </c>
      <c r="C87" s="87" t="s">
        <v>461</v>
      </c>
      <c r="D87" s="88">
        <f>1900*2779</f>
        <v>5280100</v>
      </c>
      <c r="F87" s="90"/>
    </row>
    <row r="88" spans="1:7" s="53" customFormat="1" x14ac:dyDescent="0.35">
      <c r="A88" s="208"/>
      <c r="B88" s="91"/>
      <c r="C88" s="92" t="s">
        <v>53</v>
      </c>
      <c r="D88" s="93">
        <f>325*2450</f>
        <v>796250</v>
      </c>
      <c r="F88" s="75"/>
    </row>
    <row r="89" spans="1:7" s="53" customFormat="1" x14ac:dyDescent="0.35">
      <c r="A89" s="208"/>
      <c r="B89" s="91" t="s">
        <v>54</v>
      </c>
      <c r="C89" s="92" t="s">
        <v>55</v>
      </c>
      <c r="D89" s="93">
        <v>1000000</v>
      </c>
      <c r="F89" s="75"/>
    </row>
    <row r="90" spans="1:7" s="53" customFormat="1" x14ac:dyDescent="0.35">
      <c r="A90" s="208"/>
      <c r="B90" s="91" t="s">
        <v>56</v>
      </c>
      <c r="C90" s="92" t="s">
        <v>57</v>
      </c>
      <c r="D90" s="93">
        <v>40000</v>
      </c>
      <c r="E90" s="210" t="s">
        <v>58</v>
      </c>
      <c r="F90" s="210"/>
    </row>
    <row r="91" spans="1:7" s="53" customFormat="1" x14ac:dyDescent="0.35">
      <c r="A91" s="208"/>
      <c r="B91" s="91" t="s">
        <v>59</v>
      </c>
      <c r="C91" s="92" t="s">
        <v>60</v>
      </c>
      <c r="D91" s="93">
        <f>1000*140</f>
        <v>140000</v>
      </c>
      <c r="E91" s="94" t="s">
        <v>61</v>
      </c>
      <c r="F91" s="95">
        <f>5000*2445</f>
        <v>12225000</v>
      </c>
    </row>
    <row r="92" spans="1:7" s="53" customFormat="1" x14ac:dyDescent="0.35">
      <c r="A92" s="208"/>
      <c r="B92" s="91"/>
      <c r="C92" s="92" t="s">
        <v>62</v>
      </c>
      <c r="D92" s="93">
        <f>4200*140</f>
        <v>588000</v>
      </c>
      <c r="E92" s="96" t="s">
        <v>63</v>
      </c>
      <c r="F92" s="75">
        <f>(3000*2445)+(2000*2445)</f>
        <v>12225000</v>
      </c>
    </row>
    <row r="93" spans="1:7" s="53" customFormat="1" ht="15" thickBot="1" x14ac:dyDescent="0.4">
      <c r="A93" s="208"/>
      <c r="B93" s="91" t="s">
        <v>64</v>
      </c>
      <c r="C93" s="92" t="s">
        <v>65</v>
      </c>
      <c r="D93" s="97">
        <v>30000</v>
      </c>
      <c r="E93" s="98" t="s">
        <v>66</v>
      </c>
      <c r="F93" s="99">
        <f>F91-F92</f>
        <v>0</v>
      </c>
      <c r="G93" s="100">
        <f>F93/2445</f>
        <v>0</v>
      </c>
    </row>
    <row r="94" spans="1:7" s="53" customFormat="1" ht="15" thickTop="1" x14ac:dyDescent="0.35">
      <c r="A94" s="208"/>
      <c r="B94" s="91"/>
      <c r="C94" s="92" t="s">
        <v>67</v>
      </c>
      <c r="D94" s="93">
        <v>15000</v>
      </c>
      <c r="F94" s="75"/>
    </row>
    <row r="95" spans="1:7" s="53" customFormat="1" x14ac:dyDescent="0.35">
      <c r="A95" s="208"/>
      <c r="B95" s="91" t="s">
        <v>108</v>
      </c>
      <c r="C95" s="101" t="s">
        <v>68</v>
      </c>
      <c r="D95" s="93">
        <v>15000</v>
      </c>
      <c r="E95" s="94" t="s">
        <v>69</v>
      </c>
      <c r="F95" s="95"/>
    </row>
    <row r="96" spans="1:7" s="53" customFormat="1" x14ac:dyDescent="0.35">
      <c r="A96" s="208"/>
      <c r="B96" s="102"/>
      <c r="C96" s="101" t="s">
        <v>70</v>
      </c>
      <c r="D96" s="103">
        <v>10000</v>
      </c>
      <c r="E96" s="104"/>
      <c r="F96" s="105"/>
    </row>
    <row r="97" spans="1:6" s="53" customFormat="1" x14ac:dyDescent="0.35">
      <c r="A97" s="208"/>
      <c r="B97" s="102"/>
      <c r="C97" s="101" t="s">
        <v>71</v>
      </c>
      <c r="D97" s="103">
        <v>20000</v>
      </c>
      <c r="E97" s="104" t="s">
        <v>72</v>
      </c>
      <c r="F97" s="105"/>
    </row>
    <row r="98" spans="1:6" s="53" customFormat="1" x14ac:dyDescent="0.35">
      <c r="A98" s="208"/>
      <c r="B98" s="102"/>
      <c r="C98" s="92" t="s">
        <v>73</v>
      </c>
      <c r="D98" s="106">
        <f>745*140</f>
        <v>104300</v>
      </c>
      <c r="E98" s="169" t="s">
        <v>132</v>
      </c>
      <c r="F98" s="105"/>
    </row>
    <row r="99" spans="1:6" s="53" customFormat="1" ht="15" thickBot="1" x14ac:dyDescent="0.4">
      <c r="A99" s="208"/>
      <c r="B99" s="107"/>
      <c r="C99" s="108"/>
      <c r="D99" s="109"/>
      <c r="E99" s="53" t="s">
        <v>654</v>
      </c>
      <c r="F99" s="75"/>
    </row>
    <row r="100" spans="1:6" s="53" customFormat="1" ht="15" thickBot="1" x14ac:dyDescent="0.4">
      <c r="A100" s="208"/>
      <c r="B100" s="110"/>
      <c r="C100" s="111" t="s">
        <v>74</v>
      </c>
      <c r="D100" s="112">
        <f>SUM(D87:D99)</f>
        <v>8038650</v>
      </c>
      <c r="F100" s="75"/>
    </row>
    <row r="101" spans="1:6" s="53" customFormat="1" ht="15.5" thickTop="1" thickBot="1" x14ac:dyDescent="0.4">
      <c r="A101" s="209"/>
      <c r="B101" s="211"/>
      <c r="C101" s="211"/>
      <c r="D101" s="211"/>
      <c r="F101" s="75"/>
    </row>
    <row r="102" spans="1:6" s="53" customFormat="1" x14ac:dyDescent="0.35">
      <c r="B102" s="89"/>
      <c r="C102" s="53" t="s">
        <v>75</v>
      </c>
      <c r="D102" s="113">
        <f>D84-D100</f>
        <v>4186350</v>
      </c>
      <c r="F102" s="75"/>
    </row>
    <row r="103" spans="1:6" s="53" customFormat="1" x14ac:dyDescent="0.35">
      <c r="B103" s="89"/>
      <c r="D103" s="113"/>
      <c r="F103" s="75"/>
    </row>
    <row r="104" spans="1:6" s="53" customFormat="1" x14ac:dyDescent="0.35">
      <c r="A104" s="114"/>
      <c r="B104" s="115"/>
      <c r="C104" s="114"/>
      <c r="D104" s="116"/>
      <c r="E104" s="114"/>
      <c r="F104" s="117"/>
    </row>
    <row r="105" spans="1:6" x14ac:dyDescent="0.35">
      <c r="F105" s="118"/>
    </row>
    <row r="106" spans="1:6" s="53" customFormat="1" ht="23.5" x14ac:dyDescent="0.55000000000000004">
      <c r="B106" s="206" t="s">
        <v>0</v>
      </c>
      <c r="C106" s="206"/>
      <c r="D106" s="206"/>
      <c r="E106" s="70"/>
      <c r="F106" s="71"/>
    </row>
    <row r="107" spans="1:6" s="53" customFormat="1" ht="20.5" x14ac:dyDescent="0.45">
      <c r="B107" s="72"/>
      <c r="C107" s="73" t="s">
        <v>113</v>
      </c>
      <c r="D107" s="74"/>
      <c r="F107" s="75"/>
    </row>
    <row r="108" spans="1:6" s="53" customFormat="1" ht="21" thickBot="1" x14ac:dyDescent="0.5">
      <c r="B108" s="72" t="s">
        <v>115</v>
      </c>
      <c r="C108" s="76" t="s">
        <v>47</v>
      </c>
      <c r="D108" s="74"/>
      <c r="F108" s="75"/>
    </row>
    <row r="109" spans="1:6" s="53" customFormat="1" ht="15" thickBot="1" x14ac:dyDescent="0.4">
      <c r="A109" s="77" t="s">
        <v>48</v>
      </c>
      <c r="B109" s="78" t="s">
        <v>26</v>
      </c>
      <c r="C109" s="78" t="s">
        <v>49</v>
      </c>
      <c r="D109" s="79" t="s">
        <v>29</v>
      </c>
      <c r="F109" s="75"/>
    </row>
    <row r="110" spans="1:6" s="53" customFormat="1" ht="14.5" customHeight="1" x14ac:dyDescent="0.35">
      <c r="A110" s="207" t="s">
        <v>31</v>
      </c>
      <c r="B110" s="80" t="s">
        <v>141</v>
      </c>
      <c r="C110" s="81" t="s">
        <v>50</v>
      </c>
      <c r="D110" s="82">
        <f>F117</f>
        <v>12225000</v>
      </c>
      <c r="F110" s="75"/>
    </row>
    <row r="111" spans="1:6" s="53" customFormat="1" ht="21" thickBot="1" x14ac:dyDescent="0.5">
      <c r="A111" s="208"/>
      <c r="B111" s="72"/>
      <c r="C111" s="72"/>
      <c r="D111" s="74"/>
      <c r="F111" s="75"/>
    </row>
    <row r="112" spans="1:6" s="53" customFormat="1" ht="15" thickBot="1" x14ac:dyDescent="0.4">
      <c r="A112" s="208"/>
      <c r="B112" s="83" t="s">
        <v>26</v>
      </c>
      <c r="C112" s="84" t="s">
        <v>51</v>
      </c>
      <c r="D112" s="85" t="s">
        <v>52</v>
      </c>
      <c r="F112" s="75"/>
    </row>
    <row r="113" spans="1:7" s="89" customFormat="1" x14ac:dyDescent="0.35">
      <c r="A113" s="208"/>
      <c r="B113" s="86" t="str">
        <f>B110</f>
        <v>07th January,2026</v>
      </c>
      <c r="C113" s="87" t="s">
        <v>461</v>
      </c>
      <c r="D113" s="88">
        <f>1900*2779</f>
        <v>5280100</v>
      </c>
      <c r="F113" s="90"/>
    </row>
    <row r="114" spans="1:7" s="53" customFormat="1" x14ac:dyDescent="0.35">
      <c r="A114" s="208"/>
      <c r="B114" s="91"/>
      <c r="C114" s="92" t="s">
        <v>53</v>
      </c>
      <c r="D114" s="93">
        <f>325*2450</f>
        <v>796250</v>
      </c>
      <c r="F114" s="75"/>
    </row>
    <row r="115" spans="1:7" s="53" customFormat="1" x14ac:dyDescent="0.35">
      <c r="A115" s="208"/>
      <c r="B115" s="91" t="s">
        <v>54</v>
      </c>
      <c r="C115" s="92" t="s">
        <v>55</v>
      </c>
      <c r="D115" s="93">
        <v>1000000</v>
      </c>
      <c r="F115" s="75"/>
    </row>
    <row r="116" spans="1:7" s="53" customFormat="1" x14ac:dyDescent="0.35">
      <c r="A116" s="208"/>
      <c r="B116" s="91" t="s">
        <v>56</v>
      </c>
      <c r="C116" s="92" t="s">
        <v>57</v>
      </c>
      <c r="D116" s="93">
        <v>40000</v>
      </c>
      <c r="E116" s="210" t="s">
        <v>58</v>
      </c>
      <c r="F116" s="210"/>
    </row>
    <row r="117" spans="1:7" s="53" customFormat="1" x14ac:dyDescent="0.35">
      <c r="A117" s="208"/>
      <c r="B117" s="91" t="s">
        <v>59</v>
      </c>
      <c r="C117" s="92" t="s">
        <v>60</v>
      </c>
      <c r="D117" s="93">
        <f>1000*140</f>
        <v>140000</v>
      </c>
      <c r="E117" s="94" t="s">
        <v>61</v>
      </c>
      <c r="F117" s="95">
        <f>5000*2445</f>
        <v>12225000</v>
      </c>
    </row>
    <row r="118" spans="1:7" s="53" customFormat="1" x14ac:dyDescent="0.35">
      <c r="A118" s="208"/>
      <c r="B118" s="91"/>
      <c r="C118" s="92" t="s">
        <v>62</v>
      </c>
      <c r="D118" s="93">
        <f>4200*140</f>
        <v>588000</v>
      </c>
      <c r="E118" s="96" t="s">
        <v>63</v>
      </c>
      <c r="F118" s="75">
        <f>(3000*2445)+(2000*2445)</f>
        <v>12225000</v>
      </c>
    </row>
    <row r="119" spans="1:7" s="53" customFormat="1" ht="15" thickBot="1" x14ac:dyDescent="0.4">
      <c r="A119" s="208"/>
      <c r="B119" s="91" t="s">
        <v>64</v>
      </c>
      <c r="C119" s="92" t="s">
        <v>65</v>
      </c>
      <c r="D119" s="97">
        <v>30000</v>
      </c>
      <c r="E119" s="98" t="s">
        <v>66</v>
      </c>
      <c r="F119" s="99">
        <f>F117-F118</f>
        <v>0</v>
      </c>
      <c r="G119" s="100">
        <f>F119/2445</f>
        <v>0</v>
      </c>
    </row>
    <row r="120" spans="1:7" s="53" customFormat="1" ht="15" thickTop="1" x14ac:dyDescent="0.35">
      <c r="A120" s="208"/>
      <c r="B120" s="91"/>
      <c r="C120" s="92" t="s">
        <v>67</v>
      </c>
      <c r="D120" s="93">
        <v>150000</v>
      </c>
      <c r="F120" s="75"/>
    </row>
    <row r="121" spans="1:7" s="53" customFormat="1" x14ac:dyDescent="0.35">
      <c r="A121" s="208"/>
      <c r="B121" s="91" t="s">
        <v>112</v>
      </c>
      <c r="C121" s="101" t="s">
        <v>68</v>
      </c>
      <c r="D121" s="93">
        <v>15000</v>
      </c>
      <c r="E121" s="94" t="s">
        <v>69</v>
      </c>
      <c r="F121" s="95"/>
    </row>
    <row r="122" spans="1:7" s="53" customFormat="1" x14ac:dyDescent="0.35">
      <c r="A122" s="208"/>
      <c r="B122" s="102"/>
      <c r="C122" s="101" t="s">
        <v>70</v>
      </c>
      <c r="D122" s="103">
        <v>10000</v>
      </c>
      <c r="E122" s="104"/>
      <c r="F122" s="105"/>
    </row>
    <row r="123" spans="1:7" s="53" customFormat="1" x14ac:dyDescent="0.35">
      <c r="A123" s="208"/>
      <c r="B123" s="102"/>
      <c r="C123" s="101" t="s">
        <v>71</v>
      </c>
      <c r="D123" s="103">
        <v>30000</v>
      </c>
      <c r="E123" s="104" t="s">
        <v>72</v>
      </c>
      <c r="F123" s="105"/>
    </row>
    <row r="124" spans="1:7" s="53" customFormat="1" x14ac:dyDescent="0.35">
      <c r="A124" s="208"/>
      <c r="B124" s="102"/>
      <c r="C124" s="92" t="s">
        <v>73</v>
      </c>
      <c r="D124" s="106">
        <f>745*140</f>
        <v>104300</v>
      </c>
      <c r="E124" s="169" t="s">
        <v>132</v>
      </c>
      <c r="F124" s="105"/>
    </row>
    <row r="125" spans="1:7" s="53" customFormat="1" ht="15" thickBot="1" x14ac:dyDescent="0.4">
      <c r="A125" s="208"/>
      <c r="B125" s="107"/>
      <c r="C125" s="108"/>
      <c r="D125" s="109"/>
      <c r="E125" s="53" t="s">
        <v>653</v>
      </c>
      <c r="F125" s="75"/>
    </row>
    <row r="126" spans="1:7" s="53" customFormat="1" ht="15" thickBot="1" x14ac:dyDescent="0.4">
      <c r="A126" s="208"/>
      <c r="B126" s="110"/>
      <c r="C126" s="111" t="s">
        <v>74</v>
      </c>
      <c r="D126" s="112">
        <f>SUM(D113:D125)</f>
        <v>8183650</v>
      </c>
      <c r="F126" s="75"/>
    </row>
    <row r="127" spans="1:7" s="53" customFormat="1" ht="15.5" thickTop="1" thickBot="1" x14ac:dyDescent="0.4">
      <c r="A127" s="209"/>
      <c r="B127" s="211"/>
      <c r="C127" s="211"/>
      <c r="D127" s="211"/>
      <c r="F127" s="75"/>
    </row>
    <row r="128" spans="1:7" s="53" customFormat="1" x14ac:dyDescent="0.35">
      <c r="B128" s="89"/>
      <c r="C128" s="53" t="s">
        <v>75</v>
      </c>
      <c r="D128" s="113">
        <f>D110-D126</f>
        <v>4041350</v>
      </c>
      <c r="F128" s="75"/>
    </row>
    <row r="129" spans="1:6" s="53" customFormat="1" x14ac:dyDescent="0.35">
      <c r="B129" s="89"/>
      <c r="D129" s="113"/>
      <c r="F129" s="75"/>
    </row>
    <row r="130" spans="1:6" s="53" customFormat="1" x14ac:dyDescent="0.35">
      <c r="A130" s="114"/>
      <c r="B130" s="115"/>
      <c r="C130" s="114"/>
      <c r="D130" s="116"/>
      <c r="E130" s="114"/>
      <c r="F130" s="117"/>
    </row>
    <row r="132" spans="1:6" s="53" customFormat="1" ht="23.5" x14ac:dyDescent="0.55000000000000004">
      <c r="B132" s="206" t="s">
        <v>0</v>
      </c>
      <c r="C132" s="206"/>
      <c r="D132" s="206"/>
      <c r="E132" s="70"/>
      <c r="F132" s="71"/>
    </row>
    <row r="133" spans="1:6" s="53" customFormat="1" ht="20.5" x14ac:dyDescent="0.45">
      <c r="B133" s="72"/>
      <c r="C133" s="73" t="s">
        <v>137</v>
      </c>
      <c r="D133" s="74"/>
      <c r="F133" s="75"/>
    </row>
    <row r="134" spans="1:6" s="53" customFormat="1" ht="21" thickBot="1" x14ac:dyDescent="0.5">
      <c r="B134" s="72" t="s">
        <v>138</v>
      </c>
      <c r="C134" s="76" t="s">
        <v>47</v>
      </c>
      <c r="D134" s="74"/>
      <c r="F134" s="75"/>
    </row>
    <row r="135" spans="1:6" s="53" customFormat="1" ht="15" thickBot="1" x14ac:dyDescent="0.4">
      <c r="A135" s="77" t="s">
        <v>48</v>
      </c>
      <c r="B135" s="78" t="s">
        <v>26</v>
      </c>
      <c r="C135" s="78" t="s">
        <v>49</v>
      </c>
      <c r="D135" s="79" t="s">
        <v>29</v>
      </c>
      <c r="F135" s="75"/>
    </row>
    <row r="136" spans="1:6" s="53" customFormat="1" ht="14.5" customHeight="1" x14ac:dyDescent="0.35">
      <c r="A136" s="207" t="s">
        <v>31</v>
      </c>
      <c r="B136" s="80" t="s">
        <v>147</v>
      </c>
      <c r="C136" s="81" t="s">
        <v>50</v>
      </c>
      <c r="D136" s="82">
        <f>F143</f>
        <v>12225000</v>
      </c>
      <c r="F136" s="75"/>
    </row>
    <row r="137" spans="1:6" s="53" customFormat="1" ht="21" thickBot="1" x14ac:dyDescent="0.5">
      <c r="A137" s="208"/>
      <c r="B137" s="72"/>
      <c r="C137" s="72"/>
      <c r="D137" s="74"/>
      <c r="F137" s="75"/>
    </row>
    <row r="138" spans="1:6" s="53" customFormat="1" ht="15" thickBot="1" x14ac:dyDescent="0.4">
      <c r="A138" s="208"/>
      <c r="B138" s="83" t="s">
        <v>26</v>
      </c>
      <c r="C138" s="84" t="s">
        <v>51</v>
      </c>
      <c r="D138" s="85" t="s">
        <v>52</v>
      </c>
      <c r="F138" s="75"/>
    </row>
    <row r="139" spans="1:6" s="89" customFormat="1" x14ac:dyDescent="0.35">
      <c r="A139" s="208"/>
      <c r="B139" s="86" t="str">
        <f>B136</f>
        <v>13th January,2026</v>
      </c>
      <c r="C139" s="87" t="s">
        <v>461</v>
      </c>
      <c r="D139" s="88">
        <f>1900*2779</f>
        <v>5280100</v>
      </c>
      <c r="F139" s="90"/>
    </row>
    <row r="140" spans="1:6" s="53" customFormat="1" x14ac:dyDescent="0.35">
      <c r="A140" s="208"/>
      <c r="B140" s="91"/>
      <c r="C140" s="92" t="s">
        <v>53</v>
      </c>
      <c r="D140" s="93">
        <f>325*2450</f>
        <v>796250</v>
      </c>
      <c r="F140" s="75"/>
    </row>
    <row r="141" spans="1:6" s="53" customFormat="1" x14ac:dyDescent="0.35">
      <c r="A141" s="208"/>
      <c r="B141" s="91" t="s">
        <v>54</v>
      </c>
      <c r="C141" s="92" t="s">
        <v>55</v>
      </c>
      <c r="D141" s="93">
        <v>1000000</v>
      </c>
      <c r="F141" s="75"/>
    </row>
    <row r="142" spans="1:6" s="53" customFormat="1" x14ac:dyDescent="0.35">
      <c r="A142" s="208"/>
      <c r="B142" s="91" t="s">
        <v>56</v>
      </c>
      <c r="C142" s="92" t="s">
        <v>57</v>
      </c>
      <c r="D142" s="93">
        <v>40000</v>
      </c>
      <c r="E142" s="210" t="s">
        <v>58</v>
      </c>
      <c r="F142" s="210"/>
    </row>
    <row r="143" spans="1:6" s="53" customFormat="1" x14ac:dyDescent="0.35">
      <c r="A143" s="208"/>
      <c r="B143" s="91" t="s">
        <v>59</v>
      </c>
      <c r="C143" s="92" t="s">
        <v>60</v>
      </c>
      <c r="D143" s="93">
        <f>1000*140</f>
        <v>140000</v>
      </c>
      <c r="E143" s="94" t="s">
        <v>61</v>
      </c>
      <c r="F143" s="95">
        <f>5000*2445</f>
        <v>12225000</v>
      </c>
    </row>
    <row r="144" spans="1:6" s="53" customFormat="1" x14ac:dyDescent="0.35">
      <c r="A144" s="208"/>
      <c r="B144" s="91"/>
      <c r="C144" s="92" t="s">
        <v>62</v>
      </c>
      <c r="D144" s="93">
        <f>4200*140</f>
        <v>588000</v>
      </c>
      <c r="E144" s="96" t="s">
        <v>63</v>
      </c>
      <c r="F144" s="75">
        <f>(3000*2445)+(2000*2445)</f>
        <v>12225000</v>
      </c>
    </row>
    <row r="145" spans="1:7" s="53" customFormat="1" ht="15" thickBot="1" x14ac:dyDescent="0.4">
      <c r="A145" s="208"/>
      <c r="B145" s="91" t="s">
        <v>64</v>
      </c>
      <c r="C145" s="92" t="s">
        <v>65</v>
      </c>
      <c r="D145" s="97">
        <v>30000</v>
      </c>
      <c r="E145" s="98" t="s">
        <v>66</v>
      </c>
      <c r="F145" s="99">
        <f>F143-F144</f>
        <v>0</v>
      </c>
      <c r="G145" s="100">
        <f>F145/2445</f>
        <v>0</v>
      </c>
    </row>
    <row r="146" spans="1:7" s="53" customFormat="1" ht="15" thickTop="1" x14ac:dyDescent="0.35">
      <c r="A146" s="208"/>
      <c r="B146" s="91"/>
      <c r="C146" s="92" t="s">
        <v>67</v>
      </c>
      <c r="D146" s="93">
        <v>150000</v>
      </c>
      <c r="F146" s="75"/>
    </row>
    <row r="147" spans="1:7" s="53" customFormat="1" x14ac:dyDescent="0.35">
      <c r="A147" s="208"/>
      <c r="B147" s="91" t="s">
        <v>136</v>
      </c>
      <c r="C147" s="101" t="s">
        <v>68</v>
      </c>
      <c r="D147" s="93">
        <v>15000</v>
      </c>
      <c r="E147" s="94" t="s">
        <v>69</v>
      </c>
      <c r="F147" s="95"/>
    </row>
    <row r="148" spans="1:7" s="53" customFormat="1" x14ac:dyDescent="0.35">
      <c r="A148" s="208"/>
      <c r="B148" s="102"/>
      <c r="C148" s="101" t="s">
        <v>70</v>
      </c>
      <c r="D148" s="103">
        <v>10000</v>
      </c>
      <c r="E148" s="104"/>
      <c r="F148" s="105"/>
    </row>
    <row r="149" spans="1:7" s="53" customFormat="1" x14ac:dyDescent="0.35">
      <c r="A149" s="208"/>
      <c r="B149" s="102"/>
      <c r="C149" s="101" t="s">
        <v>71</v>
      </c>
      <c r="D149" s="103">
        <v>30000</v>
      </c>
      <c r="E149" s="104" t="s">
        <v>72</v>
      </c>
      <c r="F149" s="105"/>
    </row>
    <row r="150" spans="1:7" s="53" customFormat="1" x14ac:dyDescent="0.35">
      <c r="A150" s="208"/>
      <c r="B150" s="102"/>
      <c r="C150" s="92" t="s">
        <v>73</v>
      </c>
      <c r="D150" s="106">
        <f>745*140</f>
        <v>104300</v>
      </c>
      <c r="E150" s="169" t="s">
        <v>182</v>
      </c>
      <c r="F150" s="105"/>
    </row>
    <row r="151" spans="1:7" s="53" customFormat="1" ht="15" thickBot="1" x14ac:dyDescent="0.4">
      <c r="A151" s="208"/>
      <c r="B151" s="107"/>
      <c r="C151" s="108"/>
      <c r="D151" s="109"/>
      <c r="E151" s="53" t="s">
        <v>652</v>
      </c>
      <c r="F151" s="75"/>
    </row>
    <row r="152" spans="1:7" s="53" customFormat="1" ht="15" thickBot="1" x14ac:dyDescent="0.4">
      <c r="A152" s="208"/>
      <c r="B152" s="110"/>
      <c r="C152" s="111" t="s">
        <v>74</v>
      </c>
      <c r="D152" s="112">
        <f>SUM(D139:D151)</f>
        <v>8183650</v>
      </c>
      <c r="F152" s="75"/>
    </row>
    <row r="153" spans="1:7" s="53" customFormat="1" ht="15.5" thickTop="1" thickBot="1" x14ac:dyDescent="0.4">
      <c r="A153" s="209"/>
      <c r="B153" s="211"/>
      <c r="C153" s="211"/>
      <c r="D153" s="211"/>
      <c r="F153" s="75"/>
    </row>
    <row r="154" spans="1:7" s="53" customFormat="1" x14ac:dyDescent="0.35">
      <c r="B154" s="89"/>
      <c r="C154" s="53" t="s">
        <v>75</v>
      </c>
      <c r="D154" s="113">
        <f>D136-D152</f>
        <v>4041350</v>
      </c>
      <c r="F154" s="75"/>
    </row>
    <row r="155" spans="1:7" s="53" customFormat="1" x14ac:dyDescent="0.35">
      <c r="B155" s="89"/>
      <c r="D155" s="113"/>
      <c r="F155" s="75"/>
    </row>
    <row r="156" spans="1:7" s="53" customFormat="1" x14ac:dyDescent="0.35">
      <c r="A156" s="114"/>
      <c r="B156" s="115"/>
      <c r="C156" s="114"/>
      <c r="D156" s="116"/>
      <c r="E156" s="114"/>
      <c r="F156" s="117"/>
    </row>
    <row r="157" spans="1:7" x14ac:dyDescent="0.35">
      <c r="F157" s="118"/>
    </row>
    <row r="158" spans="1:7" s="53" customFormat="1" ht="23.5" x14ac:dyDescent="0.55000000000000004">
      <c r="B158" s="206" t="s">
        <v>0</v>
      </c>
      <c r="C158" s="206"/>
      <c r="D158" s="206"/>
      <c r="E158" s="70"/>
      <c r="F158" s="71"/>
    </row>
    <row r="159" spans="1:7" s="53" customFormat="1" ht="20.5" x14ac:dyDescent="0.45">
      <c r="B159" s="72"/>
      <c r="C159" s="73" t="s">
        <v>145</v>
      </c>
      <c r="D159" s="74"/>
      <c r="F159" s="75"/>
    </row>
    <row r="160" spans="1:7" s="53" customFormat="1" ht="21" thickBot="1" x14ac:dyDescent="0.5">
      <c r="B160" s="72" t="s">
        <v>146</v>
      </c>
      <c r="C160" s="76" t="s">
        <v>47</v>
      </c>
      <c r="D160" s="74"/>
      <c r="F160" s="75"/>
    </row>
    <row r="161" spans="1:7" s="53" customFormat="1" ht="15" thickBot="1" x14ac:dyDescent="0.4">
      <c r="A161" s="77" t="s">
        <v>48</v>
      </c>
      <c r="B161" s="78" t="s">
        <v>26</v>
      </c>
      <c r="C161" s="78" t="s">
        <v>49</v>
      </c>
      <c r="D161" s="79" t="s">
        <v>29</v>
      </c>
      <c r="F161" s="75"/>
    </row>
    <row r="162" spans="1:7" s="53" customFormat="1" ht="14.5" customHeight="1" x14ac:dyDescent="0.35">
      <c r="A162" s="207" t="s">
        <v>31</v>
      </c>
      <c r="B162" s="80" t="s">
        <v>147</v>
      </c>
      <c r="C162" s="81" t="s">
        <v>50</v>
      </c>
      <c r="D162" s="82">
        <f>F169</f>
        <v>12225000</v>
      </c>
      <c r="F162" s="75"/>
    </row>
    <row r="163" spans="1:7" s="53" customFormat="1" ht="21" thickBot="1" x14ac:dyDescent="0.5">
      <c r="A163" s="208"/>
      <c r="B163" s="72"/>
      <c r="C163" s="72"/>
      <c r="D163" s="74"/>
      <c r="F163" s="75"/>
    </row>
    <row r="164" spans="1:7" s="53" customFormat="1" ht="15" thickBot="1" x14ac:dyDescent="0.4">
      <c r="A164" s="208"/>
      <c r="B164" s="83" t="s">
        <v>26</v>
      </c>
      <c r="C164" s="84" t="s">
        <v>51</v>
      </c>
      <c r="D164" s="85" t="s">
        <v>52</v>
      </c>
      <c r="F164" s="75"/>
    </row>
    <row r="165" spans="1:7" s="89" customFormat="1" x14ac:dyDescent="0.35">
      <c r="A165" s="208"/>
      <c r="B165" s="86" t="str">
        <f>B162</f>
        <v>13th January,2026</v>
      </c>
      <c r="C165" s="87" t="s">
        <v>461</v>
      </c>
      <c r="D165" s="88">
        <f>1900*2779</f>
        <v>5280100</v>
      </c>
      <c r="F165" s="90"/>
    </row>
    <row r="166" spans="1:7" s="53" customFormat="1" x14ac:dyDescent="0.35">
      <c r="A166" s="208"/>
      <c r="B166" s="91"/>
      <c r="C166" s="92" t="s">
        <v>53</v>
      </c>
      <c r="D166" s="93">
        <f>325*2450</f>
        <v>796250</v>
      </c>
      <c r="F166" s="75"/>
    </row>
    <row r="167" spans="1:7" s="53" customFormat="1" x14ac:dyDescent="0.35">
      <c r="A167" s="208"/>
      <c r="B167" s="91" t="s">
        <v>54</v>
      </c>
      <c r="C167" s="92" t="s">
        <v>55</v>
      </c>
      <c r="D167" s="93">
        <v>1000000</v>
      </c>
      <c r="F167" s="75"/>
    </row>
    <row r="168" spans="1:7" s="53" customFormat="1" x14ac:dyDescent="0.35">
      <c r="A168" s="208"/>
      <c r="B168" s="91" t="s">
        <v>56</v>
      </c>
      <c r="C168" s="92" t="s">
        <v>57</v>
      </c>
      <c r="D168" s="93">
        <v>40000</v>
      </c>
      <c r="E168" s="210" t="s">
        <v>58</v>
      </c>
      <c r="F168" s="210"/>
    </row>
    <row r="169" spans="1:7" s="53" customFormat="1" x14ac:dyDescent="0.35">
      <c r="A169" s="208"/>
      <c r="B169" s="91" t="s">
        <v>59</v>
      </c>
      <c r="C169" s="92" t="s">
        <v>60</v>
      </c>
      <c r="D169" s="93">
        <f>1000*140</f>
        <v>140000</v>
      </c>
      <c r="E169" s="94" t="s">
        <v>61</v>
      </c>
      <c r="F169" s="95">
        <f>5000*2445</f>
        <v>12225000</v>
      </c>
    </row>
    <row r="170" spans="1:7" s="53" customFormat="1" x14ac:dyDescent="0.35">
      <c r="A170" s="208"/>
      <c r="B170" s="91"/>
      <c r="C170" s="92" t="s">
        <v>62</v>
      </c>
      <c r="D170" s="93">
        <f>4200*140</f>
        <v>588000</v>
      </c>
      <c r="E170" s="96" t="s">
        <v>63</v>
      </c>
      <c r="F170" s="75">
        <f>(3000*2445)+(2000*2445)</f>
        <v>12225000</v>
      </c>
    </row>
    <row r="171" spans="1:7" s="53" customFormat="1" ht="15" thickBot="1" x14ac:dyDescent="0.4">
      <c r="A171" s="208"/>
      <c r="B171" s="91" t="s">
        <v>64</v>
      </c>
      <c r="C171" s="92" t="s">
        <v>65</v>
      </c>
      <c r="D171" s="97">
        <v>30000</v>
      </c>
      <c r="E171" s="98" t="s">
        <v>66</v>
      </c>
      <c r="F171" s="99">
        <f>F169-F170</f>
        <v>0</v>
      </c>
      <c r="G171" s="100">
        <f>F171/2445</f>
        <v>0</v>
      </c>
    </row>
    <row r="172" spans="1:7" s="53" customFormat="1" ht="15" thickTop="1" x14ac:dyDescent="0.35">
      <c r="A172" s="208"/>
      <c r="B172" s="91"/>
      <c r="C172" s="92" t="s">
        <v>67</v>
      </c>
      <c r="D172" s="93">
        <v>150000</v>
      </c>
      <c r="F172" s="75"/>
    </row>
    <row r="173" spans="1:7" s="53" customFormat="1" x14ac:dyDescent="0.35">
      <c r="A173" s="208"/>
      <c r="B173" s="91" t="s">
        <v>144</v>
      </c>
      <c r="C173" s="101" t="s">
        <v>68</v>
      </c>
      <c r="D173" s="93">
        <v>15000</v>
      </c>
      <c r="E173" s="94" t="s">
        <v>69</v>
      </c>
      <c r="F173" s="95"/>
    </row>
    <row r="174" spans="1:7" s="53" customFormat="1" x14ac:dyDescent="0.35">
      <c r="A174" s="208"/>
      <c r="B174" s="102"/>
      <c r="C174" s="101" t="s">
        <v>70</v>
      </c>
      <c r="D174" s="103">
        <v>10000</v>
      </c>
      <c r="E174" s="104"/>
      <c r="F174" s="105"/>
    </row>
    <row r="175" spans="1:7" s="53" customFormat="1" x14ac:dyDescent="0.35">
      <c r="A175" s="208"/>
      <c r="B175" s="102"/>
      <c r="C175" s="101" t="s">
        <v>71</v>
      </c>
      <c r="D175" s="103">
        <v>30000</v>
      </c>
      <c r="E175" s="104" t="s">
        <v>72</v>
      </c>
      <c r="F175" s="105"/>
    </row>
    <row r="176" spans="1:7" s="53" customFormat="1" x14ac:dyDescent="0.35">
      <c r="A176" s="208"/>
      <c r="B176" s="102"/>
      <c r="C176" s="92" t="s">
        <v>73</v>
      </c>
      <c r="D176" s="106">
        <f>745*140</f>
        <v>104300</v>
      </c>
      <c r="E176" s="169" t="s">
        <v>182</v>
      </c>
      <c r="F176" s="105"/>
    </row>
    <row r="177" spans="1:6" s="53" customFormat="1" ht="15" thickBot="1" x14ac:dyDescent="0.4">
      <c r="A177" s="208"/>
      <c r="B177" s="107"/>
      <c r="C177" s="108"/>
      <c r="D177" s="109"/>
      <c r="E177" s="53" t="s">
        <v>652</v>
      </c>
      <c r="F177" s="75"/>
    </row>
    <row r="178" spans="1:6" s="53" customFormat="1" ht="15" thickBot="1" x14ac:dyDescent="0.4">
      <c r="A178" s="208"/>
      <c r="B178" s="110"/>
      <c r="C178" s="111" t="s">
        <v>74</v>
      </c>
      <c r="D178" s="112">
        <f>SUM(D165:D177)</f>
        <v>8183650</v>
      </c>
      <c r="F178" s="75"/>
    </row>
    <row r="179" spans="1:6" s="53" customFormat="1" ht="15.5" thickTop="1" thickBot="1" x14ac:dyDescent="0.4">
      <c r="A179" s="209"/>
      <c r="B179" s="211"/>
      <c r="C179" s="211"/>
      <c r="D179" s="211"/>
      <c r="F179" s="75"/>
    </row>
    <row r="180" spans="1:6" s="53" customFormat="1" x14ac:dyDescent="0.35">
      <c r="B180" s="89"/>
      <c r="C180" s="53" t="s">
        <v>75</v>
      </c>
      <c r="D180" s="113">
        <f>D162-D178</f>
        <v>4041350</v>
      </c>
      <c r="F180" s="75"/>
    </row>
    <row r="181" spans="1:6" s="53" customFormat="1" x14ac:dyDescent="0.35">
      <c r="B181" s="89"/>
      <c r="D181" s="113"/>
      <c r="F181" s="75"/>
    </row>
    <row r="182" spans="1:6" s="53" customFormat="1" x14ac:dyDescent="0.35">
      <c r="A182" s="114"/>
      <c r="B182" s="115"/>
      <c r="C182" s="114"/>
      <c r="D182" s="116"/>
      <c r="E182" s="114"/>
      <c r="F182" s="117"/>
    </row>
    <row r="184" spans="1:6" s="53" customFormat="1" ht="23.5" x14ac:dyDescent="0.55000000000000004">
      <c r="B184" s="206" t="s">
        <v>0</v>
      </c>
      <c r="C184" s="206"/>
      <c r="D184" s="206"/>
      <c r="E184" s="70"/>
      <c r="F184" s="71"/>
    </row>
    <row r="185" spans="1:6" s="53" customFormat="1" ht="20.5" x14ac:dyDescent="0.45">
      <c r="B185" s="72"/>
      <c r="C185" s="73" t="s">
        <v>152</v>
      </c>
      <c r="D185" s="74"/>
      <c r="F185" s="75"/>
    </row>
    <row r="186" spans="1:6" s="53" customFormat="1" ht="21" thickBot="1" x14ac:dyDescent="0.5">
      <c r="B186" s="72" t="s">
        <v>153</v>
      </c>
      <c r="C186" s="76" t="s">
        <v>47</v>
      </c>
      <c r="D186" s="74"/>
      <c r="F186" s="75"/>
    </row>
    <row r="187" spans="1:6" s="53" customFormat="1" ht="15" thickBot="1" x14ac:dyDescent="0.4">
      <c r="A187" s="77" t="s">
        <v>48</v>
      </c>
      <c r="B187" s="78" t="s">
        <v>26</v>
      </c>
      <c r="C187" s="78" t="s">
        <v>49</v>
      </c>
      <c r="D187" s="79" t="s">
        <v>29</v>
      </c>
      <c r="F187" s="75"/>
    </row>
    <row r="188" spans="1:6" s="53" customFormat="1" ht="14.5" customHeight="1" x14ac:dyDescent="0.35">
      <c r="A188" s="207" t="s">
        <v>31</v>
      </c>
      <c r="B188" s="80" t="s">
        <v>147</v>
      </c>
      <c r="C188" s="81" t="s">
        <v>50</v>
      </c>
      <c r="D188" s="82">
        <f>F195</f>
        <v>12714000</v>
      </c>
      <c r="F188" s="75"/>
    </row>
    <row r="189" spans="1:6" s="53" customFormat="1" ht="21" thickBot="1" x14ac:dyDescent="0.5">
      <c r="A189" s="208"/>
      <c r="B189" s="72"/>
      <c r="C189" s="72"/>
      <c r="D189" s="74"/>
      <c r="F189" s="75"/>
    </row>
    <row r="190" spans="1:6" s="53" customFormat="1" ht="15" thickBot="1" x14ac:dyDescent="0.4">
      <c r="A190" s="208"/>
      <c r="B190" s="83" t="s">
        <v>26</v>
      </c>
      <c r="C190" s="84" t="s">
        <v>51</v>
      </c>
      <c r="D190" s="85" t="s">
        <v>52</v>
      </c>
      <c r="F190" s="75"/>
    </row>
    <row r="191" spans="1:6" s="89" customFormat="1" x14ac:dyDescent="0.35">
      <c r="A191" s="208"/>
      <c r="B191" s="86" t="str">
        <f>B188</f>
        <v>13th January,2026</v>
      </c>
      <c r="C191" s="87" t="s">
        <v>461</v>
      </c>
      <c r="D191" s="88">
        <f>1900*2779</f>
        <v>5280100</v>
      </c>
      <c r="F191" s="90"/>
    </row>
    <row r="192" spans="1:6" s="53" customFormat="1" x14ac:dyDescent="0.35">
      <c r="A192" s="208"/>
      <c r="B192" s="91"/>
      <c r="C192" s="92" t="s">
        <v>155</v>
      </c>
      <c r="D192" s="93">
        <f>319*2450</f>
        <v>781550</v>
      </c>
      <c r="F192" s="75"/>
    </row>
    <row r="193" spans="1:7" s="53" customFormat="1" x14ac:dyDescent="0.35">
      <c r="A193" s="208"/>
      <c r="B193" s="91" t="s">
        <v>54</v>
      </c>
      <c r="C193" s="92" t="s">
        <v>55</v>
      </c>
      <c r="D193" s="93">
        <v>1000000</v>
      </c>
      <c r="F193" s="75"/>
    </row>
    <row r="194" spans="1:7" s="53" customFormat="1" x14ac:dyDescent="0.35">
      <c r="A194" s="208"/>
      <c r="B194" s="91" t="s">
        <v>56</v>
      </c>
      <c r="C194" s="92" t="s">
        <v>57</v>
      </c>
      <c r="D194" s="93">
        <v>40000</v>
      </c>
      <c r="E194" s="210" t="s">
        <v>58</v>
      </c>
      <c r="F194" s="210"/>
    </row>
    <row r="195" spans="1:7" s="53" customFormat="1" x14ac:dyDescent="0.35">
      <c r="A195" s="208"/>
      <c r="B195" s="91" t="s">
        <v>151</v>
      </c>
      <c r="C195" s="92" t="s">
        <v>60</v>
      </c>
      <c r="D195" s="93">
        <f>500*140</f>
        <v>70000</v>
      </c>
      <c r="E195" s="94" t="s">
        <v>61</v>
      </c>
      <c r="F195" s="95">
        <f>5200*2445</f>
        <v>12714000</v>
      </c>
    </row>
    <row r="196" spans="1:7" s="53" customFormat="1" x14ac:dyDescent="0.35">
      <c r="A196" s="208"/>
      <c r="B196" s="91"/>
      <c r="C196" s="92" t="s">
        <v>62</v>
      </c>
      <c r="D196" s="93">
        <f>4980*140</f>
        <v>697200</v>
      </c>
      <c r="E196" s="96" t="s">
        <v>63</v>
      </c>
      <c r="F196" s="75">
        <f>(3120*2445)+(2080*2445)</f>
        <v>12714000</v>
      </c>
    </row>
    <row r="197" spans="1:7" s="53" customFormat="1" ht="15" thickBot="1" x14ac:dyDescent="0.4">
      <c r="A197" s="208"/>
      <c r="B197" s="91" t="s">
        <v>64</v>
      </c>
      <c r="C197" s="92" t="s">
        <v>65</v>
      </c>
      <c r="D197" s="97">
        <v>30000</v>
      </c>
      <c r="E197" s="98" t="s">
        <v>66</v>
      </c>
      <c r="F197" s="99">
        <f>F195-F196</f>
        <v>0</v>
      </c>
      <c r="G197" s="100">
        <f>F197/2445</f>
        <v>0</v>
      </c>
    </row>
    <row r="198" spans="1:7" s="53" customFormat="1" ht="15" thickTop="1" x14ac:dyDescent="0.35">
      <c r="A198" s="208"/>
      <c r="B198" s="91"/>
      <c r="C198" s="92" t="s">
        <v>67</v>
      </c>
      <c r="D198" s="93">
        <v>150000</v>
      </c>
      <c r="F198" s="75"/>
    </row>
    <row r="199" spans="1:7" s="53" customFormat="1" x14ac:dyDescent="0.35">
      <c r="A199" s="208"/>
      <c r="B199" s="91" t="s">
        <v>150</v>
      </c>
      <c r="C199" s="101" t="s">
        <v>68</v>
      </c>
      <c r="D199" s="93">
        <v>15000</v>
      </c>
      <c r="E199" s="94" t="s">
        <v>69</v>
      </c>
      <c r="F199" s="95"/>
    </row>
    <row r="200" spans="1:7" s="53" customFormat="1" x14ac:dyDescent="0.35">
      <c r="A200" s="208"/>
      <c r="B200" s="102"/>
      <c r="C200" s="101" t="s">
        <v>70</v>
      </c>
      <c r="D200" s="103">
        <v>10000</v>
      </c>
      <c r="E200" s="104"/>
      <c r="F200" s="105"/>
    </row>
    <row r="201" spans="1:7" s="53" customFormat="1" x14ac:dyDescent="0.35">
      <c r="A201" s="208"/>
      <c r="B201" s="102"/>
      <c r="C201" s="101" t="s">
        <v>71</v>
      </c>
      <c r="D201" s="103">
        <v>20000</v>
      </c>
      <c r="E201" s="104" t="s">
        <v>72</v>
      </c>
      <c r="F201" s="105"/>
    </row>
    <row r="202" spans="1:7" s="53" customFormat="1" x14ac:dyDescent="0.35">
      <c r="A202" s="208"/>
      <c r="B202" s="102"/>
      <c r="C202" s="92" t="s">
        <v>505</v>
      </c>
      <c r="D202" s="106">
        <v>20000</v>
      </c>
      <c r="E202" s="169" t="s">
        <v>182</v>
      </c>
      <c r="F202" s="105"/>
    </row>
    <row r="203" spans="1:7" s="53" customFormat="1" ht="15" thickBot="1" x14ac:dyDescent="0.4">
      <c r="A203" s="208"/>
      <c r="B203" s="107"/>
      <c r="C203" s="108"/>
      <c r="D203" s="109"/>
      <c r="E203" s="53" t="s">
        <v>653</v>
      </c>
      <c r="F203" s="75"/>
    </row>
    <row r="204" spans="1:7" s="53" customFormat="1" ht="15" thickBot="1" x14ac:dyDescent="0.4">
      <c r="A204" s="208"/>
      <c r="B204" s="110"/>
      <c r="C204" s="111" t="s">
        <v>74</v>
      </c>
      <c r="D204" s="112">
        <f>SUM(D191:D203)</f>
        <v>8113850</v>
      </c>
      <c r="F204" s="75"/>
    </row>
    <row r="205" spans="1:7" s="53" customFormat="1" ht="15.5" thickTop="1" thickBot="1" x14ac:dyDescent="0.4">
      <c r="A205" s="209"/>
      <c r="B205" s="211"/>
      <c r="C205" s="211"/>
      <c r="D205" s="211"/>
      <c r="F205" s="75"/>
    </row>
    <row r="206" spans="1:7" s="53" customFormat="1" x14ac:dyDescent="0.35">
      <c r="B206" s="89"/>
      <c r="C206" s="53" t="s">
        <v>75</v>
      </c>
      <c r="D206" s="113">
        <f>D188-D204</f>
        <v>4600150</v>
      </c>
      <c r="F206" s="75"/>
    </row>
    <row r="207" spans="1:7" s="53" customFormat="1" x14ac:dyDescent="0.35">
      <c r="B207" s="89"/>
      <c r="D207" s="113"/>
      <c r="F207" s="75"/>
    </row>
    <row r="208" spans="1:7" s="53" customFormat="1" x14ac:dyDescent="0.35">
      <c r="A208" s="114"/>
      <c r="B208" s="115"/>
      <c r="C208" s="114"/>
      <c r="D208" s="116"/>
      <c r="E208" s="114"/>
      <c r="F208" s="117"/>
    </row>
    <row r="210" spans="1:7" s="53" customFormat="1" ht="23.5" x14ac:dyDescent="0.55000000000000004">
      <c r="B210" s="206" t="s">
        <v>0</v>
      </c>
      <c r="C210" s="206"/>
      <c r="D210" s="206"/>
      <c r="E210" s="70"/>
      <c r="F210" s="71"/>
    </row>
    <row r="211" spans="1:7" s="53" customFormat="1" ht="20.5" x14ac:dyDescent="0.45">
      <c r="B211" s="72"/>
      <c r="C211" s="73" t="s">
        <v>159</v>
      </c>
      <c r="D211" s="74"/>
      <c r="F211" s="75"/>
    </row>
    <row r="212" spans="1:7" s="53" customFormat="1" ht="21" thickBot="1" x14ac:dyDescent="0.5">
      <c r="B212" s="72" t="s">
        <v>160</v>
      </c>
      <c r="C212" s="76" t="s">
        <v>47</v>
      </c>
      <c r="D212" s="74"/>
      <c r="F212" s="75"/>
    </row>
    <row r="213" spans="1:7" s="53" customFormat="1" ht="15" thickBot="1" x14ac:dyDescent="0.4">
      <c r="A213" s="77" t="s">
        <v>48</v>
      </c>
      <c r="B213" s="78" t="s">
        <v>26</v>
      </c>
      <c r="C213" s="78" t="s">
        <v>49</v>
      </c>
      <c r="D213" s="79" t="s">
        <v>29</v>
      </c>
      <c r="F213" s="75"/>
    </row>
    <row r="214" spans="1:7" s="53" customFormat="1" ht="14.5" customHeight="1" x14ac:dyDescent="0.35">
      <c r="A214" s="207" t="s">
        <v>31</v>
      </c>
      <c r="B214" s="80" t="s">
        <v>147</v>
      </c>
      <c r="C214" s="81" t="s">
        <v>103</v>
      </c>
      <c r="D214" s="82">
        <f>F221</f>
        <v>12225000</v>
      </c>
      <c r="F214" s="75"/>
    </row>
    <row r="215" spans="1:7" s="53" customFormat="1" ht="21" thickBot="1" x14ac:dyDescent="0.5">
      <c r="A215" s="208"/>
      <c r="B215" s="72"/>
      <c r="C215" s="72"/>
      <c r="D215" s="74"/>
      <c r="F215" s="75"/>
    </row>
    <row r="216" spans="1:7" s="53" customFormat="1" ht="15" thickBot="1" x14ac:dyDescent="0.4">
      <c r="A216" s="208"/>
      <c r="B216" s="83" t="s">
        <v>26</v>
      </c>
      <c r="C216" s="84" t="s">
        <v>51</v>
      </c>
      <c r="D216" s="85" t="s">
        <v>52</v>
      </c>
      <c r="F216" s="75"/>
    </row>
    <row r="217" spans="1:7" s="89" customFormat="1" x14ac:dyDescent="0.35">
      <c r="A217" s="208"/>
      <c r="B217" s="86" t="str">
        <f>B214</f>
        <v>13th January,2026</v>
      </c>
      <c r="C217" s="87" t="s">
        <v>461</v>
      </c>
      <c r="D217" s="88">
        <f>1900*2779</f>
        <v>5280100</v>
      </c>
      <c r="F217" s="90"/>
    </row>
    <row r="218" spans="1:7" s="53" customFormat="1" x14ac:dyDescent="0.35">
      <c r="A218" s="208"/>
      <c r="B218" s="91"/>
      <c r="C218" s="92" t="s">
        <v>53</v>
      </c>
      <c r="D218" s="93">
        <f>325*2450</f>
        <v>796250</v>
      </c>
      <c r="F218" s="75"/>
    </row>
    <row r="219" spans="1:7" s="53" customFormat="1" x14ac:dyDescent="0.35">
      <c r="A219" s="208"/>
      <c r="B219" s="91" t="s">
        <v>54</v>
      </c>
      <c r="C219" s="92" t="s">
        <v>55</v>
      </c>
      <c r="D219" s="93">
        <v>1000000</v>
      </c>
      <c r="F219" s="75"/>
    </row>
    <row r="220" spans="1:7" s="53" customFormat="1" x14ac:dyDescent="0.35">
      <c r="A220" s="208"/>
      <c r="B220" s="91" t="s">
        <v>56</v>
      </c>
      <c r="C220" s="92" t="s">
        <v>57</v>
      </c>
      <c r="D220" s="93">
        <v>40000</v>
      </c>
      <c r="E220" s="210" t="s">
        <v>58</v>
      </c>
      <c r="F220" s="210"/>
    </row>
    <row r="221" spans="1:7" s="53" customFormat="1" x14ac:dyDescent="0.35">
      <c r="A221" s="208"/>
      <c r="B221" s="91" t="s">
        <v>59</v>
      </c>
      <c r="C221" s="92" t="s">
        <v>60</v>
      </c>
      <c r="D221" s="93">
        <f>1000*140</f>
        <v>140000</v>
      </c>
      <c r="E221" s="94" t="s">
        <v>61</v>
      </c>
      <c r="F221" s="95">
        <f>5000*2445</f>
        <v>12225000</v>
      </c>
    </row>
    <row r="222" spans="1:7" s="53" customFormat="1" x14ac:dyDescent="0.35">
      <c r="A222" s="208"/>
      <c r="B222" s="91"/>
      <c r="C222" s="92" t="s">
        <v>62</v>
      </c>
      <c r="D222" s="93">
        <f>4200*140</f>
        <v>588000</v>
      </c>
      <c r="E222" s="96" t="s">
        <v>63</v>
      </c>
      <c r="F222" s="75">
        <f>(3000*2445)+(2000*2445)</f>
        <v>12225000</v>
      </c>
    </row>
    <row r="223" spans="1:7" s="53" customFormat="1" ht="15" thickBot="1" x14ac:dyDescent="0.4">
      <c r="A223" s="208"/>
      <c r="B223" s="91" t="s">
        <v>64</v>
      </c>
      <c r="C223" s="92" t="s">
        <v>65</v>
      </c>
      <c r="D223" s="97">
        <v>30000</v>
      </c>
      <c r="E223" s="98" t="s">
        <v>66</v>
      </c>
      <c r="F223" s="99">
        <f>F221-F222</f>
        <v>0</v>
      </c>
      <c r="G223" s="100">
        <f>F223/2445</f>
        <v>0</v>
      </c>
    </row>
    <row r="224" spans="1:7" s="53" customFormat="1" ht="15" thickTop="1" x14ac:dyDescent="0.35">
      <c r="A224" s="208"/>
      <c r="B224" s="91"/>
      <c r="C224" s="92" t="s">
        <v>67</v>
      </c>
      <c r="D224" s="93">
        <v>150000</v>
      </c>
      <c r="F224" s="75"/>
    </row>
    <row r="225" spans="1:6" s="53" customFormat="1" x14ac:dyDescent="0.35">
      <c r="A225" s="208"/>
      <c r="B225" s="91" t="s">
        <v>158</v>
      </c>
      <c r="C225" s="101" t="s">
        <v>68</v>
      </c>
      <c r="D225" s="93">
        <v>15000</v>
      </c>
      <c r="E225" s="94" t="s">
        <v>69</v>
      </c>
      <c r="F225" s="95"/>
    </row>
    <row r="226" spans="1:6" s="53" customFormat="1" x14ac:dyDescent="0.35">
      <c r="A226" s="208"/>
      <c r="B226" s="102"/>
      <c r="C226" s="101" t="s">
        <v>70</v>
      </c>
      <c r="D226" s="103">
        <v>10000</v>
      </c>
      <c r="E226" s="104"/>
      <c r="F226" s="105"/>
    </row>
    <row r="227" spans="1:6" s="53" customFormat="1" x14ac:dyDescent="0.35">
      <c r="A227" s="208"/>
      <c r="B227" s="102"/>
      <c r="C227" s="101" t="s">
        <v>71</v>
      </c>
      <c r="D227" s="103">
        <v>30000</v>
      </c>
      <c r="E227" s="104" t="s">
        <v>72</v>
      </c>
      <c r="F227" s="105"/>
    </row>
    <row r="228" spans="1:6" s="53" customFormat="1" x14ac:dyDescent="0.35">
      <c r="A228" s="208"/>
      <c r="B228" s="102"/>
      <c r="C228" s="92" t="s">
        <v>73</v>
      </c>
      <c r="D228" s="106">
        <f>745*140</f>
        <v>104300</v>
      </c>
      <c r="E228" s="53" t="s">
        <v>181</v>
      </c>
      <c r="F228" s="105"/>
    </row>
    <row r="229" spans="1:6" s="53" customFormat="1" ht="15" thickBot="1" x14ac:dyDescent="0.4">
      <c r="A229" s="208"/>
      <c r="B229" s="107"/>
      <c r="C229" s="108"/>
      <c r="D229" s="109"/>
      <c r="E229" s="53" t="s">
        <v>694</v>
      </c>
      <c r="F229" s="75"/>
    </row>
    <row r="230" spans="1:6" s="53" customFormat="1" ht="15" thickBot="1" x14ac:dyDescent="0.4">
      <c r="A230" s="208"/>
      <c r="B230" s="110"/>
      <c r="C230" s="111" t="s">
        <v>74</v>
      </c>
      <c r="D230" s="112">
        <f>SUM(D217:D229)</f>
        <v>8183650</v>
      </c>
      <c r="F230" s="75"/>
    </row>
    <row r="231" spans="1:6" s="53" customFormat="1" ht="15.5" thickTop="1" thickBot="1" x14ac:dyDescent="0.4">
      <c r="A231" s="209"/>
      <c r="B231" s="211"/>
      <c r="C231" s="211"/>
      <c r="D231" s="211"/>
      <c r="F231" s="75"/>
    </row>
    <row r="232" spans="1:6" s="53" customFormat="1" x14ac:dyDescent="0.35">
      <c r="B232" s="89"/>
      <c r="C232" s="53" t="s">
        <v>75</v>
      </c>
      <c r="D232" s="113">
        <f>D214-D230</f>
        <v>4041350</v>
      </c>
      <c r="F232" s="75"/>
    </row>
    <row r="233" spans="1:6" s="53" customFormat="1" x14ac:dyDescent="0.35">
      <c r="B233" s="89"/>
      <c r="D233" s="113"/>
      <c r="F233" s="75"/>
    </row>
    <row r="234" spans="1:6" s="53" customFormat="1" x14ac:dyDescent="0.35">
      <c r="A234" s="114"/>
      <c r="B234" s="115"/>
      <c r="C234" s="114"/>
      <c r="D234" s="116"/>
      <c r="E234" s="114"/>
      <c r="F234" s="117"/>
    </row>
    <row r="235" spans="1:6" x14ac:dyDescent="0.35">
      <c r="F235" s="118"/>
    </row>
    <row r="236" spans="1:6" s="53" customFormat="1" ht="23.5" x14ac:dyDescent="0.55000000000000004">
      <c r="B236" s="206" t="s">
        <v>0</v>
      </c>
      <c r="C236" s="206"/>
      <c r="D236" s="206"/>
      <c r="E236" s="70"/>
      <c r="F236" s="71"/>
    </row>
    <row r="237" spans="1:6" s="53" customFormat="1" ht="20.5" x14ac:dyDescent="0.45">
      <c r="B237" s="72"/>
      <c r="C237" s="73" t="s">
        <v>164</v>
      </c>
      <c r="D237" s="74"/>
      <c r="F237" s="75"/>
    </row>
    <row r="238" spans="1:6" s="53" customFormat="1" ht="21" thickBot="1" x14ac:dyDescent="0.5">
      <c r="B238" s="72" t="s">
        <v>165</v>
      </c>
      <c r="C238" s="76" t="s">
        <v>47</v>
      </c>
      <c r="D238" s="74"/>
      <c r="F238" s="75"/>
    </row>
    <row r="239" spans="1:6" s="53" customFormat="1" ht="15" thickBot="1" x14ac:dyDescent="0.4">
      <c r="A239" s="77" t="s">
        <v>48</v>
      </c>
      <c r="B239" s="78" t="s">
        <v>26</v>
      </c>
      <c r="C239" s="78" t="s">
        <v>49</v>
      </c>
      <c r="D239" s="79" t="s">
        <v>29</v>
      </c>
      <c r="F239" s="75"/>
    </row>
    <row r="240" spans="1:6" s="53" customFormat="1" ht="14.5" customHeight="1" x14ac:dyDescent="0.35">
      <c r="A240" s="207" t="s">
        <v>31</v>
      </c>
      <c r="B240" s="80" t="s">
        <v>147</v>
      </c>
      <c r="C240" s="81" t="s">
        <v>103</v>
      </c>
      <c r="D240" s="82">
        <f>F247</f>
        <v>12225000</v>
      </c>
      <c r="F240" s="75"/>
    </row>
    <row r="241" spans="1:7" s="53" customFormat="1" ht="21" thickBot="1" x14ac:dyDescent="0.5">
      <c r="A241" s="208"/>
      <c r="B241" s="72"/>
      <c r="C241" s="72"/>
      <c r="D241" s="74"/>
      <c r="F241" s="75"/>
    </row>
    <row r="242" spans="1:7" s="53" customFormat="1" ht="15" thickBot="1" x14ac:dyDescent="0.4">
      <c r="A242" s="208"/>
      <c r="B242" s="83" t="s">
        <v>26</v>
      </c>
      <c r="C242" s="84" t="s">
        <v>51</v>
      </c>
      <c r="D242" s="85" t="s">
        <v>52</v>
      </c>
      <c r="F242" s="75"/>
    </row>
    <row r="243" spans="1:7" s="89" customFormat="1" x14ac:dyDescent="0.35">
      <c r="A243" s="208"/>
      <c r="B243" s="86" t="str">
        <f>B240</f>
        <v>13th January,2026</v>
      </c>
      <c r="C243" s="87" t="s">
        <v>461</v>
      </c>
      <c r="D243" s="88">
        <f>1900*2779</f>
        <v>5280100</v>
      </c>
      <c r="F243" s="90"/>
    </row>
    <row r="244" spans="1:7" s="53" customFormat="1" x14ac:dyDescent="0.35">
      <c r="A244" s="208"/>
      <c r="B244" s="91"/>
      <c r="C244" s="92" t="s">
        <v>53</v>
      </c>
      <c r="D244" s="93">
        <f>325*2450</f>
        <v>796250</v>
      </c>
      <c r="F244" s="75"/>
    </row>
    <row r="245" spans="1:7" s="53" customFormat="1" x14ac:dyDescent="0.35">
      <c r="A245" s="208"/>
      <c r="B245" s="91" t="s">
        <v>54</v>
      </c>
      <c r="C245" s="92" t="s">
        <v>55</v>
      </c>
      <c r="D245" s="93">
        <v>1000000</v>
      </c>
      <c r="F245" s="75"/>
    </row>
    <row r="246" spans="1:7" s="53" customFormat="1" x14ac:dyDescent="0.35">
      <c r="A246" s="208"/>
      <c r="B246" s="91" t="s">
        <v>56</v>
      </c>
      <c r="C246" s="92" t="s">
        <v>57</v>
      </c>
      <c r="D246" s="93">
        <v>40000</v>
      </c>
      <c r="E246" s="210" t="s">
        <v>58</v>
      </c>
      <c r="F246" s="210"/>
    </row>
    <row r="247" spans="1:7" s="53" customFormat="1" x14ac:dyDescent="0.35">
      <c r="A247" s="208"/>
      <c r="B247" s="91" t="s">
        <v>59</v>
      </c>
      <c r="C247" s="92" t="s">
        <v>60</v>
      </c>
      <c r="D247" s="93">
        <f>1000*140</f>
        <v>140000</v>
      </c>
      <c r="E247" s="94" t="s">
        <v>61</v>
      </c>
      <c r="F247" s="95">
        <f>5000*2445</f>
        <v>12225000</v>
      </c>
    </row>
    <row r="248" spans="1:7" s="53" customFormat="1" x14ac:dyDescent="0.35">
      <c r="A248" s="208"/>
      <c r="B248" s="91"/>
      <c r="C248" s="92" t="s">
        <v>62</v>
      </c>
      <c r="D248" s="93">
        <f>4200*140</f>
        <v>588000</v>
      </c>
      <c r="E248" s="96" t="s">
        <v>63</v>
      </c>
      <c r="F248" s="75">
        <f>(3000*2445)+(2000*2445)</f>
        <v>12225000</v>
      </c>
    </row>
    <row r="249" spans="1:7" s="53" customFormat="1" ht="15" thickBot="1" x14ac:dyDescent="0.4">
      <c r="A249" s="208"/>
      <c r="B249" s="91" t="s">
        <v>64</v>
      </c>
      <c r="C249" s="92" t="s">
        <v>65</v>
      </c>
      <c r="D249" s="97">
        <v>30000</v>
      </c>
      <c r="E249" s="98" t="s">
        <v>66</v>
      </c>
      <c r="F249" s="99">
        <f>F247-F248</f>
        <v>0</v>
      </c>
      <c r="G249" s="100">
        <f>F249/2445</f>
        <v>0</v>
      </c>
    </row>
    <row r="250" spans="1:7" s="53" customFormat="1" ht="15" thickTop="1" x14ac:dyDescent="0.35">
      <c r="A250" s="208"/>
      <c r="B250" s="91"/>
      <c r="C250" s="92" t="s">
        <v>67</v>
      </c>
      <c r="D250" s="93">
        <v>150000</v>
      </c>
      <c r="F250" s="75"/>
    </row>
    <row r="251" spans="1:7" s="53" customFormat="1" x14ac:dyDescent="0.35">
      <c r="A251" s="208"/>
      <c r="B251" s="91" t="s">
        <v>163</v>
      </c>
      <c r="C251" s="101" t="s">
        <v>68</v>
      </c>
      <c r="D251" s="93">
        <v>15000</v>
      </c>
      <c r="E251" s="94" t="s">
        <v>69</v>
      </c>
      <c r="F251" s="95"/>
    </row>
    <row r="252" spans="1:7" s="53" customFormat="1" x14ac:dyDescent="0.35">
      <c r="A252" s="208"/>
      <c r="B252" s="102"/>
      <c r="C252" s="101" t="s">
        <v>70</v>
      </c>
      <c r="D252" s="103">
        <v>10000</v>
      </c>
      <c r="E252" s="104"/>
      <c r="F252" s="105"/>
    </row>
    <row r="253" spans="1:7" s="53" customFormat="1" x14ac:dyDescent="0.35">
      <c r="A253" s="208"/>
      <c r="B253" s="102"/>
      <c r="C253" s="101" t="s">
        <v>71</v>
      </c>
      <c r="D253" s="103">
        <v>30000</v>
      </c>
      <c r="E253" s="104" t="s">
        <v>72</v>
      </c>
      <c r="F253" s="105"/>
    </row>
    <row r="254" spans="1:7" s="53" customFormat="1" x14ac:dyDescent="0.35">
      <c r="A254" s="208"/>
      <c r="B254" s="102"/>
      <c r="C254" s="92" t="s">
        <v>73</v>
      </c>
      <c r="D254" s="106">
        <f>745*140</f>
        <v>104300</v>
      </c>
      <c r="E254" s="53" t="s">
        <v>181</v>
      </c>
      <c r="F254" s="105"/>
    </row>
    <row r="255" spans="1:7" s="53" customFormat="1" ht="15" thickBot="1" x14ac:dyDescent="0.4">
      <c r="A255" s="208"/>
      <c r="B255" s="107"/>
      <c r="C255" s="108"/>
      <c r="D255" s="109"/>
      <c r="E255" s="53" t="s">
        <v>689</v>
      </c>
      <c r="F255" s="75"/>
    </row>
    <row r="256" spans="1:7" s="53" customFormat="1" ht="15" thickBot="1" x14ac:dyDescent="0.4">
      <c r="A256" s="208"/>
      <c r="B256" s="110"/>
      <c r="C256" s="111" t="s">
        <v>74</v>
      </c>
      <c r="D256" s="112">
        <f>SUM(D243:D255)</f>
        <v>8183650</v>
      </c>
      <c r="F256" s="75"/>
    </row>
    <row r="257" spans="1:6" s="53" customFormat="1" ht="15.5" thickTop="1" thickBot="1" x14ac:dyDescent="0.4">
      <c r="A257" s="209"/>
      <c r="B257" s="211"/>
      <c r="C257" s="211"/>
      <c r="D257" s="211"/>
      <c r="F257" s="75"/>
    </row>
    <row r="258" spans="1:6" s="53" customFormat="1" x14ac:dyDescent="0.35">
      <c r="B258" s="89"/>
      <c r="C258" s="53" t="s">
        <v>75</v>
      </c>
      <c r="D258" s="113">
        <f>D240-D256</f>
        <v>4041350</v>
      </c>
      <c r="F258" s="75"/>
    </row>
    <row r="259" spans="1:6" s="53" customFormat="1" x14ac:dyDescent="0.35">
      <c r="B259" s="89"/>
      <c r="D259" s="113"/>
      <c r="F259" s="75"/>
    </row>
    <row r="260" spans="1:6" s="53" customFormat="1" x14ac:dyDescent="0.35">
      <c r="A260" s="114"/>
      <c r="B260" s="115"/>
      <c r="C260" s="114"/>
      <c r="D260" s="116"/>
      <c r="E260" s="114"/>
      <c r="F260" s="117"/>
    </row>
    <row r="261" spans="1:6" x14ac:dyDescent="0.35">
      <c r="F261" s="118"/>
    </row>
    <row r="262" spans="1:6" s="53" customFormat="1" ht="23.5" x14ac:dyDescent="0.55000000000000004">
      <c r="B262" s="206" t="s">
        <v>0</v>
      </c>
      <c r="C262" s="206"/>
      <c r="D262" s="206"/>
      <c r="E262" s="70"/>
      <c r="F262" s="71"/>
    </row>
    <row r="263" spans="1:6" s="53" customFormat="1" ht="20.5" x14ac:dyDescent="0.45">
      <c r="B263" s="72"/>
      <c r="C263" s="73" t="s">
        <v>169</v>
      </c>
      <c r="D263" s="74"/>
      <c r="F263" s="75"/>
    </row>
    <row r="264" spans="1:6" s="53" customFormat="1" ht="21" thickBot="1" x14ac:dyDescent="0.5">
      <c r="B264" s="72" t="s">
        <v>170</v>
      </c>
      <c r="C264" s="76" t="s">
        <v>47</v>
      </c>
      <c r="D264" s="74"/>
      <c r="F264" s="75"/>
    </row>
    <row r="265" spans="1:6" s="53" customFormat="1" ht="15" thickBot="1" x14ac:dyDescent="0.4">
      <c r="A265" s="77" t="s">
        <v>48</v>
      </c>
      <c r="B265" s="78" t="s">
        <v>26</v>
      </c>
      <c r="C265" s="78" t="s">
        <v>49</v>
      </c>
      <c r="D265" s="79" t="s">
        <v>29</v>
      </c>
      <c r="F265" s="75"/>
    </row>
    <row r="266" spans="1:6" s="53" customFormat="1" ht="14.5" customHeight="1" x14ac:dyDescent="0.35">
      <c r="A266" s="207" t="s">
        <v>31</v>
      </c>
      <c r="B266" s="80" t="s">
        <v>147</v>
      </c>
      <c r="C266" s="81" t="s">
        <v>103</v>
      </c>
      <c r="D266" s="82">
        <f>F273</f>
        <v>12225000</v>
      </c>
      <c r="F266" s="75"/>
    </row>
    <row r="267" spans="1:6" s="53" customFormat="1" ht="21" thickBot="1" x14ac:dyDescent="0.5">
      <c r="A267" s="208"/>
      <c r="B267" s="72"/>
      <c r="C267" s="72"/>
      <c r="D267" s="74"/>
      <c r="F267" s="75"/>
    </row>
    <row r="268" spans="1:6" s="53" customFormat="1" ht="15" thickBot="1" x14ac:dyDescent="0.4">
      <c r="A268" s="208"/>
      <c r="B268" s="83" t="s">
        <v>26</v>
      </c>
      <c r="C268" s="84" t="s">
        <v>51</v>
      </c>
      <c r="D268" s="85" t="s">
        <v>52</v>
      </c>
      <c r="F268" s="75"/>
    </row>
    <row r="269" spans="1:6" s="89" customFormat="1" x14ac:dyDescent="0.35">
      <c r="A269" s="208"/>
      <c r="B269" s="86" t="str">
        <f>B266</f>
        <v>13th January,2026</v>
      </c>
      <c r="C269" s="87" t="s">
        <v>461</v>
      </c>
      <c r="D269" s="88">
        <f>1900*2779</f>
        <v>5280100</v>
      </c>
      <c r="F269" s="90"/>
    </row>
    <row r="270" spans="1:6" s="53" customFormat="1" x14ac:dyDescent="0.35">
      <c r="A270" s="208"/>
      <c r="B270" s="91"/>
      <c r="C270" s="92" t="s">
        <v>53</v>
      </c>
      <c r="D270" s="93">
        <f>325*2450</f>
        <v>796250</v>
      </c>
      <c r="F270" s="75"/>
    </row>
    <row r="271" spans="1:6" s="53" customFormat="1" x14ac:dyDescent="0.35">
      <c r="A271" s="208"/>
      <c r="B271" s="91" t="s">
        <v>54</v>
      </c>
      <c r="C271" s="92" t="s">
        <v>55</v>
      </c>
      <c r="D271" s="93">
        <v>1000000</v>
      </c>
      <c r="F271" s="75"/>
    </row>
    <row r="272" spans="1:6" s="53" customFormat="1" x14ac:dyDescent="0.35">
      <c r="A272" s="208"/>
      <c r="B272" s="91" t="s">
        <v>56</v>
      </c>
      <c r="C272" s="92" t="s">
        <v>57</v>
      </c>
      <c r="D272" s="93">
        <v>40000</v>
      </c>
      <c r="E272" s="210" t="s">
        <v>58</v>
      </c>
      <c r="F272" s="210"/>
    </row>
    <row r="273" spans="1:7" s="53" customFormat="1" x14ac:dyDescent="0.35">
      <c r="A273" s="208"/>
      <c r="B273" s="91" t="s">
        <v>59</v>
      </c>
      <c r="C273" s="92" t="s">
        <v>60</v>
      </c>
      <c r="D273" s="93">
        <f>1000*140</f>
        <v>140000</v>
      </c>
      <c r="E273" s="94" t="s">
        <v>61</v>
      </c>
      <c r="F273" s="95">
        <f>5000*2445</f>
        <v>12225000</v>
      </c>
    </row>
    <row r="274" spans="1:7" s="53" customFormat="1" x14ac:dyDescent="0.35">
      <c r="A274" s="208"/>
      <c r="B274" s="91"/>
      <c r="C274" s="92" t="s">
        <v>62</v>
      </c>
      <c r="D274" s="93">
        <f>4200*140</f>
        <v>588000</v>
      </c>
      <c r="E274" s="96" t="s">
        <v>63</v>
      </c>
      <c r="F274" s="75">
        <f>(3000*2445)+(2000*2445)</f>
        <v>12225000</v>
      </c>
    </row>
    <row r="275" spans="1:7" s="53" customFormat="1" ht="15" thickBot="1" x14ac:dyDescent="0.4">
      <c r="A275" s="208"/>
      <c r="B275" s="91" t="s">
        <v>64</v>
      </c>
      <c r="C275" s="92" t="s">
        <v>65</v>
      </c>
      <c r="D275" s="97">
        <v>30000</v>
      </c>
      <c r="E275" s="98" t="s">
        <v>66</v>
      </c>
      <c r="F275" s="99">
        <f>F273-F274</f>
        <v>0</v>
      </c>
      <c r="G275" s="100">
        <f>F275/2445</f>
        <v>0</v>
      </c>
    </row>
    <row r="276" spans="1:7" s="53" customFormat="1" ht="15" thickTop="1" x14ac:dyDescent="0.35">
      <c r="A276" s="208"/>
      <c r="B276" s="91"/>
      <c r="C276" s="92" t="s">
        <v>67</v>
      </c>
      <c r="D276" s="93">
        <v>150000</v>
      </c>
      <c r="F276" s="75"/>
    </row>
    <row r="277" spans="1:7" s="53" customFormat="1" x14ac:dyDescent="0.35">
      <c r="A277" s="208"/>
      <c r="B277" s="91" t="s">
        <v>168</v>
      </c>
      <c r="C277" s="101" t="s">
        <v>68</v>
      </c>
      <c r="D277" s="93">
        <v>15000</v>
      </c>
      <c r="E277" s="94" t="s">
        <v>69</v>
      </c>
      <c r="F277" s="95"/>
    </row>
    <row r="278" spans="1:7" s="53" customFormat="1" x14ac:dyDescent="0.35">
      <c r="A278" s="208"/>
      <c r="B278" s="102"/>
      <c r="C278" s="101" t="s">
        <v>70</v>
      </c>
      <c r="D278" s="103">
        <v>10000</v>
      </c>
      <c r="E278" s="104"/>
      <c r="F278" s="105"/>
    </row>
    <row r="279" spans="1:7" s="53" customFormat="1" x14ac:dyDescent="0.35">
      <c r="A279" s="208"/>
      <c r="B279" s="102"/>
      <c r="C279" s="101" t="s">
        <v>71</v>
      </c>
      <c r="D279" s="103">
        <v>30000</v>
      </c>
      <c r="E279" s="104" t="s">
        <v>72</v>
      </c>
      <c r="F279" s="105"/>
    </row>
    <row r="280" spans="1:7" s="53" customFormat="1" x14ac:dyDescent="0.35">
      <c r="A280" s="208"/>
      <c r="B280" s="102"/>
      <c r="C280" s="92" t="s">
        <v>73</v>
      </c>
      <c r="D280" s="106">
        <f>745*140</f>
        <v>104300</v>
      </c>
      <c r="E280" s="53" t="s">
        <v>181</v>
      </c>
      <c r="F280" s="105"/>
    </row>
    <row r="281" spans="1:7" s="53" customFormat="1" ht="15" thickBot="1" x14ac:dyDescent="0.4">
      <c r="A281" s="208"/>
      <c r="B281" s="107"/>
      <c r="C281" s="108"/>
      <c r="D281" s="109"/>
      <c r="E281" s="53" t="s">
        <v>689</v>
      </c>
      <c r="F281" s="75"/>
    </row>
    <row r="282" spans="1:7" s="53" customFormat="1" ht="15" thickBot="1" x14ac:dyDescent="0.4">
      <c r="A282" s="208"/>
      <c r="B282" s="110"/>
      <c r="C282" s="111" t="s">
        <v>74</v>
      </c>
      <c r="D282" s="112">
        <f>SUM(D269:D281)</f>
        <v>8183650</v>
      </c>
      <c r="F282" s="75"/>
    </row>
    <row r="283" spans="1:7" s="53" customFormat="1" ht="15.5" thickTop="1" thickBot="1" x14ac:dyDescent="0.4">
      <c r="A283" s="209"/>
      <c r="B283" s="211"/>
      <c r="C283" s="211"/>
      <c r="D283" s="211"/>
      <c r="F283" s="75"/>
    </row>
    <row r="284" spans="1:7" s="53" customFormat="1" x14ac:dyDescent="0.35">
      <c r="B284" s="89"/>
      <c r="C284" s="53" t="s">
        <v>75</v>
      </c>
      <c r="D284" s="113">
        <f>D266-D282</f>
        <v>4041350</v>
      </c>
      <c r="F284" s="75"/>
    </row>
    <row r="285" spans="1:7" s="53" customFormat="1" x14ac:dyDescent="0.35">
      <c r="B285" s="89"/>
      <c r="D285" s="113"/>
      <c r="F285" s="75"/>
    </row>
    <row r="286" spans="1:7" s="53" customFormat="1" x14ac:dyDescent="0.35">
      <c r="A286" s="114"/>
      <c r="B286" s="115"/>
      <c r="C286" s="114"/>
      <c r="D286" s="116"/>
      <c r="E286" s="114"/>
      <c r="F286" s="117"/>
    </row>
    <row r="287" spans="1:7" x14ac:dyDescent="0.35">
      <c r="F287" s="118"/>
    </row>
    <row r="288" spans="1:7" s="53" customFormat="1" ht="23.5" x14ac:dyDescent="0.55000000000000004">
      <c r="B288" s="206" t="s">
        <v>0</v>
      </c>
      <c r="C288" s="206"/>
      <c r="D288" s="206"/>
      <c r="E288" s="70"/>
      <c r="F288" s="71"/>
    </row>
    <row r="289" spans="1:7" s="53" customFormat="1" ht="20.5" x14ac:dyDescent="0.45">
      <c r="B289" s="72"/>
      <c r="C289" s="73" t="s">
        <v>205</v>
      </c>
      <c r="D289" s="74"/>
      <c r="F289" s="75"/>
    </row>
    <row r="290" spans="1:7" s="53" customFormat="1" ht="21" thickBot="1" x14ac:dyDescent="0.5">
      <c r="B290" s="72" t="s">
        <v>206</v>
      </c>
      <c r="C290" s="76" t="s">
        <v>47</v>
      </c>
      <c r="D290" s="74"/>
      <c r="F290" s="75"/>
    </row>
    <row r="291" spans="1:7" s="53" customFormat="1" ht="15" thickBot="1" x14ac:dyDescent="0.4">
      <c r="A291" s="77" t="s">
        <v>48</v>
      </c>
      <c r="B291" s="78" t="s">
        <v>26</v>
      </c>
      <c r="C291" s="78" t="s">
        <v>49</v>
      </c>
      <c r="D291" s="79" t="s">
        <v>29</v>
      </c>
      <c r="F291" s="75"/>
    </row>
    <row r="292" spans="1:7" s="53" customFormat="1" ht="14.5" customHeight="1" x14ac:dyDescent="0.35">
      <c r="A292" s="207" t="s">
        <v>31</v>
      </c>
      <c r="B292" s="80" t="s">
        <v>207</v>
      </c>
      <c r="C292" s="81" t="s">
        <v>200</v>
      </c>
      <c r="D292" s="82">
        <f>F299</f>
        <v>12250000</v>
      </c>
      <c r="F292" s="75"/>
    </row>
    <row r="293" spans="1:7" s="53" customFormat="1" ht="21" thickBot="1" x14ac:dyDescent="0.5">
      <c r="A293" s="208"/>
      <c r="B293" s="72"/>
      <c r="C293" s="72"/>
      <c r="D293" s="74"/>
      <c r="F293" s="75"/>
    </row>
    <row r="294" spans="1:7" s="53" customFormat="1" ht="15" thickBot="1" x14ac:dyDescent="0.4">
      <c r="A294" s="208"/>
      <c r="B294" s="83" t="s">
        <v>26</v>
      </c>
      <c r="C294" s="84" t="s">
        <v>51</v>
      </c>
      <c r="D294" s="85" t="s">
        <v>52</v>
      </c>
      <c r="F294" s="75"/>
    </row>
    <row r="295" spans="1:7" s="89" customFormat="1" x14ac:dyDescent="0.35">
      <c r="A295" s="208"/>
      <c r="B295" s="86" t="str">
        <f>B292</f>
        <v>20th January,2026</v>
      </c>
      <c r="C295" s="87" t="s">
        <v>558</v>
      </c>
      <c r="D295" s="88">
        <f>1850*2726</f>
        <v>5043100</v>
      </c>
      <c r="F295" s="90"/>
    </row>
    <row r="296" spans="1:7" s="53" customFormat="1" x14ac:dyDescent="0.35">
      <c r="A296" s="208"/>
      <c r="B296" s="91"/>
      <c r="C296" s="92" t="s">
        <v>387</v>
      </c>
      <c r="D296" s="93">
        <f>351*2450</f>
        <v>859950</v>
      </c>
      <c r="F296" s="75"/>
    </row>
    <row r="297" spans="1:7" s="53" customFormat="1" x14ac:dyDescent="0.35">
      <c r="A297" s="208"/>
      <c r="B297" s="91" t="s">
        <v>54</v>
      </c>
      <c r="C297" s="92" t="s">
        <v>55</v>
      </c>
      <c r="D297" s="93">
        <v>1000000</v>
      </c>
      <c r="F297" s="75"/>
    </row>
    <row r="298" spans="1:7" s="53" customFormat="1" x14ac:dyDescent="0.35">
      <c r="A298" s="208"/>
      <c r="B298" s="91" t="s">
        <v>56</v>
      </c>
      <c r="C298" s="92" t="s">
        <v>57</v>
      </c>
      <c r="D298" s="93">
        <v>40000</v>
      </c>
      <c r="E298" s="210" t="s">
        <v>58</v>
      </c>
      <c r="F298" s="210"/>
    </row>
    <row r="299" spans="1:7" s="53" customFormat="1" x14ac:dyDescent="0.35">
      <c r="A299" s="208"/>
      <c r="B299" s="91" t="s">
        <v>384</v>
      </c>
      <c r="C299" s="92" t="s">
        <v>60</v>
      </c>
      <c r="D299" s="93">
        <f>900*140</f>
        <v>126000</v>
      </c>
      <c r="E299" s="94" t="s">
        <v>61</v>
      </c>
      <c r="F299" s="95">
        <f>5000*2450</f>
        <v>12250000</v>
      </c>
    </row>
    <row r="300" spans="1:7" s="53" customFormat="1" x14ac:dyDescent="0.35">
      <c r="A300" s="208"/>
      <c r="B300" s="91"/>
      <c r="C300" s="92" t="s">
        <v>62</v>
      </c>
      <c r="D300" s="93">
        <f>4200*140</f>
        <v>588000</v>
      </c>
      <c r="E300" s="96" t="s">
        <v>63</v>
      </c>
      <c r="F300" s="75">
        <f>5000*2450</f>
        <v>12250000</v>
      </c>
    </row>
    <row r="301" spans="1:7" s="53" customFormat="1" ht="15" thickBot="1" x14ac:dyDescent="0.4">
      <c r="A301" s="208"/>
      <c r="B301" s="91" t="s">
        <v>64</v>
      </c>
      <c r="C301" s="92" t="s">
        <v>65</v>
      </c>
      <c r="D301" s="97">
        <v>30000</v>
      </c>
      <c r="E301" s="98" t="s">
        <v>66</v>
      </c>
      <c r="F301" s="99">
        <f>F299-F300</f>
        <v>0</v>
      </c>
      <c r="G301" s="100">
        <f>F301/2450</f>
        <v>0</v>
      </c>
    </row>
    <row r="302" spans="1:7" s="53" customFormat="1" ht="15" thickTop="1" x14ac:dyDescent="0.35">
      <c r="A302" s="208"/>
      <c r="B302" s="91"/>
      <c r="C302" s="92" t="s">
        <v>67</v>
      </c>
      <c r="D302" s="93">
        <v>150000</v>
      </c>
      <c r="F302" s="75"/>
    </row>
    <row r="303" spans="1:7" s="53" customFormat="1" x14ac:dyDescent="0.35">
      <c r="A303" s="208"/>
      <c r="B303" s="91" t="s">
        <v>199</v>
      </c>
      <c r="C303" s="101" t="s">
        <v>68</v>
      </c>
      <c r="D303" s="93">
        <v>15000</v>
      </c>
      <c r="E303" s="94" t="s">
        <v>69</v>
      </c>
      <c r="F303" s="95"/>
    </row>
    <row r="304" spans="1:7" s="53" customFormat="1" x14ac:dyDescent="0.35">
      <c r="A304" s="208"/>
      <c r="B304" s="102"/>
      <c r="C304" s="101" t="s">
        <v>70</v>
      </c>
      <c r="D304" s="103">
        <v>10000</v>
      </c>
      <c r="E304" s="104"/>
      <c r="F304" s="105"/>
    </row>
    <row r="305" spans="1:6" s="53" customFormat="1" x14ac:dyDescent="0.35">
      <c r="A305" s="208"/>
      <c r="B305" s="102"/>
      <c r="C305" s="101" t="s">
        <v>71</v>
      </c>
      <c r="D305" s="103">
        <v>20000</v>
      </c>
      <c r="E305" s="104" t="s">
        <v>72</v>
      </c>
      <c r="F305" s="105"/>
    </row>
    <row r="306" spans="1:6" s="53" customFormat="1" x14ac:dyDescent="0.35">
      <c r="A306" s="208"/>
      <c r="B306" s="102"/>
      <c r="C306" s="92" t="s">
        <v>73</v>
      </c>
      <c r="D306" s="106">
        <f>318*140</f>
        <v>44520</v>
      </c>
      <c r="E306" s="53" t="s">
        <v>657</v>
      </c>
      <c r="F306" s="105"/>
    </row>
    <row r="307" spans="1:6" s="53" customFormat="1" ht="15" thickBot="1" x14ac:dyDescent="0.4">
      <c r="A307" s="208"/>
      <c r="B307" s="107"/>
      <c r="C307" s="108"/>
      <c r="D307" s="109"/>
      <c r="F307" s="75"/>
    </row>
    <row r="308" spans="1:6" s="53" customFormat="1" ht="15" thickBot="1" x14ac:dyDescent="0.4">
      <c r="A308" s="208"/>
      <c r="B308" s="110"/>
      <c r="C308" s="111" t="s">
        <v>74</v>
      </c>
      <c r="D308" s="112">
        <f>SUM(D295:D307)</f>
        <v>7926570</v>
      </c>
      <c r="F308" s="75"/>
    </row>
    <row r="309" spans="1:6" s="53" customFormat="1" ht="15.5" thickTop="1" thickBot="1" x14ac:dyDescent="0.4">
      <c r="A309" s="209"/>
      <c r="B309" s="211"/>
      <c r="C309" s="211"/>
      <c r="D309" s="211"/>
      <c r="F309" s="75"/>
    </row>
    <row r="310" spans="1:6" s="53" customFormat="1" x14ac:dyDescent="0.35">
      <c r="B310" s="89"/>
      <c r="C310" s="53" t="s">
        <v>75</v>
      </c>
      <c r="D310" s="113">
        <f>D292-D308</f>
        <v>4323430</v>
      </c>
      <c r="F310" s="75"/>
    </row>
    <row r="311" spans="1:6" s="53" customFormat="1" x14ac:dyDescent="0.35">
      <c r="B311" s="89"/>
      <c r="D311" s="113"/>
      <c r="F311" s="75"/>
    </row>
    <row r="312" spans="1:6" s="53" customFormat="1" x14ac:dyDescent="0.35">
      <c r="A312" s="114"/>
      <c r="B312" s="115"/>
      <c r="C312" s="114"/>
      <c r="D312" s="116"/>
      <c r="E312" s="114"/>
      <c r="F312" s="117"/>
    </row>
    <row r="313" spans="1:6" x14ac:dyDescent="0.35">
      <c r="F313" s="118"/>
    </row>
    <row r="315" spans="1:6" s="53" customFormat="1" ht="23.5" x14ac:dyDescent="0.55000000000000004">
      <c r="B315" s="206" t="s">
        <v>0</v>
      </c>
      <c r="C315" s="206"/>
      <c r="D315" s="206"/>
      <c r="E315" s="70"/>
      <c r="F315" s="71"/>
    </row>
    <row r="316" spans="1:6" s="53" customFormat="1" ht="20.5" x14ac:dyDescent="0.45">
      <c r="B316" s="72"/>
      <c r="C316" s="73" t="s">
        <v>208</v>
      </c>
      <c r="D316" s="74"/>
      <c r="F316" s="75"/>
    </row>
    <row r="317" spans="1:6" s="53" customFormat="1" ht="21" thickBot="1" x14ac:dyDescent="0.5">
      <c r="B317" s="72" t="s">
        <v>209</v>
      </c>
      <c r="C317" s="76" t="s">
        <v>47</v>
      </c>
      <c r="D317" s="74"/>
      <c r="F317" s="75"/>
    </row>
    <row r="318" spans="1:6" s="53" customFormat="1" ht="15" thickBot="1" x14ac:dyDescent="0.4">
      <c r="A318" s="77" t="s">
        <v>48</v>
      </c>
      <c r="B318" s="78" t="s">
        <v>26</v>
      </c>
      <c r="C318" s="78" t="s">
        <v>49</v>
      </c>
      <c r="D318" s="79" t="s">
        <v>29</v>
      </c>
      <c r="F318" s="75"/>
    </row>
    <row r="319" spans="1:6" s="53" customFormat="1" ht="14.5" customHeight="1" x14ac:dyDescent="0.35">
      <c r="A319" s="207" t="s">
        <v>31</v>
      </c>
      <c r="B319" s="80" t="s">
        <v>207</v>
      </c>
      <c r="C319" s="81" t="s">
        <v>200</v>
      </c>
      <c r="D319" s="82">
        <f>F326</f>
        <v>12250000</v>
      </c>
      <c r="F319" s="75"/>
    </row>
    <row r="320" spans="1:6" s="53" customFormat="1" ht="21" thickBot="1" x14ac:dyDescent="0.5">
      <c r="A320" s="208"/>
      <c r="B320" s="72"/>
      <c r="C320" s="72"/>
      <c r="D320" s="74"/>
      <c r="F320" s="75"/>
    </row>
    <row r="321" spans="1:7" s="53" customFormat="1" ht="15" thickBot="1" x14ac:dyDescent="0.4">
      <c r="A321" s="208"/>
      <c r="B321" s="83" t="s">
        <v>26</v>
      </c>
      <c r="C321" s="84" t="s">
        <v>51</v>
      </c>
      <c r="D321" s="85" t="s">
        <v>52</v>
      </c>
      <c r="F321" s="75"/>
    </row>
    <row r="322" spans="1:7" s="89" customFormat="1" x14ac:dyDescent="0.35">
      <c r="A322" s="208"/>
      <c r="B322" s="86" t="str">
        <f>B319</f>
        <v>20th January,2026</v>
      </c>
      <c r="C322" s="87" t="s">
        <v>558</v>
      </c>
      <c r="D322" s="88">
        <f>1850*2726</f>
        <v>5043100</v>
      </c>
      <c r="F322" s="90"/>
    </row>
    <row r="323" spans="1:7" s="53" customFormat="1" x14ac:dyDescent="0.35">
      <c r="A323" s="208"/>
      <c r="B323" s="91"/>
      <c r="C323" s="92" t="s">
        <v>155</v>
      </c>
      <c r="D323" s="93">
        <f>319*2450</f>
        <v>781550</v>
      </c>
      <c r="F323" s="75"/>
    </row>
    <row r="324" spans="1:7" s="53" customFormat="1" x14ac:dyDescent="0.35">
      <c r="A324" s="208"/>
      <c r="B324" s="91" t="s">
        <v>54</v>
      </c>
      <c r="C324" s="92" t="s">
        <v>55</v>
      </c>
      <c r="D324" s="93">
        <v>1000000</v>
      </c>
      <c r="F324" s="75"/>
    </row>
    <row r="325" spans="1:7" s="53" customFormat="1" x14ac:dyDescent="0.35">
      <c r="A325" s="208"/>
      <c r="B325" s="91" t="s">
        <v>56</v>
      </c>
      <c r="C325" s="92" t="s">
        <v>57</v>
      </c>
      <c r="D325" s="93">
        <v>40000</v>
      </c>
      <c r="E325" s="210" t="s">
        <v>58</v>
      </c>
      <c r="F325" s="210"/>
    </row>
    <row r="326" spans="1:7" s="53" customFormat="1" x14ac:dyDescent="0.35">
      <c r="A326" s="208"/>
      <c r="B326" s="91" t="s">
        <v>151</v>
      </c>
      <c r="C326" s="92" t="s">
        <v>60</v>
      </c>
      <c r="D326" s="93">
        <f>650*140</f>
        <v>91000</v>
      </c>
      <c r="E326" s="94" t="s">
        <v>61</v>
      </c>
      <c r="F326" s="95">
        <f>5000*2450</f>
        <v>12250000</v>
      </c>
    </row>
    <row r="327" spans="1:7" s="53" customFormat="1" x14ac:dyDescent="0.35">
      <c r="A327" s="208"/>
      <c r="B327" s="91"/>
      <c r="C327" s="92" t="s">
        <v>62</v>
      </c>
      <c r="D327" s="93">
        <f>4290*140</f>
        <v>600600</v>
      </c>
      <c r="E327" s="96" t="s">
        <v>63</v>
      </c>
      <c r="F327" s="75">
        <f>5000*2450</f>
        <v>12250000</v>
      </c>
    </row>
    <row r="328" spans="1:7" s="53" customFormat="1" ht="15" thickBot="1" x14ac:dyDescent="0.4">
      <c r="A328" s="208"/>
      <c r="B328" s="91" t="s">
        <v>64</v>
      </c>
      <c r="C328" s="92" t="s">
        <v>65</v>
      </c>
      <c r="D328" s="97">
        <v>30000</v>
      </c>
      <c r="E328" s="98" t="s">
        <v>66</v>
      </c>
      <c r="F328" s="99">
        <f>F326-F327</f>
        <v>0</v>
      </c>
      <c r="G328" s="100">
        <f>F328/2450</f>
        <v>0</v>
      </c>
    </row>
    <row r="329" spans="1:7" s="53" customFormat="1" ht="15" thickTop="1" x14ac:dyDescent="0.35">
      <c r="A329" s="208"/>
      <c r="B329" s="91"/>
      <c r="C329" s="92" t="s">
        <v>71</v>
      </c>
      <c r="D329" s="97">
        <v>30000</v>
      </c>
      <c r="F329" s="75"/>
    </row>
    <row r="330" spans="1:7" s="53" customFormat="1" x14ac:dyDescent="0.35">
      <c r="A330" s="208"/>
      <c r="B330" s="91" t="s">
        <v>150</v>
      </c>
      <c r="C330" s="101" t="s">
        <v>68</v>
      </c>
      <c r="D330" s="93">
        <v>15000</v>
      </c>
      <c r="E330" s="94" t="s">
        <v>69</v>
      </c>
      <c r="F330" s="95"/>
    </row>
    <row r="331" spans="1:7" s="53" customFormat="1" x14ac:dyDescent="0.35">
      <c r="A331" s="208"/>
      <c r="B331" s="102"/>
      <c r="C331" s="101"/>
      <c r="D331" s="103"/>
      <c r="E331" s="104"/>
      <c r="F331" s="105"/>
    </row>
    <row r="332" spans="1:7" s="53" customFormat="1" x14ac:dyDescent="0.35">
      <c r="A332" s="208"/>
      <c r="B332" s="102"/>
      <c r="C332" s="92"/>
      <c r="D332" s="106"/>
      <c r="E332" s="104" t="s">
        <v>72</v>
      </c>
      <c r="F332" s="105"/>
    </row>
    <row r="333" spans="1:7" s="53" customFormat="1" ht="15" thickBot="1" x14ac:dyDescent="0.4">
      <c r="A333" s="208"/>
      <c r="B333" s="102"/>
      <c r="C333" s="108"/>
      <c r="D333" s="109"/>
      <c r="E333" s="53" t="s">
        <v>656</v>
      </c>
      <c r="F333" s="105"/>
    </row>
    <row r="334" spans="1:7" s="53" customFormat="1" ht="15" thickBot="1" x14ac:dyDescent="0.4">
      <c r="A334" s="208"/>
      <c r="B334" s="107"/>
      <c r="C334" s="108"/>
      <c r="D334" s="109"/>
      <c r="F334" s="75"/>
    </row>
    <row r="335" spans="1:7" s="53" customFormat="1" ht="15" thickBot="1" x14ac:dyDescent="0.4">
      <c r="A335" s="208"/>
      <c r="B335" s="110"/>
      <c r="C335" s="111" t="s">
        <v>74</v>
      </c>
      <c r="D335" s="112">
        <f>SUM(D322:D334)</f>
        <v>7631250</v>
      </c>
      <c r="F335" s="75"/>
    </row>
    <row r="336" spans="1:7" s="53" customFormat="1" ht="15.5" thickTop="1" thickBot="1" x14ac:dyDescent="0.4">
      <c r="A336" s="209"/>
      <c r="B336" s="211"/>
      <c r="C336" s="211"/>
      <c r="D336" s="211"/>
      <c r="F336" s="75"/>
    </row>
    <row r="337" spans="1:6" s="53" customFormat="1" x14ac:dyDescent="0.35">
      <c r="B337" s="89"/>
      <c r="C337" s="53" t="s">
        <v>75</v>
      </c>
      <c r="D337" s="113">
        <f>D319-D335</f>
        <v>4618750</v>
      </c>
      <c r="F337" s="75"/>
    </row>
    <row r="338" spans="1:6" s="53" customFormat="1" x14ac:dyDescent="0.35">
      <c r="B338" s="89"/>
      <c r="D338" s="113"/>
      <c r="F338" s="75"/>
    </row>
    <row r="339" spans="1:6" s="53" customFormat="1" x14ac:dyDescent="0.35">
      <c r="A339" s="114"/>
      <c r="B339" s="115"/>
      <c r="C339" s="114"/>
      <c r="D339" s="116"/>
      <c r="E339" s="114"/>
      <c r="F339" s="117"/>
    </row>
    <row r="340" spans="1:6" x14ac:dyDescent="0.35">
      <c r="F340" s="118"/>
    </row>
    <row r="341" spans="1:6" s="53" customFormat="1" ht="23.5" x14ac:dyDescent="0.55000000000000004">
      <c r="B341" s="206" t="s">
        <v>0</v>
      </c>
      <c r="C341" s="206"/>
      <c r="D341" s="206"/>
      <c r="E341" s="70"/>
      <c r="F341" s="71"/>
    </row>
    <row r="342" spans="1:6" s="53" customFormat="1" ht="20.5" x14ac:dyDescent="0.45">
      <c r="B342" s="72"/>
      <c r="C342" s="73" t="s">
        <v>210</v>
      </c>
      <c r="D342" s="74"/>
      <c r="F342" s="75"/>
    </row>
    <row r="343" spans="1:6" s="53" customFormat="1" ht="21" thickBot="1" x14ac:dyDescent="0.5">
      <c r="B343" s="72" t="s">
        <v>211</v>
      </c>
      <c r="C343" s="76" t="s">
        <v>47</v>
      </c>
      <c r="D343" s="74"/>
      <c r="F343" s="75"/>
    </row>
    <row r="344" spans="1:6" s="53" customFormat="1" ht="15" thickBot="1" x14ac:dyDescent="0.4">
      <c r="A344" s="77" t="s">
        <v>48</v>
      </c>
      <c r="B344" s="78" t="s">
        <v>26</v>
      </c>
      <c r="C344" s="78" t="s">
        <v>49</v>
      </c>
      <c r="D344" s="79" t="s">
        <v>29</v>
      </c>
      <c r="F344" s="75"/>
    </row>
    <row r="345" spans="1:6" s="53" customFormat="1" ht="14.5" customHeight="1" x14ac:dyDescent="0.35">
      <c r="A345" s="207" t="s">
        <v>31</v>
      </c>
      <c r="B345" s="80" t="s">
        <v>207</v>
      </c>
      <c r="C345" s="81" t="s">
        <v>200</v>
      </c>
      <c r="D345" s="82">
        <f>F352</f>
        <v>12250000</v>
      </c>
      <c r="F345" s="75"/>
    </row>
    <row r="346" spans="1:6" s="53" customFormat="1" ht="21" thickBot="1" x14ac:dyDescent="0.5">
      <c r="A346" s="208"/>
      <c r="B346" s="72"/>
      <c r="C346" s="72"/>
      <c r="D346" s="74"/>
      <c r="F346" s="75"/>
    </row>
    <row r="347" spans="1:6" s="53" customFormat="1" ht="15" thickBot="1" x14ac:dyDescent="0.4">
      <c r="A347" s="208"/>
      <c r="B347" s="83" t="s">
        <v>26</v>
      </c>
      <c r="C347" s="84" t="s">
        <v>51</v>
      </c>
      <c r="D347" s="85" t="s">
        <v>52</v>
      </c>
      <c r="F347" s="75"/>
    </row>
    <row r="348" spans="1:6" s="89" customFormat="1" x14ac:dyDescent="0.35">
      <c r="A348" s="208"/>
      <c r="B348" s="86" t="str">
        <f>B345</f>
        <v>20th January,2026</v>
      </c>
      <c r="C348" s="87" t="s">
        <v>558</v>
      </c>
      <c r="D348" s="88">
        <f>1850*2726</f>
        <v>5043100</v>
      </c>
      <c r="F348" s="90"/>
    </row>
    <row r="349" spans="1:6" s="53" customFormat="1" x14ac:dyDescent="0.35">
      <c r="A349" s="208"/>
      <c r="B349" s="91"/>
      <c r="C349" s="92" t="s">
        <v>155</v>
      </c>
      <c r="D349" s="93">
        <f>319*2450</f>
        <v>781550</v>
      </c>
      <c r="F349" s="75"/>
    </row>
    <row r="350" spans="1:6" s="53" customFormat="1" x14ac:dyDescent="0.35">
      <c r="A350" s="208"/>
      <c r="B350" s="91" t="s">
        <v>54</v>
      </c>
      <c r="C350" s="92" t="s">
        <v>55</v>
      </c>
      <c r="D350" s="93">
        <v>1000000</v>
      </c>
      <c r="F350" s="75"/>
    </row>
    <row r="351" spans="1:6" s="53" customFormat="1" x14ac:dyDescent="0.35">
      <c r="A351" s="208"/>
      <c r="B351" s="91" t="s">
        <v>56</v>
      </c>
      <c r="C351" s="92" t="s">
        <v>57</v>
      </c>
      <c r="D351" s="93">
        <v>40000</v>
      </c>
      <c r="E351" s="210" t="s">
        <v>58</v>
      </c>
      <c r="F351" s="210"/>
    </row>
    <row r="352" spans="1:6" s="53" customFormat="1" x14ac:dyDescent="0.35">
      <c r="A352" s="208"/>
      <c r="B352" s="91" t="s">
        <v>151</v>
      </c>
      <c r="C352" s="92" t="s">
        <v>60</v>
      </c>
      <c r="D352" s="93">
        <f>650*140</f>
        <v>91000</v>
      </c>
      <c r="E352" s="94" t="s">
        <v>61</v>
      </c>
      <c r="F352" s="95">
        <f>5000*2450</f>
        <v>12250000</v>
      </c>
    </row>
    <row r="353" spans="1:7" s="53" customFormat="1" x14ac:dyDescent="0.35">
      <c r="A353" s="208"/>
      <c r="B353" s="91"/>
      <c r="C353" s="92" t="s">
        <v>62</v>
      </c>
      <c r="D353" s="93">
        <f>4290*140</f>
        <v>600600</v>
      </c>
      <c r="E353" s="96" t="s">
        <v>63</v>
      </c>
      <c r="F353" s="75">
        <f>5000*2450</f>
        <v>12250000</v>
      </c>
    </row>
    <row r="354" spans="1:7" s="53" customFormat="1" ht="15" thickBot="1" x14ac:dyDescent="0.4">
      <c r="A354" s="208"/>
      <c r="B354" s="91" t="s">
        <v>64</v>
      </c>
      <c r="C354" s="92" t="s">
        <v>65</v>
      </c>
      <c r="D354" s="97">
        <v>30000</v>
      </c>
      <c r="E354" s="98" t="s">
        <v>66</v>
      </c>
      <c r="F354" s="99">
        <f>F352-F353</f>
        <v>0</v>
      </c>
      <c r="G354" s="100">
        <f>F354/2450</f>
        <v>0</v>
      </c>
    </row>
    <row r="355" spans="1:7" s="53" customFormat="1" ht="15" thickTop="1" x14ac:dyDescent="0.35">
      <c r="A355" s="208"/>
      <c r="B355" s="91"/>
      <c r="C355" s="92" t="s">
        <v>71</v>
      </c>
      <c r="D355" s="97">
        <v>30000</v>
      </c>
      <c r="F355" s="75"/>
    </row>
    <row r="356" spans="1:7" s="53" customFormat="1" x14ac:dyDescent="0.35">
      <c r="A356" s="208"/>
      <c r="B356" s="91" t="s">
        <v>150</v>
      </c>
      <c r="C356" s="101" t="s">
        <v>68</v>
      </c>
      <c r="D356" s="93">
        <v>15000</v>
      </c>
      <c r="E356" s="94" t="s">
        <v>69</v>
      </c>
      <c r="F356" s="95"/>
    </row>
    <row r="357" spans="1:7" s="53" customFormat="1" x14ac:dyDescent="0.35">
      <c r="A357" s="208"/>
      <c r="B357" s="102"/>
      <c r="C357" s="101"/>
      <c r="D357" s="103"/>
      <c r="E357" s="104"/>
      <c r="F357" s="105"/>
    </row>
    <row r="358" spans="1:7" s="53" customFormat="1" x14ac:dyDescent="0.35">
      <c r="A358" s="208"/>
      <c r="B358" s="91"/>
      <c r="C358" s="92"/>
      <c r="D358" s="106"/>
      <c r="E358" s="104" t="s">
        <v>72</v>
      </c>
      <c r="F358" s="105"/>
    </row>
    <row r="359" spans="1:7" s="53" customFormat="1" ht="15" thickBot="1" x14ac:dyDescent="0.4">
      <c r="A359" s="208"/>
      <c r="B359" s="170"/>
      <c r="C359" s="108"/>
      <c r="D359" s="109"/>
      <c r="E359" s="53" t="s">
        <v>655</v>
      </c>
      <c r="F359" s="75"/>
    </row>
    <row r="360" spans="1:7" s="53" customFormat="1" ht="15" thickBot="1" x14ac:dyDescent="0.4">
      <c r="A360" s="208"/>
      <c r="B360" s="110"/>
      <c r="C360" s="111" t="s">
        <v>74</v>
      </c>
      <c r="D360" s="112">
        <f>SUM(D348:D359)</f>
        <v>7631250</v>
      </c>
      <c r="F360" s="75"/>
    </row>
    <row r="361" spans="1:7" s="53" customFormat="1" ht="15.5" thickTop="1" thickBot="1" x14ac:dyDescent="0.4">
      <c r="A361" s="209"/>
      <c r="B361" s="211"/>
      <c r="C361" s="211"/>
      <c r="D361" s="211"/>
      <c r="F361" s="75"/>
    </row>
    <row r="362" spans="1:7" s="53" customFormat="1" x14ac:dyDescent="0.35">
      <c r="B362" s="89"/>
      <c r="C362" s="53" t="s">
        <v>75</v>
      </c>
      <c r="D362" s="113">
        <f>D345-D360</f>
        <v>4618750</v>
      </c>
      <c r="F362" s="75"/>
    </row>
    <row r="363" spans="1:7" s="53" customFormat="1" x14ac:dyDescent="0.35">
      <c r="B363" s="89"/>
      <c r="D363" s="113"/>
      <c r="F363" s="75"/>
    </row>
    <row r="364" spans="1:7" s="53" customFormat="1" x14ac:dyDescent="0.35">
      <c r="A364" s="114"/>
      <c r="B364" s="115"/>
      <c r="C364" s="114"/>
      <c r="D364" s="116"/>
      <c r="E364" s="114"/>
      <c r="F364" s="117"/>
    </row>
    <row r="365" spans="1:7" x14ac:dyDescent="0.35">
      <c r="F365" s="118"/>
    </row>
    <row r="366" spans="1:7" s="53" customFormat="1" ht="23.5" x14ac:dyDescent="0.55000000000000004">
      <c r="B366" s="206" t="s">
        <v>0</v>
      </c>
      <c r="C366" s="206"/>
      <c r="D366" s="206"/>
      <c r="E366" s="70"/>
      <c r="F366" s="71"/>
    </row>
    <row r="367" spans="1:7" s="53" customFormat="1" ht="20.5" x14ac:dyDescent="0.45">
      <c r="B367" s="72"/>
      <c r="C367" s="73" t="s">
        <v>215</v>
      </c>
      <c r="D367" s="74"/>
      <c r="F367" s="75"/>
    </row>
    <row r="368" spans="1:7" s="53" customFormat="1" ht="21" thickBot="1" x14ac:dyDescent="0.5">
      <c r="B368" s="72" t="s">
        <v>216</v>
      </c>
      <c r="C368" s="76" t="s">
        <v>47</v>
      </c>
      <c r="D368" s="74"/>
      <c r="F368" s="75"/>
    </row>
    <row r="369" spans="1:7" s="53" customFormat="1" ht="15" thickBot="1" x14ac:dyDescent="0.4">
      <c r="A369" s="77" t="s">
        <v>48</v>
      </c>
      <c r="B369" s="78" t="s">
        <v>26</v>
      </c>
      <c r="C369" s="78" t="s">
        <v>49</v>
      </c>
      <c r="D369" s="79" t="s">
        <v>29</v>
      </c>
      <c r="F369" s="75"/>
    </row>
    <row r="370" spans="1:7" s="53" customFormat="1" ht="14.5" customHeight="1" x14ac:dyDescent="0.35">
      <c r="A370" s="207" t="s">
        <v>31</v>
      </c>
      <c r="B370" s="80" t="s">
        <v>217</v>
      </c>
      <c r="C370" s="81" t="s">
        <v>103</v>
      </c>
      <c r="D370" s="82">
        <f>F377</f>
        <v>13447500</v>
      </c>
      <c r="F370" s="75"/>
    </row>
    <row r="371" spans="1:7" s="53" customFormat="1" ht="21" thickBot="1" x14ac:dyDescent="0.5">
      <c r="A371" s="208"/>
      <c r="B371" s="72"/>
      <c r="C371" s="72"/>
      <c r="D371" s="74"/>
      <c r="F371" s="75"/>
    </row>
    <row r="372" spans="1:7" s="53" customFormat="1" ht="15" thickBot="1" x14ac:dyDescent="0.4">
      <c r="A372" s="208"/>
      <c r="B372" s="83" t="s">
        <v>26</v>
      </c>
      <c r="C372" s="84" t="s">
        <v>51</v>
      </c>
      <c r="D372" s="85" t="s">
        <v>52</v>
      </c>
      <c r="F372" s="75"/>
    </row>
    <row r="373" spans="1:7" s="89" customFormat="1" x14ac:dyDescent="0.35">
      <c r="A373" s="208"/>
      <c r="B373" s="86" t="str">
        <f>B370</f>
        <v>22nd January,2026</v>
      </c>
      <c r="C373" s="87" t="s">
        <v>558</v>
      </c>
      <c r="D373" s="88">
        <f>1850*2726</f>
        <v>5043100</v>
      </c>
      <c r="F373" s="90"/>
    </row>
    <row r="374" spans="1:7" s="53" customFormat="1" x14ac:dyDescent="0.35">
      <c r="A374" s="208"/>
      <c r="B374" s="91"/>
      <c r="C374" s="92" t="s">
        <v>155</v>
      </c>
      <c r="D374" s="93">
        <f>319*2450</f>
        <v>781550</v>
      </c>
      <c r="F374" s="75"/>
    </row>
    <row r="375" spans="1:7" s="53" customFormat="1" x14ac:dyDescent="0.35">
      <c r="A375" s="208"/>
      <c r="B375" s="91" t="s">
        <v>54</v>
      </c>
      <c r="C375" s="92" t="s">
        <v>55</v>
      </c>
      <c r="D375" s="93">
        <v>1000000</v>
      </c>
      <c r="F375" s="75"/>
    </row>
    <row r="376" spans="1:7" s="53" customFormat="1" x14ac:dyDescent="0.35">
      <c r="A376" s="208"/>
      <c r="B376" s="91" t="s">
        <v>56</v>
      </c>
      <c r="C376" s="92" t="s">
        <v>57</v>
      </c>
      <c r="D376" s="93">
        <v>40000</v>
      </c>
      <c r="E376" s="210" t="s">
        <v>58</v>
      </c>
      <c r="F376" s="210"/>
    </row>
    <row r="377" spans="1:7" s="53" customFormat="1" x14ac:dyDescent="0.35">
      <c r="A377" s="208"/>
      <c r="B377" s="91" t="s">
        <v>151</v>
      </c>
      <c r="C377" s="92" t="s">
        <v>60</v>
      </c>
      <c r="D377" s="93">
        <f>450*140</f>
        <v>63000</v>
      </c>
      <c r="E377" s="94" t="s">
        <v>61</v>
      </c>
      <c r="F377" s="95">
        <f>5500*2445</f>
        <v>13447500</v>
      </c>
    </row>
    <row r="378" spans="1:7" s="53" customFormat="1" x14ac:dyDescent="0.35">
      <c r="A378" s="208"/>
      <c r="B378" s="91"/>
      <c r="C378" s="92" t="s">
        <v>62</v>
      </c>
      <c r="D378" s="93">
        <f>4380*140</f>
        <v>613200</v>
      </c>
      <c r="E378" s="96" t="s">
        <v>63</v>
      </c>
      <c r="F378" s="75">
        <f>(3300*2445)+(2200*2445)</f>
        <v>13447500</v>
      </c>
    </row>
    <row r="379" spans="1:7" s="53" customFormat="1" ht="15" thickBot="1" x14ac:dyDescent="0.4">
      <c r="A379" s="208"/>
      <c r="B379" s="91" t="s">
        <v>64</v>
      </c>
      <c r="C379" s="92" t="s">
        <v>65</v>
      </c>
      <c r="D379" s="97">
        <v>30000</v>
      </c>
      <c r="E379" s="98" t="s">
        <v>66</v>
      </c>
      <c r="F379" s="99">
        <f>F377-F378</f>
        <v>0</v>
      </c>
      <c r="G379" s="100">
        <f>F379/2445</f>
        <v>0</v>
      </c>
    </row>
    <row r="380" spans="1:7" s="53" customFormat="1" ht="15" thickTop="1" x14ac:dyDescent="0.35">
      <c r="A380" s="208"/>
      <c r="B380" s="91"/>
      <c r="C380" s="92" t="s">
        <v>67</v>
      </c>
      <c r="D380" s="93">
        <v>150000</v>
      </c>
      <c r="F380" s="75"/>
    </row>
    <row r="381" spans="1:7" s="53" customFormat="1" x14ac:dyDescent="0.35">
      <c r="A381" s="208"/>
      <c r="B381" s="91" t="s">
        <v>214</v>
      </c>
      <c r="C381" s="101" t="s">
        <v>68</v>
      </c>
      <c r="D381" s="93">
        <v>15000</v>
      </c>
      <c r="E381" s="94" t="s">
        <v>69</v>
      </c>
      <c r="F381" s="95"/>
    </row>
    <row r="382" spans="1:7" s="53" customFormat="1" x14ac:dyDescent="0.35">
      <c r="A382" s="208"/>
      <c r="B382" s="102"/>
      <c r="C382" s="101" t="s">
        <v>70</v>
      </c>
      <c r="D382" s="103">
        <v>10000</v>
      </c>
      <c r="E382" s="104"/>
      <c r="F382" s="105"/>
    </row>
    <row r="383" spans="1:7" s="53" customFormat="1" x14ac:dyDescent="0.35">
      <c r="A383" s="208"/>
      <c r="B383" s="102"/>
      <c r="C383" s="101" t="s">
        <v>71</v>
      </c>
      <c r="D383" s="103">
        <v>20000</v>
      </c>
      <c r="E383" s="104" t="s">
        <v>72</v>
      </c>
      <c r="F383" s="105"/>
    </row>
    <row r="384" spans="1:7" s="53" customFormat="1" x14ac:dyDescent="0.35">
      <c r="A384" s="208"/>
      <c r="B384" s="102"/>
      <c r="C384" s="92"/>
      <c r="D384" s="106"/>
      <c r="E384" s="53" t="s">
        <v>358</v>
      </c>
      <c r="F384" s="105"/>
    </row>
    <row r="385" spans="1:6" s="53" customFormat="1" ht="15" thickBot="1" x14ac:dyDescent="0.4">
      <c r="A385" s="208"/>
      <c r="B385" s="107"/>
      <c r="C385" s="108"/>
      <c r="D385" s="109"/>
      <c r="E385" s="53" t="s">
        <v>738</v>
      </c>
      <c r="F385" s="75"/>
    </row>
    <row r="386" spans="1:6" s="53" customFormat="1" ht="15" thickBot="1" x14ac:dyDescent="0.4">
      <c r="A386" s="208"/>
      <c r="B386" s="110"/>
      <c r="C386" s="111" t="s">
        <v>74</v>
      </c>
      <c r="D386" s="112">
        <f>SUM(D373:D385)</f>
        <v>7765850</v>
      </c>
      <c r="F386" s="75"/>
    </row>
    <row r="387" spans="1:6" s="53" customFormat="1" ht="15.5" thickTop="1" thickBot="1" x14ac:dyDescent="0.4">
      <c r="A387" s="209"/>
      <c r="B387" s="211"/>
      <c r="C387" s="211"/>
      <c r="D387" s="211"/>
      <c r="F387" s="75"/>
    </row>
    <row r="388" spans="1:6" s="53" customFormat="1" x14ac:dyDescent="0.35">
      <c r="B388" s="89"/>
      <c r="C388" s="53" t="s">
        <v>75</v>
      </c>
      <c r="D388" s="113">
        <f>D370-D386</f>
        <v>5681650</v>
      </c>
      <c r="F388" s="75"/>
    </row>
    <row r="389" spans="1:6" s="53" customFormat="1" x14ac:dyDescent="0.35">
      <c r="B389" s="89"/>
      <c r="D389" s="113"/>
      <c r="F389" s="75"/>
    </row>
    <row r="390" spans="1:6" s="53" customFormat="1" x14ac:dyDescent="0.35">
      <c r="A390" s="114"/>
      <c r="B390" s="115"/>
      <c r="C390" s="114"/>
      <c r="D390" s="116"/>
      <c r="E390" s="114"/>
      <c r="F390" s="117"/>
    </row>
    <row r="391" spans="1:6" x14ac:dyDescent="0.35">
      <c r="F391" s="118"/>
    </row>
    <row r="392" spans="1:6" s="53" customFormat="1" ht="23.5" x14ac:dyDescent="0.55000000000000004">
      <c r="B392" s="206" t="s">
        <v>0</v>
      </c>
      <c r="C392" s="206"/>
      <c r="D392" s="206"/>
      <c r="E392" s="70"/>
      <c r="F392" s="71"/>
    </row>
    <row r="393" spans="1:6" s="53" customFormat="1" ht="20.5" x14ac:dyDescent="0.45">
      <c r="B393" s="72"/>
      <c r="C393" s="73" t="s">
        <v>220</v>
      </c>
      <c r="D393" s="74"/>
      <c r="F393" s="75"/>
    </row>
    <row r="394" spans="1:6" s="53" customFormat="1" ht="21" thickBot="1" x14ac:dyDescent="0.5">
      <c r="B394" s="72" t="s">
        <v>221</v>
      </c>
      <c r="C394" s="76" t="s">
        <v>47</v>
      </c>
      <c r="D394" s="74"/>
      <c r="F394" s="75"/>
    </row>
    <row r="395" spans="1:6" s="53" customFormat="1" ht="15" thickBot="1" x14ac:dyDescent="0.4">
      <c r="A395" s="77" t="s">
        <v>48</v>
      </c>
      <c r="B395" s="78" t="s">
        <v>26</v>
      </c>
      <c r="C395" s="78" t="s">
        <v>49</v>
      </c>
      <c r="D395" s="79" t="s">
        <v>29</v>
      </c>
      <c r="F395" s="75"/>
    </row>
    <row r="396" spans="1:6" s="53" customFormat="1" ht="14.5" customHeight="1" x14ac:dyDescent="0.35">
      <c r="A396" s="207" t="s">
        <v>31</v>
      </c>
      <c r="B396" s="80" t="s">
        <v>217</v>
      </c>
      <c r="C396" s="81" t="s">
        <v>103</v>
      </c>
      <c r="D396" s="82">
        <f>F403</f>
        <v>13203000</v>
      </c>
      <c r="F396" s="75"/>
    </row>
    <row r="397" spans="1:6" s="53" customFormat="1" ht="21" thickBot="1" x14ac:dyDescent="0.5">
      <c r="A397" s="208"/>
      <c r="B397" s="72"/>
      <c r="C397" s="72"/>
      <c r="D397" s="74"/>
      <c r="F397" s="75"/>
    </row>
    <row r="398" spans="1:6" s="53" customFormat="1" ht="15" thickBot="1" x14ac:dyDescent="0.4">
      <c r="A398" s="208"/>
      <c r="B398" s="83" t="s">
        <v>26</v>
      </c>
      <c r="C398" s="84" t="s">
        <v>51</v>
      </c>
      <c r="D398" s="85" t="s">
        <v>52</v>
      </c>
      <c r="F398" s="75"/>
    </row>
    <row r="399" spans="1:6" s="89" customFormat="1" x14ac:dyDescent="0.35">
      <c r="A399" s="208"/>
      <c r="B399" s="86" t="str">
        <f>B396</f>
        <v>22nd January,2026</v>
      </c>
      <c r="C399" s="87" t="s">
        <v>558</v>
      </c>
      <c r="D399" s="88">
        <f>1850*2726</f>
        <v>5043100</v>
      </c>
      <c r="F399" s="90"/>
    </row>
    <row r="400" spans="1:6" s="53" customFormat="1" x14ac:dyDescent="0.35">
      <c r="A400" s="208"/>
      <c r="B400" s="91"/>
      <c r="C400" s="92" t="s">
        <v>53</v>
      </c>
      <c r="D400" s="93">
        <f>325*2450</f>
        <v>796250</v>
      </c>
      <c r="F400" s="75"/>
    </row>
    <row r="401" spans="1:7" s="53" customFormat="1" x14ac:dyDescent="0.35">
      <c r="A401" s="208"/>
      <c r="B401" s="91" t="s">
        <v>54</v>
      </c>
      <c r="C401" s="92" t="s">
        <v>55</v>
      </c>
      <c r="D401" s="93">
        <v>1000000</v>
      </c>
      <c r="F401" s="75"/>
    </row>
    <row r="402" spans="1:7" s="53" customFormat="1" x14ac:dyDescent="0.35">
      <c r="A402" s="208"/>
      <c r="B402" s="91" t="s">
        <v>56</v>
      </c>
      <c r="C402" s="92" t="s">
        <v>57</v>
      </c>
      <c r="D402" s="93">
        <v>40000</v>
      </c>
      <c r="E402" s="210" t="s">
        <v>58</v>
      </c>
      <c r="F402" s="210"/>
    </row>
    <row r="403" spans="1:7" s="53" customFormat="1" x14ac:dyDescent="0.35">
      <c r="A403" s="208"/>
      <c r="B403" s="91" t="s">
        <v>59</v>
      </c>
      <c r="C403" s="92" t="s">
        <v>60</v>
      </c>
      <c r="D403" s="93">
        <f>900*140</f>
        <v>126000</v>
      </c>
      <c r="E403" s="94" t="s">
        <v>61</v>
      </c>
      <c r="F403" s="95">
        <f>5400*2445</f>
        <v>13203000</v>
      </c>
    </row>
    <row r="404" spans="1:7" s="53" customFormat="1" x14ac:dyDescent="0.35">
      <c r="A404" s="208"/>
      <c r="B404" s="91"/>
      <c r="C404" s="92" t="s">
        <v>62</v>
      </c>
      <c r="D404" s="93">
        <f>3600*140</f>
        <v>504000</v>
      </c>
      <c r="E404" s="96" t="s">
        <v>63</v>
      </c>
      <c r="F404" s="75">
        <f>(3240*2445)+(2160*2445)</f>
        <v>13203000</v>
      </c>
    </row>
    <row r="405" spans="1:7" s="53" customFormat="1" ht="15" thickBot="1" x14ac:dyDescent="0.4">
      <c r="A405" s="208"/>
      <c r="B405" s="91" t="s">
        <v>64</v>
      </c>
      <c r="C405" s="92" t="s">
        <v>65</v>
      </c>
      <c r="D405" s="97">
        <v>30000</v>
      </c>
      <c r="E405" s="98" t="s">
        <v>66</v>
      </c>
      <c r="F405" s="99">
        <f>F403-F404</f>
        <v>0</v>
      </c>
      <c r="G405" s="100">
        <f>F405/2445</f>
        <v>0</v>
      </c>
    </row>
    <row r="406" spans="1:7" s="53" customFormat="1" ht="15" thickTop="1" x14ac:dyDescent="0.35">
      <c r="A406" s="208"/>
      <c r="B406" s="91"/>
      <c r="C406" s="92" t="s">
        <v>67</v>
      </c>
      <c r="D406" s="93">
        <v>150000</v>
      </c>
      <c r="F406" s="75"/>
    </row>
    <row r="407" spans="1:7" s="53" customFormat="1" x14ac:dyDescent="0.35">
      <c r="A407" s="208"/>
      <c r="B407" s="91" t="s">
        <v>219</v>
      </c>
      <c r="C407" s="101" t="s">
        <v>68</v>
      </c>
      <c r="D407" s="93">
        <v>15000</v>
      </c>
      <c r="E407" s="94" t="s">
        <v>69</v>
      </c>
      <c r="F407" s="95"/>
    </row>
    <row r="408" spans="1:7" s="53" customFormat="1" x14ac:dyDescent="0.35">
      <c r="A408" s="208"/>
      <c r="B408" s="102"/>
      <c r="C408" s="101" t="s">
        <v>70</v>
      </c>
      <c r="D408" s="103">
        <v>10000</v>
      </c>
      <c r="E408" s="104"/>
      <c r="F408" s="105"/>
    </row>
    <row r="409" spans="1:7" s="53" customFormat="1" x14ac:dyDescent="0.35">
      <c r="A409" s="208"/>
      <c r="B409" s="102"/>
      <c r="C409" s="101" t="s">
        <v>71</v>
      </c>
      <c r="D409" s="103">
        <v>20000</v>
      </c>
      <c r="E409" s="104" t="s">
        <v>72</v>
      </c>
      <c r="F409" s="105"/>
    </row>
    <row r="410" spans="1:7" s="53" customFormat="1" x14ac:dyDescent="0.35">
      <c r="A410" s="208"/>
      <c r="B410" s="102"/>
      <c r="C410" s="92"/>
      <c r="D410" s="106"/>
      <c r="E410" s="53" t="s">
        <v>352</v>
      </c>
      <c r="F410" s="105"/>
    </row>
    <row r="411" spans="1:7" s="53" customFormat="1" ht="15" thickBot="1" x14ac:dyDescent="0.4">
      <c r="A411" s="208"/>
      <c r="B411" s="107"/>
      <c r="C411" s="108"/>
      <c r="D411" s="109"/>
      <c r="E411" s="53" t="s">
        <v>739</v>
      </c>
      <c r="F411" s="75"/>
    </row>
    <row r="412" spans="1:7" s="53" customFormat="1" ht="15" thickBot="1" x14ac:dyDescent="0.4">
      <c r="A412" s="208"/>
      <c r="B412" s="110"/>
      <c r="C412" s="111" t="s">
        <v>74</v>
      </c>
      <c r="D412" s="112">
        <f>SUM(D399:D411)</f>
        <v>7734350</v>
      </c>
      <c r="F412" s="75"/>
    </row>
    <row r="413" spans="1:7" s="53" customFormat="1" ht="15.5" thickTop="1" thickBot="1" x14ac:dyDescent="0.4">
      <c r="A413" s="209"/>
      <c r="B413" s="211"/>
      <c r="C413" s="211"/>
      <c r="D413" s="211"/>
      <c r="F413" s="75"/>
    </row>
    <row r="414" spans="1:7" s="53" customFormat="1" x14ac:dyDescent="0.35">
      <c r="B414" s="89"/>
      <c r="C414" s="53" t="s">
        <v>75</v>
      </c>
      <c r="D414" s="113">
        <f>D396-D412</f>
        <v>5468650</v>
      </c>
      <c r="F414" s="75"/>
    </row>
    <row r="415" spans="1:7" s="53" customFormat="1" x14ac:dyDescent="0.35">
      <c r="B415" s="89"/>
      <c r="D415" s="113"/>
      <c r="F415" s="75"/>
    </row>
    <row r="416" spans="1:7" s="53" customFormat="1" x14ac:dyDescent="0.35">
      <c r="A416" s="114"/>
      <c r="B416" s="115"/>
      <c r="C416" s="114"/>
      <c r="D416" s="116"/>
      <c r="E416" s="114"/>
      <c r="F416" s="117"/>
    </row>
    <row r="417" spans="1:7" x14ac:dyDescent="0.35">
      <c r="F417" s="118"/>
    </row>
    <row r="418" spans="1:7" s="53" customFormat="1" ht="23.5" x14ac:dyDescent="0.55000000000000004">
      <c r="B418" s="206" t="s">
        <v>0</v>
      </c>
      <c r="C418" s="206"/>
      <c r="D418" s="206"/>
      <c r="E418" s="70"/>
      <c r="F418" s="71"/>
    </row>
    <row r="419" spans="1:7" s="53" customFormat="1" ht="20.5" x14ac:dyDescent="0.45">
      <c r="B419" s="72"/>
      <c r="C419" s="73" t="s">
        <v>225</v>
      </c>
      <c r="D419" s="74"/>
      <c r="F419" s="75"/>
    </row>
    <row r="420" spans="1:7" s="53" customFormat="1" ht="21" thickBot="1" x14ac:dyDescent="0.5">
      <c r="B420" s="72" t="s">
        <v>226</v>
      </c>
      <c r="C420" s="76" t="s">
        <v>47</v>
      </c>
      <c r="D420" s="74"/>
      <c r="F420" s="75"/>
    </row>
    <row r="421" spans="1:7" s="53" customFormat="1" ht="15" thickBot="1" x14ac:dyDescent="0.4">
      <c r="A421" s="77" t="s">
        <v>48</v>
      </c>
      <c r="B421" s="78" t="s">
        <v>26</v>
      </c>
      <c r="C421" s="78" t="s">
        <v>49</v>
      </c>
      <c r="D421" s="79" t="s">
        <v>29</v>
      </c>
      <c r="F421" s="75"/>
    </row>
    <row r="422" spans="1:7" s="53" customFormat="1" ht="14.5" customHeight="1" x14ac:dyDescent="0.35">
      <c r="A422" s="207" t="s">
        <v>31</v>
      </c>
      <c r="B422" s="80" t="s">
        <v>217</v>
      </c>
      <c r="C422" s="81" t="s">
        <v>103</v>
      </c>
      <c r="D422" s="82">
        <f>F429</f>
        <v>13203000</v>
      </c>
      <c r="F422" s="75"/>
    </row>
    <row r="423" spans="1:7" s="53" customFormat="1" ht="21" thickBot="1" x14ac:dyDescent="0.5">
      <c r="A423" s="208"/>
      <c r="B423" s="72"/>
      <c r="C423" s="72"/>
      <c r="D423" s="74"/>
      <c r="F423" s="75"/>
    </row>
    <row r="424" spans="1:7" s="53" customFormat="1" ht="15" thickBot="1" x14ac:dyDescent="0.4">
      <c r="A424" s="208"/>
      <c r="B424" s="83" t="s">
        <v>26</v>
      </c>
      <c r="C424" s="84" t="s">
        <v>51</v>
      </c>
      <c r="D424" s="85" t="s">
        <v>52</v>
      </c>
      <c r="F424" s="75"/>
    </row>
    <row r="425" spans="1:7" s="89" customFormat="1" x14ac:dyDescent="0.35">
      <c r="A425" s="208"/>
      <c r="B425" s="86" t="str">
        <f>B422</f>
        <v>22nd January,2026</v>
      </c>
      <c r="C425" s="87" t="s">
        <v>154</v>
      </c>
      <c r="D425" s="88">
        <f>1850*2750</f>
        <v>5087500</v>
      </c>
      <c r="F425" s="90"/>
    </row>
    <row r="426" spans="1:7" s="53" customFormat="1" x14ac:dyDescent="0.35">
      <c r="A426" s="208"/>
      <c r="B426" s="91"/>
      <c r="C426" s="92" t="s">
        <v>53</v>
      </c>
      <c r="D426" s="93">
        <f>325*2450</f>
        <v>796250</v>
      </c>
      <c r="F426" s="75"/>
    </row>
    <row r="427" spans="1:7" s="53" customFormat="1" x14ac:dyDescent="0.35">
      <c r="A427" s="208"/>
      <c r="B427" s="91" t="s">
        <v>54</v>
      </c>
      <c r="C427" s="92" t="s">
        <v>55</v>
      </c>
      <c r="D427" s="93">
        <v>1000000</v>
      </c>
      <c r="F427" s="75"/>
    </row>
    <row r="428" spans="1:7" s="53" customFormat="1" x14ac:dyDescent="0.35">
      <c r="A428" s="208"/>
      <c r="B428" s="91" t="s">
        <v>56</v>
      </c>
      <c r="C428" s="92" t="s">
        <v>57</v>
      </c>
      <c r="D428" s="93">
        <v>40000</v>
      </c>
      <c r="E428" s="210" t="s">
        <v>58</v>
      </c>
      <c r="F428" s="210"/>
    </row>
    <row r="429" spans="1:7" s="53" customFormat="1" x14ac:dyDescent="0.35">
      <c r="A429" s="208"/>
      <c r="B429" s="91" t="s">
        <v>59</v>
      </c>
      <c r="C429" s="92" t="s">
        <v>60</v>
      </c>
      <c r="D429" s="93">
        <f>1200*140</f>
        <v>168000</v>
      </c>
      <c r="E429" s="94" t="s">
        <v>61</v>
      </c>
      <c r="F429" s="95">
        <f>5400*2445</f>
        <v>13203000</v>
      </c>
    </row>
    <row r="430" spans="1:7" s="53" customFormat="1" x14ac:dyDescent="0.35">
      <c r="A430" s="208"/>
      <c r="B430" s="91"/>
      <c r="C430" s="92" t="s">
        <v>62</v>
      </c>
      <c r="D430" s="93">
        <f>4200*140</f>
        <v>588000</v>
      </c>
      <c r="E430" s="96" t="s">
        <v>63</v>
      </c>
      <c r="F430" s="75">
        <f>(3240*2445)+(2160*2445)</f>
        <v>13203000</v>
      </c>
    </row>
    <row r="431" spans="1:7" s="53" customFormat="1" ht="15" thickBot="1" x14ac:dyDescent="0.4">
      <c r="A431" s="208"/>
      <c r="B431" s="91" t="s">
        <v>64</v>
      </c>
      <c r="C431" s="92" t="s">
        <v>65</v>
      </c>
      <c r="D431" s="97">
        <v>30000</v>
      </c>
      <c r="E431" s="98" t="s">
        <v>66</v>
      </c>
      <c r="F431" s="99">
        <f>F429-F430</f>
        <v>0</v>
      </c>
      <c r="G431" s="100">
        <f>F431/2445</f>
        <v>0</v>
      </c>
    </row>
    <row r="432" spans="1:7" s="53" customFormat="1" ht="15" thickTop="1" x14ac:dyDescent="0.35">
      <c r="A432" s="208"/>
      <c r="B432" s="91"/>
      <c r="C432" s="92" t="s">
        <v>67</v>
      </c>
      <c r="D432" s="93">
        <v>150000</v>
      </c>
      <c r="F432" s="75"/>
    </row>
    <row r="433" spans="1:6" s="53" customFormat="1" x14ac:dyDescent="0.35">
      <c r="A433" s="208"/>
      <c r="B433" s="91" t="s">
        <v>224</v>
      </c>
      <c r="C433" s="101" t="s">
        <v>68</v>
      </c>
      <c r="D433" s="93">
        <v>15000</v>
      </c>
      <c r="E433" s="94" t="s">
        <v>69</v>
      </c>
      <c r="F433" s="95"/>
    </row>
    <row r="434" spans="1:6" s="53" customFormat="1" x14ac:dyDescent="0.35">
      <c r="A434" s="208"/>
      <c r="B434" s="102"/>
      <c r="C434" s="101" t="s">
        <v>70</v>
      </c>
      <c r="D434" s="103">
        <v>10000</v>
      </c>
      <c r="E434" s="104"/>
      <c r="F434" s="105"/>
    </row>
    <row r="435" spans="1:6" s="53" customFormat="1" x14ac:dyDescent="0.35">
      <c r="A435" s="208"/>
      <c r="B435" s="102"/>
      <c r="C435" s="101" t="s">
        <v>71</v>
      </c>
      <c r="D435" s="103">
        <v>20000</v>
      </c>
      <c r="E435" s="104" t="s">
        <v>72</v>
      </c>
      <c r="F435" s="105"/>
    </row>
    <row r="436" spans="1:6" s="53" customFormat="1" x14ac:dyDescent="0.35">
      <c r="A436" s="208"/>
      <c r="B436" s="102"/>
      <c r="C436" s="92" t="s">
        <v>73</v>
      </c>
      <c r="D436" s="106">
        <f>800*140</f>
        <v>112000</v>
      </c>
      <c r="E436" s="53" t="s">
        <v>348</v>
      </c>
      <c r="F436" s="105"/>
    </row>
    <row r="437" spans="1:6" s="53" customFormat="1" ht="15" thickBot="1" x14ac:dyDescent="0.4">
      <c r="A437" s="208"/>
      <c r="B437" s="107"/>
      <c r="C437" s="108"/>
      <c r="D437" s="109"/>
      <c r="E437" s="53" t="s">
        <v>694</v>
      </c>
      <c r="F437" s="75"/>
    </row>
    <row r="438" spans="1:6" s="53" customFormat="1" ht="15" thickBot="1" x14ac:dyDescent="0.4">
      <c r="A438" s="208"/>
      <c r="B438" s="110"/>
      <c r="C438" s="111" t="s">
        <v>74</v>
      </c>
      <c r="D438" s="112">
        <f>SUM(D425:D437)</f>
        <v>8016750</v>
      </c>
      <c r="F438" s="75"/>
    </row>
    <row r="439" spans="1:6" s="53" customFormat="1" ht="15.5" thickTop="1" thickBot="1" x14ac:dyDescent="0.4">
      <c r="A439" s="209"/>
      <c r="B439" s="211"/>
      <c r="C439" s="211"/>
      <c r="D439" s="211"/>
      <c r="F439" s="75"/>
    </row>
    <row r="440" spans="1:6" s="53" customFormat="1" x14ac:dyDescent="0.35">
      <c r="B440" s="89"/>
      <c r="C440" s="53" t="s">
        <v>75</v>
      </c>
      <c r="D440" s="113">
        <f>D422-D438</f>
        <v>5186250</v>
      </c>
      <c r="F440" s="75"/>
    </row>
    <row r="441" spans="1:6" s="53" customFormat="1" x14ac:dyDescent="0.35">
      <c r="B441" s="89"/>
      <c r="D441" s="113"/>
      <c r="F441" s="75"/>
    </row>
    <row r="442" spans="1:6" s="53" customFormat="1" x14ac:dyDescent="0.35">
      <c r="A442" s="114"/>
      <c r="B442" s="115"/>
      <c r="C442" s="114"/>
      <c r="D442" s="116"/>
      <c r="E442" s="114"/>
      <c r="F442" s="117"/>
    </row>
    <row r="443" spans="1:6" x14ac:dyDescent="0.35">
      <c r="F443" s="118"/>
    </row>
    <row r="444" spans="1:6" s="53" customFormat="1" ht="23.5" x14ac:dyDescent="0.55000000000000004">
      <c r="B444" s="206" t="s">
        <v>0</v>
      </c>
      <c r="C444" s="206"/>
      <c r="D444" s="206"/>
      <c r="E444" s="70"/>
      <c r="F444" s="71"/>
    </row>
    <row r="445" spans="1:6" s="53" customFormat="1" ht="20.5" x14ac:dyDescent="0.45">
      <c r="B445" s="72"/>
      <c r="C445" s="73" t="s">
        <v>229</v>
      </c>
      <c r="D445" s="74"/>
      <c r="F445" s="75"/>
    </row>
    <row r="446" spans="1:6" s="53" customFormat="1" ht="21" thickBot="1" x14ac:dyDescent="0.5">
      <c r="B446" s="72" t="s">
        <v>230</v>
      </c>
      <c r="C446" s="76" t="s">
        <v>47</v>
      </c>
      <c r="D446" s="74"/>
      <c r="F446" s="75"/>
    </row>
    <row r="447" spans="1:6" s="53" customFormat="1" ht="15" thickBot="1" x14ac:dyDescent="0.4">
      <c r="A447" s="77" t="s">
        <v>48</v>
      </c>
      <c r="B447" s="78" t="s">
        <v>26</v>
      </c>
      <c r="C447" s="78" t="s">
        <v>49</v>
      </c>
      <c r="D447" s="79" t="s">
        <v>29</v>
      </c>
      <c r="F447" s="75"/>
    </row>
    <row r="448" spans="1:6" s="53" customFormat="1" ht="14.5" customHeight="1" x14ac:dyDescent="0.35">
      <c r="A448" s="207" t="s">
        <v>31</v>
      </c>
      <c r="B448" s="80" t="s">
        <v>217</v>
      </c>
      <c r="C448" s="81" t="s">
        <v>103</v>
      </c>
      <c r="D448" s="82">
        <f>F455</f>
        <v>13447500</v>
      </c>
      <c r="F448" s="75"/>
    </row>
    <row r="449" spans="1:7" s="53" customFormat="1" ht="21" thickBot="1" x14ac:dyDescent="0.5">
      <c r="A449" s="208"/>
      <c r="B449" s="72"/>
      <c r="C449" s="72"/>
      <c r="D449" s="74"/>
      <c r="F449" s="75"/>
    </row>
    <row r="450" spans="1:7" s="53" customFormat="1" ht="15" thickBot="1" x14ac:dyDescent="0.4">
      <c r="A450" s="208"/>
      <c r="B450" s="83" t="s">
        <v>26</v>
      </c>
      <c r="C450" s="84" t="s">
        <v>51</v>
      </c>
      <c r="D450" s="85" t="s">
        <v>52</v>
      </c>
      <c r="F450" s="75"/>
    </row>
    <row r="451" spans="1:7" s="89" customFormat="1" x14ac:dyDescent="0.35">
      <c r="A451" s="208"/>
      <c r="B451" s="86" t="str">
        <f>B448</f>
        <v>22nd January,2026</v>
      </c>
      <c r="C451" s="87" t="s">
        <v>558</v>
      </c>
      <c r="D451" s="88">
        <f>1850*2726</f>
        <v>5043100</v>
      </c>
      <c r="F451" s="90"/>
    </row>
    <row r="452" spans="1:7" s="53" customFormat="1" x14ac:dyDescent="0.35">
      <c r="A452" s="208"/>
      <c r="B452" s="91"/>
      <c r="C452" s="92" t="s">
        <v>155</v>
      </c>
      <c r="D452" s="93">
        <f>319*2450</f>
        <v>781550</v>
      </c>
      <c r="F452" s="75"/>
    </row>
    <row r="453" spans="1:7" s="53" customFormat="1" x14ac:dyDescent="0.35">
      <c r="A453" s="208"/>
      <c r="B453" s="91" t="s">
        <v>54</v>
      </c>
      <c r="C453" s="92" t="s">
        <v>55</v>
      </c>
      <c r="D453" s="93">
        <v>1000000</v>
      </c>
      <c r="F453" s="75"/>
    </row>
    <row r="454" spans="1:7" s="53" customFormat="1" x14ac:dyDescent="0.35">
      <c r="A454" s="208"/>
      <c r="B454" s="91" t="s">
        <v>56</v>
      </c>
      <c r="C454" s="92" t="s">
        <v>57</v>
      </c>
      <c r="D454" s="93">
        <v>40000</v>
      </c>
      <c r="E454" s="210" t="s">
        <v>58</v>
      </c>
      <c r="F454" s="210"/>
    </row>
    <row r="455" spans="1:7" s="53" customFormat="1" x14ac:dyDescent="0.35">
      <c r="A455" s="208"/>
      <c r="B455" s="91" t="s">
        <v>151</v>
      </c>
      <c r="C455" s="92" t="s">
        <v>60</v>
      </c>
      <c r="D455" s="93">
        <f>700*140</f>
        <v>98000</v>
      </c>
      <c r="E455" s="94" t="s">
        <v>61</v>
      </c>
      <c r="F455" s="95">
        <f>5500*2445</f>
        <v>13447500</v>
      </c>
    </row>
    <row r="456" spans="1:7" s="53" customFormat="1" x14ac:dyDescent="0.35">
      <c r="A456" s="208"/>
      <c r="B456" s="91"/>
      <c r="C456" s="92" t="s">
        <v>62</v>
      </c>
      <c r="D456" s="93">
        <f>4590*140</f>
        <v>642600</v>
      </c>
      <c r="E456" s="96" t="s">
        <v>63</v>
      </c>
      <c r="F456" s="75">
        <f>(3300*2445)</f>
        <v>8068500</v>
      </c>
    </row>
    <row r="457" spans="1:7" s="53" customFormat="1" ht="15" thickBot="1" x14ac:dyDescent="0.4">
      <c r="A457" s="208"/>
      <c r="B457" s="91" t="s">
        <v>64</v>
      </c>
      <c r="C457" s="92" t="s">
        <v>65</v>
      </c>
      <c r="D457" s="97">
        <v>30000</v>
      </c>
      <c r="E457" s="98" t="s">
        <v>66</v>
      </c>
      <c r="F457" s="99">
        <f>F455-F456</f>
        <v>5379000</v>
      </c>
      <c r="G457" s="100">
        <f>F457/2445</f>
        <v>2200</v>
      </c>
    </row>
    <row r="458" spans="1:7" s="53" customFormat="1" ht="15" thickTop="1" x14ac:dyDescent="0.35">
      <c r="A458" s="208"/>
      <c r="B458" s="91"/>
      <c r="C458" s="92" t="s">
        <v>67</v>
      </c>
      <c r="D458" s="93">
        <v>150000</v>
      </c>
      <c r="F458" s="75"/>
    </row>
    <row r="459" spans="1:7" s="53" customFormat="1" x14ac:dyDescent="0.35">
      <c r="A459" s="208"/>
      <c r="B459" s="91" t="s">
        <v>214</v>
      </c>
      <c r="C459" s="101" t="s">
        <v>68</v>
      </c>
      <c r="D459" s="93">
        <v>15000</v>
      </c>
      <c r="E459" s="94" t="s">
        <v>69</v>
      </c>
      <c r="F459" s="95"/>
    </row>
    <row r="460" spans="1:7" s="53" customFormat="1" x14ac:dyDescent="0.35">
      <c r="A460" s="208"/>
      <c r="B460" s="102"/>
      <c r="C460" s="101" t="s">
        <v>70</v>
      </c>
      <c r="D460" s="103">
        <v>10000</v>
      </c>
      <c r="E460" s="104"/>
      <c r="F460" s="105"/>
    </row>
    <row r="461" spans="1:7" s="53" customFormat="1" x14ac:dyDescent="0.35">
      <c r="A461" s="208"/>
      <c r="B461" s="102"/>
      <c r="C461" s="101" t="s">
        <v>71</v>
      </c>
      <c r="D461" s="103">
        <v>30000</v>
      </c>
      <c r="E461" s="104" t="s">
        <v>72</v>
      </c>
      <c r="F461" s="105"/>
    </row>
    <row r="462" spans="1:7" s="53" customFormat="1" x14ac:dyDescent="0.35">
      <c r="A462" s="208"/>
      <c r="B462" s="102"/>
      <c r="C462" s="92"/>
      <c r="D462" s="106"/>
      <c r="E462" s="53" t="s">
        <v>358</v>
      </c>
      <c r="F462" s="105"/>
    </row>
    <row r="463" spans="1:7" s="53" customFormat="1" ht="15" thickBot="1" x14ac:dyDescent="0.4">
      <c r="A463" s="208"/>
      <c r="B463" s="107"/>
      <c r="C463" s="108"/>
      <c r="D463" s="109"/>
      <c r="E463" s="53" t="s">
        <v>802</v>
      </c>
      <c r="F463" s="75"/>
    </row>
    <row r="464" spans="1:7" s="53" customFormat="1" ht="15" thickBot="1" x14ac:dyDescent="0.4">
      <c r="A464" s="208"/>
      <c r="B464" s="110"/>
      <c r="C464" s="111" t="s">
        <v>74</v>
      </c>
      <c r="D464" s="112">
        <f>SUM(D451:D463)</f>
        <v>7840250</v>
      </c>
      <c r="F464" s="75"/>
    </row>
    <row r="465" spans="1:6" s="53" customFormat="1" ht="15.5" thickTop="1" thickBot="1" x14ac:dyDescent="0.4">
      <c r="A465" s="209"/>
      <c r="B465" s="211"/>
      <c r="C465" s="211"/>
      <c r="D465" s="211"/>
      <c r="F465" s="75"/>
    </row>
    <row r="466" spans="1:6" s="53" customFormat="1" x14ac:dyDescent="0.35">
      <c r="B466" s="89"/>
      <c r="C466" s="53" t="s">
        <v>75</v>
      </c>
      <c r="D466" s="113">
        <f>D448-D464</f>
        <v>5607250</v>
      </c>
      <c r="F466" s="75"/>
    </row>
    <row r="467" spans="1:6" s="53" customFormat="1" x14ac:dyDescent="0.35">
      <c r="B467" s="89"/>
      <c r="D467" s="113"/>
      <c r="F467" s="75"/>
    </row>
    <row r="468" spans="1:6" s="53" customFormat="1" x14ac:dyDescent="0.35">
      <c r="A468" s="114"/>
      <c r="B468" s="115"/>
      <c r="C468" s="114"/>
      <c r="D468" s="116"/>
      <c r="E468" s="114"/>
      <c r="F468" s="117"/>
    </row>
    <row r="469" spans="1:6" x14ac:dyDescent="0.35">
      <c r="F469" s="118"/>
    </row>
    <row r="470" spans="1:6" s="53" customFormat="1" ht="23.5" x14ac:dyDescent="0.55000000000000004">
      <c r="B470" s="206" t="s">
        <v>0</v>
      </c>
      <c r="C470" s="206"/>
      <c r="D470" s="206"/>
      <c r="E470" s="70"/>
      <c r="F470" s="71"/>
    </row>
    <row r="471" spans="1:6" s="53" customFormat="1" ht="20.5" x14ac:dyDescent="0.45">
      <c r="B471" s="72"/>
      <c r="C471" s="73" t="s">
        <v>236</v>
      </c>
      <c r="D471" s="74"/>
      <c r="F471" s="75"/>
    </row>
    <row r="472" spans="1:6" s="53" customFormat="1" ht="21" thickBot="1" x14ac:dyDescent="0.5">
      <c r="B472" s="72" t="s">
        <v>234</v>
      </c>
      <c r="C472" s="76" t="s">
        <v>47</v>
      </c>
      <c r="D472" s="74"/>
      <c r="F472" s="75"/>
    </row>
    <row r="473" spans="1:6" s="53" customFormat="1" ht="15" thickBot="1" x14ac:dyDescent="0.4">
      <c r="A473" s="77" t="s">
        <v>48</v>
      </c>
      <c r="B473" s="78" t="s">
        <v>26</v>
      </c>
      <c r="C473" s="78" t="s">
        <v>49</v>
      </c>
      <c r="D473" s="79" t="s">
        <v>29</v>
      </c>
      <c r="F473" s="75"/>
    </row>
    <row r="474" spans="1:6" s="53" customFormat="1" ht="14.5" customHeight="1" x14ac:dyDescent="0.35">
      <c r="A474" s="207" t="s">
        <v>31</v>
      </c>
      <c r="B474" s="80" t="s">
        <v>235</v>
      </c>
      <c r="C474" s="81" t="s">
        <v>103</v>
      </c>
      <c r="D474" s="82">
        <f>F481</f>
        <v>13203000</v>
      </c>
      <c r="F474" s="75"/>
    </row>
    <row r="475" spans="1:6" s="53" customFormat="1" ht="21" thickBot="1" x14ac:dyDescent="0.5">
      <c r="A475" s="208"/>
      <c r="B475" s="72"/>
      <c r="C475" s="72"/>
      <c r="D475" s="74"/>
      <c r="F475" s="75"/>
    </row>
    <row r="476" spans="1:6" s="53" customFormat="1" ht="15" thickBot="1" x14ac:dyDescent="0.4">
      <c r="A476" s="208"/>
      <c r="B476" s="83" t="s">
        <v>26</v>
      </c>
      <c r="C476" s="84" t="s">
        <v>51</v>
      </c>
      <c r="D476" s="85" t="s">
        <v>52</v>
      </c>
      <c r="F476" s="75"/>
    </row>
    <row r="477" spans="1:6" s="89" customFormat="1" x14ac:dyDescent="0.35">
      <c r="A477" s="208"/>
      <c r="B477" s="86" t="str">
        <f>B474</f>
        <v>24th January,2026</v>
      </c>
      <c r="C477" s="87" t="s">
        <v>558</v>
      </c>
      <c r="D477" s="88">
        <f>1850*2726</f>
        <v>5043100</v>
      </c>
      <c r="F477" s="90"/>
    </row>
    <row r="478" spans="1:6" s="53" customFormat="1" x14ac:dyDescent="0.35">
      <c r="A478" s="208"/>
      <c r="B478" s="91"/>
      <c r="C478" s="92" t="s">
        <v>53</v>
      </c>
      <c r="D478" s="93">
        <f>325*2450</f>
        <v>796250</v>
      </c>
      <c r="F478" s="75"/>
    </row>
    <row r="479" spans="1:6" s="53" customFormat="1" x14ac:dyDescent="0.35">
      <c r="A479" s="208"/>
      <c r="B479" s="91" t="s">
        <v>54</v>
      </c>
      <c r="C479" s="92" t="s">
        <v>55</v>
      </c>
      <c r="D479" s="93">
        <v>1000000</v>
      </c>
      <c r="F479" s="75"/>
    </row>
    <row r="480" spans="1:6" s="53" customFormat="1" x14ac:dyDescent="0.35">
      <c r="A480" s="208"/>
      <c r="B480" s="91" t="s">
        <v>56</v>
      </c>
      <c r="C480" s="92" t="s">
        <v>57</v>
      </c>
      <c r="D480" s="93">
        <v>40000</v>
      </c>
      <c r="E480" s="210" t="s">
        <v>58</v>
      </c>
      <c r="F480" s="210"/>
    </row>
    <row r="481" spans="1:7" s="53" customFormat="1" x14ac:dyDescent="0.35">
      <c r="A481" s="208"/>
      <c r="B481" s="91" t="s">
        <v>59</v>
      </c>
      <c r="C481" s="92" t="s">
        <v>60</v>
      </c>
      <c r="D481" s="93">
        <f>900*140</f>
        <v>126000</v>
      </c>
      <c r="E481" s="94" t="s">
        <v>61</v>
      </c>
      <c r="F481" s="95">
        <f>5400*2445</f>
        <v>13203000</v>
      </c>
    </row>
    <row r="482" spans="1:7" s="53" customFormat="1" x14ac:dyDescent="0.35">
      <c r="A482" s="208"/>
      <c r="B482" s="91"/>
      <c r="C482" s="92" t="s">
        <v>62</v>
      </c>
      <c r="D482" s="93">
        <f>3600*140</f>
        <v>504000</v>
      </c>
      <c r="E482" s="96" t="s">
        <v>63</v>
      </c>
      <c r="F482" s="75">
        <f>(3240*2445)+(2160*2445)</f>
        <v>13203000</v>
      </c>
    </row>
    <row r="483" spans="1:7" s="53" customFormat="1" ht="15" thickBot="1" x14ac:dyDescent="0.4">
      <c r="A483" s="208"/>
      <c r="B483" s="91" t="s">
        <v>64</v>
      </c>
      <c r="C483" s="92" t="s">
        <v>65</v>
      </c>
      <c r="D483" s="97">
        <v>30000</v>
      </c>
      <c r="E483" s="98" t="s">
        <v>66</v>
      </c>
      <c r="F483" s="99">
        <f>F481-F482</f>
        <v>0</v>
      </c>
      <c r="G483" s="100">
        <f>F483/2445</f>
        <v>0</v>
      </c>
    </row>
    <row r="484" spans="1:7" s="53" customFormat="1" ht="15" thickTop="1" x14ac:dyDescent="0.35">
      <c r="A484" s="208"/>
      <c r="B484" s="91"/>
      <c r="C484" s="92" t="s">
        <v>67</v>
      </c>
      <c r="D484" s="93">
        <v>150000</v>
      </c>
      <c r="F484" s="75"/>
    </row>
    <row r="485" spans="1:7" s="53" customFormat="1" x14ac:dyDescent="0.35">
      <c r="A485" s="208"/>
      <c r="B485" s="91" t="s">
        <v>233</v>
      </c>
      <c r="C485" s="101" t="s">
        <v>68</v>
      </c>
      <c r="D485" s="93">
        <v>15000</v>
      </c>
      <c r="E485" s="94" t="s">
        <v>69</v>
      </c>
      <c r="F485" s="95"/>
    </row>
    <row r="486" spans="1:7" s="53" customFormat="1" x14ac:dyDescent="0.35">
      <c r="A486" s="208"/>
      <c r="B486" s="102"/>
      <c r="C486" s="101" t="s">
        <v>70</v>
      </c>
      <c r="D486" s="103">
        <v>10000</v>
      </c>
      <c r="E486" s="104"/>
      <c r="F486" s="105"/>
    </row>
    <row r="487" spans="1:7" s="53" customFormat="1" x14ac:dyDescent="0.35">
      <c r="A487" s="208"/>
      <c r="B487" s="102"/>
      <c r="C487" s="101" t="s">
        <v>71</v>
      </c>
      <c r="D487" s="103">
        <v>20000</v>
      </c>
      <c r="E487" s="104" t="s">
        <v>72</v>
      </c>
      <c r="F487" s="105"/>
    </row>
    <row r="488" spans="1:7" s="53" customFormat="1" x14ac:dyDescent="0.35">
      <c r="A488" s="208"/>
      <c r="B488" s="102"/>
      <c r="C488" s="92"/>
      <c r="D488" s="106"/>
      <c r="E488" s="53" t="s">
        <v>352</v>
      </c>
      <c r="F488" s="105"/>
    </row>
    <row r="489" spans="1:7" s="53" customFormat="1" ht="15" thickBot="1" x14ac:dyDescent="0.4">
      <c r="A489" s="208"/>
      <c r="B489" s="107"/>
      <c r="C489" s="108"/>
      <c r="D489" s="109"/>
      <c r="E489" s="53" t="s">
        <v>738</v>
      </c>
      <c r="F489" s="75"/>
    </row>
    <row r="490" spans="1:7" s="53" customFormat="1" ht="15" thickBot="1" x14ac:dyDescent="0.4">
      <c r="A490" s="208"/>
      <c r="B490" s="110"/>
      <c r="C490" s="111" t="s">
        <v>74</v>
      </c>
      <c r="D490" s="112">
        <f>SUM(D477:D489)</f>
        <v>7734350</v>
      </c>
      <c r="F490" s="75"/>
    </row>
    <row r="491" spans="1:7" s="53" customFormat="1" ht="15.5" thickTop="1" thickBot="1" x14ac:dyDescent="0.4">
      <c r="A491" s="209"/>
      <c r="B491" s="211"/>
      <c r="C491" s="211"/>
      <c r="D491" s="211"/>
      <c r="F491" s="75"/>
    </row>
    <row r="492" spans="1:7" s="53" customFormat="1" x14ac:dyDescent="0.35">
      <c r="B492" s="89"/>
      <c r="C492" s="53" t="s">
        <v>75</v>
      </c>
      <c r="D492" s="113">
        <f>D474-D490</f>
        <v>5468650</v>
      </c>
      <c r="F492" s="75"/>
    </row>
    <row r="493" spans="1:7" s="53" customFormat="1" x14ac:dyDescent="0.35">
      <c r="B493" s="89"/>
      <c r="D493" s="113"/>
      <c r="F493" s="75"/>
    </row>
    <row r="494" spans="1:7" s="53" customFormat="1" x14ac:dyDescent="0.35">
      <c r="A494" s="114"/>
      <c r="B494" s="115"/>
      <c r="C494" s="114"/>
      <c r="D494" s="116"/>
      <c r="E494" s="114"/>
      <c r="F494" s="117"/>
    </row>
    <row r="495" spans="1:7" x14ac:dyDescent="0.35">
      <c r="F495" s="118"/>
    </row>
    <row r="496" spans="1:7" s="53" customFormat="1" ht="23.5" x14ac:dyDescent="0.55000000000000004">
      <c r="B496" s="206" t="s">
        <v>0</v>
      </c>
      <c r="C496" s="206"/>
      <c r="D496" s="206"/>
      <c r="E496" s="70"/>
      <c r="F496" s="71"/>
    </row>
    <row r="497" spans="1:7" s="53" customFormat="1" ht="20.5" x14ac:dyDescent="0.45">
      <c r="B497" s="72"/>
      <c r="C497" s="73" t="s">
        <v>240</v>
      </c>
      <c r="D497" s="74"/>
      <c r="F497" s="75"/>
    </row>
    <row r="498" spans="1:7" s="53" customFormat="1" ht="21" thickBot="1" x14ac:dyDescent="0.5">
      <c r="B498" s="72" t="s">
        <v>241</v>
      </c>
      <c r="C498" s="76" t="s">
        <v>47</v>
      </c>
      <c r="D498" s="74"/>
      <c r="F498" s="75"/>
    </row>
    <row r="499" spans="1:7" s="53" customFormat="1" ht="15" thickBot="1" x14ac:dyDescent="0.4">
      <c r="A499" s="77" t="s">
        <v>48</v>
      </c>
      <c r="B499" s="78" t="s">
        <v>26</v>
      </c>
      <c r="C499" s="78" t="s">
        <v>49</v>
      </c>
      <c r="D499" s="79" t="s">
        <v>29</v>
      </c>
      <c r="F499" s="75"/>
    </row>
    <row r="500" spans="1:7" s="53" customFormat="1" ht="14.5" customHeight="1" x14ac:dyDescent="0.35">
      <c r="A500" s="207" t="s">
        <v>31</v>
      </c>
      <c r="B500" s="80" t="s">
        <v>235</v>
      </c>
      <c r="C500" s="81" t="s">
        <v>103</v>
      </c>
      <c r="D500" s="82">
        <f>F507</f>
        <v>13203000</v>
      </c>
      <c r="F500" s="75"/>
    </row>
    <row r="501" spans="1:7" s="53" customFormat="1" ht="21" thickBot="1" x14ac:dyDescent="0.5">
      <c r="A501" s="208"/>
      <c r="B501" s="72"/>
      <c r="C501" s="72"/>
      <c r="D501" s="74"/>
      <c r="F501" s="75"/>
    </row>
    <row r="502" spans="1:7" s="53" customFormat="1" ht="15" thickBot="1" x14ac:dyDescent="0.4">
      <c r="A502" s="208"/>
      <c r="B502" s="83" t="s">
        <v>26</v>
      </c>
      <c r="C502" s="84" t="s">
        <v>51</v>
      </c>
      <c r="D502" s="85" t="s">
        <v>52</v>
      </c>
      <c r="F502" s="75"/>
    </row>
    <row r="503" spans="1:7" s="89" customFormat="1" x14ac:dyDescent="0.35">
      <c r="A503" s="208"/>
      <c r="B503" s="86" t="str">
        <f>B500</f>
        <v>24th January,2026</v>
      </c>
      <c r="C503" s="87" t="s">
        <v>558</v>
      </c>
      <c r="D503" s="88">
        <f>1850*2726</f>
        <v>5043100</v>
      </c>
      <c r="F503" s="90"/>
    </row>
    <row r="504" spans="1:7" s="53" customFormat="1" x14ac:dyDescent="0.35">
      <c r="A504" s="208"/>
      <c r="B504" s="91"/>
      <c r="C504" s="92" t="s">
        <v>53</v>
      </c>
      <c r="D504" s="93">
        <f>325*2450</f>
        <v>796250</v>
      </c>
      <c r="F504" s="75"/>
    </row>
    <row r="505" spans="1:7" s="53" customFormat="1" x14ac:dyDescent="0.35">
      <c r="A505" s="208"/>
      <c r="B505" s="91" t="s">
        <v>54</v>
      </c>
      <c r="C505" s="92" t="s">
        <v>55</v>
      </c>
      <c r="D505" s="93">
        <v>1000000</v>
      </c>
      <c r="F505" s="75"/>
    </row>
    <row r="506" spans="1:7" s="53" customFormat="1" x14ac:dyDescent="0.35">
      <c r="A506" s="208"/>
      <c r="B506" s="91" t="s">
        <v>56</v>
      </c>
      <c r="C506" s="92" t="s">
        <v>57</v>
      </c>
      <c r="D506" s="93">
        <v>40000</v>
      </c>
      <c r="E506" s="210" t="s">
        <v>58</v>
      </c>
      <c r="F506" s="210"/>
    </row>
    <row r="507" spans="1:7" s="53" customFormat="1" x14ac:dyDescent="0.35">
      <c r="A507" s="208"/>
      <c r="B507" s="91" t="s">
        <v>59</v>
      </c>
      <c r="C507" s="92" t="s">
        <v>60</v>
      </c>
      <c r="D507" s="93">
        <f>900*140</f>
        <v>126000</v>
      </c>
      <c r="E507" s="94" t="s">
        <v>61</v>
      </c>
      <c r="F507" s="95">
        <f>5400*2445</f>
        <v>13203000</v>
      </c>
    </row>
    <row r="508" spans="1:7" s="53" customFormat="1" x14ac:dyDescent="0.35">
      <c r="A508" s="208"/>
      <c r="B508" s="91"/>
      <c r="C508" s="92" t="s">
        <v>62</v>
      </c>
      <c r="D508" s="93">
        <f>3600*140</f>
        <v>504000</v>
      </c>
      <c r="E508" s="96" t="s">
        <v>63</v>
      </c>
      <c r="F508" s="75">
        <f>(3240*2445)+(2160*2445)</f>
        <v>13203000</v>
      </c>
    </row>
    <row r="509" spans="1:7" s="53" customFormat="1" ht="15" thickBot="1" x14ac:dyDescent="0.4">
      <c r="A509" s="208"/>
      <c r="B509" s="91" t="s">
        <v>64</v>
      </c>
      <c r="C509" s="92" t="s">
        <v>65</v>
      </c>
      <c r="D509" s="97">
        <v>30000</v>
      </c>
      <c r="E509" s="98" t="s">
        <v>66</v>
      </c>
      <c r="F509" s="99">
        <f>F507-F508</f>
        <v>0</v>
      </c>
      <c r="G509" s="100">
        <f>F509/2445</f>
        <v>0</v>
      </c>
    </row>
    <row r="510" spans="1:7" s="53" customFormat="1" ht="15" thickTop="1" x14ac:dyDescent="0.35">
      <c r="A510" s="208"/>
      <c r="B510" s="91"/>
      <c r="C510" s="92" t="s">
        <v>67</v>
      </c>
      <c r="D510" s="93">
        <v>150000</v>
      </c>
      <c r="F510" s="75"/>
    </row>
    <row r="511" spans="1:7" s="53" customFormat="1" x14ac:dyDescent="0.35">
      <c r="A511" s="208"/>
      <c r="B511" s="91" t="s">
        <v>239</v>
      </c>
      <c r="C511" s="101" t="s">
        <v>68</v>
      </c>
      <c r="D511" s="93">
        <v>15000</v>
      </c>
      <c r="E511" s="94" t="s">
        <v>69</v>
      </c>
      <c r="F511" s="95"/>
    </row>
    <row r="512" spans="1:7" s="53" customFormat="1" x14ac:dyDescent="0.35">
      <c r="A512" s="208"/>
      <c r="B512" s="102"/>
      <c r="C512" s="101" t="s">
        <v>70</v>
      </c>
      <c r="D512" s="103">
        <v>10000</v>
      </c>
      <c r="E512" s="104"/>
      <c r="F512" s="105"/>
    </row>
    <row r="513" spans="1:6" s="53" customFormat="1" x14ac:dyDescent="0.35">
      <c r="A513" s="208"/>
      <c r="B513" s="102"/>
      <c r="C513" s="101" t="s">
        <v>71</v>
      </c>
      <c r="D513" s="103">
        <v>20000</v>
      </c>
      <c r="E513" s="104" t="s">
        <v>72</v>
      </c>
      <c r="F513" s="105"/>
    </row>
    <row r="514" spans="1:6" s="53" customFormat="1" x14ac:dyDescent="0.35">
      <c r="A514" s="208"/>
      <c r="B514" s="102"/>
      <c r="C514" s="92"/>
      <c r="D514" s="106"/>
      <c r="E514" s="53" t="s">
        <v>351</v>
      </c>
      <c r="F514" s="105"/>
    </row>
    <row r="515" spans="1:6" s="53" customFormat="1" ht="15" thickBot="1" x14ac:dyDescent="0.4">
      <c r="A515" s="208"/>
      <c r="B515" s="107"/>
      <c r="C515" s="108"/>
      <c r="D515" s="109"/>
      <c r="E515" s="53" t="s">
        <v>739</v>
      </c>
      <c r="F515" s="75"/>
    </row>
    <row r="516" spans="1:6" s="53" customFormat="1" ht="15" thickBot="1" x14ac:dyDescent="0.4">
      <c r="A516" s="208"/>
      <c r="B516" s="110"/>
      <c r="C516" s="111" t="s">
        <v>74</v>
      </c>
      <c r="D516" s="112">
        <f>SUM(D503:D515)</f>
        <v>7734350</v>
      </c>
      <c r="F516" s="75"/>
    </row>
    <row r="517" spans="1:6" s="53" customFormat="1" ht="15.5" thickTop="1" thickBot="1" x14ac:dyDescent="0.4">
      <c r="A517" s="209"/>
      <c r="B517" s="211"/>
      <c r="C517" s="211"/>
      <c r="D517" s="211"/>
      <c r="F517" s="75"/>
    </row>
    <row r="518" spans="1:6" s="53" customFormat="1" x14ac:dyDescent="0.35">
      <c r="B518" s="89"/>
      <c r="C518" s="53" t="s">
        <v>75</v>
      </c>
      <c r="D518" s="113">
        <f>D500-D516</f>
        <v>5468650</v>
      </c>
      <c r="F518" s="75"/>
    </row>
    <row r="519" spans="1:6" s="53" customFormat="1" x14ac:dyDescent="0.35">
      <c r="B519" s="89"/>
      <c r="D519" s="113"/>
      <c r="F519" s="75"/>
    </row>
    <row r="520" spans="1:6" s="53" customFormat="1" x14ac:dyDescent="0.35">
      <c r="A520" s="114"/>
      <c r="B520" s="115"/>
      <c r="C520" s="114"/>
      <c r="D520" s="116"/>
      <c r="E520" s="114"/>
      <c r="F520" s="117"/>
    </row>
    <row r="521" spans="1:6" x14ac:dyDescent="0.35">
      <c r="F521" s="118"/>
    </row>
    <row r="522" spans="1:6" s="53" customFormat="1" ht="23.5" x14ac:dyDescent="0.55000000000000004">
      <c r="B522" s="206" t="s">
        <v>0</v>
      </c>
      <c r="C522" s="206"/>
      <c r="D522" s="206"/>
      <c r="E522" s="70"/>
      <c r="F522" s="71"/>
    </row>
    <row r="523" spans="1:6" s="53" customFormat="1" ht="20.5" x14ac:dyDescent="0.45">
      <c r="B523" s="72"/>
      <c r="C523" s="73" t="s">
        <v>245</v>
      </c>
      <c r="D523" s="74"/>
      <c r="F523" s="75"/>
    </row>
    <row r="524" spans="1:6" s="53" customFormat="1" ht="21" thickBot="1" x14ac:dyDescent="0.5">
      <c r="B524" s="72" t="s">
        <v>246</v>
      </c>
      <c r="C524" s="76" t="s">
        <v>47</v>
      </c>
      <c r="D524" s="74"/>
      <c r="F524" s="75"/>
    </row>
    <row r="525" spans="1:6" s="53" customFormat="1" ht="15" thickBot="1" x14ac:dyDescent="0.4">
      <c r="A525" s="77" t="s">
        <v>48</v>
      </c>
      <c r="B525" s="78" t="s">
        <v>26</v>
      </c>
      <c r="C525" s="78" t="s">
        <v>49</v>
      </c>
      <c r="D525" s="79" t="s">
        <v>29</v>
      </c>
      <c r="F525" s="75"/>
    </row>
    <row r="526" spans="1:6" s="53" customFormat="1" ht="14.5" customHeight="1" x14ac:dyDescent="0.35">
      <c r="A526" s="207" t="s">
        <v>31</v>
      </c>
      <c r="B526" s="80" t="s">
        <v>235</v>
      </c>
      <c r="C526" s="81" t="s">
        <v>103</v>
      </c>
      <c r="D526" s="82">
        <f>F533</f>
        <v>13203000</v>
      </c>
      <c r="F526" s="75"/>
    </row>
    <row r="527" spans="1:6" s="53" customFormat="1" ht="21" thickBot="1" x14ac:dyDescent="0.5">
      <c r="A527" s="208"/>
      <c r="B527" s="72"/>
      <c r="C527" s="72"/>
      <c r="D527" s="74"/>
      <c r="F527" s="75"/>
    </row>
    <row r="528" spans="1:6" s="53" customFormat="1" ht="15" thickBot="1" x14ac:dyDescent="0.4">
      <c r="A528" s="208"/>
      <c r="B528" s="83" t="s">
        <v>26</v>
      </c>
      <c r="C528" s="84" t="s">
        <v>51</v>
      </c>
      <c r="D528" s="85" t="s">
        <v>52</v>
      </c>
      <c r="F528" s="75"/>
    </row>
    <row r="529" spans="1:7" s="89" customFormat="1" x14ac:dyDescent="0.35">
      <c r="A529" s="208"/>
      <c r="B529" s="86" t="str">
        <f>B526</f>
        <v>24th January,2026</v>
      </c>
      <c r="C529" s="87" t="s">
        <v>558</v>
      </c>
      <c r="D529" s="88">
        <f>1850*2726</f>
        <v>5043100</v>
      </c>
      <c r="F529" s="90"/>
    </row>
    <row r="530" spans="1:7" s="53" customFormat="1" x14ac:dyDescent="0.35">
      <c r="A530" s="208"/>
      <c r="B530" s="91"/>
      <c r="C530" s="92" t="s">
        <v>53</v>
      </c>
      <c r="D530" s="93">
        <f>325*2450</f>
        <v>796250</v>
      </c>
      <c r="F530" s="75"/>
    </row>
    <row r="531" spans="1:7" s="53" customFormat="1" x14ac:dyDescent="0.35">
      <c r="A531" s="208"/>
      <c r="B531" s="91" t="s">
        <v>54</v>
      </c>
      <c r="C531" s="92" t="s">
        <v>55</v>
      </c>
      <c r="D531" s="93">
        <v>1000000</v>
      </c>
      <c r="F531" s="75"/>
    </row>
    <row r="532" spans="1:7" s="53" customFormat="1" x14ac:dyDescent="0.35">
      <c r="A532" s="208"/>
      <c r="B532" s="91" t="s">
        <v>56</v>
      </c>
      <c r="C532" s="92" t="s">
        <v>57</v>
      </c>
      <c r="D532" s="93">
        <v>40000</v>
      </c>
      <c r="E532" s="210" t="s">
        <v>58</v>
      </c>
      <c r="F532" s="210"/>
    </row>
    <row r="533" spans="1:7" s="53" customFormat="1" x14ac:dyDescent="0.35">
      <c r="A533" s="208"/>
      <c r="B533" s="91" t="s">
        <v>59</v>
      </c>
      <c r="C533" s="92" t="s">
        <v>60</v>
      </c>
      <c r="D533" s="93">
        <f>900*140</f>
        <v>126000</v>
      </c>
      <c r="E533" s="94" t="s">
        <v>61</v>
      </c>
      <c r="F533" s="95">
        <f>5400*2445</f>
        <v>13203000</v>
      </c>
    </row>
    <row r="534" spans="1:7" s="53" customFormat="1" x14ac:dyDescent="0.35">
      <c r="A534" s="208"/>
      <c r="B534" s="91"/>
      <c r="C534" s="92" t="s">
        <v>62</v>
      </c>
      <c r="D534" s="93">
        <f>3600*140</f>
        <v>504000</v>
      </c>
      <c r="E534" s="96" t="s">
        <v>63</v>
      </c>
      <c r="F534" s="75">
        <f>(3240*2445)+(2160*2445)</f>
        <v>13203000</v>
      </c>
    </row>
    <row r="535" spans="1:7" s="53" customFormat="1" ht="15" thickBot="1" x14ac:dyDescent="0.4">
      <c r="A535" s="208"/>
      <c r="B535" s="91" t="s">
        <v>64</v>
      </c>
      <c r="C535" s="92" t="s">
        <v>65</v>
      </c>
      <c r="D535" s="97">
        <v>30000</v>
      </c>
      <c r="E535" s="98" t="s">
        <v>66</v>
      </c>
      <c r="F535" s="99">
        <f>F533-F534</f>
        <v>0</v>
      </c>
      <c r="G535" s="100">
        <f>F535/2445</f>
        <v>0</v>
      </c>
    </row>
    <row r="536" spans="1:7" s="53" customFormat="1" ht="15" thickTop="1" x14ac:dyDescent="0.35">
      <c r="A536" s="208"/>
      <c r="B536" s="91"/>
      <c r="C536" s="92" t="s">
        <v>67</v>
      </c>
      <c r="D536" s="93">
        <v>150000</v>
      </c>
      <c r="F536" s="75"/>
    </row>
    <row r="537" spans="1:7" s="53" customFormat="1" x14ac:dyDescent="0.35">
      <c r="A537" s="208"/>
      <c r="B537" s="91" t="s">
        <v>244</v>
      </c>
      <c r="C537" s="101" t="s">
        <v>68</v>
      </c>
      <c r="D537" s="93">
        <v>15000</v>
      </c>
      <c r="E537" s="94" t="s">
        <v>69</v>
      </c>
      <c r="F537" s="95"/>
    </row>
    <row r="538" spans="1:7" s="53" customFormat="1" x14ac:dyDescent="0.35">
      <c r="A538" s="208"/>
      <c r="B538" s="102"/>
      <c r="C538" s="101" t="s">
        <v>70</v>
      </c>
      <c r="D538" s="103">
        <v>10000</v>
      </c>
      <c r="E538" s="104"/>
      <c r="F538" s="105"/>
    </row>
    <row r="539" spans="1:7" s="53" customFormat="1" x14ac:dyDescent="0.35">
      <c r="A539" s="208"/>
      <c r="B539" s="102"/>
      <c r="C539" s="101" t="s">
        <v>71</v>
      </c>
      <c r="D539" s="103">
        <v>20000</v>
      </c>
      <c r="E539" s="104" t="s">
        <v>72</v>
      </c>
      <c r="F539" s="105"/>
    </row>
    <row r="540" spans="1:7" s="53" customFormat="1" x14ac:dyDescent="0.35">
      <c r="A540" s="208"/>
      <c r="B540" s="102"/>
      <c r="C540" s="92"/>
      <c r="D540" s="106"/>
      <c r="E540" s="53" t="s">
        <v>352</v>
      </c>
      <c r="F540" s="105"/>
    </row>
    <row r="541" spans="1:7" s="53" customFormat="1" ht="15" thickBot="1" x14ac:dyDescent="0.4">
      <c r="A541" s="208"/>
      <c r="B541" s="107"/>
      <c r="C541" s="108"/>
      <c r="D541" s="109"/>
      <c r="E541" s="53" t="s">
        <v>690</v>
      </c>
      <c r="F541" s="75"/>
    </row>
    <row r="542" spans="1:7" s="53" customFormat="1" ht="15" thickBot="1" x14ac:dyDescent="0.4">
      <c r="A542" s="208"/>
      <c r="B542" s="110"/>
      <c r="C542" s="111" t="s">
        <v>74</v>
      </c>
      <c r="D542" s="112">
        <f>SUM(D529:D541)</f>
        <v>7734350</v>
      </c>
      <c r="F542" s="75"/>
    </row>
    <row r="543" spans="1:7" s="53" customFormat="1" ht="15.5" thickTop="1" thickBot="1" x14ac:dyDescent="0.4">
      <c r="A543" s="209"/>
      <c r="B543" s="211"/>
      <c r="C543" s="211"/>
      <c r="D543" s="211"/>
      <c r="F543" s="75"/>
    </row>
    <row r="544" spans="1:7" s="53" customFormat="1" x14ac:dyDescent="0.35">
      <c r="B544" s="89"/>
      <c r="C544" s="53" t="s">
        <v>75</v>
      </c>
      <c r="D544" s="113">
        <f>D526-D542</f>
        <v>5468650</v>
      </c>
      <c r="F544" s="75"/>
    </row>
    <row r="545" spans="1:6" s="53" customFormat="1" x14ac:dyDescent="0.35">
      <c r="B545" s="89"/>
      <c r="D545" s="113"/>
      <c r="F545" s="75"/>
    </row>
    <row r="546" spans="1:6" s="53" customFormat="1" x14ac:dyDescent="0.35">
      <c r="A546" s="114"/>
      <c r="B546" s="115"/>
      <c r="C546" s="114"/>
      <c r="D546" s="116"/>
      <c r="E546" s="114"/>
      <c r="F546" s="117"/>
    </row>
    <row r="547" spans="1:6" x14ac:dyDescent="0.35">
      <c r="F547" s="118"/>
    </row>
    <row r="548" spans="1:6" s="53" customFormat="1" ht="23.5" x14ac:dyDescent="0.55000000000000004">
      <c r="B548" s="206" t="s">
        <v>0</v>
      </c>
      <c r="C548" s="206"/>
      <c r="D548" s="206"/>
      <c r="E548" s="70"/>
      <c r="F548" s="71"/>
    </row>
    <row r="549" spans="1:6" s="53" customFormat="1" ht="20.5" x14ac:dyDescent="0.45">
      <c r="B549" s="72"/>
      <c r="C549" s="73" t="s">
        <v>250</v>
      </c>
      <c r="D549" s="74"/>
      <c r="F549" s="75"/>
    </row>
    <row r="550" spans="1:6" s="53" customFormat="1" ht="21" thickBot="1" x14ac:dyDescent="0.5">
      <c r="B550" s="72" t="s">
        <v>251</v>
      </c>
      <c r="C550" s="76" t="s">
        <v>47</v>
      </c>
      <c r="D550" s="74"/>
      <c r="F550" s="75"/>
    </row>
    <row r="551" spans="1:6" s="53" customFormat="1" ht="15" thickBot="1" x14ac:dyDescent="0.4">
      <c r="A551" s="77" t="s">
        <v>48</v>
      </c>
      <c r="B551" s="78" t="s">
        <v>26</v>
      </c>
      <c r="C551" s="78" t="s">
        <v>49</v>
      </c>
      <c r="D551" s="79" t="s">
        <v>29</v>
      </c>
      <c r="F551" s="75"/>
    </row>
    <row r="552" spans="1:6" s="53" customFormat="1" ht="14.5" customHeight="1" x14ac:dyDescent="0.35">
      <c r="A552" s="207" t="s">
        <v>31</v>
      </c>
      <c r="B552" s="80" t="s">
        <v>235</v>
      </c>
      <c r="C552" s="81" t="s">
        <v>103</v>
      </c>
      <c r="D552" s="82">
        <f>F559</f>
        <v>13203000</v>
      </c>
      <c r="F552" s="75"/>
    </row>
    <row r="553" spans="1:6" s="53" customFormat="1" ht="21" thickBot="1" x14ac:dyDescent="0.5">
      <c r="A553" s="208"/>
      <c r="B553" s="72"/>
      <c r="C553" s="72"/>
      <c r="D553" s="74"/>
      <c r="F553" s="75"/>
    </row>
    <row r="554" spans="1:6" s="53" customFormat="1" ht="15" thickBot="1" x14ac:dyDescent="0.4">
      <c r="A554" s="208"/>
      <c r="B554" s="83" t="s">
        <v>26</v>
      </c>
      <c r="C554" s="84" t="s">
        <v>51</v>
      </c>
      <c r="D554" s="85" t="s">
        <v>52</v>
      </c>
      <c r="F554" s="75"/>
    </row>
    <row r="555" spans="1:6" s="89" customFormat="1" x14ac:dyDescent="0.35">
      <c r="A555" s="208"/>
      <c r="B555" s="86" t="str">
        <f>B552</f>
        <v>24th January,2026</v>
      </c>
      <c r="C555" s="87" t="s">
        <v>558</v>
      </c>
      <c r="D555" s="88">
        <f>1850*2726</f>
        <v>5043100</v>
      </c>
      <c r="F555" s="90"/>
    </row>
    <row r="556" spans="1:6" s="53" customFormat="1" x14ac:dyDescent="0.35">
      <c r="A556" s="208"/>
      <c r="B556" s="91"/>
      <c r="C556" s="92" t="s">
        <v>53</v>
      </c>
      <c r="D556" s="93">
        <f>325*2450</f>
        <v>796250</v>
      </c>
      <c r="F556" s="75"/>
    </row>
    <row r="557" spans="1:6" s="53" customFormat="1" x14ac:dyDescent="0.35">
      <c r="A557" s="208"/>
      <c r="B557" s="91" t="s">
        <v>54</v>
      </c>
      <c r="C557" s="92" t="s">
        <v>55</v>
      </c>
      <c r="D557" s="93">
        <v>1000000</v>
      </c>
      <c r="F557" s="75"/>
    </row>
    <row r="558" spans="1:6" s="53" customFormat="1" x14ac:dyDescent="0.35">
      <c r="A558" s="208"/>
      <c r="B558" s="91" t="s">
        <v>56</v>
      </c>
      <c r="C558" s="92" t="s">
        <v>57</v>
      </c>
      <c r="D558" s="93">
        <v>40000</v>
      </c>
      <c r="E558" s="210" t="s">
        <v>58</v>
      </c>
      <c r="F558" s="210"/>
    </row>
    <row r="559" spans="1:6" s="53" customFormat="1" x14ac:dyDescent="0.35">
      <c r="A559" s="208"/>
      <c r="B559" s="91" t="s">
        <v>59</v>
      </c>
      <c r="C559" s="92" t="s">
        <v>60</v>
      </c>
      <c r="D559" s="93">
        <f>900*140</f>
        <v>126000</v>
      </c>
      <c r="E559" s="94" t="s">
        <v>61</v>
      </c>
      <c r="F559" s="95">
        <f>5400*2445</f>
        <v>13203000</v>
      </c>
    </row>
    <row r="560" spans="1:6" s="53" customFormat="1" x14ac:dyDescent="0.35">
      <c r="A560" s="208"/>
      <c r="B560" s="91"/>
      <c r="C560" s="92" t="s">
        <v>62</v>
      </c>
      <c r="D560" s="93">
        <f>3600*140</f>
        <v>504000</v>
      </c>
      <c r="E560" s="96" t="s">
        <v>63</v>
      </c>
      <c r="F560" s="75">
        <f>(3240*2445)+(2160*2445)</f>
        <v>13203000</v>
      </c>
    </row>
    <row r="561" spans="1:7" s="53" customFormat="1" ht="15" thickBot="1" x14ac:dyDescent="0.4">
      <c r="A561" s="208"/>
      <c r="B561" s="91" t="s">
        <v>64</v>
      </c>
      <c r="C561" s="92" t="s">
        <v>65</v>
      </c>
      <c r="D561" s="97">
        <v>30000</v>
      </c>
      <c r="E561" s="98" t="s">
        <v>66</v>
      </c>
      <c r="F561" s="99">
        <f>F559-F560</f>
        <v>0</v>
      </c>
      <c r="G561" s="100">
        <f>F561/2445</f>
        <v>0</v>
      </c>
    </row>
    <row r="562" spans="1:7" s="53" customFormat="1" ht="15" thickTop="1" x14ac:dyDescent="0.35">
      <c r="A562" s="208"/>
      <c r="B562" s="91"/>
      <c r="C562" s="92" t="s">
        <v>67</v>
      </c>
      <c r="D562" s="93">
        <v>150000</v>
      </c>
      <c r="F562" s="75"/>
    </row>
    <row r="563" spans="1:7" s="53" customFormat="1" x14ac:dyDescent="0.35">
      <c r="A563" s="208"/>
      <c r="B563" s="91" t="s">
        <v>249</v>
      </c>
      <c r="C563" s="101" t="s">
        <v>68</v>
      </c>
      <c r="D563" s="93">
        <v>15000</v>
      </c>
      <c r="E563" s="94" t="s">
        <v>69</v>
      </c>
      <c r="F563" s="95"/>
    </row>
    <row r="564" spans="1:7" s="53" customFormat="1" x14ac:dyDescent="0.35">
      <c r="A564" s="208"/>
      <c r="B564" s="102"/>
      <c r="C564" s="101" t="s">
        <v>70</v>
      </c>
      <c r="D564" s="103">
        <v>10000</v>
      </c>
      <c r="E564" s="104"/>
      <c r="F564" s="105"/>
    </row>
    <row r="565" spans="1:7" s="53" customFormat="1" x14ac:dyDescent="0.35">
      <c r="A565" s="208"/>
      <c r="B565" s="102"/>
      <c r="C565" s="101" t="s">
        <v>71</v>
      </c>
      <c r="D565" s="103">
        <v>20000</v>
      </c>
      <c r="E565" s="104" t="s">
        <v>72</v>
      </c>
      <c r="F565" s="105"/>
    </row>
    <row r="566" spans="1:7" s="53" customFormat="1" x14ac:dyDescent="0.35">
      <c r="A566" s="208"/>
      <c r="B566" s="102"/>
      <c r="C566" s="92"/>
      <c r="D566" s="106"/>
      <c r="E566" s="53" t="s">
        <v>351</v>
      </c>
      <c r="F566" s="105"/>
    </row>
    <row r="567" spans="1:7" s="53" customFormat="1" ht="15" thickBot="1" x14ac:dyDescent="0.4">
      <c r="A567" s="208"/>
      <c r="B567" s="107"/>
      <c r="C567" s="108"/>
      <c r="D567" s="109"/>
      <c r="E567" s="53" t="s">
        <v>690</v>
      </c>
      <c r="F567" s="75"/>
    </row>
    <row r="568" spans="1:7" s="53" customFormat="1" ht="15" thickBot="1" x14ac:dyDescent="0.4">
      <c r="A568" s="208"/>
      <c r="B568" s="110"/>
      <c r="C568" s="111" t="s">
        <v>74</v>
      </c>
      <c r="D568" s="112">
        <f>SUM(D555:D567)</f>
        <v>7734350</v>
      </c>
      <c r="F568" s="75"/>
    </row>
    <row r="569" spans="1:7" s="53" customFormat="1" ht="15.5" thickTop="1" thickBot="1" x14ac:dyDescent="0.4">
      <c r="A569" s="209"/>
      <c r="B569" s="211"/>
      <c r="C569" s="211"/>
      <c r="D569" s="211"/>
      <c r="F569" s="75"/>
    </row>
    <row r="570" spans="1:7" s="53" customFormat="1" x14ac:dyDescent="0.35">
      <c r="B570" s="89"/>
      <c r="C570" s="53" t="s">
        <v>75</v>
      </c>
      <c r="D570" s="113">
        <f>D552-D568</f>
        <v>5468650</v>
      </c>
      <c r="F570" s="75"/>
    </row>
    <row r="571" spans="1:7" s="53" customFormat="1" x14ac:dyDescent="0.35">
      <c r="B571" s="89"/>
      <c r="D571" s="113"/>
      <c r="F571" s="75"/>
    </row>
    <row r="572" spans="1:7" s="53" customFormat="1" x14ac:dyDescent="0.35">
      <c r="A572" s="114"/>
      <c r="B572" s="115"/>
      <c r="C572" s="114"/>
      <c r="D572" s="116"/>
      <c r="E572" s="114"/>
      <c r="F572" s="117"/>
    </row>
    <row r="573" spans="1:7" x14ac:dyDescent="0.35">
      <c r="F573" s="118"/>
    </row>
    <row r="574" spans="1:7" s="53" customFormat="1" ht="23.5" x14ac:dyDescent="0.55000000000000004">
      <c r="B574" s="206" t="s">
        <v>0</v>
      </c>
      <c r="C574" s="206"/>
      <c r="D574" s="206"/>
      <c r="E574" s="70"/>
      <c r="F574" s="71"/>
    </row>
    <row r="575" spans="1:7" s="53" customFormat="1" ht="20.5" x14ac:dyDescent="0.45">
      <c r="B575" s="72"/>
      <c r="C575" s="73" t="s">
        <v>255</v>
      </c>
      <c r="D575" s="74"/>
      <c r="F575" s="75"/>
    </row>
    <row r="576" spans="1:7" s="53" customFormat="1" ht="21" thickBot="1" x14ac:dyDescent="0.5">
      <c r="B576" s="72" t="s">
        <v>256</v>
      </c>
      <c r="C576" s="76" t="s">
        <v>47</v>
      </c>
      <c r="D576" s="74"/>
      <c r="F576" s="75"/>
    </row>
    <row r="577" spans="1:7" s="53" customFormat="1" ht="15" thickBot="1" x14ac:dyDescent="0.4">
      <c r="A577" s="77" t="s">
        <v>48</v>
      </c>
      <c r="B577" s="78" t="s">
        <v>26</v>
      </c>
      <c r="C577" s="78" t="s">
        <v>49</v>
      </c>
      <c r="D577" s="79" t="s">
        <v>29</v>
      </c>
      <c r="F577" s="75"/>
    </row>
    <row r="578" spans="1:7" s="53" customFormat="1" ht="14.5" customHeight="1" x14ac:dyDescent="0.35">
      <c r="A578" s="207" t="s">
        <v>31</v>
      </c>
      <c r="B578" s="80" t="s">
        <v>235</v>
      </c>
      <c r="C578" s="81" t="s">
        <v>103</v>
      </c>
      <c r="D578" s="82">
        <f>F585</f>
        <v>13203000</v>
      </c>
      <c r="F578" s="75"/>
    </row>
    <row r="579" spans="1:7" s="53" customFormat="1" ht="21" thickBot="1" x14ac:dyDescent="0.5">
      <c r="A579" s="208"/>
      <c r="B579" s="72"/>
      <c r="C579" s="72"/>
      <c r="D579" s="74"/>
      <c r="F579" s="75"/>
    </row>
    <row r="580" spans="1:7" s="53" customFormat="1" ht="15" thickBot="1" x14ac:dyDescent="0.4">
      <c r="A580" s="208"/>
      <c r="B580" s="83" t="s">
        <v>26</v>
      </c>
      <c r="C580" s="84" t="s">
        <v>51</v>
      </c>
      <c r="D580" s="85" t="s">
        <v>52</v>
      </c>
      <c r="F580" s="75"/>
    </row>
    <row r="581" spans="1:7" s="89" customFormat="1" x14ac:dyDescent="0.35">
      <c r="A581" s="208"/>
      <c r="B581" s="86" t="str">
        <f>B578</f>
        <v>24th January,2026</v>
      </c>
      <c r="C581" s="87" t="s">
        <v>558</v>
      </c>
      <c r="D581" s="88">
        <f>1850*2726</f>
        <v>5043100</v>
      </c>
      <c r="F581" s="90"/>
    </row>
    <row r="582" spans="1:7" s="53" customFormat="1" x14ac:dyDescent="0.35">
      <c r="A582" s="208"/>
      <c r="B582" s="91"/>
      <c r="C582" s="92" t="s">
        <v>53</v>
      </c>
      <c r="D582" s="93">
        <f>325*2450</f>
        <v>796250</v>
      </c>
      <c r="F582" s="75"/>
    </row>
    <row r="583" spans="1:7" s="53" customFormat="1" x14ac:dyDescent="0.35">
      <c r="A583" s="208"/>
      <c r="B583" s="91" t="s">
        <v>54</v>
      </c>
      <c r="C583" s="92" t="s">
        <v>55</v>
      </c>
      <c r="D583" s="93">
        <v>1000000</v>
      </c>
      <c r="F583" s="75"/>
    </row>
    <row r="584" spans="1:7" s="53" customFormat="1" x14ac:dyDescent="0.35">
      <c r="A584" s="208"/>
      <c r="B584" s="91" t="s">
        <v>56</v>
      </c>
      <c r="C584" s="92" t="s">
        <v>57</v>
      </c>
      <c r="D584" s="93">
        <v>40000</v>
      </c>
      <c r="E584" s="210" t="s">
        <v>58</v>
      </c>
      <c r="F584" s="210"/>
    </row>
    <row r="585" spans="1:7" s="53" customFormat="1" x14ac:dyDescent="0.35">
      <c r="A585" s="208"/>
      <c r="B585" s="91" t="s">
        <v>59</v>
      </c>
      <c r="C585" s="92" t="s">
        <v>60</v>
      </c>
      <c r="D585" s="93">
        <f>900*140</f>
        <v>126000</v>
      </c>
      <c r="E585" s="94" t="s">
        <v>61</v>
      </c>
      <c r="F585" s="95">
        <f>5400*2445</f>
        <v>13203000</v>
      </c>
    </row>
    <row r="586" spans="1:7" s="53" customFormat="1" x14ac:dyDescent="0.35">
      <c r="A586" s="208"/>
      <c r="B586" s="91"/>
      <c r="C586" s="92" t="s">
        <v>62</v>
      </c>
      <c r="D586" s="93">
        <f>3600*140</f>
        <v>504000</v>
      </c>
      <c r="E586" s="96" t="s">
        <v>63</v>
      </c>
      <c r="F586" s="75">
        <f>(3240*2445)+(2160*2445)</f>
        <v>13203000</v>
      </c>
    </row>
    <row r="587" spans="1:7" s="53" customFormat="1" ht="15" thickBot="1" x14ac:dyDescent="0.4">
      <c r="A587" s="208"/>
      <c r="B587" s="91" t="s">
        <v>64</v>
      </c>
      <c r="C587" s="92" t="s">
        <v>65</v>
      </c>
      <c r="D587" s="97">
        <v>30000</v>
      </c>
      <c r="E587" s="98" t="s">
        <v>66</v>
      </c>
      <c r="F587" s="99">
        <f>F585-F586</f>
        <v>0</v>
      </c>
      <c r="G587" s="100">
        <f>F587/2445</f>
        <v>0</v>
      </c>
    </row>
    <row r="588" spans="1:7" s="53" customFormat="1" ht="15" thickTop="1" x14ac:dyDescent="0.35">
      <c r="A588" s="208"/>
      <c r="B588" s="91"/>
      <c r="C588" s="92" t="s">
        <v>67</v>
      </c>
      <c r="D588" s="93">
        <v>150000</v>
      </c>
      <c r="F588" s="75"/>
    </row>
    <row r="589" spans="1:7" s="53" customFormat="1" x14ac:dyDescent="0.35">
      <c r="A589" s="208"/>
      <c r="B589" s="91" t="s">
        <v>254</v>
      </c>
      <c r="C589" s="101" t="s">
        <v>68</v>
      </c>
      <c r="D589" s="93">
        <v>15000</v>
      </c>
      <c r="E589" s="94" t="s">
        <v>69</v>
      </c>
      <c r="F589" s="95"/>
    </row>
    <row r="590" spans="1:7" s="53" customFormat="1" x14ac:dyDescent="0.35">
      <c r="A590" s="208"/>
      <c r="B590" s="102"/>
      <c r="C590" s="101" t="s">
        <v>70</v>
      </c>
      <c r="D590" s="103">
        <v>10000</v>
      </c>
      <c r="E590" s="104"/>
      <c r="F590" s="105"/>
    </row>
    <row r="591" spans="1:7" s="53" customFormat="1" x14ac:dyDescent="0.35">
      <c r="A591" s="208"/>
      <c r="B591" s="102"/>
      <c r="C591" s="101" t="s">
        <v>71</v>
      </c>
      <c r="D591" s="103">
        <v>20000</v>
      </c>
      <c r="E591" s="104" t="s">
        <v>72</v>
      </c>
      <c r="F591" s="105"/>
    </row>
    <row r="592" spans="1:7" s="53" customFormat="1" x14ac:dyDescent="0.35">
      <c r="A592" s="208"/>
      <c r="B592" s="102"/>
      <c r="C592" s="92"/>
      <c r="D592" s="106"/>
      <c r="E592" s="53" t="s">
        <v>351</v>
      </c>
      <c r="F592" s="105"/>
    </row>
    <row r="593" spans="1:6" s="53" customFormat="1" ht="15" thickBot="1" x14ac:dyDescent="0.4">
      <c r="A593" s="208"/>
      <c r="B593" s="107"/>
      <c r="C593" s="108"/>
      <c r="D593" s="109"/>
      <c r="E593" s="53" t="s">
        <v>802</v>
      </c>
      <c r="F593" s="75"/>
    </row>
    <row r="594" spans="1:6" s="53" customFormat="1" ht="15" thickBot="1" x14ac:dyDescent="0.4">
      <c r="A594" s="208"/>
      <c r="B594" s="110"/>
      <c r="C594" s="111" t="s">
        <v>74</v>
      </c>
      <c r="D594" s="112">
        <f>SUM(D581:D593)</f>
        <v>7734350</v>
      </c>
      <c r="F594" s="75"/>
    </row>
    <row r="595" spans="1:6" s="53" customFormat="1" ht="15.5" thickTop="1" thickBot="1" x14ac:dyDescent="0.4">
      <c r="A595" s="209"/>
      <c r="B595" s="211"/>
      <c r="C595" s="211"/>
      <c r="D595" s="211"/>
      <c r="F595" s="75"/>
    </row>
    <row r="596" spans="1:6" s="53" customFormat="1" x14ac:dyDescent="0.35">
      <c r="B596" s="89"/>
      <c r="C596" s="53" t="s">
        <v>75</v>
      </c>
      <c r="D596" s="113">
        <f>D578-D594</f>
        <v>5468650</v>
      </c>
      <c r="F596" s="75"/>
    </row>
    <row r="597" spans="1:6" s="53" customFormat="1" x14ac:dyDescent="0.35">
      <c r="B597" s="89"/>
      <c r="D597" s="113"/>
      <c r="F597" s="75"/>
    </row>
    <row r="598" spans="1:6" s="53" customFormat="1" x14ac:dyDescent="0.35">
      <c r="A598" s="114"/>
      <c r="B598" s="115"/>
      <c r="C598" s="114"/>
      <c r="D598" s="116"/>
      <c r="E598" s="114"/>
      <c r="F598" s="117"/>
    </row>
    <row r="599" spans="1:6" x14ac:dyDescent="0.35">
      <c r="F599" s="118"/>
    </row>
    <row r="600" spans="1:6" s="53" customFormat="1" ht="23.5" x14ac:dyDescent="0.55000000000000004">
      <c r="B600" s="206" t="s">
        <v>0</v>
      </c>
      <c r="C600" s="206"/>
      <c r="D600" s="206"/>
      <c r="E600" s="70"/>
      <c r="F600" s="71"/>
    </row>
    <row r="601" spans="1:6" s="53" customFormat="1" ht="20.5" x14ac:dyDescent="0.45">
      <c r="B601" s="72"/>
      <c r="C601" s="73" t="s">
        <v>259</v>
      </c>
      <c r="D601" s="74"/>
      <c r="F601" s="75"/>
    </row>
    <row r="602" spans="1:6" s="53" customFormat="1" ht="21" thickBot="1" x14ac:dyDescent="0.5">
      <c r="B602" s="72" t="s">
        <v>260</v>
      </c>
      <c r="C602" s="76" t="s">
        <v>47</v>
      </c>
      <c r="D602" s="74"/>
      <c r="F602" s="75"/>
    </row>
    <row r="603" spans="1:6" s="53" customFormat="1" ht="15" thickBot="1" x14ac:dyDescent="0.4">
      <c r="A603" s="77" t="s">
        <v>48</v>
      </c>
      <c r="B603" s="78" t="s">
        <v>26</v>
      </c>
      <c r="C603" s="78" t="s">
        <v>49</v>
      </c>
      <c r="D603" s="79" t="s">
        <v>29</v>
      </c>
      <c r="F603" s="75"/>
    </row>
    <row r="604" spans="1:6" s="53" customFormat="1" ht="14.5" customHeight="1" x14ac:dyDescent="0.35">
      <c r="A604" s="207" t="s">
        <v>31</v>
      </c>
      <c r="B604" s="80" t="s">
        <v>235</v>
      </c>
      <c r="C604" s="81" t="s">
        <v>103</v>
      </c>
      <c r="D604" s="82">
        <f>F611</f>
        <v>13203000</v>
      </c>
      <c r="F604" s="75"/>
    </row>
    <row r="605" spans="1:6" s="53" customFormat="1" ht="21" thickBot="1" x14ac:dyDescent="0.5">
      <c r="A605" s="208"/>
      <c r="B605" s="72"/>
      <c r="C605" s="72"/>
      <c r="D605" s="74"/>
      <c r="F605" s="75"/>
    </row>
    <row r="606" spans="1:6" s="53" customFormat="1" ht="15" thickBot="1" x14ac:dyDescent="0.4">
      <c r="A606" s="208"/>
      <c r="B606" s="83" t="s">
        <v>26</v>
      </c>
      <c r="C606" s="84" t="s">
        <v>51</v>
      </c>
      <c r="D606" s="85" t="s">
        <v>52</v>
      </c>
      <c r="F606" s="75"/>
    </row>
    <row r="607" spans="1:6" s="89" customFormat="1" x14ac:dyDescent="0.35">
      <c r="A607" s="208"/>
      <c r="B607" s="86" t="str">
        <f>B604</f>
        <v>24th January,2026</v>
      </c>
      <c r="C607" s="87" t="s">
        <v>461</v>
      </c>
      <c r="D607" s="88">
        <f>1900*2779</f>
        <v>5280100</v>
      </c>
      <c r="F607" s="90"/>
    </row>
    <row r="608" spans="1:6" s="53" customFormat="1" x14ac:dyDescent="0.35">
      <c r="A608" s="208"/>
      <c r="B608" s="91"/>
      <c r="C608" s="92" t="s">
        <v>53</v>
      </c>
      <c r="D608" s="93">
        <f>325*2450</f>
        <v>796250</v>
      </c>
      <c r="F608" s="75"/>
    </row>
    <row r="609" spans="1:7" s="53" customFormat="1" x14ac:dyDescent="0.35">
      <c r="A609" s="208"/>
      <c r="B609" s="91" t="s">
        <v>54</v>
      </c>
      <c r="C609" s="92" t="s">
        <v>55</v>
      </c>
      <c r="D609" s="93">
        <v>1000000</v>
      </c>
      <c r="F609" s="75"/>
    </row>
    <row r="610" spans="1:7" s="53" customFormat="1" x14ac:dyDescent="0.35">
      <c r="A610" s="208"/>
      <c r="B610" s="91" t="s">
        <v>56</v>
      </c>
      <c r="C610" s="92" t="s">
        <v>57</v>
      </c>
      <c r="D610" s="93">
        <v>40000</v>
      </c>
      <c r="E610" s="210" t="s">
        <v>58</v>
      </c>
      <c r="F610" s="210"/>
    </row>
    <row r="611" spans="1:7" s="53" customFormat="1" x14ac:dyDescent="0.35">
      <c r="A611" s="208"/>
      <c r="B611" s="91" t="s">
        <v>59</v>
      </c>
      <c r="C611" s="92" t="s">
        <v>60</v>
      </c>
      <c r="D611" s="93">
        <f>950*140</f>
        <v>133000</v>
      </c>
      <c r="E611" s="94" t="s">
        <v>61</v>
      </c>
      <c r="F611" s="95">
        <f>5400*2445</f>
        <v>13203000</v>
      </c>
    </row>
    <row r="612" spans="1:7" s="53" customFormat="1" x14ac:dyDescent="0.35">
      <c r="A612" s="208"/>
      <c r="B612" s="91"/>
      <c r="C612" s="92" t="s">
        <v>62</v>
      </c>
      <c r="D612" s="93">
        <f>4200*140</f>
        <v>588000</v>
      </c>
      <c r="E612" s="96" t="s">
        <v>63</v>
      </c>
      <c r="F612" s="75">
        <f>(3240*2445)+(2160*2445)</f>
        <v>13203000</v>
      </c>
    </row>
    <row r="613" spans="1:7" s="53" customFormat="1" ht="15" thickBot="1" x14ac:dyDescent="0.4">
      <c r="A613" s="208"/>
      <c r="B613" s="91" t="s">
        <v>64</v>
      </c>
      <c r="C613" s="92" t="s">
        <v>65</v>
      </c>
      <c r="D613" s="97">
        <v>30000</v>
      </c>
      <c r="E613" s="98" t="s">
        <v>66</v>
      </c>
      <c r="F613" s="99">
        <f>F611-F612</f>
        <v>0</v>
      </c>
      <c r="G613" s="100">
        <f>F613/2445</f>
        <v>0</v>
      </c>
    </row>
    <row r="614" spans="1:7" s="53" customFormat="1" ht="15" thickTop="1" x14ac:dyDescent="0.35">
      <c r="A614" s="208"/>
      <c r="B614" s="91"/>
      <c r="C614" s="92" t="s">
        <v>67</v>
      </c>
      <c r="D614" s="93">
        <v>150000</v>
      </c>
      <c r="F614" s="75"/>
    </row>
    <row r="615" spans="1:7" s="53" customFormat="1" x14ac:dyDescent="0.35">
      <c r="A615" s="208"/>
      <c r="B615" s="91" t="s">
        <v>258</v>
      </c>
      <c r="C615" s="101" t="s">
        <v>68</v>
      </c>
      <c r="D615" s="93">
        <v>15000</v>
      </c>
      <c r="E615" s="94" t="s">
        <v>69</v>
      </c>
      <c r="F615" s="95"/>
    </row>
    <row r="616" spans="1:7" s="53" customFormat="1" x14ac:dyDescent="0.35">
      <c r="A616" s="208"/>
      <c r="B616" s="102"/>
      <c r="C616" s="101" t="s">
        <v>70</v>
      </c>
      <c r="D616" s="103">
        <v>10000</v>
      </c>
      <c r="E616" s="104"/>
      <c r="F616" s="105"/>
    </row>
    <row r="617" spans="1:7" s="53" customFormat="1" x14ac:dyDescent="0.35">
      <c r="A617" s="208"/>
      <c r="B617" s="102"/>
      <c r="C617" s="101" t="s">
        <v>71</v>
      </c>
      <c r="D617" s="103">
        <v>40000</v>
      </c>
      <c r="E617" s="104" t="s">
        <v>72</v>
      </c>
      <c r="F617" s="105"/>
    </row>
    <row r="618" spans="1:7" s="53" customFormat="1" x14ac:dyDescent="0.35">
      <c r="A618" s="208"/>
      <c r="B618" s="102"/>
      <c r="C618" s="92" t="s">
        <v>73</v>
      </c>
      <c r="D618" s="106">
        <f>317*140</f>
        <v>44380</v>
      </c>
      <c r="E618" s="53" t="s">
        <v>348</v>
      </c>
      <c r="F618" s="105"/>
    </row>
    <row r="619" spans="1:7" s="53" customFormat="1" ht="15" thickBot="1" x14ac:dyDescent="0.4">
      <c r="A619" s="208"/>
      <c r="B619" s="107"/>
      <c r="C619" s="108"/>
      <c r="D619" s="109"/>
      <c r="E619" s="53" t="s">
        <v>694</v>
      </c>
      <c r="F619" s="75"/>
    </row>
    <row r="620" spans="1:7" s="53" customFormat="1" ht="15" thickBot="1" x14ac:dyDescent="0.4">
      <c r="A620" s="208"/>
      <c r="B620" s="110"/>
      <c r="C620" s="111" t="s">
        <v>74</v>
      </c>
      <c r="D620" s="112">
        <f>SUM(D607:D619)</f>
        <v>8126730</v>
      </c>
      <c r="F620" s="75"/>
    </row>
    <row r="621" spans="1:7" s="53" customFormat="1" ht="15.5" thickTop="1" thickBot="1" x14ac:dyDescent="0.4">
      <c r="A621" s="209"/>
      <c r="B621" s="211"/>
      <c r="C621" s="211"/>
      <c r="D621" s="211"/>
      <c r="F621" s="75"/>
    </row>
    <row r="622" spans="1:7" s="53" customFormat="1" x14ac:dyDescent="0.35">
      <c r="B622" s="89"/>
      <c r="C622" s="53" t="s">
        <v>75</v>
      </c>
      <c r="D622" s="113">
        <f>D604-D620</f>
        <v>5076270</v>
      </c>
      <c r="F622" s="75"/>
    </row>
    <row r="623" spans="1:7" s="53" customFormat="1" x14ac:dyDescent="0.35">
      <c r="B623" s="89"/>
      <c r="D623" s="113"/>
      <c r="F623" s="75"/>
    </row>
    <row r="624" spans="1:7" s="53" customFormat="1" x14ac:dyDescent="0.35">
      <c r="A624" s="114"/>
      <c r="B624" s="115"/>
      <c r="C624" s="114"/>
      <c r="D624" s="116"/>
      <c r="E624" s="114"/>
      <c r="F624" s="117"/>
    </row>
    <row r="625" spans="1:7" x14ac:dyDescent="0.35">
      <c r="F625" s="118"/>
    </row>
    <row r="626" spans="1:7" s="53" customFormat="1" ht="23.5" x14ac:dyDescent="0.55000000000000004">
      <c r="B626" s="206" t="s">
        <v>0</v>
      </c>
      <c r="C626" s="206"/>
      <c r="D626" s="206"/>
      <c r="E626" s="70"/>
      <c r="F626" s="71"/>
    </row>
    <row r="627" spans="1:7" s="53" customFormat="1" ht="20.5" x14ac:dyDescent="0.45">
      <c r="B627" s="72"/>
      <c r="C627" s="73" t="s">
        <v>263</v>
      </c>
      <c r="D627" s="74"/>
      <c r="F627" s="75"/>
    </row>
    <row r="628" spans="1:7" s="53" customFormat="1" ht="21" thickBot="1" x14ac:dyDescent="0.5">
      <c r="B628" s="72" t="s">
        <v>264</v>
      </c>
      <c r="C628" s="76" t="s">
        <v>47</v>
      </c>
      <c r="D628" s="74"/>
      <c r="F628" s="75"/>
    </row>
    <row r="629" spans="1:7" s="53" customFormat="1" ht="15" thickBot="1" x14ac:dyDescent="0.4">
      <c r="A629" s="77" t="s">
        <v>48</v>
      </c>
      <c r="B629" s="78" t="s">
        <v>26</v>
      </c>
      <c r="C629" s="78" t="s">
        <v>49</v>
      </c>
      <c r="D629" s="79" t="s">
        <v>29</v>
      </c>
      <c r="F629" s="75"/>
    </row>
    <row r="630" spans="1:7" s="53" customFormat="1" ht="14.5" customHeight="1" x14ac:dyDescent="0.35">
      <c r="A630" s="207" t="s">
        <v>31</v>
      </c>
      <c r="B630" s="80" t="s">
        <v>235</v>
      </c>
      <c r="C630" s="81" t="s">
        <v>103</v>
      </c>
      <c r="D630" s="82">
        <f>F637</f>
        <v>13203000</v>
      </c>
      <c r="F630" s="75"/>
    </row>
    <row r="631" spans="1:7" s="53" customFormat="1" ht="21" thickBot="1" x14ac:dyDescent="0.5">
      <c r="A631" s="208"/>
      <c r="B631" s="72"/>
      <c r="C631" s="72"/>
      <c r="D631" s="74"/>
      <c r="F631" s="75"/>
    </row>
    <row r="632" spans="1:7" s="53" customFormat="1" ht="15" thickBot="1" x14ac:dyDescent="0.4">
      <c r="A632" s="208"/>
      <c r="B632" s="83" t="s">
        <v>26</v>
      </c>
      <c r="C632" s="84" t="s">
        <v>51</v>
      </c>
      <c r="D632" s="85" t="s">
        <v>52</v>
      </c>
      <c r="F632" s="75"/>
    </row>
    <row r="633" spans="1:7" s="89" customFormat="1" x14ac:dyDescent="0.35">
      <c r="A633" s="208"/>
      <c r="B633" s="86" t="str">
        <f>B630</f>
        <v>24th January,2026</v>
      </c>
      <c r="C633" s="87" t="s">
        <v>558</v>
      </c>
      <c r="D633" s="88">
        <f>1850*2726</f>
        <v>5043100</v>
      </c>
      <c r="F633" s="90"/>
    </row>
    <row r="634" spans="1:7" s="53" customFormat="1" x14ac:dyDescent="0.35">
      <c r="A634" s="208"/>
      <c r="B634" s="91"/>
      <c r="C634" s="92" t="s">
        <v>53</v>
      </c>
      <c r="D634" s="93">
        <f>325*2450</f>
        <v>796250</v>
      </c>
      <c r="F634" s="75"/>
    </row>
    <row r="635" spans="1:7" s="53" customFormat="1" x14ac:dyDescent="0.35">
      <c r="A635" s="208"/>
      <c r="B635" s="91" t="s">
        <v>54</v>
      </c>
      <c r="C635" s="92" t="s">
        <v>55</v>
      </c>
      <c r="D635" s="93">
        <v>1000000</v>
      </c>
      <c r="F635" s="75"/>
    </row>
    <row r="636" spans="1:7" s="53" customFormat="1" x14ac:dyDescent="0.35">
      <c r="A636" s="208"/>
      <c r="B636" s="91" t="s">
        <v>56</v>
      </c>
      <c r="C636" s="92" t="s">
        <v>57</v>
      </c>
      <c r="D636" s="93">
        <v>40000</v>
      </c>
      <c r="E636" s="210" t="s">
        <v>58</v>
      </c>
      <c r="F636" s="210"/>
    </row>
    <row r="637" spans="1:7" s="53" customFormat="1" x14ac:dyDescent="0.35">
      <c r="A637" s="208"/>
      <c r="B637" s="91" t="s">
        <v>59</v>
      </c>
      <c r="C637" s="92" t="s">
        <v>60</v>
      </c>
      <c r="D637" s="93">
        <f>900*140</f>
        <v>126000</v>
      </c>
      <c r="E637" s="94" t="s">
        <v>61</v>
      </c>
      <c r="F637" s="95">
        <f>5400*2445</f>
        <v>13203000</v>
      </c>
    </row>
    <row r="638" spans="1:7" s="53" customFormat="1" x14ac:dyDescent="0.35">
      <c r="A638" s="208"/>
      <c r="B638" s="91"/>
      <c r="C638" s="92" t="s">
        <v>62</v>
      </c>
      <c r="D638" s="93">
        <f>3600*140</f>
        <v>504000</v>
      </c>
      <c r="E638" s="96" t="s">
        <v>63</v>
      </c>
      <c r="F638" s="75">
        <f>(3240*2445)+(2160*2445)</f>
        <v>13203000</v>
      </c>
    </row>
    <row r="639" spans="1:7" s="53" customFormat="1" ht="15" thickBot="1" x14ac:dyDescent="0.4">
      <c r="A639" s="208"/>
      <c r="B639" s="91" t="s">
        <v>64</v>
      </c>
      <c r="C639" s="92" t="s">
        <v>65</v>
      </c>
      <c r="D639" s="97">
        <v>30000</v>
      </c>
      <c r="E639" s="98" t="s">
        <v>66</v>
      </c>
      <c r="F639" s="99">
        <f>F637-F638</f>
        <v>0</v>
      </c>
      <c r="G639" s="100">
        <f>F639/2445</f>
        <v>0</v>
      </c>
    </row>
    <row r="640" spans="1:7" s="53" customFormat="1" ht="15" thickTop="1" x14ac:dyDescent="0.35">
      <c r="A640" s="208"/>
      <c r="B640" s="91"/>
      <c r="C640" s="92" t="s">
        <v>67</v>
      </c>
      <c r="D640" s="93">
        <v>150000</v>
      </c>
      <c r="F640" s="75"/>
    </row>
    <row r="641" spans="1:6" s="53" customFormat="1" x14ac:dyDescent="0.35">
      <c r="A641" s="208"/>
      <c r="B641" s="91" t="s">
        <v>262</v>
      </c>
      <c r="C641" s="101" t="s">
        <v>68</v>
      </c>
      <c r="D641" s="93">
        <v>15000</v>
      </c>
      <c r="E641" s="94" t="s">
        <v>69</v>
      </c>
      <c r="F641" s="95"/>
    </row>
    <row r="642" spans="1:6" s="53" customFormat="1" x14ac:dyDescent="0.35">
      <c r="A642" s="208"/>
      <c r="B642" s="102"/>
      <c r="C642" s="101" t="s">
        <v>70</v>
      </c>
      <c r="D642" s="103">
        <v>10000</v>
      </c>
      <c r="E642" s="104"/>
      <c r="F642" s="105"/>
    </row>
    <row r="643" spans="1:6" s="53" customFormat="1" x14ac:dyDescent="0.35">
      <c r="A643" s="208"/>
      <c r="B643" s="102"/>
      <c r="C643" s="101" t="s">
        <v>71</v>
      </c>
      <c r="D643" s="103">
        <v>20000</v>
      </c>
      <c r="E643" s="104" t="s">
        <v>72</v>
      </c>
      <c r="F643" s="105"/>
    </row>
    <row r="644" spans="1:6" s="53" customFormat="1" x14ac:dyDescent="0.35">
      <c r="A644" s="208"/>
      <c r="B644" s="102"/>
      <c r="C644" s="92"/>
      <c r="D644" s="106"/>
      <c r="E644" s="53" t="s">
        <v>348</v>
      </c>
      <c r="F644" s="105"/>
    </row>
    <row r="645" spans="1:6" s="53" customFormat="1" ht="15" thickBot="1" x14ac:dyDescent="0.4">
      <c r="A645" s="208"/>
      <c r="B645" s="107"/>
      <c r="C645" s="108"/>
      <c r="D645" s="109"/>
      <c r="E645" s="53" t="s">
        <v>800</v>
      </c>
      <c r="F645" s="75"/>
    </row>
    <row r="646" spans="1:6" s="53" customFormat="1" ht="15" thickBot="1" x14ac:dyDescent="0.4">
      <c r="A646" s="208"/>
      <c r="B646" s="110"/>
      <c r="C646" s="111" t="s">
        <v>74</v>
      </c>
      <c r="D646" s="112">
        <f>SUM(D633:D645)</f>
        <v>7734350</v>
      </c>
      <c r="F646" s="75"/>
    </row>
    <row r="647" spans="1:6" s="53" customFormat="1" ht="15.5" thickTop="1" thickBot="1" x14ac:dyDescent="0.4">
      <c r="A647" s="209"/>
      <c r="B647" s="211"/>
      <c r="C647" s="211"/>
      <c r="D647" s="211"/>
      <c r="F647" s="75"/>
    </row>
    <row r="648" spans="1:6" s="53" customFormat="1" x14ac:dyDescent="0.35">
      <c r="B648" s="89"/>
      <c r="C648" s="53" t="s">
        <v>75</v>
      </c>
      <c r="D648" s="113">
        <f>D630-D646</f>
        <v>5468650</v>
      </c>
      <c r="F648" s="75"/>
    </row>
    <row r="649" spans="1:6" s="53" customFormat="1" x14ac:dyDescent="0.35">
      <c r="B649" s="89"/>
      <c r="D649" s="113"/>
      <c r="F649" s="75"/>
    </row>
    <row r="650" spans="1:6" s="53" customFormat="1" x14ac:dyDescent="0.35">
      <c r="A650" s="114"/>
      <c r="B650" s="115"/>
      <c r="C650" s="114"/>
      <c r="D650" s="116"/>
      <c r="E650" s="114"/>
      <c r="F650" s="117"/>
    </row>
    <row r="651" spans="1:6" x14ac:dyDescent="0.35">
      <c r="F651" s="118"/>
    </row>
    <row r="652" spans="1:6" s="53" customFormat="1" ht="23.5" x14ac:dyDescent="0.55000000000000004">
      <c r="B652" s="206" t="s">
        <v>0</v>
      </c>
      <c r="C652" s="206"/>
      <c r="D652" s="206"/>
      <c r="E652" s="70"/>
      <c r="F652" s="71"/>
    </row>
    <row r="653" spans="1:6" s="53" customFormat="1" ht="20.5" x14ac:dyDescent="0.45">
      <c r="B653" s="72"/>
      <c r="C653" s="73" t="s">
        <v>269</v>
      </c>
      <c r="D653" s="74"/>
      <c r="F653" s="75"/>
    </row>
    <row r="654" spans="1:6" s="53" customFormat="1" ht="21" thickBot="1" x14ac:dyDescent="0.5">
      <c r="B654" s="72" t="s">
        <v>270</v>
      </c>
      <c r="C654" s="76" t="s">
        <v>47</v>
      </c>
      <c r="D654" s="74"/>
      <c r="F654" s="75"/>
    </row>
    <row r="655" spans="1:6" s="53" customFormat="1" ht="15" thickBot="1" x14ac:dyDescent="0.4">
      <c r="A655" s="77" t="s">
        <v>48</v>
      </c>
      <c r="B655" s="78" t="s">
        <v>26</v>
      </c>
      <c r="C655" s="78" t="s">
        <v>49</v>
      </c>
      <c r="D655" s="79" t="s">
        <v>29</v>
      </c>
      <c r="F655" s="75"/>
    </row>
    <row r="656" spans="1:6" s="53" customFormat="1" ht="14.5" customHeight="1" x14ac:dyDescent="0.35">
      <c r="A656" s="207" t="s">
        <v>31</v>
      </c>
      <c r="B656" s="80" t="s">
        <v>271</v>
      </c>
      <c r="C656" s="81" t="s">
        <v>103</v>
      </c>
      <c r="D656" s="82">
        <f>F663</f>
        <v>13447500</v>
      </c>
      <c r="F656" s="75"/>
    </row>
    <row r="657" spans="1:7" s="53" customFormat="1" ht="21" thickBot="1" x14ac:dyDescent="0.5">
      <c r="A657" s="208"/>
      <c r="B657" s="72"/>
      <c r="C657" s="72"/>
      <c r="D657" s="74"/>
      <c r="F657" s="75"/>
    </row>
    <row r="658" spans="1:7" s="53" customFormat="1" ht="15" thickBot="1" x14ac:dyDescent="0.4">
      <c r="A658" s="208"/>
      <c r="B658" s="83" t="s">
        <v>26</v>
      </c>
      <c r="C658" s="84" t="s">
        <v>51</v>
      </c>
      <c r="D658" s="85" t="s">
        <v>52</v>
      </c>
      <c r="F658" s="75"/>
    </row>
    <row r="659" spans="1:7" s="89" customFormat="1" x14ac:dyDescent="0.35">
      <c r="A659" s="208"/>
      <c r="B659" s="86" t="str">
        <f>B656</f>
        <v>26th January,2026</v>
      </c>
      <c r="C659" s="87" t="s">
        <v>154</v>
      </c>
      <c r="D659" s="88">
        <f>1850*2750</f>
        <v>5087500</v>
      </c>
      <c r="F659" s="90"/>
    </row>
    <row r="660" spans="1:7" s="53" customFormat="1" x14ac:dyDescent="0.35">
      <c r="A660" s="208"/>
      <c r="B660" s="91"/>
      <c r="C660" s="92" t="s">
        <v>272</v>
      </c>
      <c r="D660" s="93">
        <f>323*2450</f>
        <v>791350</v>
      </c>
      <c r="F660" s="75"/>
    </row>
    <row r="661" spans="1:7" s="53" customFormat="1" x14ac:dyDescent="0.35">
      <c r="A661" s="208"/>
      <c r="B661" s="91" t="s">
        <v>54</v>
      </c>
      <c r="C661" s="92" t="s">
        <v>55</v>
      </c>
      <c r="D661" s="93">
        <v>1000000</v>
      </c>
      <c r="F661" s="75"/>
    </row>
    <row r="662" spans="1:7" s="53" customFormat="1" x14ac:dyDescent="0.35">
      <c r="A662" s="208"/>
      <c r="B662" s="91" t="s">
        <v>56</v>
      </c>
      <c r="C662" s="92" t="s">
        <v>57</v>
      </c>
      <c r="D662" s="93">
        <v>40000</v>
      </c>
      <c r="E662" s="210" t="s">
        <v>58</v>
      </c>
      <c r="F662" s="210"/>
    </row>
    <row r="663" spans="1:7" s="53" customFormat="1" x14ac:dyDescent="0.35">
      <c r="A663" s="208"/>
      <c r="B663" s="91" t="s">
        <v>268</v>
      </c>
      <c r="C663" s="92" t="s">
        <v>60</v>
      </c>
      <c r="D663" s="93">
        <f>550*140</f>
        <v>77000</v>
      </c>
      <c r="E663" s="94" t="s">
        <v>61</v>
      </c>
      <c r="F663" s="95">
        <f>5500*2445</f>
        <v>13447500</v>
      </c>
    </row>
    <row r="664" spans="1:7" s="53" customFormat="1" x14ac:dyDescent="0.35">
      <c r="A664" s="208"/>
      <c r="B664" s="91"/>
      <c r="C664" s="92" t="s">
        <v>62</v>
      </c>
      <c r="D664" s="93">
        <f>4890*140</f>
        <v>684600</v>
      </c>
      <c r="E664" s="96" t="s">
        <v>63</v>
      </c>
      <c r="F664" s="75">
        <f>(3300*2445)+(2140*2445)</f>
        <v>13300800</v>
      </c>
    </row>
    <row r="665" spans="1:7" s="53" customFormat="1" ht="15" thickBot="1" x14ac:dyDescent="0.4">
      <c r="A665" s="208"/>
      <c r="B665" s="91" t="s">
        <v>64</v>
      </c>
      <c r="C665" s="92" t="s">
        <v>65</v>
      </c>
      <c r="D665" s="97">
        <v>30000</v>
      </c>
      <c r="E665" s="98" t="s">
        <v>66</v>
      </c>
      <c r="F665" s="99">
        <f>F663-F664</f>
        <v>146700</v>
      </c>
      <c r="G665" s="100">
        <f>F665/2445</f>
        <v>60</v>
      </c>
    </row>
    <row r="666" spans="1:7" s="53" customFormat="1" ht="15" thickTop="1" x14ac:dyDescent="0.35">
      <c r="A666" s="208"/>
      <c r="B666" s="91"/>
      <c r="C666" s="92" t="s">
        <v>67</v>
      </c>
      <c r="D666" s="93">
        <v>150000</v>
      </c>
      <c r="F666" s="75"/>
    </row>
    <row r="667" spans="1:7" s="53" customFormat="1" x14ac:dyDescent="0.35">
      <c r="A667" s="208"/>
      <c r="B667" s="91" t="s">
        <v>262</v>
      </c>
      <c r="C667" s="101" t="s">
        <v>68</v>
      </c>
      <c r="D667" s="93">
        <v>15000</v>
      </c>
      <c r="E667" s="94" t="s">
        <v>69</v>
      </c>
      <c r="F667" s="95"/>
    </row>
    <row r="668" spans="1:7" s="53" customFormat="1" x14ac:dyDescent="0.35">
      <c r="A668" s="208"/>
      <c r="B668" s="102"/>
      <c r="C668" s="101" t="s">
        <v>70</v>
      </c>
      <c r="D668" s="103">
        <v>10000</v>
      </c>
      <c r="E668" s="104"/>
      <c r="F668" s="105"/>
    </row>
    <row r="669" spans="1:7" s="53" customFormat="1" x14ac:dyDescent="0.35">
      <c r="A669" s="208"/>
      <c r="B669" s="102"/>
      <c r="C669" s="101" t="s">
        <v>71</v>
      </c>
      <c r="D669" s="103">
        <v>30000</v>
      </c>
      <c r="E669" s="104" t="s">
        <v>72</v>
      </c>
      <c r="F669" s="105"/>
    </row>
    <row r="670" spans="1:7" s="53" customFormat="1" x14ac:dyDescent="0.35">
      <c r="A670" s="208"/>
      <c r="B670" s="102"/>
      <c r="C670" s="92"/>
      <c r="D670" s="106"/>
      <c r="E670" s="53" t="s">
        <v>358</v>
      </c>
      <c r="F670" s="105"/>
    </row>
    <row r="671" spans="1:7" s="53" customFormat="1" ht="15" thickBot="1" x14ac:dyDescent="0.4">
      <c r="A671" s="208"/>
      <c r="B671" s="107"/>
      <c r="C671" s="108"/>
      <c r="D671" s="109"/>
      <c r="E671" s="53" t="s">
        <v>800</v>
      </c>
      <c r="F671" s="75"/>
    </row>
    <row r="672" spans="1:7" s="53" customFormat="1" ht="15" thickBot="1" x14ac:dyDescent="0.4">
      <c r="A672" s="208"/>
      <c r="B672" s="110"/>
      <c r="C672" s="111" t="s">
        <v>74</v>
      </c>
      <c r="D672" s="112">
        <f>SUM(D659:D671)</f>
        <v>7915450</v>
      </c>
      <c r="F672" s="75"/>
    </row>
    <row r="673" spans="1:6" s="53" customFormat="1" ht="15.5" thickTop="1" thickBot="1" x14ac:dyDescent="0.4">
      <c r="A673" s="209"/>
      <c r="B673" s="211"/>
      <c r="C673" s="211"/>
      <c r="D673" s="211"/>
      <c r="F673" s="75"/>
    </row>
    <row r="674" spans="1:6" s="53" customFormat="1" x14ac:dyDescent="0.35">
      <c r="B674" s="89"/>
      <c r="C674" s="53" t="s">
        <v>75</v>
      </c>
      <c r="D674" s="113">
        <f>D656-D672</f>
        <v>5532050</v>
      </c>
      <c r="F674" s="75"/>
    </row>
    <row r="675" spans="1:6" s="53" customFormat="1" x14ac:dyDescent="0.35">
      <c r="B675" s="89"/>
      <c r="D675" s="113"/>
      <c r="F675" s="75"/>
    </row>
    <row r="676" spans="1:6" s="53" customFormat="1" x14ac:dyDescent="0.35">
      <c r="A676" s="114"/>
      <c r="B676" s="115"/>
      <c r="C676" s="114"/>
      <c r="D676" s="116"/>
      <c r="E676" s="114"/>
      <c r="F676" s="117"/>
    </row>
    <row r="678" spans="1:6" s="53" customFormat="1" ht="23.5" x14ac:dyDescent="0.55000000000000004">
      <c r="B678" s="206" t="s">
        <v>0</v>
      </c>
      <c r="C678" s="206"/>
      <c r="D678" s="206"/>
      <c r="E678" s="70"/>
      <c r="F678" s="71"/>
    </row>
    <row r="679" spans="1:6" s="53" customFormat="1" ht="20.5" x14ac:dyDescent="0.45">
      <c r="B679" s="72"/>
      <c r="C679" s="73" t="s">
        <v>276</v>
      </c>
      <c r="D679" s="74"/>
      <c r="F679" s="75"/>
    </row>
    <row r="680" spans="1:6" s="53" customFormat="1" ht="21" thickBot="1" x14ac:dyDescent="0.5">
      <c r="B680" s="72" t="s">
        <v>277</v>
      </c>
      <c r="C680" s="76" t="s">
        <v>47</v>
      </c>
      <c r="D680" s="74"/>
      <c r="F680" s="75"/>
    </row>
    <row r="681" spans="1:6" s="53" customFormat="1" ht="15" thickBot="1" x14ac:dyDescent="0.4">
      <c r="A681" s="77" t="s">
        <v>48</v>
      </c>
      <c r="B681" s="78" t="s">
        <v>26</v>
      </c>
      <c r="C681" s="78" t="s">
        <v>49</v>
      </c>
      <c r="D681" s="79" t="s">
        <v>29</v>
      </c>
      <c r="F681" s="75"/>
    </row>
    <row r="682" spans="1:6" s="53" customFormat="1" ht="14.5" customHeight="1" x14ac:dyDescent="0.35">
      <c r="A682" s="207" t="s">
        <v>31</v>
      </c>
      <c r="B682" s="80" t="s">
        <v>235</v>
      </c>
      <c r="C682" s="81" t="s">
        <v>103</v>
      </c>
      <c r="D682" s="82">
        <f>F689</f>
        <v>13203000</v>
      </c>
      <c r="F682" s="75"/>
    </row>
    <row r="683" spans="1:6" s="53" customFormat="1" ht="21" thickBot="1" x14ac:dyDescent="0.5">
      <c r="A683" s="208"/>
      <c r="B683" s="72"/>
      <c r="C683" s="72"/>
      <c r="D683" s="74"/>
      <c r="F683" s="75"/>
    </row>
    <row r="684" spans="1:6" s="53" customFormat="1" ht="15" thickBot="1" x14ac:dyDescent="0.4">
      <c r="A684" s="208"/>
      <c r="B684" s="83" t="s">
        <v>26</v>
      </c>
      <c r="C684" s="84" t="s">
        <v>51</v>
      </c>
      <c r="D684" s="85" t="s">
        <v>52</v>
      </c>
      <c r="F684" s="75"/>
    </row>
    <row r="685" spans="1:6" s="89" customFormat="1" x14ac:dyDescent="0.35">
      <c r="A685" s="208"/>
      <c r="B685" s="86" t="str">
        <f>B682</f>
        <v>24th January,2026</v>
      </c>
      <c r="C685" s="87" t="s">
        <v>558</v>
      </c>
      <c r="D685" s="88">
        <f>1850*2726</f>
        <v>5043100</v>
      </c>
      <c r="F685" s="90"/>
    </row>
    <row r="686" spans="1:6" s="53" customFormat="1" x14ac:dyDescent="0.35">
      <c r="A686" s="208"/>
      <c r="B686" s="91"/>
      <c r="C686" s="92" t="s">
        <v>53</v>
      </c>
      <c r="D686" s="93">
        <f>325*2450</f>
        <v>796250</v>
      </c>
      <c r="F686" s="75"/>
    </row>
    <row r="687" spans="1:6" s="53" customFormat="1" x14ac:dyDescent="0.35">
      <c r="A687" s="208"/>
      <c r="B687" s="91" t="s">
        <v>54</v>
      </c>
      <c r="C687" s="92" t="s">
        <v>55</v>
      </c>
      <c r="D687" s="93">
        <v>1000000</v>
      </c>
      <c r="F687" s="75"/>
    </row>
    <row r="688" spans="1:6" s="53" customFormat="1" x14ac:dyDescent="0.35">
      <c r="A688" s="208"/>
      <c r="B688" s="91" t="s">
        <v>56</v>
      </c>
      <c r="C688" s="92" t="s">
        <v>57</v>
      </c>
      <c r="D688" s="93">
        <v>40000</v>
      </c>
      <c r="E688" s="210" t="s">
        <v>58</v>
      </c>
      <c r="F688" s="210"/>
    </row>
    <row r="689" spans="1:7" s="53" customFormat="1" x14ac:dyDescent="0.35">
      <c r="A689" s="208"/>
      <c r="B689" s="91" t="s">
        <v>59</v>
      </c>
      <c r="C689" s="92" t="s">
        <v>60</v>
      </c>
      <c r="D689" s="93">
        <f>900*140</f>
        <v>126000</v>
      </c>
      <c r="E689" s="94" t="s">
        <v>61</v>
      </c>
      <c r="F689" s="95">
        <f>5400*2445</f>
        <v>13203000</v>
      </c>
    </row>
    <row r="690" spans="1:7" s="53" customFormat="1" x14ac:dyDescent="0.35">
      <c r="A690" s="208"/>
      <c r="B690" s="91"/>
      <c r="C690" s="92" t="s">
        <v>62</v>
      </c>
      <c r="D690" s="93">
        <f>3600*140</f>
        <v>504000</v>
      </c>
      <c r="E690" s="96" t="s">
        <v>63</v>
      </c>
      <c r="F690" s="75">
        <f>(3240*2445)+(2160*2445)</f>
        <v>13203000</v>
      </c>
    </row>
    <row r="691" spans="1:7" s="53" customFormat="1" ht="15" thickBot="1" x14ac:dyDescent="0.4">
      <c r="A691" s="208"/>
      <c r="B691" s="91" t="s">
        <v>64</v>
      </c>
      <c r="C691" s="92" t="s">
        <v>65</v>
      </c>
      <c r="D691" s="97">
        <v>30000</v>
      </c>
      <c r="E691" s="98" t="s">
        <v>66</v>
      </c>
      <c r="F691" s="99">
        <f>F689-F690</f>
        <v>0</v>
      </c>
      <c r="G691" s="100">
        <f>F691/2445</f>
        <v>0</v>
      </c>
    </row>
    <row r="692" spans="1:7" s="53" customFormat="1" ht="15" thickTop="1" x14ac:dyDescent="0.35">
      <c r="A692" s="208"/>
      <c r="B692" s="91"/>
      <c r="C692" s="92" t="s">
        <v>67</v>
      </c>
      <c r="D692" s="93">
        <v>150000</v>
      </c>
      <c r="F692" s="75"/>
    </row>
    <row r="693" spans="1:7" s="53" customFormat="1" x14ac:dyDescent="0.35">
      <c r="A693" s="208"/>
      <c r="B693" s="91" t="s">
        <v>275</v>
      </c>
      <c r="C693" s="101" t="s">
        <v>68</v>
      </c>
      <c r="D693" s="93">
        <v>15000</v>
      </c>
      <c r="E693" s="94" t="s">
        <v>69</v>
      </c>
      <c r="F693" s="95"/>
    </row>
    <row r="694" spans="1:7" s="53" customFormat="1" x14ac:dyDescent="0.35">
      <c r="A694" s="208"/>
      <c r="B694" s="102"/>
      <c r="C694" s="101" t="s">
        <v>70</v>
      </c>
      <c r="D694" s="103">
        <v>10000</v>
      </c>
      <c r="E694" s="104"/>
      <c r="F694" s="105"/>
    </row>
    <row r="695" spans="1:7" s="53" customFormat="1" x14ac:dyDescent="0.35">
      <c r="A695" s="208"/>
      <c r="B695" s="102"/>
      <c r="C695" s="101" t="s">
        <v>71</v>
      </c>
      <c r="D695" s="103">
        <v>20000</v>
      </c>
      <c r="E695" s="104" t="s">
        <v>72</v>
      </c>
      <c r="F695" s="105"/>
    </row>
    <row r="696" spans="1:7" s="53" customFormat="1" x14ac:dyDescent="0.35">
      <c r="A696" s="208"/>
      <c r="B696" s="102"/>
      <c r="C696" s="92"/>
      <c r="D696" s="106"/>
      <c r="E696" s="53" t="s">
        <v>350</v>
      </c>
      <c r="F696" s="105"/>
    </row>
    <row r="697" spans="1:7" s="53" customFormat="1" ht="15" thickBot="1" x14ac:dyDescent="0.4">
      <c r="A697" s="208"/>
      <c r="B697" s="107"/>
      <c r="C697" s="108"/>
      <c r="D697" s="109"/>
      <c r="E697" s="53" t="s">
        <v>691</v>
      </c>
      <c r="F697" s="75"/>
    </row>
    <row r="698" spans="1:7" s="53" customFormat="1" ht="15" thickBot="1" x14ac:dyDescent="0.4">
      <c r="A698" s="208"/>
      <c r="B698" s="110"/>
      <c r="C698" s="111" t="s">
        <v>74</v>
      </c>
      <c r="D698" s="112">
        <f>SUM(D685:D697)</f>
        <v>7734350</v>
      </c>
      <c r="F698" s="75"/>
    </row>
    <row r="699" spans="1:7" s="53" customFormat="1" ht="15.5" thickTop="1" thickBot="1" x14ac:dyDescent="0.4">
      <c r="A699" s="209"/>
      <c r="B699" s="211"/>
      <c r="C699" s="211"/>
      <c r="D699" s="211"/>
      <c r="F699" s="75"/>
    </row>
    <row r="700" spans="1:7" s="53" customFormat="1" x14ac:dyDescent="0.35">
      <c r="B700" s="89"/>
      <c r="C700" s="53" t="s">
        <v>75</v>
      </c>
      <c r="D700" s="113">
        <f>D682-D698</f>
        <v>5468650</v>
      </c>
      <c r="F700" s="75"/>
    </row>
    <row r="701" spans="1:7" s="53" customFormat="1" x14ac:dyDescent="0.35">
      <c r="B701" s="89"/>
      <c r="D701" s="113"/>
      <c r="F701" s="75"/>
    </row>
    <row r="702" spans="1:7" s="53" customFormat="1" x14ac:dyDescent="0.35">
      <c r="A702" s="114"/>
      <c r="B702" s="115"/>
      <c r="C702" s="114"/>
      <c r="D702" s="116"/>
      <c r="E702" s="114"/>
      <c r="F702" s="117"/>
    </row>
    <row r="703" spans="1:7" x14ac:dyDescent="0.35">
      <c r="F703" s="118"/>
    </row>
    <row r="704" spans="1:7" s="53" customFormat="1" ht="23.5" x14ac:dyDescent="0.55000000000000004">
      <c r="B704" s="206" t="s">
        <v>0</v>
      </c>
      <c r="C704" s="206"/>
      <c r="D704" s="206"/>
      <c r="E704" s="70"/>
      <c r="F704" s="71"/>
    </row>
    <row r="705" spans="1:7" s="53" customFormat="1" ht="20.5" x14ac:dyDescent="0.45">
      <c r="B705" s="72"/>
      <c r="C705" s="73" t="s">
        <v>281</v>
      </c>
      <c r="D705" s="74"/>
      <c r="F705" s="75"/>
    </row>
    <row r="706" spans="1:7" s="53" customFormat="1" ht="21" thickBot="1" x14ac:dyDescent="0.5">
      <c r="B706" s="72" t="s">
        <v>282</v>
      </c>
      <c r="C706" s="76" t="s">
        <v>47</v>
      </c>
      <c r="D706" s="74"/>
      <c r="F706" s="75"/>
    </row>
    <row r="707" spans="1:7" s="53" customFormat="1" ht="15" thickBot="1" x14ac:dyDescent="0.4">
      <c r="A707" s="77" t="s">
        <v>48</v>
      </c>
      <c r="B707" s="78" t="s">
        <v>26</v>
      </c>
      <c r="C707" s="78" t="s">
        <v>49</v>
      </c>
      <c r="D707" s="79" t="s">
        <v>29</v>
      </c>
      <c r="F707" s="75"/>
    </row>
    <row r="708" spans="1:7" s="53" customFormat="1" ht="14.5" customHeight="1" x14ac:dyDescent="0.35">
      <c r="A708" s="207" t="s">
        <v>31</v>
      </c>
      <c r="B708" s="80" t="s">
        <v>271</v>
      </c>
      <c r="C708" s="81" t="s">
        <v>103</v>
      </c>
      <c r="D708" s="82">
        <f>F715</f>
        <v>13203000</v>
      </c>
      <c r="F708" s="75"/>
    </row>
    <row r="709" spans="1:7" s="53" customFormat="1" ht="21" thickBot="1" x14ac:dyDescent="0.5">
      <c r="A709" s="208"/>
      <c r="B709" s="72"/>
      <c r="C709" s="72"/>
      <c r="D709" s="74"/>
      <c r="F709" s="75"/>
    </row>
    <row r="710" spans="1:7" s="53" customFormat="1" ht="15" thickBot="1" x14ac:dyDescent="0.4">
      <c r="A710" s="208"/>
      <c r="B710" s="83" t="s">
        <v>26</v>
      </c>
      <c r="C710" s="84" t="s">
        <v>51</v>
      </c>
      <c r="D710" s="85" t="s">
        <v>52</v>
      </c>
      <c r="F710" s="75"/>
    </row>
    <row r="711" spans="1:7" s="89" customFormat="1" x14ac:dyDescent="0.35">
      <c r="A711" s="208"/>
      <c r="B711" s="86" t="str">
        <f>B708</f>
        <v>26th January,2026</v>
      </c>
      <c r="C711" s="87" t="s">
        <v>558</v>
      </c>
      <c r="D711" s="88">
        <f>1850*2726</f>
        <v>5043100</v>
      </c>
      <c r="F711" s="90"/>
    </row>
    <row r="712" spans="1:7" s="53" customFormat="1" x14ac:dyDescent="0.35">
      <c r="A712" s="208"/>
      <c r="B712" s="91"/>
      <c r="C712" s="92" t="s">
        <v>53</v>
      </c>
      <c r="D712" s="93">
        <f>325*2450</f>
        <v>796250</v>
      </c>
      <c r="F712" s="75"/>
    </row>
    <row r="713" spans="1:7" s="53" customFormat="1" x14ac:dyDescent="0.35">
      <c r="A713" s="208"/>
      <c r="B713" s="91" t="s">
        <v>54</v>
      </c>
      <c r="C713" s="92" t="s">
        <v>55</v>
      </c>
      <c r="D713" s="93">
        <v>1000000</v>
      </c>
      <c r="F713" s="75"/>
    </row>
    <row r="714" spans="1:7" s="53" customFormat="1" x14ac:dyDescent="0.35">
      <c r="A714" s="208"/>
      <c r="B714" s="91" t="s">
        <v>56</v>
      </c>
      <c r="C714" s="92" t="s">
        <v>57</v>
      </c>
      <c r="D714" s="93">
        <v>40000</v>
      </c>
      <c r="E714" s="210" t="s">
        <v>58</v>
      </c>
      <c r="F714" s="210"/>
    </row>
    <row r="715" spans="1:7" s="53" customFormat="1" x14ac:dyDescent="0.35">
      <c r="A715" s="208"/>
      <c r="B715" s="91" t="s">
        <v>59</v>
      </c>
      <c r="C715" s="92" t="s">
        <v>60</v>
      </c>
      <c r="D715" s="93">
        <f>900*140</f>
        <v>126000</v>
      </c>
      <c r="E715" s="94" t="s">
        <v>61</v>
      </c>
      <c r="F715" s="95">
        <f>5400*2445</f>
        <v>13203000</v>
      </c>
    </row>
    <row r="716" spans="1:7" s="53" customFormat="1" x14ac:dyDescent="0.35">
      <c r="A716" s="208"/>
      <c r="B716" s="91"/>
      <c r="C716" s="92" t="s">
        <v>62</v>
      </c>
      <c r="D716" s="93">
        <f>3600*140</f>
        <v>504000</v>
      </c>
      <c r="E716" s="96" t="s">
        <v>63</v>
      </c>
      <c r="F716" s="75">
        <f>(3240*2445)+(2160*2445)</f>
        <v>13203000</v>
      </c>
    </row>
    <row r="717" spans="1:7" s="53" customFormat="1" ht="15" thickBot="1" x14ac:dyDescent="0.4">
      <c r="A717" s="208"/>
      <c r="B717" s="91" t="s">
        <v>64</v>
      </c>
      <c r="C717" s="92" t="s">
        <v>65</v>
      </c>
      <c r="D717" s="97">
        <v>30000</v>
      </c>
      <c r="E717" s="98" t="s">
        <v>66</v>
      </c>
      <c r="F717" s="99">
        <f>F715-F716</f>
        <v>0</v>
      </c>
      <c r="G717" s="100">
        <f>F717/2445</f>
        <v>0</v>
      </c>
    </row>
    <row r="718" spans="1:7" s="53" customFormat="1" ht="15" thickTop="1" x14ac:dyDescent="0.35">
      <c r="A718" s="208"/>
      <c r="B718" s="91"/>
      <c r="C718" s="92" t="s">
        <v>67</v>
      </c>
      <c r="D718" s="93">
        <v>150000</v>
      </c>
      <c r="F718" s="75"/>
    </row>
    <row r="719" spans="1:7" s="53" customFormat="1" x14ac:dyDescent="0.35">
      <c r="A719" s="208"/>
      <c r="B719" s="91" t="s">
        <v>280</v>
      </c>
      <c r="C719" s="101" t="s">
        <v>68</v>
      </c>
      <c r="D719" s="93">
        <v>15000</v>
      </c>
      <c r="E719" s="94" t="s">
        <v>69</v>
      </c>
      <c r="F719" s="95"/>
    </row>
    <row r="720" spans="1:7" s="53" customFormat="1" x14ac:dyDescent="0.35">
      <c r="A720" s="208"/>
      <c r="B720" s="102"/>
      <c r="C720" s="101" t="s">
        <v>70</v>
      </c>
      <c r="D720" s="103">
        <v>10000</v>
      </c>
      <c r="E720" s="104"/>
      <c r="F720" s="105"/>
    </row>
    <row r="721" spans="1:6" s="53" customFormat="1" x14ac:dyDescent="0.35">
      <c r="A721" s="208"/>
      <c r="B721" s="102"/>
      <c r="C721" s="101" t="s">
        <v>71</v>
      </c>
      <c r="D721" s="103">
        <v>20000</v>
      </c>
      <c r="E721" s="104" t="s">
        <v>72</v>
      </c>
      <c r="F721" s="105"/>
    </row>
    <row r="722" spans="1:6" s="53" customFormat="1" x14ac:dyDescent="0.35">
      <c r="A722" s="208"/>
      <c r="B722" s="102"/>
      <c r="C722" s="92"/>
      <c r="D722" s="106"/>
      <c r="E722" s="53" t="s">
        <v>350</v>
      </c>
      <c r="F722" s="105"/>
    </row>
    <row r="723" spans="1:6" s="53" customFormat="1" ht="15" thickBot="1" x14ac:dyDescent="0.4">
      <c r="A723" s="208"/>
      <c r="B723" s="107"/>
      <c r="C723" s="108"/>
      <c r="D723" s="109"/>
      <c r="E723" s="53" t="s">
        <v>739</v>
      </c>
      <c r="F723" s="75"/>
    </row>
    <row r="724" spans="1:6" s="53" customFormat="1" ht="15" thickBot="1" x14ac:dyDescent="0.4">
      <c r="A724" s="208"/>
      <c r="B724" s="110"/>
      <c r="C724" s="111" t="s">
        <v>74</v>
      </c>
      <c r="D724" s="112">
        <f>SUM(D711:D723)</f>
        <v>7734350</v>
      </c>
      <c r="F724" s="75"/>
    </row>
    <row r="725" spans="1:6" s="53" customFormat="1" ht="15.5" thickTop="1" thickBot="1" x14ac:dyDescent="0.4">
      <c r="A725" s="209"/>
      <c r="B725" s="211"/>
      <c r="C725" s="211"/>
      <c r="D725" s="211"/>
      <c r="F725" s="75"/>
    </row>
    <row r="726" spans="1:6" s="53" customFormat="1" x14ac:dyDescent="0.35">
      <c r="B726" s="89"/>
      <c r="C726" s="53" t="s">
        <v>75</v>
      </c>
      <c r="D726" s="113">
        <f>D708-D724</f>
        <v>5468650</v>
      </c>
      <c r="F726" s="75"/>
    </row>
    <row r="727" spans="1:6" s="53" customFormat="1" x14ac:dyDescent="0.35">
      <c r="B727" s="89"/>
      <c r="D727" s="113"/>
      <c r="F727" s="75"/>
    </row>
    <row r="728" spans="1:6" s="53" customFormat="1" x14ac:dyDescent="0.35">
      <c r="A728" s="114"/>
      <c r="B728" s="115"/>
      <c r="C728" s="114"/>
      <c r="D728" s="116"/>
      <c r="E728" s="114"/>
      <c r="F728" s="117"/>
    </row>
    <row r="729" spans="1:6" x14ac:dyDescent="0.35">
      <c r="F729" s="118"/>
    </row>
    <row r="730" spans="1:6" s="53" customFormat="1" ht="23.5" x14ac:dyDescent="0.55000000000000004">
      <c r="B730" s="206" t="s">
        <v>0</v>
      </c>
      <c r="C730" s="206"/>
      <c r="D730" s="206"/>
      <c r="E730" s="70"/>
      <c r="F730" s="71"/>
    </row>
    <row r="731" spans="1:6" s="53" customFormat="1" ht="20.5" x14ac:dyDescent="0.45">
      <c r="B731" s="72"/>
      <c r="C731" s="73" t="s">
        <v>285</v>
      </c>
      <c r="D731" s="74"/>
      <c r="F731" s="75"/>
    </row>
    <row r="732" spans="1:6" s="53" customFormat="1" ht="21" thickBot="1" x14ac:dyDescent="0.5">
      <c r="B732" s="72" t="s">
        <v>286</v>
      </c>
      <c r="C732" s="76" t="s">
        <v>47</v>
      </c>
      <c r="D732" s="74"/>
      <c r="F732" s="75"/>
    </row>
    <row r="733" spans="1:6" s="53" customFormat="1" ht="15" thickBot="1" x14ac:dyDescent="0.4">
      <c r="A733" s="77" t="s">
        <v>48</v>
      </c>
      <c r="B733" s="78" t="s">
        <v>26</v>
      </c>
      <c r="C733" s="78" t="s">
        <v>49</v>
      </c>
      <c r="D733" s="79" t="s">
        <v>29</v>
      </c>
      <c r="F733" s="75"/>
    </row>
    <row r="734" spans="1:6" s="53" customFormat="1" ht="14.5" customHeight="1" x14ac:dyDescent="0.35">
      <c r="A734" s="207" t="s">
        <v>31</v>
      </c>
      <c r="B734" s="80" t="s">
        <v>271</v>
      </c>
      <c r="C734" s="81" t="s">
        <v>200</v>
      </c>
      <c r="D734" s="82">
        <f>F741</f>
        <v>12250000</v>
      </c>
      <c r="F734" s="75"/>
    </row>
    <row r="735" spans="1:6" s="53" customFormat="1" ht="21" thickBot="1" x14ac:dyDescent="0.5">
      <c r="A735" s="208"/>
      <c r="B735" s="72"/>
      <c r="C735" s="72"/>
      <c r="D735" s="74"/>
      <c r="F735" s="75"/>
    </row>
    <row r="736" spans="1:6" s="53" customFormat="1" ht="15" thickBot="1" x14ac:dyDescent="0.4">
      <c r="A736" s="208"/>
      <c r="B736" s="83" t="s">
        <v>26</v>
      </c>
      <c r="C736" s="84" t="s">
        <v>51</v>
      </c>
      <c r="D736" s="85" t="s">
        <v>52</v>
      </c>
      <c r="F736" s="75"/>
    </row>
    <row r="737" spans="1:7" s="89" customFormat="1" x14ac:dyDescent="0.35">
      <c r="A737" s="208"/>
      <c r="B737" s="86" t="str">
        <f>B734</f>
        <v>26th January,2026</v>
      </c>
      <c r="C737" s="87" t="s">
        <v>558</v>
      </c>
      <c r="D737" s="88">
        <f>1850*2726</f>
        <v>5043100</v>
      </c>
      <c r="F737" s="90"/>
    </row>
    <row r="738" spans="1:7" s="53" customFormat="1" x14ac:dyDescent="0.35">
      <c r="A738" s="208"/>
      <c r="B738" s="91"/>
      <c r="C738" s="92" t="s">
        <v>53</v>
      </c>
      <c r="D738" s="93">
        <f>325*2450</f>
        <v>796250</v>
      </c>
      <c r="F738" s="75"/>
    </row>
    <row r="739" spans="1:7" s="53" customFormat="1" x14ac:dyDescent="0.35">
      <c r="A739" s="208"/>
      <c r="B739" s="91" t="s">
        <v>54</v>
      </c>
      <c r="C739" s="92" t="s">
        <v>55</v>
      </c>
      <c r="D739" s="93">
        <v>1000000</v>
      </c>
      <c r="F739" s="75"/>
    </row>
    <row r="740" spans="1:7" s="53" customFormat="1" x14ac:dyDescent="0.35">
      <c r="A740" s="208"/>
      <c r="B740" s="91" t="s">
        <v>56</v>
      </c>
      <c r="C740" s="92" t="s">
        <v>57</v>
      </c>
      <c r="D740" s="93">
        <v>40000</v>
      </c>
      <c r="E740" s="210" t="s">
        <v>58</v>
      </c>
      <c r="F740" s="210"/>
    </row>
    <row r="741" spans="1:7" s="53" customFormat="1" x14ac:dyDescent="0.35">
      <c r="A741" s="208"/>
      <c r="B741" s="91" t="s">
        <v>59</v>
      </c>
      <c r="C741" s="92" t="s">
        <v>60</v>
      </c>
      <c r="D741" s="93">
        <f>900*140</f>
        <v>126000</v>
      </c>
      <c r="E741" s="94" t="s">
        <v>61</v>
      </c>
      <c r="F741" s="95">
        <f>5000*2450</f>
        <v>12250000</v>
      </c>
    </row>
    <row r="742" spans="1:7" s="53" customFormat="1" x14ac:dyDescent="0.35">
      <c r="A742" s="208"/>
      <c r="B742" s="91"/>
      <c r="C742" s="92" t="s">
        <v>62</v>
      </c>
      <c r="D742" s="93">
        <f>3600*140</f>
        <v>504000</v>
      </c>
      <c r="E742" s="96" t="s">
        <v>63</v>
      </c>
      <c r="F742" s="75">
        <f>5000*2450</f>
        <v>12250000</v>
      </c>
    </row>
    <row r="743" spans="1:7" s="53" customFormat="1" ht="15" thickBot="1" x14ac:dyDescent="0.4">
      <c r="A743" s="208"/>
      <c r="B743" s="91" t="s">
        <v>64</v>
      </c>
      <c r="C743" s="92" t="s">
        <v>65</v>
      </c>
      <c r="D743" s="97">
        <v>30000</v>
      </c>
      <c r="E743" s="98" t="s">
        <v>66</v>
      </c>
      <c r="F743" s="99">
        <f>F741-F742</f>
        <v>0</v>
      </c>
      <c r="G743" s="100">
        <f>F743/2450</f>
        <v>0</v>
      </c>
    </row>
    <row r="744" spans="1:7" s="53" customFormat="1" ht="15" thickTop="1" x14ac:dyDescent="0.35">
      <c r="A744" s="208"/>
      <c r="B744" s="91"/>
      <c r="C744" s="92" t="s">
        <v>67</v>
      </c>
      <c r="D744" s="93">
        <v>150000</v>
      </c>
      <c r="F744" s="75"/>
    </row>
    <row r="745" spans="1:7" s="53" customFormat="1" x14ac:dyDescent="0.35">
      <c r="A745" s="208"/>
      <c r="B745" s="91" t="s">
        <v>284</v>
      </c>
      <c r="C745" s="101" t="s">
        <v>68</v>
      </c>
      <c r="D745" s="93">
        <v>15000</v>
      </c>
      <c r="E745" s="94" t="s">
        <v>69</v>
      </c>
      <c r="F745" s="95"/>
    </row>
    <row r="746" spans="1:7" s="53" customFormat="1" x14ac:dyDescent="0.35">
      <c r="A746" s="208"/>
      <c r="B746" s="102"/>
      <c r="C746" s="101" t="s">
        <v>70</v>
      </c>
      <c r="D746" s="103">
        <v>10000</v>
      </c>
      <c r="E746" s="104"/>
      <c r="F746" s="105"/>
    </row>
    <row r="747" spans="1:7" s="53" customFormat="1" x14ac:dyDescent="0.35">
      <c r="A747" s="208"/>
      <c r="B747" s="102"/>
      <c r="C747" s="101" t="s">
        <v>71</v>
      </c>
      <c r="D747" s="103">
        <v>20000</v>
      </c>
      <c r="E747" s="104" t="s">
        <v>72</v>
      </c>
      <c r="F747" s="105"/>
    </row>
    <row r="748" spans="1:7" s="53" customFormat="1" x14ac:dyDescent="0.35">
      <c r="A748" s="208"/>
      <c r="B748" s="102"/>
      <c r="C748" s="92"/>
      <c r="D748" s="106"/>
      <c r="E748" s="53" t="s">
        <v>658</v>
      </c>
      <c r="F748" s="105"/>
    </row>
    <row r="749" spans="1:7" s="53" customFormat="1" ht="15" thickBot="1" x14ac:dyDescent="0.4">
      <c r="A749" s="208"/>
      <c r="B749" s="107"/>
      <c r="C749" s="108"/>
      <c r="D749" s="109"/>
      <c r="F749" s="75"/>
    </row>
    <row r="750" spans="1:7" s="53" customFormat="1" ht="15" thickBot="1" x14ac:dyDescent="0.4">
      <c r="A750" s="208"/>
      <c r="B750" s="110"/>
      <c r="C750" s="111" t="s">
        <v>74</v>
      </c>
      <c r="D750" s="112">
        <f>SUM(D737:D749)</f>
        <v>7734350</v>
      </c>
      <c r="F750" s="75"/>
    </row>
    <row r="751" spans="1:7" s="53" customFormat="1" ht="15.5" thickTop="1" thickBot="1" x14ac:dyDescent="0.4">
      <c r="A751" s="209"/>
      <c r="B751" s="211"/>
      <c r="C751" s="211"/>
      <c r="D751" s="211"/>
      <c r="F751" s="75"/>
    </row>
    <row r="752" spans="1:7" s="53" customFormat="1" x14ac:dyDescent="0.35">
      <c r="B752" s="89"/>
      <c r="C752" s="53" t="s">
        <v>75</v>
      </c>
      <c r="D752" s="113">
        <f>D734-D750</f>
        <v>4515650</v>
      </c>
      <c r="F752" s="75"/>
    </row>
    <row r="753" spans="1:6" s="53" customFormat="1" x14ac:dyDescent="0.35">
      <c r="B753" s="89"/>
      <c r="D753" s="113"/>
      <c r="F753" s="75"/>
    </row>
    <row r="754" spans="1:6" s="53" customFormat="1" x14ac:dyDescent="0.35">
      <c r="A754" s="114"/>
      <c r="B754" s="115"/>
      <c r="C754" s="114"/>
      <c r="D754" s="116"/>
      <c r="E754" s="114"/>
      <c r="F754" s="117"/>
    </row>
    <row r="755" spans="1:6" x14ac:dyDescent="0.35">
      <c r="F755" s="118"/>
    </row>
    <row r="756" spans="1:6" s="53" customFormat="1" ht="23.5" x14ac:dyDescent="0.55000000000000004">
      <c r="B756" s="206" t="s">
        <v>0</v>
      </c>
      <c r="C756" s="206"/>
      <c r="D756" s="206"/>
      <c r="E756" s="70"/>
      <c r="F756" s="71"/>
    </row>
    <row r="757" spans="1:6" s="53" customFormat="1" ht="20.5" x14ac:dyDescent="0.45">
      <c r="B757" s="72"/>
      <c r="C757" s="73" t="s">
        <v>290</v>
      </c>
      <c r="D757" s="74"/>
      <c r="F757" s="75"/>
    </row>
    <row r="758" spans="1:6" s="53" customFormat="1" ht="21" thickBot="1" x14ac:dyDescent="0.5">
      <c r="B758" s="72" t="s">
        <v>291</v>
      </c>
      <c r="C758" s="76" t="s">
        <v>47</v>
      </c>
      <c r="D758" s="74"/>
      <c r="F758" s="75"/>
    </row>
    <row r="759" spans="1:6" s="53" customFormat="1" ht="15" thickBot="1" x14ac:dyDescent="0.4">
      <c r="A759" s="77" t="s">
        <v>48</v>
      </c>
      <c r="B759" s="78" t="s">
        <v>26</v>
      </c>
      <c r="C759" s="78" t="s">
        <v>49</v>
      </c>
      <c r="D759" s="79" t="s">
        <v>29</v>
      </c>
      <c r="F759" s="75"/>
    </row>
    <row r="760" spans="1:6" s="53" customFormat="1" ht="14.5" customHeight="1" x14ac:dyDescent="0.35">
      <c r="A760" s="207" t="s">
        <v>31</v>
      </c>
      <c r="B760" s="80" t="s">
        <v>271</v>
      </c>
      <c r="C760" s="81" t="s">
        <v>103</v>
      </c>
      <c r="D760" s="82">
        <f>F767</f>
        <v>13203000</v>
      </c>
      <c r="F760" s="75"/>
    </row>
    <row r="761" spans="1:6" s="53" customFormat="1" ht="21" thickBot="1" x14ac:dyDescent="0.5">
      <c r="A761" s="208"/>
      <c r="B761" s="72"/>
      <c r="C761" s="72"/>
      <c r="D761" s="74"/>
      <c r="F761" s="75"/>
    </row>
    <row r="762" spans="1:6" s="53" customFormat="1" ht="15" thickBot="1" x14ac:dyDescent="0.4">
      <c r="A762" s="208"/>
      <c r="B762" s="83" t="s">
        <v>26</v>
      </c>
      <c r="C762" s="84" t="s">
        <v>51</v>
      </c>
      <c r="D762" s="85" t="s">
        <v>52</v>
      </c>
      <c r="F762" s="75"/>
    </row>
    <row r="763" spans="1:6" s="89" customFormat="1" x14ac:dyDescent="0.35">
      <c r="A763" s="208"/>
      <c r="B763" s="86" t="str">
        <f>B760</f>
        <v>26th January,2026</v>
      </c>
      <c r="C763" s="87" t="s">
        <v>558</v>
      </c>
      <c r="D763" s="88">
        <f>1850*2726</f>
        <v>5043100</v>
      </c>
      <c r="F763" s="90"/>
    </row>
    <row r="764" spans="1:6" s="53" customFormat="1" x14ac:dyDescent="0.35">
      <c r="A764" s="208"/>
      <c r="B764" s="91"/>
      <c r="C764" s="92" t="s">
        <v>53</v>
      </c>
      <c r="D764" s="93">
        <f>325*2450</f>
        <v>796250</v>
      </c>
      <c r="F764" s="75"/>
    </row>
    <row r="765" spans="1:6" s="53" customFormat="1" x14ac:dyDescent="0.35">
      <c r="A765" s="208"/>
      <c r="B765" s="91" t="s">
        <v>54</v>
      </c>
      <c r="C765" s="92" t="s">
        <v>55</v>
      </c>
      <c r="D765" s="93">
        <v>1000000</v>
      </c>
      <c r="F765" s="75"/>
    </row>
    <row r="766" spans="1:6" s="53" customFormat="1" x14ac:dyDescent="0.35">
      <c r="A766" s="208"/>
      <c r="B766" s="91" t="s">
        <v>56</v>
      </c>
      <c r="C766" s="92" t="s">
        <v>57</v>
      </c>
      <c r="D766" s="93">
        <v>40000</v>
      </c>
      <c r="E766" s="210" t="s">
        <v>58</v>
      </c>
      <c r="F766" s="210"/>
    </row>
    <row r="767" spans="1:6" s="53" customFormat="1" x14ac:dyDescent="0.35">
      <c r="A767" s="208"/>
      <c r="B767" s="91" t="s">
        <v>59</v>
      </c>
      <c r="C767" s="92" t="s">
        <v>60</v>
      </c>
      <c r="D767" s="93">
        <f>900*140</f>
        <v>126000</v>
      </c>
      <c r="E767" s="94" t="s">
        <v>61</v>
      </c>
      <c r="F767" s="95">
        <f>5400*2445</f>
        <v>13203000</v>
      </c>
    </row>
    <row r="768" spans="1:6" s="53" customFormat="1" x14ac:dyDescent="0.35">
      <c r="A768" s="208"/>
      <c r="B768" s="91"/>
      <c r="C768" s="92" t="s">
        <v>62</v>
      </c>
      <c r="D768" s="93">
        <f>3600*140</f>
        <v>504000</v>
      </c>
      <c r="E768" s="96" t="s">
        <v>63</v>
      </c>
      <c r="F768" s="75">
        <f>(3240*2445)+(2120*2445)</f>
        <v>13105200</v>
      </c>
    </row>
    <row r="769" spans="1:7" s="53" customFormat="1" ht="15" thickBot="1" x14ac:dyDescent="0.4">
      <c r="A769" s="208"/>
      <c r="B769" s="91" t="s">
        <v>64</v>
      </c>
      <c r="C769" s="92" t="s">
        <v>65</v>
      </c>
      <c r="D769" s="97">
        <v>30000</v>
      </c>
      <c r="E769" s="98" t="s">
        <v>66</v>
      </c>
      <c r="F769" s="99">
        <f>F767-F768</f>
        <v>97800</v>
      </c>
      <c r="G769" s="100">
        <f>F769/2445</f>
        <v>40</v>
      </c>
    </row>
    <row r="770" spans="1:7" s="53" customFormat="1" ht="15" thickTop="1" x14ac:dyDescent="0.35">
      <c r="A770" s="208"/>
      <c r="B770" s="91"/>
      <c r="C770" s="92" t="s">
        <v>67</v>
      </c>
      <c r="D770" s="93">
        <v>150000</v>
      </c>
      <c r="F770" s="75"/>
    </row>
    <row r="771" spans="1:7" s="53" customFormat="1" x14ac:dyDescent="0.35">
      <c r="A771" s="208"/>
      <c r="B771" s="91" t="s">
        <v>289</v>
      </c>
      <c r="C771" s="101" t="s">
        <v>68</v>
      </c>
      <c r="D771" s="93">
        <v>15000</v>
      </c>
      <c r="E771" s="94" t="s">
        <v>69</v>
      </c>
      <c r="F771" s="95"/>
    </row>
    <row r="772" spans="1:7" s="53" customFormat="1" x14ac:dyDescent="0.35">
      <c r="A772" s="208"/>
      <c r="B772" s="102"/>
      <c r="C772" s="101" t="s">
        <v>70</v>
      </c>
      <c r="D772" s="103">
        <v>10000</v>
      </c>
      <c r="E772" s="104"/>
      <c r="F772" s="105"/>
    </row>
    <row r="773" spans="1:7" s="53" customFormat="1" x14ac:dyDescent="0.35">
      <c r="A773" s="208"/>
      <c r="B773" s="102"/>
      <c r="C773" s="101" t="s">
        <v>71</v>
      </c>
      <c r="D773" s="103">
        <v>20000</v>
      </c>
      <c r="E773" s="104" t="s">
        <v>72</v>
      </c>
      <c r="F773" s="105"/>
    </row>
    <row r="774" spans="1:7" s="53" customFormat="1" x14ac:dyDescent="0.35">
      <c r="A774" s="208"/>
      <c r="B774" s="102"/>
      <c r="C774" s="92"/>
      <c r="D774" s="106"/>
      <c r="E774" s="53" t="s">
        <v>350</v>
      </c>
      <c r="F774" s="105"/>
    </row>
    <row r="775" spans="1:7" s="53" customFormat="1" ht="15" thickBot="1" x14ac:dyDescent="0.4">
      <c r="A775" s="208"/>
      <c r="B775" s="107"/>
      <c r="C775" s="108"/>
      <c r="D775" s="109"/>
      <c r="E775" s="53" t="s">
        <v>802</v>
      </c>
      <c r="F775" s="75"/>
    </row>
    <row r="776" spans="1:7" s="53" customFormat="1" ht="15" thickBot="1" x14ac:dyDescent="0.4">
      <c r="A776" s="208"/>
      <c r="B776" s="110"/>
      <c r="C776" s="111" t="s">
        <v>74</v>
      </c>
      <c r="D776" s="112">
        <f>SUM(D763:D775)</f>
        <v>7734350</v>
      </c>
      <c r="F776" s="75"/>
    </row>
    <row r="777" spans="1:7" s="53" customFormat="1" ht="15.5" thickTop="1" thickBot="1" x14ac:dyDescent="0.4">
      <c r="A777" s="209"/>
      <c r="B777" s="211"/>
      <c r="C777" s="211"/>
      <c r="D777" s="211"/>
      <c r="F777" s="75"/>
    </row>
    <row r="778" spans="1:7" s="53" customFormat="1" x14ac:dyDescent="0.35">
      <c r="B778" s="89"/>
      <c r="C778" s="53" t="s">
        <v>75</v>
      </c>
      <c r="D778" s="113">
        <f>D760-D776</f>
        <v>5468650</v>
      </c>
      <c r="F778" s="75"/>
    </row>
    <row r="779" spans="1:7" s="53" customFormat="1" x14ac:dyDescent="0.35">
      <c r="B779" s="89"/>
      <c r="D779" s="113"/>
      <c r="F779" s="75"/>
    </row>
    <row r="780" spans="1:7" s="53" customFormat="1" x14ac:dyDescent="0.35">
      <c r="A780" s="114"/>
      <c r="B780" s="115"/>
      <c r="C780" s="114"/>
      <c r="D780" s="116"/>
      <c r="E780" s="114"/>
      <c r="F780" s="117"/>
    </row>
    <row r="782" spans="1:7" s="53" customFormat="1" ht="23.5" x14ac:dyDescent="0.55000000000000004">
      <c r="B782" s="206" t="s">
        <v>0</v>
      </c>
      <c r="C782" s="206"/>
      <c r="D782" s="206"/>
      <c r="E782" s="70"/>
      <c r="F782" s="71"/>
    </row>
    <row r="783" spans="1:7" s="53" customFormat="1" ht="20.5" x14ac:dyDescent="0.45">
      <c r="B783" s="72"/>
      <c r="C783" s="73" t="s">
        <v>295</v>
      </c>
      <c r="D783" s="74"/>
      <c r="F783" s="75"/>
    </row>
    <row r="784" spans="1:7" s="53" customFormat="1" ht="21" thickBot="1" x14ac:dyDescent="0.5">
      <c r="B784" s="72" t="s">
        <v>296</v>
      </c>
      <c r="C784" s="76" t="s">
        <v>47</v>
      </c>
      <c r="D784" s="74"/>
      <c r="F784" s="75"/>
    </row>
    <row r="785" spans="1:7" s="53" customFormat="1" ht="15" thickBot="1" x14ac:dyDescent="0.4">
      <c r="A785" s="77" t="s">
        <v>48</v>
      </c>
      <c r="B785" s="78" t="s">
        <v>26</v>
      </c>
      <c r="C785" s="78" t="s">
        <v>49</v>
      </c>
      <c r="D785" s="79" t="s">
        <v>29</v>
      </c>
      <c r="F785" s="75"/>
    </row>
    <row r="786" spans="1:7" s="53" customFormat="1" ht="14.5" customHeight="1" x14ac:dyDescent="0.35">
      <c r="A786" s="207" t="s">
        <v>31</v>
      </c>
      <c r="B786" s="80" t="s">
        <v>297</v>
      </c>
      <c r="C786" s="81" t="s">
        <v>103</v>
      </c>
      <c r="D786" s="82">
        <f>F793</f>
        <v>13203000</v>
      </c>
      <c r="F786" s="75"/>
    </row>
    <row r="787" spans="1:7" s="53" customFormat="1" ht="21" thickBot="1" x14ac:dyDescent="0.5">
      <c r="A787" s="208"/>
      <c r="B787" s="72"/>
      <c r="C787" s="72"/>
      <c r="D787" s="74"/>
      <c r="F787" s="75"/>
    </row>
    <row r="788" spans="1:7" s="53" customFormat="1" ht="15" thickBot="1" x14ac:dyDescent="0.4">
      <c r="A788" s="208"/>
      <c r="B788" s="83" t="s">
        <v>26</v>
      </c>
      <c r="C788" s="84" t="s">
        <v>51</v>
      </c>
      <c r="D788" s="85" t="s">
        <v>52</v>
      </c>
      <c r="F788" s="75"/>
    </row>
    <row r="789" spans="1:7" s="89" customFormat="1" x14ac:dyDescent="0.35">
      <c r="A789" s="208"/>
      <c r="B789" s="86" t="str">
        <f>B786</f>
        <v>27th January,2026</v>
      </c>
      <c r="C789" s="87" t="s">
        <v>558</v>
      </c>
      <c r="D789" s="88">
        <f>1850*2726</f>
        <v>5043100</v>
      </c>
      <c r="F789" s="90"/>
    </row>
    <row r="790" spans="1:7" s="53" customFormat="1" x14ac:dyDescent="0.35">
      <c r="A790" s="208"/>
      <c r="B790" s="91"/>
      <c r="C790" s="92" t="s">
        <v>53</v>
      </c>
      <c r="D790" s="93">
        <f>325*2450</f>
        <v>796250</v>
      </c>
      <c r="F790" s="75"/>
    </row>
    <row r="791" spans="1:7" s="53" customFormat="1" x14ac:dyDescent="0.35">
      <c r="A791" s="208"/>
      <c r="B791" s="91" t="s">
        <v>54</v>
      </c>
      <c r="C791" s="92" t="s">
        <v>55</v>
      </c>
      <c r="D791" s="93">
        <v>1000000</v>
      </c>
      <c r="F791" s="75"/>
    </row>
    <row r="792" spans="1:7" s="53" customFormat="1" x14ac:dyDescent="0.35">
      <c r="A792" s="208"/>
      <c r="B792" s="91" t="s">
        <v>56</v>
      </c>
      <c r="C792" s="92" t="s">
        <v>57</v>
      </c>
      <c r="D792" s="93">
        <v>40000</v>
      </c>
      <c r="E792" s="210" t="s">
        <v>58</v>
      </c>
      <c r="F792" s="210"/>
    </row>
    <row r="793" spans="1:7" s="53" customFormat="1" x14ac:dyDescent="0.35">
      <c r="A793" s="208"/>
      <c r="B793" s="91" t="s">
        <v>59</v>
      </c>
      <c r="C793" s="92" t="s">
        <v>60</v>
      </c>
      <c r="D793" s="93">
        <f>900*140</f>
        <v>126000</v>
      </c>
      <c r="E793" s="94" t="s">
        <v>61</v>
      </c>
      <c r="F793" s="95">
        <f>5400*2445</f>
        <v>13203000</v>
      </c>
    </row>
    <row r="794" spans="1:7" s="53" customFormat="1" x14ac:dyDescent="0.35">
      <c r="A794" s="208"/>
      <c r="B794" s="91"/>
      <c r="C794" s="92" t="s">
        <v>62</v>
      </c>
      <c r="D794" s="93">
        <f>3600*140</f>
        <v>504000</v>
      </c>
      <c r="E794" s="96" t="s">
        <v>63</v>
      </c>
      <c r="F794" s="75">
        <f>(3240*2445)+(2160*2445)</f>
        <v>13203000</v>
      </c>
    </row>
    <row r="795" spans="1:7" s="53" customFormat="1" ht="15" thickBot="1" x14ac:dyDescent="0.4">
      <c r="A795" s="208"/>
      <c r="B795" s="91" t="s">
        <v>64</v>
      </c>
      <c r="C795" s="92" t="s">
        <v>65</v>
      </c>
      <c r="D795" s="97">
        <v>30000</v>
      </c>
      <c r="E795" s="98" t="s">
        <v>66</v>
      </c>
      <c r="F795" s="99">
        <f>F793-F794</f>
        <v>0</v>
      </c>
      <c r="G795" s="100">
        <f>F795/2445</f>
        <v>0</v>
      </c>
    </row>
    <row r="796" spans="1:7" s="53" customFormat="1" ht="15" thickTop="1" x14ac:dyDescent="0.35">
      <c r="A796" s="208"/>
      <c r="B796" s="91"/>
      <c r="C796" s="92" t="s">
        <v>67</v>
      </c>
      <c r="D796" s="93">
        <v>150000</v>
      </c>
      <c r="F796" s="75"/>
    </row>
    <row r="797" spans="1:7" s="53" customFormat="1" x14ac:dyDescent="0.35">
      <c r="A797" s="208"/>
      <c r="B797" s="91" t="s">
        <v>294</v>
      </c>
      <c r="C797" s="101" t="s">
        <v>68</v>
      </c>
      <c r="D797" s="93">
        <v>15000</v>
      </c>
      <c r="E797" s="94" t="s">
        <v>69</v>
      </c>
      <c r="F797" s="95"/>
    </row>
    <row r="798" spans="1:7" s="53" customFormat="1" x14ac:dyDescent="0.35">
      <c r="A798" s="208"/>
      <c r="B798" s="102"/>
      <c r="C798" s="101" t="s">
        <v>70</v>
      </c>
      <c r="D798" s="103">
        <v>10000</v>
      </c>
      <c r="E798" s="104"/>
      <c r="F798" s="105"/>
    </row>
    <row r="799" spans="1:7" s="53" customFormat="1" x14ac:dyDescent="0.35">
      <c r="A799" s="208"/>
      <c r="B799" s="102"/>
      <c r="C799" s="101" t="s">
        <v>71</v>
      </c>
      <c r="D799" s="103">
        <v>20000</v>
      </c>
      <c r="E799" s="104" t="s">
        <v>72</v>
      </c>
      <c r="F799" s="105"/>
    </row>
    <row r="800" spans="1:7" s="53" customFormat="1" x14ac:dyDescent="0.35">
      <c r="A800" s="208"/>
      <c r="B800" s="102"/>
      <c r="C800" s="92"/>
      <c r="D800" s="106"/>
      <c r="E800" s="53" t="s">
        <v>349</v>
      </c>
      <c r="F800" s="105"/>
    </row>
    <row r="801" spans="1:6" s="53" customFormat="1" ht="15" thickBot="1" x14ac:dyDescent="0.4">
      <c r="A801" s="208"/>
      <c r="B801" s="107"/>
      <c r="C801" s="108"/>
      <c r="D801" s="109"/>
      <c r="E801" s="53" t="s">
        <v>694</v>
      </c>
      <c r="F801" s="75"/>
    </row>
    <row r="802" spans="1:6" s="53" customFormat="1" ht="15" thickBot="1" x14ac:dyDescent="0.4">
      <c r="A802" s="208"/>
      <c r="B802" s="110"/>
      <c r="C802" s="111" t="s">
        <v>74</v>
      </c>
      <c r="D802" s="112">
        <f>SUM(D789:D801)</f>
        <v>7734350</v>
      </c>
      <c r="F802" s="75"/>
    </row>
    <row r="803" spans="1:6" s="53" customFormat="1" ht="15.5" thickTop="1" thickBot="1" x14ac:dyDescent="0.4">
      <c r="A803" s="209"/>
      <c r="B803" s="211"/>
      <c r="C803" s="211"/>
      <c r="D803" s="211"/>
      <c r="F803" s="75"/>
    </row>
    <row r="804" spans="1:6" s="53" customFormat="1" x14ac:dyDescent="0.35">
      <c r="B804" s="89"/>
      <c r="C804" s="53" t="s">
        <v>75</v>
      </c>
      <c r="D804" s="113">
        <f>D786-D802</f>
        <v>5468650</v>
      </c>
      <c r="F804" s="75"/>
    </row>
    <row r="805" spans="1:6" s="53" customFormat="1" x14ac:dyDescent="0.35">
      <c r="B805" s="89"/>
      <c r="D805" s="113"/>
      <c r="F805" s="75"/>
    </row>
    <row r="806" spans="1:6" s="53" customFormat="1" x14ac:dyDescent="0.35">
      <c r="A806" s="114"/>
      <c r="B806" s="115"/>
      <c r="C806" s="114"/>
      <c r="D806" s="116"/>
      <c r="E806" s="114"/>
      <c r="F806" s="117"/>
    </row>
    <row r="808" spans="1:6" s="53" customFormat="1" ht="23.5" x14ac:dyDescent="0.55000000000000004">
      <c r="B808" s="206" t="s">
        <v>0</v>
      </c>
      <c r="C808" s="206"/>
      <c r="D808" s="206"/>
      <c r="E808" s="70"/>
      <c r="F808" s="71"/>
    </row>
    <row r="809" spans="1:6" s="53" customFormat="1" ht="20.5" x14ac:dyDescent="0.45">
      <c r="B809" s="72"/>
      <c r="C809" s="73" t="s">
        <v>301</v>
      </c>
      <c r="D809" s="74"/>
      <c r="F809" s="75"/>
    </row>
    <row r="810" spans="1:6" s="53" customFormat="1" ht="21" thickBot="1" x14ac:dyDescent="0.5">
      <c r="B810" s="72" t="s">
        <v>302</v>
      </c>
      <c r="C810" s="76" t="s">
        <v>47</v>
      </c>
      <c r="D810" s="74"/>
      <c r="F810" s="75"/>
    </row>
    <row r="811" spans="1:6" s="53" customFormat="1" ht="15" thickBot="1" x14ac:dyDescent="0.4">
      <c r="A811" s="77" t="s">
        <v>48</v>
      </c>
      <c r="B811" s="78" t="s">
        <v>26</v>
      </c>
      <c r="C811" s="78" t="s">
        <v>49</v>
      </c>
      <c r="D811" s="79" t="s">
        <v>29</v>
      </c>
      <c r="F811" s="75"/>
    </row>
    <row r="812" spans="1:6" s="53" customFormat="1" ht="14.5" customHeight="1" x14ac:dyDescent="0.35">
      <c r="A812" s="207" t="s">
        <v>31</v>
      </c>
      <c r="B812" s="80" t="s">
        <v>297</v>
      </c>
      <c r="C812" s="81" t="s">
        <v>103</v>
      </c>
      <c r="D812" s="82">
        <f>F819</f>
        <v>13203000</v>
      </c>
      <c r="F812" s="75"/>
    </row>
    <row r="813" spans="1:6" s="53" customFormat="1" ht="21" thickBot="1" x14ac:dyDescent="0.5">
      <c r="A813" s="208"/>
      <c r="B813" s="72"/>
      <c r="C813" s="72"/>
      <c r="D813" s="74"/>
      <c r="F813" s="75"/>
    </row>
    <row r="814" spans="1:6" s="53" customFormat="1" ht="15" thickBot="1" x14ac:dyDescent="0.4">
      <c r="A814" s="208"/>
      <c r="B814" s="83" t="s">
        <v>26</v>
      </c>
      <c r="C814" s="84" t="s">
        <v>51</v>
      </c>
      <c r="D814" s="85" t="s">
        <v>52</v>
      </c>
      <c r="F814" s="75"/>
    </row>
    <row r="815" spans="1:6" s="89" customFormat="1" x14ac:dyDescent="0.35">
      <c r="A815" s="208"/>
      <c r="B815" s="86" t="str">
        <f>B812</f>
        <v>27th January,2026</v>
      </c>
      <c r="C815" s="87" t="s">
        <v>558</v>
      </c>
      <c r="D815" s="88">
        <f>1850*2726</f>
        <v>5043100</v>
      </c>
      <c r="F815" s="90"/>
    </row>
    <row r="816" spans="1:6" s="53" customFormat="1" x14ac:dyDescent="0.35">
      <c r="A816" s="208"/>
      <c r="B816" s="91"/>
      <c r="C816" s="92" t="s">
        <v>53</v>
      </c>
      <c r="D816" s="93">
        <f>325*2450</f>
        <v>796250</v>
      </c>
      <c r="F816" s="75"/>
    </row>
    <row r="817" spans="1:7" s="53" customFormat="1" x14ac:dyDescent="0.35">
      <c r="A817" s="208"/>
      <c r="B817" s="91" t="s">
        <v>54</v>
      </c>
      <c r="C817" s="92" t="s">
        <v>55</v>
      </c>
      <c r="D817" s="93">
        <v>1000000</v>
      </c>
      <c r="F817" s="75"/>
    </row>
    <row r="818" spans="1:7" s="53" customFormat="1" x14ac:dyDescent="0.35">
      <c r="A818" s="208"/>
      <c r="B818" s="91" t="s">
        <v>56</v>
      </c>
      <c r="C818" s="92" t="s">
        <v>57</v>
      </c>
      <c r="D818" s="93">
        <v>40000</v>
      </c>
      <c r="E818" s="210" t="s">
        <v>58</v>
      </c>
      <c r="F818" s="210"/>
    </row>
    <row r="819" spans="1:7" s="53" customFormat="1" x14ac:dyDescent="0.35">
      <c r="A819" s="208"/>
      <c r="B819" s="91" t="s">
        <v>59</v>
      </c>
      <c r="C819" s="92" t="s">
        <v>60</v>
      </c>
      <c r="D819" s="93">
        <f>900*140</f>
        <v>126000</v>
      </c>
      <c r="E819" s="94" t="s">
        <v>61</v>
      </c>
      <c r="F819" s="95">
        <f>5400*2445</f>
        <v>13203000</v>
      </c>
    </row>
    <row r="820" spans="1:7" s="53" customFormat="1" x14ac:dyDescent="0.35">
      <c r="A820" s="208"/>
      <c r="B820" s="91"/>
      <c r="C820" s="92" t="s">
        <v>62</v>
      </c>
      <c r="D820" s="93">
        <f>3600*140</f>
        <v>504000</v>
      </c>
      <c r="E820" s="96" t="s">
        <v>63</v>
      </c>
      <c r="F820" s="75">
        <f>(3240*2445)+(2160*2445)</f>
        <v>13203000</v>
      </c>
    </row>
    <row r="821" spans="1:7" s="53" customFormat="1" ht="15" thickBot="1" x14ac:dyDescent="0.4">
      <c r="A821" s="208"/>
      <c r="B821" s="91" t="s">
        <v>64</v>
      </c>
      <c r="C821" s="92" t="s">
        <v>65</v>
      </c>
      <c r="D821" s="97">
        <v>30000</v>
      </c>
      <c r="E821" s="98" t="s">
        <v>66</v>
      </c>
      <c r="F821" s="99">
        <f>F819-F820</f>
        <v>0</v>
      </c>
      <c r="G821" s="100">
        <f>F821/2445</f>
        <v>0</v>
      </c>
    </row>
    <row r="822" spans="1:7" s="53" customFormat="1" ht="15" thickTop="1" x14ac:dyDescent="0.35">
      <c r="A822" s="208"/>
      <c r="B822" s="91"/>
      <c r="C822" s="92" t="s">
        <v>67</v>
      </c>
      <c r="D822" s="93">
        <v>150000</v>
      </c>
      <c r="F822" s="75"/>
    </row>
    <row r="823" spans="1:7" s="53" customFormat="1" x14ac:dyDescent="0.35">
      <c r="A823" s="208"/>
      <c r="B823" s="91" t="s">
        <v>300</v>
      </c>
      <c r="C823" s="101" t="s">
        <v>68</v>
      </c>
      <c r="D823" s="93">
        <v>15000</v>
      </c>
      <c r="E823" s="94" t="s">
        <v>69</v>
      </c>
      <c r="F823" s="95"/>
    </row>
    <row r="824" spans="1:7" s="53" customFormat="1" x14ac:dyDescent="0.35">
      <c r="A824" s="208"/>
      <c r="B824" s="102"/>
      <c r="C824" s="101" t="s">
        <v>70</v>
      </c>
      <c r="D824" s="103">
        <v>10000</v>
      </c>
      <c r="E824" s="104"/>
      <c r="F824" s="105"/>
    </row>
    <row r="825" spans="1:7" s="53" customFormat="1" x14ac:dyDescent="0.35">
      <c r="A825" s="208"/>
      <c r="B825" s="102"/>
      <c r="C825" s="101" t="s">
        <v>71</v>
      </c>
      <c r="D825" s="103">
        <v>20000</v>
      </c>
      <c r="E825" s="104" t="s">
        <v>72</v>
      </c>
      <c r="F825" s="105"/>
    </row>
    <row r="826" spans="1:7" s="53" customFormat="1" x14ac:dyDescent="0.35">
      <c r="A826" s="208"/>
      <c r="B826" s="102"/>
      <c r="C826" s="92"/>
      <c r="D826" s="106"/>
      <c r="E826" s="53" t="s">
        <v>349</v>
      </c>
      <c r="F826" s="105"/>
    </row>
    <row r="827" spans="1:7" s="53" customFormat="1" ht="15" thickBot="1" x14ac:dyDescent="0.4">
      <c r="A827" s="208"/>
      <c r="B827" s="107"/>
      <c r="C827" s="108"/>
      <c r="D827" s="109"/>
      <c r="E827" s="53" t="s">
        <v>738</v>
      </c>
      <c r="F827" s="75"/>
    </row>
    <row r="828" spans="1:7" s="53" customFormat="1" ht="15" thickBot="1" x14ac:dyDescent="0.4">
      <c r="A828" s="208"/>
      <c r="B828" s="110"/>
      <c r="C828" s="111" t="s">
        <v>74</v>
      </c>
      <c r="D828" s="112">
        <f>SUM(D815:D827)</f>
        <v>7734350</v>
      </c>
      <c r="F828" s="75"/>
    </row>
    <row r="829" spans="1:7" s="53" customFormat="1" ht="15.5" thickTop="1" thickBot="1" x14ac:dyDescent="0.4">
      <c r="A829" s="209"/>
      <c r="B829" s="211"/>
      <c r="C829" s="211"/>
      <c r="D829" s="211"/>
      <c r="F829" s="75"/>
    </row>
    <row r="830" spans="1:7" s="53" customFormat="1" x14ac:dyDescent="0.35">
      <c r="B830" s="89"/>
      <c r="C830" s="53" t="s">
        <v>75</v>
      </c>
      <c r="D830" s="113">
        <f>D812-D828</f>
        <v>5468650</v>
      </c>
      <c r="F830" s="75"/>
    </row>
    <row r="831" spans="1:7" s="53" customFormat="1" x14ac:dyDescent="0.35">
      <c r="B831" s="89"/>
      <c r="D831" s="113"/>
      <c r="F831" s="75"/>
    </row>
    <row r="832" spans="1:7" s="53" customFormat="1" x14ac:dyDescent="0.35">
      <c r="A832" s="114"/>
      <c r="B832" s="115"/>
      <c r="C832" s="114"/>
      <c r="D832" s="116"/>
      <c r="E832" s="114"/>
      <c r="F832" s="117"/>
    </row>
    <row r="834" spans="1:7" s="53" customFormat="1" ht="23.5" x14ac:dyDescent="0.55000000000000004">
      <c r="B834" s="206" t="s">
        <v>0</v>
      </c>
      <c r="C834" s="206"/>
      <c r="D834" s="206"/>
      <c r="E834" s="70"/>
      <c r="F834" s="71"/>
    </row>
    <row r="835" spans="1:7" s="53" customFormat="1" ht="20.5" x14ac:dyDescent="0.45">
      <c r="B835" s="72"/>
      <c r="C835" s="73" t="s">
        <v>306</v>
      </c>
      <c r="D835" s="74"/>
      <c r="F835" s="75"/>
    </row>
    <row r="836" spans="1:7" s="53" customFormat="1" ht="21" thickBot="1" x14ac:dyDescent="0.5">
      <c r="B836" s="72" t="s">
        <v>307</v>
      </c>
      <c r="C836" s="76" t="s">
        <v>47</v>
      </c>
      <c r="D836" s="74"/>
      <c r="F836" s="75"/>
    </row>
    <row r="837" spans="1:7" s="53" customFormat="1" ht="15" thickBot="1" x14ac:dyDescent="0.4">
      <c r="A837" s="77" t="s">
        <v>48</v>
      </c>
      <c r="B837" s="78" t="s">
        <v>26</v>
      </c>
      <c r="C837" s="78" t="s">
        <v>49</v>
      </c>
      <c r="D837" s="79" t="s">
        <v>29</v>
      </c>
      <c r="F837" s="75"/>
    </row>
    <row r="838" spans="1:7" s="53" customFormat="1" ht="14.5" customHeight="1" x14ac:dyDescent="0.35">
      <c r="A838" s="207" t="s">
        <v>31</v>
      </c>
      <c r="B838" s="80" t="s">
        <v>297</v>
      </c>
      <c r="C838" s="81" t="s">
        <v>103</v>
      </c>
      <c r="D838" s="82">
        <f>F845</f>
        <v>13203000</v>
      </c>
      <c r="F838" s="75"/>
    </row>
    <row r="839" spans="1:7" s="53" customFormat="1" ht="21" thickBot="1" x14ac:dyDescent="0.5">
      <c r="A839" s="208"/>
      <c r="B839" s="72"/>
      <c r="C839" s="72"/>
      <c r="D839" s="74"/>
      <c r="F839" s="75"/>
    </row>
    <row r="840" spans="1:7" s="53" customFormat="1" ht="15" thickBot="1" x14ac:dyDescent="0.4">
      <c r="A840" s="208"/>
      <c r="B840" s="83" t="s">
        <v>26</v>
      </c>
      <c r="C840" s="84" t="s">
        <v>51</v>
      </c>
      <c r="D840" s="85" t="s">
        <v>52</v>
      </c>
      <c r="F840" s="75"/>
    </row>
    <row r="841" spans="1:7" s="89" customFormat="1" x14ac:dyDescent="0.35">
      <c r="A841" s="208"/>
      <c r="B841" s="86" t="str">
        <f>B838</f>
        <v>27th January,2026</v>
      </c>
      <c r="C841" s="87" t="s">
        <v>558</v>
      </c>
      <c r="D841" s="88">
        <f>1850*2726</f>
        <v>5043100</v>
      </c>
      <c r="F841" s="90"/>
    </row>
    <row r="842" spans="1:7" s="53" customFormat="1" x14ac:dyDescent="0.35">
      <c r="A842" s="208"/>
      <c r="B842" s="91"/>
      <c r="C842" s="92" t="s">
        <v>53</v>
      </c>
      <c r="D842" s="93">
        <f>325*2450</f>
        <v>796250</v>
      </c>
      <c r="F842" s="75"/>
    </row>
    <row r="843" spans="1:7" s="53" customFormat="1" x14ac:dyDescent="0.35">
      <c r="A843" s="208"/>
      <c r="B843" s="91" t="s">
        <v>54</v>
      </c>
      <c r="C843" s="92" t="s">
        <v>55</v>
      </c>
      <c r="D843" s="93">
        <v>1000000</v>
      </c>
      <c r="F843" s="75"/>
    </row>
    <row r="844" spans="1:7" s="53" customFormat="1" x14ac:dyDescent="0.35">
      <c r="A844" s="208"/>
      <c r="B844" s="91" t="s">
        <v>56</v>
      </c>
      <c r="C844" s="92" t="s">
        <v>57</v>
      </c>
      <c r="D844" s="93">
        <v>40000</v>
      </c>
      <c r="E844" s="210" t="s">
        <v>58</v>
      </c>
      <c r="F844" s="210"/>
    </row>
    <row r="845" spans="1:7" s="53" customFormat="1" x14ac:dyDescent="0.35">
      <c r="A845" s="208"/>
      <c r="B845" s="91" t="s">
        <v>59</v>
      </c>
      <c r="C845" s="92" t="s">
        <v>60</v>
      </c>
      <c r="D845" s="93">
        <f>900*140</f>
        <v>126000</v>
      </c>
      <c r="E845" s="94" t="s">
        <v>61</v>
      </c>
      <c r="F845" s="95">
        <f>5400*2445</f>
        <v>13203000</v>
      </c>
    </row>
    <row r="846" spans="1:7" s="53" customFormat="1" x14ac:dyDescent="0.35">
      <c r="A846" s="208"/>
      <c r="B846" s="91"/>
      <c r="C846" s="92" t="s">
        <v>62</v>
      </c>
      <c r="D846" s="93">
        <f>3600*140</f>
        <v>504000</v>
      </c>
      <c r="E846" s="96" t="s">
        <v>63</v>
      </c>
      <c r="F846" s="75">
        <f>(3240*2445)</f>
        <v>7921800</v>
      </c>
    </row>
    <row r="847" spans="1:7" s="53" customFormat="1" ht="15" thickBot="1" x14ac:dyDescent="0.4">
      <c r="A847" s="208"/>
      <c r="B847" s="91" t="s">
        <v>64</v>
      </c>
      <c r="C847" s="92" t="s">
        <v>65</v>
      </c>
      <c r="D847" s="97">
        <v>30000</v>
      </c>
      <c r="E847" s="98" t="s">
        <v>66</v>
      </c>
      <c r="F847" s="99">
        <f>F845-F846</f>
        <v>5281200</v>
      </c>
      <c r="G847" s="100">
        <f>F847/2445</f>
        <v>2160</v>
      </c>
    </row>
    <row r="848" spans="1:7" s="53" customFormat="1" ht="15" thickTop="1" x14ac:dyDescent="0.35">
      <c r="A848" s="208"/>
      <c r="B848" s="91"/>
      <c r="C848" s="92" t="s">
        <v>67</v>
      </c>
      <c r="D848" s="93">
        <v>150000</v>
      </c>
      <c r="F848" s="75"/>
    </row>
    <row r="849" spans="1:6" s="53" customFormat="1" x14ac:dyDescent="0.35">
      <c r="A849" s="208"/>
      <c r="B849" s="91" t="s">
        <v>305</v>
      </c>
      <c r="C849" s="101" t="s">
        <v>68</v>
      </c>
      <c r="D849" s="93">
        <v>15000</v>
      </c>
      <c r="E849" s="94" t="s">
        <v>69</v>
      </c>
      <c r="F849" s="95"/>
    </row>
    <row r="850" spans="1:6" s="53" customFormat="1" x14ac:dyDescent="0.35">
      <c r="A850" s="208"/>
      <c r="B850" s="102"/>
      <c r="C850" s="101" t="s">
        <v>70</v>
      </c>
      <c r="D850" s="103">
        <v>10000</v>
      </c>
      <c r="E850" s="104"/>
      <c r="F850" s="105"/>
    </row>
    <row r="851" spans="1:6" s="53" customFormat="1" x14ac:dyDescent="0.35">
      <c r="A851" s="208"/>
      <c r="B851" s="102"/>
      <c r="C851" s="101" t="s">
        <v>71</v>
      </c>
      <c r="D851" s="103">
        <v>20000</v>
      </c>
      <c r="E851" s="104" t="s">
        <v>72</v>
      </c>
      <c r="F851" s="105"/>
    </row>
    <row r="852" spans="1:6" s="53" customFormat="1" x14ac:dyDescent="0.35">
      <c r="A852" s="208"/>
      <c r="B852" s="102"/>
      <c r="C852" s="92"/>
      <c r="D852" s="106"/>
      <c r="E852" s="53" t="s">
        <v>349</v>
      </c>
      <c r="F852" s="105"/>
    </row>
    <row r="853" spans="1:6" s="53" customFormat="1" ht="15" thickBot="1" x14ac:dyDescent="0.4">
      <c r="A853" s="208"/>
      <c r="B853" s="107"/>
      <c r="C853" s="108"/>
      <c r="D853" s="109"/>
      <c r="E853" s="53" t="s">
        <v>691</v>
      </c>
      <c r="F853" s="75"/>
    </row>
    <row r="854" spans="1:6" s="53" customFormat="1" ht="15" thickBot="1" x14ac:dyDescent="0.4">
      <c r="A854" s="208"/>
      <c r="B854" s="110"/>
      <c r="C854" s="111" t="s">
        <v>74</v>
      </c>
      <c r="D854" s="112">
        <f>SUM(D841:D853)</f>
        <v>7734350</v>
      </c>
      <c r="F854" s="75"/>
    </row>
    <row r="855" spans="1:6" s="53" customFormat="1" ht="15.5" thickTop="1" thickBot="1" x14ac:dyDescent="0.4">
      <c r="A855" s="209"/>
      <c r="B855" s="211"/>
      <c r="C855" s="211"/>
      <c r="D855" s="211"/>
      <c r="F855" s="75"/>
    </row>
    <row r="856" spans="1:6" s="53" customFormat="1" x14ac:dyDescent="0.35">
      <c r="B856" s="89"/>
      <c r="C856" s="53" t="s">
        <v>75</v>
      </c>
      <c r="D856" s="113">
        <f>D838-D854</f>
        <v>5468650</v>
      </c>
      <c r="F856" s="75"/>
    </row>
    <row r="857" spans="1:6" s="53" customFormat="1" x14ac:dyDescent="0.35">
      <c r="B857" s="89"/>
      <c r="D857" s="113"/>
      <c r="F857" s="75"/>
    </row>
    <row r="858" spans="1:6" s="53" customFormat="1" x14ac:dyDescent="0.35">
      <c r="A858" s="114"/>
      <c r="B858" s="115"/>
      <c r="C858" s="114"/>
      <c r="D858" s="116"/>
      <c r="E858" s="114"/>
      <c r="F858" s="117"/>
    </row>
    <row r="860" spans="1:6" s="53" customFormat="1" ht="23.5" x14ac:dyDescent="0.55000000000000004">
      <c r="B860" s="206" t="s">
        <v>0</v>
      </c>
      <c r="C860" s="206"/>
      <c r="D860" s="206"/>
      <c r="E860" s="70"/>
      <c r="F860" s="71"/>
    </row>
    <row r="861" spans="1:6" s="53" customFormat="1" ht="20.5" x14ac:dyDescent="0.45">
      <c r="B861" s="72"/>
      <c r="C861" s="73" t="s">
        <v>311</v>
      </c>
      <c r="D861" s="74"/>
      <c r="F861" s="75"/>
    </row>
    <row r="862" spans="1:6" s="53" customFormat="1" ht="21" thickBot="1" x14ac:dyDescent="0.5">
      <c r="B862" s="72" t="s">
        <v>312</v>
      </c>
      <c r="C862" s="76" t="s">
        <v>47</v>
      </c>
      <c r="D862" s="74"/>
      <c r="F862" s="75"/>
    </row>
    <row r="863" spans="1:6" s="53" customFormat="1" ht="15" thickBot="1" x14ac:dyDescent="0.4">
      <c r="A863" s="77" t="s">
        <v>48</v>
      </c>
      <c r="B863" s="78" t="s">
        <v>26</v>
      </c>
      <c r="C863" s="78" t="s">
        <v>49</v>
      </c>
      <c r="D863" s="79" t="s">
        <v>29</v>
      </c>
      <c r="F863" s="75"/>
    </row>
    <row r="864" spans="1:6" s="53" customFormat="1" ht="14.5" customHeight="1" x14ac:dyDescent="0.35">
      <c r="A864" s="207" t="s">
        <v>31</v>
      </c>
      <c r="B864" s="80" t="s">
        <v>313</v>
      </c>
      <c r="C864" s="81" t="s">
        <v>103</v>
      </c>
      <c r="D864" s="82">
        <f>F871</f>
        <v>13203000</v>
      </c>
      <c r="F864" s="75"/>
    </row>
    <row r="865" spans="1:7" s="53" customFormat="1" ht="21" thickBot="1" x14ac:dyDescent="0.5">
      <c r="A865" s="208"/>
      <c r="B865" s="72"/>
      <c r="C865" s="72"/>
      <c r="D865" s="74"/>
      <c r="F865" s="75"/>
    </row>
    <row r="866" spans="1:7" s="53" customFormat="1" ht="15" thickBot="1" x14ac:dyDescent="0.4">
      <c r="A866" s="208"/>
      <c r="B866" s="83" t="s">
        <v>26</v>
      </c>
      <c r="C866" s="84" t="s">
        <v>51</v>
      </c>
      <c r="D866" s="85" t="s">
        <v>52</v>
      </c>
      <c r="F866" s="75"/>
    </row>
    <row r="867" spans="1:7" s="89" customFormat="1" x14ac:dyDescent="0.35">
      <c r="A867" s="208"/>
      <c r="B867" s="86" t="str">
        <f>B864</f>
        <v>28th January,2026</v>
      </c>
      <c r="C867" s="87" t="s">
        <v>558</v>
      </c>
      <c r="D867" s="88">
        <f>1850*2726</f>
        <v>5043100</v>
      </c>
      <c r="F867" s="90"/>
    </row>
    <row r="868" spans="1:7" s="53" customFormat="1" x14ac:dyDescent="0.35">
      <c r="A868" s="208"/>
      <c r="B868" s="91"/>
      <c r="C868" s="92" t="s">
        <v>53</v>
      </c>
      <c r="D868" s="93">
        <f>325*2450</f>
        <v>796250</v>
      </c>
      <c r="F868" s="75"/>
    </row>
    <row r="869" spans="1:7" s="53" customFormat="1" x14ac:dyDescent="0.35">
      <c r="A869" s="208"/>
      <c r="B869" s="91" t="s">
        <v>54</v>
      </c>
      <c r="C869" s="92" t="s">
        <v>55</v>
      </c>
      <c r="D869" s="93">
        <v>1000000</v>
      </c>
      <c r="F869" s="75"/>
    </row>
    <row r="870" spans="1:7" s="53" customFormat="1" x14ac:dyDescent="0.35">
      <c r="A870" s="208"/>
      <c r="B870" s="91" t="s">
        <v>56</v>
      </c>
      <c r="C870" s="92" t="s">
        <v>57</v>
      </c>
      <c r="D870" s="93">
        <v>40000</v>
      </c>
      <c r="E870" s="210" t="s">
        <v>58</v>
      </c>
      <c r="F870" s="210"/>
    </row>
    <row r="871" spans="1:7" s="53" customFormat="1" x14ac:dyDescent="0.35">
      <c r="A871" s="208"/>
      <c r="B871" s="91" t="s">
        <v>59</v>
      </c>
      <c r="C871" s="92" t="s">
        <v>60</v>
      </c>
      <c r="D871" s="93">
        <f>900*140</f>
        <v>126000</v>
      </c>
      <c r="E871" s="94" t="s">
        <v>61</v>
      </c>
      <c r="F871" s="95">
        <f>5400*2445</f>
        <v>13203000</v>
      </c>
    </row>
    <row r="872" spans="1:7" s="53" customFormat="1" x14ac:dyDescent="0.35">
      <c r="A872" s="208"/>
      <c r="B872" s="91"/>
      <c r="C872" s="92" t="s">
        <v>62</v>
      </c>
      <c r="D872" s="93">
        <f>3600*140</f>
        <v>504000</v>
      </c>
      <c r="E872" s="96" t="s">
        <v>63</v>
      </c>
      <c r="F872" s="75">
        <f>(3240*2445)+(2100*2445)</f>
        <v>13056300</v>
      </c>
    </row>
    <row r="873" spans="1:7" s="53" customFormat="1" ht="15" thickBot="1" x14ac:dyDescent="0.4">
      <c r="A873" s="208"/>
      <c r="B873" s="91" t="s">
        <v>64</v>
      </c>
      <c r="C873" s="92" t="s">
        <v>65</v>
      </c>
      <c r="D873" s="97">
        <v>30000</v>
      </c>
      <c r="E873" s="98" t="s">
        <v>66</v>
      </c>
      <c r="F873" s="99">
        <f>F871-F872</f>
        <v>146700</v>
      </c>
      <c r="G873" s="100">
        <f>F873/2445</f>
        <v>60</v>
      </c>
    </row>
    <row r="874" spans="1:7" s="53" customFormat="1" ht="15" thickTop="1" x14ac:dyDescent="0.35">
      <c r="A874" s="208"/>
      <c r="B874" s="91"/>
      <c r="C874" s="92" t="s">
        <v>67</v>
      </c>
      <c r="D874" s="93">
        <v>150000</v>
      </c>
      <c r="F874" s="75"/>
    </row>
    <row r="875" spans="1:7" s="53" customFormat="1" x14ac:dyDescent="0.35">
      <c r="A875" s="208"/>
      <c r="B875" s="91" t="s">
        <v>310</v>
      </c>
      <c r="C875" s="101" t="s">
        <v>68</v>
      </c>
      <c r="D875" s="93">
        <v>15000</v>
      </c>
      <c r="E875" s="94" t="s">
        <v>69</v>
      </c>
      <c r="F875" s="95"/>
    </row>
    <row r="876" spans="1:7" s="53" customFormat="1" x14ac:dyDescent="0.35">
      <c r="A876" s="208"/>
      <c r="B876" s="102"/>
      <c r="C876" s="101" t="s">
        <v>70</v>
      </c>
      <c r="D876" s="103">
        <v>10000</v>
      </c>
      <c r="E876" s="104"/>
      <c r="F876" s="105"/>
    </row>
    <row r="877" spans="1:7" s="53" customFormat="1" x14ac:dyDescent="0.35">
      <c r="A877" s="208"/>
      <c r="B877" s="102"/>
      <c r="C877" s="101" t="s">
        <v>71</v>
      </c>
      <c r="D877" s="103">
        <v>20000</v>
      </c>
      <c r="E877" s="104" t="s">
        <v>72</v>
      </c>
      <c r="F877" s="105"/>
    </row>
    <row r="878" spans="1:7" s="53" customFormat="1" x14ac:dyDescent="0.35">
      <c r="A878" s="208"/>
      <c r="B878" s="102"/>
      <c r="C878" s="92"/>
      <c r="D878" s="106"/>
      <c r="E878" s="53" t="s">
        <v>359</v>
      </c>
      <c r="F878" s="105"/>
    </row>
    <row r="879" spans="1:7" s="53" customFormat="1" ht="15" thickBot="1" x14ac:dyDescent="0.4">
      <c r="A879" s="208"/>
      <c r="B879" s="107"/>
      <c r="C879" s="108"/>
      <c r="D879" s="109"/>
      <c r="E879" s="53" t="s">
        <v>824</v>
      </c>
      <c r="F879" s="75"/>
    </row>
    <row r="880" spans="1:7" s="53" customFormat="1" ht="15" thickBot="1" x14ac:dyDescent="0.4">
      <c r="A880" s="208"/>
      <c r="B880" s="110"/>
      <c r="C880" s="111" t="s">
        <v>74</v>
      </c>
      <c r="D880" s="112">
        <f>SUM(D867:D879)</f>
        <v>7734350</v>
      </c>
      <c r="F880" s="75"/>
    </row>
    <row r="881" spans="1:6" s="53" customFormat="1" ht="15.5" thickTop="1" thickBot="1" x14ac:dyDescent="0.4">
      <c r="A881" s="209"/>
      <c r="B881" s="211"/>
      <c r="C881" s="211"/>
      <c r="D881" s="211"/>
      <c r="F881" s="75"/>
    </row>
    <row r="882" spans="1:6" s="53" customFormat="1" x14ac:dyDescent="0.35">
      <c r="B882" s="89"/>
      <c r="C882" s="53" t="s">
        <v>75</v>
      </c>
      <c r="D882" s="113">
        <f>D864-D880</f>
        <v>5468650</v>
      </c>
      <c r="F882" s="75"/>
    </row>
    <row r="883" spans="1:6" s="53" customFormat="1" x14ac:dyDescent="0.35">
      <c r="B883" s="89"/>
      <c r="D883" s="113"/>
      <c r="F883" s="75"/>
    </row>
    <row r="884" spans="1:6" s="53" customFormat="1" x14ac:dyDescent="0.35">
      <c r="A884" s="114"/>
      <c r="B884" s="115"/>
      <c r="C884" s="114"/>
      <c r="D884" s="116"/>
      <c r="E884" s="114"/>
      <c r="F884" s="117"/>
    </row>
    <row r="886" spans="1:6" s="53" customFormat="1" ht="23.5" x14ac:dyDescent="0.55000000000000004">
      <c r="B886" s="206" t="s">
        <v>0</v>
      </c>
      <c r="C886" s="206"/>
      <c r="D886" s="206"/>
      <c r="E886" s="70"/>
      <c r="F886" s="71"/>
    </row>
    <row r="887" spans="1:6" s="53" customFormat="1" ht="20.5" x14ac:dyDescent="0.45">
      <c r="B887" s="72"/>
      <c r="C887" s="73" t="s">
        <v>316</v>
      </c>
      <c r="D887" s="74"/>
      <c r="F887" s="75"/>
    </row>
    <row r="888" spans="1:6" s="53" customFormat="1" ht="21" thickBot="1" x14ac:dyDescent="0.5">
      <c r="B888" s="72" t="s">
        <v>317</v>
      </c>
      <c r="C888" s="76" t="s">
        <v>47</v>
      </c>
      <c r="D888" s="74"/>
      <c r="F888" s="75"/>
    </row>
    <row r="889" spans="1:6" s="53" customFormat="1" ht="15" thickBot="1" x14ac:dyDescent="0.4">
      <c r="A889" s="77" t="s">
        <v>48</v>
      </c>
      <c r="B889" s="78" t="s">
        <v>26</v>
      </c>
      <c r="C889" s="78" t="s">
        <v>49</v>
      </c>
      <c r="D889" s="79" t="s">
        <v>29</v>
      </c>
      <c r="F889" s="75"/>
    </row>
    <row r="890" spans="1:6" s="53" customFormat="1" ht="14.5" customHeight="1" x14ac:dyDescent="0.35">
      <c r="A890" s="207" t="s">
        <v>31</v>
      </c>
      <c r="B890" s="80" t="s">
        <v>318</v>
      </c>
      <c r="C890" s="81" t="s">
        <v>103</v>
      </c>
      <c r="D890" s="82">
        <f>F897</f>
        <v>13203000</v>
      </c>
      <c r="F890" s="75"/>
    </row>
    <row r="891" spans="1:6" s="53" customFormat="1" ht="21" thickBot="1" x14ac:dyDescent="0.5">
      <c r="A891" s="208"/>
      <c r="B891" s="72"/>
      <c r="C891" s="72"/>
      <c r="D891" s="74"/>
      <c r="F891" s="75"/>
    </row>
    <row r="892" spans="1:6" s="53" customFormat="1" ht="15" thickBot="1" x14ac:dyDescent="0.4">
      <c r="A892" s="208"/>
      <c r="B892" s="83" t="s">
        <v>26</v>
      </c>
      <c r="C892" s="84" t="s">
        <v>51</v>
      </c>
      <c r="D892" s="85" t="s">
        <v>52</v>
      </c>
      <c r="F892" s="75"/>
    </row>
    <row r="893" spans="1:6" s="89" customFormat="1" x14ac:dyDescent="0.35">
      <c r="A893" s="208"/>
      <c r="B893" s="86" t="str">
        <f>B890</f>
        <v>29th January,2026</v>
      </c>
      <c r="C893" s="87" t="s">
        <v>558</v>
      </c>
      <c r="D893" s="88">
        <f>1850*2726</f>
        <v>5043100</v>
      </c>
      <c r="F893" s="90"/>
    </row>
    <row r="894" spans="1:6" s="53" customFormat="1" x14ac:dyDescent="0.35">
      <c r="A894" s="208"/>
      <c r="B894" s="91"/>
      <c r="C894" s="92" t="s">
        <v>53</v>
      </c>
      <c r="D894" s="93">
        <f>325*2450</f>
        <v>796250</v>
      </c>
      <c r="F894" s="75"/>
    </row>
    <row r="895" spans="1:6" s="53" customFormat="1" x14ac:dyDescent="0.35">
      <c r="A895" s="208"/>
      <c r="B895" s="91" t="s">
        <v>54</v>
      </c>
      <c r="C895" s="92" t="s">
        <v>55</v>
      </c>
      <c r="D895" s="93">
        <v>1000000</v>
      </c>
      <c r="F895" s="75"/>
    </row>
    <row r="896" spans="1:6" s="53" customFormat="1" x14ac:dyDescent="0.35">
      <c r="A896" s="208"/>
      <c r="B896" s="91" t="s">
        <v>56</v>
      </c>
      <c r="C896" s="92" t="s">
        <v>57</v>
      </c>
      <c r="D896" s="93">
        <v>40000</v>
      </c>
      <c r="E896" s="210" t="s">
        <v>58</v>
      </c>
      <c r="F896" s="210"/>
    </row>
    <row r="897" spans="1:7" s="53" customFormat="1" x14ac:dyDescent="0.35">
      <c r="A897" s="208"/>
      <c r="B897" s="91" t="s">
        <v>59</v>
      </c>
      <c r="C897" s="92" t="s">
        <v>60</v>
      </c>
      <c r="D897" s="93">
        <f>900*140</f>
        <v>126000</v>
      </c>
      <c r="E897" s="94" t="s">
        <v>61</v>
      </c>
      <c r="F897" s="95">
        <f>5400*2445</f>
        <v>13203000</v>
      </c>
    </row>
    <row r="898" spans="1:7" s="53" customFormat="1" x14ac:dyDescent="0.35">
      <c r="A898" s="208"/>
      <c r="B898" s="91"/>
      <c r="C898" s="92" t="s">
        <v>62</v>
      </c>
      <c r="D898" s="93">
        <f>3600*140</f>
        <v>504000</v>
      </c>
      <c r="E898" s="96" t="s">
        <v>63</v>
      </c>
      <c r="F898" s="75">
        <f>(3240*2445)+(2160*2445)</f>
        <v>13203000</v>
      </c>
    </row>
    <row r="899" spans="1:7" s="53" customFormat="1" ht="15" thickBot="1" x14ac:dyDescent="0.4">
      <c r="A899" s="208"/>
      <c r="B899" s="91" t="s">
        <v>64</v>
      </c>
      <c r="C899" s="92" t="s">
        <v>65</v>
      </c>
      <c r="D899" s="97">
        <v>30000</v>
      </c>
      <c r="E899" s="98" t="s">
        <v>66</v>
      </c>
      <c r="F899" s="99">
        <f>F897-F898</f>
        <v>0</v>
      </c>
      <c r="G899" s="100">
        <f>F899/2445</f>
        <v>0</v>
      </c>
    </row>
    <row r="900" spans="1:7" s="53" customFormat="1" ht="15" thickTop="1" x14ac:dyDescent="0.35">
      <c r="A900" s="208"/>
      <c r="B900" s="91"/>
      <c r="C900" s="92" t="s">
        <v>67</v>
      </c>
      <c r="D900" s="93">
        <v>150000</v>
      </c>
      <c r="F900" s="75"/>
    </row>
    <row r="901" spans="1:7" s="53" customFormat="1" x14ac:dyDescent="0.35">
      <c r="A901" s="208"/>
      <c r="B901" s="91" t="s">
        <v>315</v>
      </c>
      <c r="C901" s="101" t="s">
        <v>68</v>
      </c>
      <c r="D901" s="93">
        <v>15000</v>
      </c>
      <c r="E901" s="94" t="s">
        <v>69</v>
      </c>
      <c r="F901" s="95"/>
    </row>
    <row r="902" spans="1:7" s="53" customFormat="1" x14ac:dyDescent="0.35">
      <c r="A902" s="208"/>
      <c r="B902" s="102"/>
      <c r="C902" s="101" t="s">
        <v>70</v>
      </c>
      <c r="D902" s="103">
        <v>10000</v>
      </c>
      <c r="E902" s="104"/>
      <c r="F902" s="105"/>
    </row>
    <row r="903" spans="1:7" s="53" customFormat="1" x14ac:dyDescent="0.35">
      <c r="A903" s="208"/>
      <c r="B903" s="102"/>
      <c r="C903" s="101" t="s">
        <v>71</v>
      </c>
      <c r="D903" s="103">
        <v>20000</v>
      </c>
      <c r="E903" s="104" t="s">
        <v>72</v>
      </c>
      <c r="F903" s="105"/>
    </row>
    <row r="904" spans="1:7" s="53" customFormat="1" x14ac:dyDescent="0.35">
      <c r="A904" s="208"/>
      <c r="B904" s="102"/>
      <c r="C904" s="92"/>
      <c r="D904" s="106"/>
      <c r="E904" s="53" t="s">
        <v>360</v>
      </c>
      <c r="F904" s="105"/>
    </row>
    <row r="905" spans="1:7" s="53" customFormat="1" ht="15" thickBot="1" x14ac:dyDescent="0.4">
      <c r="A905" s="208"/>
      <c r="B905" s="107"/>
      <c r="C905" s="108"/>
      <c r="D905" s="109"/>
      <c r="E905" s="53" t="s">
        <v>691</v>
      </c>
      <c r="F905" s="75"/>
    </row>
    <row r="906" spans="1:7" s="53" customFormat="1" ht="15" thickBot="1" x14ac:dyDescent="0.4">
      <c r="A906" s="208"/>
      <c r="B906" s="110"/>
      <c r="C906" s="111" t="s">
        <v>74</v>
      </c>
      <c r="D906" s="112">
        <f>SUM(D893:D905)</f>
        <v>7734350</v>
      </c>
      <c r="F906" s="75"/>
    </row>
    <row r="907" spans="1:7" s="53" customFormat="1" ht="15.5" thickTop="1" thickBot="1" x14ac:dyDescent="0.4">
      <c r="A907" s="209"/>
      <c r="B907" s="211"/>
      <c r="C907" s="211"/>
      <c r="D907" s="211"/>
      <c r="F907" s="75"/>
    </row>
    <row r="908" spans="1:7" s="53" customFormat="1" x14ac:dyDescent="0.35">
      <c r="B908" s="89"/>
      <c r="C908" s="53" t="s">
        <v>75</v>
      </c>
      <c r="D908" s="113">
        <f>D890-D906</f>
        <v>5468650</v>
      </c>
      <c r="F908" s="75"/>
    </row>
    <row r="909" spans="1:7" s="53" customFormat="1" x14ac:dyDescent="0.35">
      <c r="B909" s="89"/>
      <c r="D909" s="113"/>
      <c r="F909" s="75"/>
    </row>
    <row r="910" spans="1:7" s="53" customFormat="1" x14ac:dyDescent="0.35">
      <c r="A910" s="114"/>
      <c r="B910" s="115"/>
      <c r="C910" s="114"/>
      <c r="D910" s="116"/>
      <c r="E910" s="114"/>
      <c r="F910" s="117"/>
    </row>
    <row r="912" spans="1:7" s="53" customFormat="1" ht="23.5" x14ac:dyDescent="0.55000000000000004">
      <c r="B912" s="206" t="s">
        <v>0</v>
      </c>
      <c r="C912" s="206"/>
      <c r="D912" s="206"/>
      <c r="E912" s="70"/>
      <c r="F912" s="71"/>
    </row>
    <row r="913" spans="1:7" s="53" customFormat="1" ht="20.5" x14ac:dyDescent="0.45">
      <c r="B913" s="72"/>
      <c r="C913" s="73" t="s">
        <v>321</v>
      </c>
      <c r="D913" s="74"/>
      <c r="F913" s="75"/>
    </row>
    <row r="914" spans="1:7" s="53" customFormat="1" ht="21" thickBot="1" x14ac:dyDescent="0.5">
      <c r="B914" s="72" t="s">
        <v>322</v>
      </c>
      <c r="C914" s="76" t="s">
        <v>47</v>
      </c>
      <c r="D914" s="74"/>
      <c r="F914" s="75"/>
    </row>
    <row r="915" spans="1:7" s="53" customFormat="1" ht="15" thickBot="1" x14ac:dyDescent="0.4">
      <c r="A915" s="77" t="s">
        <v>48</v>
      </c>
      <c r="B915" s="78" t="s">
        <v>26</v>
      </c>
      <c r="C915" s="78" t="s">
        <v>49</v>
      </c>
      <c r="D915" s="79" t="s">
        <v>29</v>
      </c>
      <c r="F915" s="75"/>
    </row>
    <row r="916" spans="1:7" s="53" customFormat="1" ht="14.5" customHeight="1" x14ac:dyDescent="0.35">
      <c r="A916" s="207" t="s">
        <v>31</v>
      </c>
      <c r="B916" s="80" t="s">
        <v>318</v>
      </c>
      <c r="C916" s="81" t="s">
        <v>103</v>
      </c>
      <c r="D916" s="82">
        <f>F923</f>
        <v>13203000</v>
      </c>
      <c r="F916" s="75"/>
    </row>
    <row r="917" spans="1:7" s="53" customFormat="1" ht="21" thickBot="1" x14ac:dyDescent="0.5">
      <c r="A917" s="208"/>
      <c r="B917" s="72"/>
      <c r="C917" s="72"/>
      <c r="D917" s="74"/>
      <c r="F917" s="75"/>
    </row>
    <row r="918" spans="1:7" s="53" customFormat="1" ht="15" thickBot="1" x14ac:dyDescent="0.4">
      <c r="A918" s="208"/>
      <c r="B918" s="83" t="s">
        <v>26</v>
      </c>
      <c r="C918" s="84" t="s">
        <v>51</v>
      </c>
      <c r="D918" s="85" t="s">
        <v>52</v>
      </c>
      <c r="F918" s="75"/>
    </row>
    <row r="919" spans="1:7" s="89" customFormat="1" x14ac:dyDescent="0.35">
      <c r="A919" s="208"/>
      <c r="B919" s="86" t="str">
        <f>B916</f>
        <v>29th January,2026</v>
      </c>
      <c r="C919" s="87" t="s">
        <v>558</v>
      </c>
      <c r="D919" s="88">
        <f>1850*2726</f>
        <v>5043100</v>
      </c>
      <c r="F919" s="90"/>
    </row>
    <row r="920" spans="1:7" s="53" customFormat="1" x14ac:dyDescent="0.35">
      <c r="A920" s="208"/>
      <c r="B920" s="91"/>
      <c r="C920" s="92" t="s">
        <v>53</v>
      </c>
      <c r="D920" s="93">
        <f>325*2450</f>
        <v>796250</v>
      </c>
      <c r="F920" s="75"/>
    </row>
    <row r="921" spans="1:7" s="53" customFormat="1" x14ac:dyDescent="0.35">
      <c r="A921" s="208"/>
      <c r="B921" s="91" t="s">
        <v>54</v>
      </c>
      <c r="C921" s="92" t="s">
        <v>55</v>
      </c>
      <c r="D921" s="93">
        <v>1000000</v>
      </c>
      <c r="F921" s="75"/>
    </row>
    <row r="922" spans="1:7" s="53" customFormat="1" x14ac:dyDescent="0.35">
      <c r="A922" s="208"/>
      <c r="B922" s="91" t="s">
        <v>56</v>
      </c>
      <c r="C922" s="92" t="s">
        <v>57</v>
      </c>
      <c r="D922" s="93">
        <v>40000</v>
      </c>
      <c r="E922" s="210" t="s">
        <v>58</v>
      </c>
      <c r="F922" s="210"/>
    </row>
    <row r="923" spans="1:7" s="53" customFormat="1" x14ac:dyDescent="0.35">
      <c r="A923" s="208"/>
      <c r="B923" s="91" t="s">
        <v>59</v>
      </c>
      <c r="C923" s="92" t="s">
        <v>60</v>
      </c>
      <c r="D923" s="93">
        <f>900*140</f>
        <v>126000</v>
      </c>
      <c r="E923" s="94" t="s">
        <v>61</v>
      </c>
      <c r="F923" s="95">
        <f>5400*2445</f>
        <v>13203000</v>
      </c>
    </row>
    <row r="924" spans="1:7" s="53" customFormat="1" x14ac:dyDescent="0.35">
      <c r="A924" s="208"/>
      <c r="B924" s="91"/>
      <c r="C924" s="92" t="s">
        <v>62</v>
      </c>
      <c r="D924" s="93">
        <f>3600*140</f>
        <v>504000</v>
      </c>
      <c r="E924" s="96" t="s">
        <v>63</v>
      </c>
      <c r="F924" s="75">
        <f>(3240*2445)</f>
        <v>7921800</v>
      </c>
    </row>
    <row r="925" spans="1:7" s="53" customFormat="1" ht="15" thickBot="1" x14ac:dyDescent="0.4">
      <c r="A925" s="208"/>
      <c r="B925" s="91" t="s">
        <v>64</v>
      </c>
      <c r="C925" s="92" t="s">
        <v>65</v>
      </c>
      <c r="D925" s="97">
        <v>30000</v>
      </c>
      <c r="E925" s="98" t="s">
        <v>66</v>
      </c>
      <c r="F925" s="99">
        <f>F923-F924</f>
        <v>5281200</v>
      </c>
      <c r="G925" s="100">
        <f>F925/2445</f>
        <v>2160</v>
      </c>
    </row>
    <row r="926" spans="1:7" s="53" customFormat="1" ht="15" thickTop="1" x14ac:dyDescent="0.35">
      <c r="A926" s="208"/>
      <c r="B926" s="91"/>
      <c r="C926" s="92" t="s">
        <v>67</v>
      </c>
      <c r="D926" s="93">
        <v>150000</v>
      </c>
      <c r="F926" s="75"/>
    </row>
    <row r="927" spans="1:7" s="53" customFormat="1" x14ac:dyDescent="0.35">
      <c r="A927" s="208"/>
      <c r="B927" s="91" t="s">
        <v>320</v>
      </c>
      <c r="C927" s="101" t="s">
        <v>68</v>
      </c>
      <c r="D927" s="93">
        <v>15000</v>
      </c>
      <c r="E927" s="94" t="s">
        <v>69</v>
      </c>
      <c r="F927" s="95"/>
    </row>
    <row r="928" spans="1:7" s="53" customFormat="1" x14ac:dyDescent="0.35">
      <c r="A928" s="208"/>
      <c r="B928" s="102"/>
      <c r="C928" s="101" t="s">
        <v>70</v>
      </c>
      <c r="D928" s="103">
        <v>10000</v>
      </c>
      <c r="E928" s="104"/>
      <c r="F928" s="105"/>
    </row>
    <row r="929" spans="1:6" s="53" customFormat="1" x14ac:dyDescent="0.35">
      <c r="A929" s="208"/>
      <c r="B929" s="102"/>
      <c r="C929" s="101" t="s">
        <v>71</v>
      </c>
      <c r="D929" s="103">
        <v>20000</v>
      </c>
      <c r="E929" s="104" t="s">
        <v>72</v>
      </c>
      <c r="F929" s="105"/>
    </row>
    <row r="930" spans="1:6" s="53" customFormat="1" x14ac:dyDescent="0.35">
      <c r="A930" s="208"/>
      <c r="B930" s="102"/>
      <c r="C930" s="92"/>
      <c r="D930" s="106"/>
      <c r="E930" s="53" t="s">
        <v>360</v>
      </c>
      <c r="F930" s="105"/>
    </row>
    <row r="931" spans="1:6" s="53" customFormat="1" ht="15" thickBot="1" x14ac:dyDescent="0.4">
      <c r="A931" s="208"/>
      <c r="B931" s="107"/>
      <c r="C931" s="108"/>
      <c r="D931" s="109"/>
      <c r="F931" s="75"/>
    </row>
    <row r="932" spans="1:6" s="53" customFormat="1" ht="15" thickBot="1" x14ac:dyDescent="0.4">
      <c r="A932" s="208"/>
      <c r="B932" s="110"/>
      <c r="C932" s="111" t="s">
        <v>74</v>
      </c>
      <c r="D932" s="112">
        <f>SUM(D919:D931)</f>
        <v>7734350</v>
      </c>
      <c r="F932" s="75"/>
    </row>
    <row r="933" spans="1:6" s="53" customFormat="1" ht="15.5" thickTop="1" thickBot="1" x14ac:dyDescent="0.4">
      <c r="A933" s="209"/>
      <c r="B933" s="211"/>
      <c r="C933" s="211"/>
      <c r="D933" s="211"/>
      <c r="F933" s="75"/>
    </row>
    <row r="934" spans="1:6" s="53" customFormat="1" x14ac:dyDescent="0.35">
      <c r="B934" s="89"/>
      <c r="C934" s="53" t="s">
        <v>75</v>
      </c>
      <c r="D934" s="113">
        <f>D916-D932</f>
        <v>5468650</v>
      </c>
      <c r="F934" s="75"/>
    </row>
    <row r="935" spans="1:6" s="53" customFormat="1" x14ac:dyDescent="0.35">
      <c r="B935" s="89"/>
      <c r="D935" s="113"/>
      <c r="F935" s="75"/>
    </row>
    <row r="936" spans="1:6" s="53" customFormat="1" x14ac:dyDescent="0.35">
      <c r="A936" s="114"/>
      <c r="B936" s="115"/>
      <c r="C936" s="114"/>
      <c r="D936" s="116"/>
      <c r="E936" s="114"/>
      <c r="F936" s="117"/>
    </row>
    <row r="938" spans="1:6" s="53" customFormat="1" ht="23.5" x14ac:dyDescent="0.55000000000000004">
      <c r="B938" s="206" t="s">
        <v>0</v>
      </c>
      <c r="C938" s="206"/>
      <c r="D938" s="206"/>
      <c r="E938" s="70"/>
      <c r="F938" s="71"/>
    </row>
    <row r="939" spans="1:6" s="53" customFormat="1" ht="20.5" x14ac:dyDescent="0.45">
      <c r="B939" s="72"/>
      <c r="C939" s="73" t="s">
        <v>326</v>
      </c>
      <c r="D939" s="74"/>
      <c r="F939" s="75"/>
    </row>
    <row r="940" spans="1:6" s="53" customFormat="1" ht="21" thickBot="1" x14ac:dyDescent="0.5">
      <c r="B940" s="72" t="s">
        <v>327</v>
      </c>
      <c r="C940" s="76" t="s">
        <v>47</v>
      </c>
      <c r="D940" s="74"/>
      <c r="F940" s="75"/>
    </row>
    <row r="941" spans="1:6" s="53" customFormat="1" ht="15" thickBot="1" x14ac:dyDescent="0.4">
      <c r="A941" s="77" t="s">
        <v>48</v>
      </c>
      <c r="B941" s="78" t="s">
        <v>26</v>
      </c>
      <c r="C941" s="78" t="s">
        <v>49</v>
      </c>
      <c r="D941" s="79" t="s">
        <v>29</v>
      </c>
      <c r="F941" s="75"/>
    </row>
    <row r="942" spans="1:6" s="53" customFormat="1" ht="14.5" customHeight="1" x14ac:dyDescent="0.35">
      <c r="A942" s="207" t="s">
        <v>31</v>
      </c>
      <c r="B942" s="80" t="s">
        <v>318</v>
      </c>
      <c r="C942" s="81" t="s">
        <v>103</v>
      </c>
      <c r="D942" s="82">
        <f>F949</f>
        <v>13203000</v>
      </c>
      <c r="F942" s="75"/>
    </row>
    <row r="943" spans="1:6" s="53" customFormat="1" ht="21" thickBot="1" x14ac:dyDescent="0.5">
      <c r="A943" s="208"/>
      <c r="B943" s="72"/>
      <c r="C943" s="72"/>
      <c r="D943" s="74"/>
      <c r="F943" s="75"/>
    </row>
    <row r="944" spans="1:6" s="53" customFormat="1" ht="15" thickBot="1" x14ac:dyDescent="0.4">
      <c r="A944" s="208"/>
      <c r="B944" s="83" t="s">
        <v>26</v>
      </c>
      <c r="C944" s="84" t="s">
        <v>51</v>
      </c>
      <c r="D944" s="85" t="s">
        <v>52</v>
      </c>
      <c r="F944" s="75"/>
    </row>
    <row r="945" spans="1:7" s="89" customFormat="1" x14ac:dyDescent="0.35">
      <c r="A945" s="208"/>
      <c r="B945" s="86" t="str">
        <f>B942</f>
        <v>29th January,2026</v>
      </c>
      <c r="C945" s="87" t="s">
        <v>558</v>
      </c>
      <c r="D945" s="88">
        <f>1850*2726</f>
        <v>5043100</v>
      </c>
      <c r="F945" s="90"/>
    </row>
    <row r="946" spans="1:7" s="53" customFormat="1" x14ac:dyDescent="0.35">
      <c r="A946" s="208"/>
      <c r="B946" s="91"/>
      <c r="C946" s="92" t="s">
        <v>53</v>
      </c>
      <c r="D946" s="93">
        <f>325*2450</f>
        <v>796250</v>
      </c>
      <c r="F946" s="75"/>
    </row>
    <row r="947" spans="1:7" s="53" customFormat="1" x14ac:dyDescent="0.35">
      <c r="A947" s="208"/>
      <c r="B947" s="91" t="s">
        <v>54</v>
      </c>
      <c r="C947" s="92" t="s">
        <v>55</v>
      </c>
      <c r="D947" s="93">
        <v>1000000</v>
      </c>
      <c r="F947" s="75"/>
    </row>
    <row r="948" spans="1:7" s="53" customFormat="1" x14ac:dyDescent="0.35">
      <c r="A948" s="208"/>
      <c r="B948" s="91" t="s">
        <v>56</v>
      </c>
      <c r="C948" s="92" t="s">
        <v>57</v>
      </c>
      <c r="D948" s="93">
        <v>40000</v>
      </c>
      <c r="E948" s="210" t="s">
        <v>58</v>
      </c>
      <c r="F948" s="210"/>
    </row>
    <row r="949" spans="1:7" s="53" customFormat="1" x14ac:dyDescent="0.35">
      <c r="A949" s="208"/>
      <c r="B949" s="91" t="s">
        <v>59</v>
      </c>
      <c r="C949" s="92" t="s">
        <v>60</v>
      </c>
      <c r="D949" s="93">
        <f>900*140</f>
        <v>126000</v>
      </c>
      <c r="E949" s="94" t="s">
        <v>61</v>
      </c>
      <c r="F949" s="95">
        <f>5400*2445</f>
        <v>13203000</v>
      </c>
    </row>
    <row r="950" spans="1:7" s="53" customFormat="1" x14ac:dyDescent="0.35">
      <c r="A950" s="208"/>
      <c r="B950" s="91"/>
      <c r="C950" s="92" t="s">
        <v>62</v>
      </c>
      <c r="D950" s="93">
        <f>3600*140</f>
        <v>504000</v>
      </c>
      <c r="E950" s="96" t="s">
        <v>63</v>
      </c>
      <c r="F950" s="75">
        <f>(3240*2445)</f>
        <v>7921800</v>
      </c>
    </row>
    <row r="951" spans="1:7" s="53" customFormat="1" ht="15" thickBot="1" x14ac:dyDescent="0.4">
      <c r="A951" s="208"/>
      <c r="B951" s="91" t="s">
        <v>64</v>
      </c>
      <c r="C951" s="92" t="s">
        <v>65</v>
      </c>
      <c r="D951" s="97">
        <v>30000</v>
      </c>
      <c r="E951" s="98" t="s">
        <v>66</v>
      </c>
      <c r="F951" s="99">
        <f>F949-F950</f>
        <v>5281200</v>
      </c>
      <c r="G951" s="100">
        <f>F951/2445</f>
        <v>2160</v>
      </c>
    </row>
    <row r="952" spans="1:7" s="53" customFormat="1" ht="15" thickTop="1" x14ac:dyDescent="0.35">
      <c r="A952" s="208"/>
      <c r="B952" s="91"/>
      <c r="C952" s="92" t="s">
        <v>67</v>
      </c>
      <c r="D952" s="93">
        <v>150000</v>
      </c>
      <c r="F952" s="75"/>
    </row>
    <row r="953" spans="1:7" s="53" customFormat="1" x14ac:dyDescent="0.35">
      <c r="A953" s="208"/>
      <c r="B953" s="91" t="s">
        <v>325</v>
      </c>
      <c r="C953" s="101" t="s">
        <v>68</v>
      </c>
      <c r="D953" s="93">
        <v>15000</v>
      </c>
      <c r="E953" s="94" t="s">
        <v>69</v>
      </c>
      <c r="F953" s="95"/>
    </row>
    <row r="954" spans="1:7" s="53" customFormat="1" x14ac:dyDescent="0.35">
      <c r="A954" s="208"/>
      <c r="B954" s="102"/>
      <c r="C954" s="101" t="s">
        <v>70</v>
      </c>
      <c r="D954" s="103">
        <v>10000</v>
      </c>
      <c r="E954" s="104"/>
      <c r="F954" s="105"/>
    </row>
    <row r="955" spans="1:7" s="53" customFormat="1" x14ac:dyDescent="0.35">
      <c r="A955" s="208"/>
      <c r="B955" s="102"/>
      <c r="C955" s="101" t="s">
        <v>71</v>
      </c>
      <c r="D955" s="103">
        <v>20000</v>
      </c>
      <c r="E955" s="104" t="s">
        <v>72</v>
      </c>
      <c r="F955" s="105"/>
    </row>
    <row r="956" spans="1:7" s="53" customFormat="1" x14ac:dyDescent="0.35">
      <c r="A956" s="208"/>
      <c r="B956" s="102"/>
      <c r="C956" s="92"/>
      <c r="D956" s="106"/>
      <c r="E956" s="53" t="s">
        <v>360</v>
      </c>
      <c r="F956" s="105"/>
    </row>
    <row r="957" spans="1:7" s="53" customFormat="1" ht="15" thickBot="1" x14ac:dyDescent="0.4">
      <c r="A957" s="208"/>
      <c r="B957" s="107"/>
      <c r="C957" s="108"/>
      <c r="D957" s="109"/>
      <c r="F957" s="75"/>
    </row>
    <row r="958" spans="1:7" s="53" customFormat="1" ht="15" thickBot="1" x14ac:dyDescent="0.4">
      <c r="A958" s="208"/>
      <c r="B958" s="110"/>
      <c r="C958" s="111" t="s">
        <v>74</v>
      </c>
      <c r="D958" s="112">
        <f>SUM(D945:D957)</f>
        <v>7734350</v>
      </c>
      <c r="F958" s="75"/>
    </row>
    <row r="959" spans="1:7" s="53" customFormat="1" ht="15.5" thickTop="1" thickBot="1" x14ac:dyDescent="0.4">
      <c r="A959" s="209"/>
      <c r="B959" s="211"/>
      <c r="C959" s="211"/>
      <c r="D959" s="211"/>
      <c r="F959" s="75"/>
    </row>
    <row r="960" spans="1:7" s="53" customFormat="1" x14ac:dyDescent="0.35">
      <c r="B960" s="89"/>
      <c r="C960" s="53" t="s">
        <v>75</v>
      </c>
      <c r="D960" s="113">
        <f>D942-D958</f>
        <v>5468650</v>
      </c>
      <c r="F960" s="75"/>
    </row>
    <row r="961" spans="1:6" s="53" customFormat="1" x14ac:dyDescent="0.35">
      <c r="B961" s="89"/>
      <c r="D961" s="113"/>
      <c r="F961" s="75"/>
    </row>
    <row r="962" spans="1:6" s="53" customFormat="1" x14ac:dyDescent="0.35">
      <c r="A962" s="114"/>
      <c r="B962" s="115"/>
      <c r="C962" s="114"/>
      <c r="D962" s="116"/>
      <c r="E962" s="114"/>
      <c r="F962" s="117"/>
    </row>
    <row r="965" spans="1:6" s="53" customFormat="1" ht="23.5" x14ac:dyDescent="0.55000000000000004">
      <c r="B965" s="206" t="s">
        <v>0</v>
      </c>
      <c r="C965" s="206"/>
      <c r="D965" s="206"/>
      <c r="E965" s="70"/>
      <c r="F965" s="71"/>
    </row>
    <row r="966" spans="1:6" s="53" customFormat="1" ht="20.5" x14ac:dyDescent="0.45">
      <c r="B966" s="72"/>
      <c r="C966" s="73" t="s">
        <v>364</v>
      </c>
      <c r="D966" s="74"/>
      <c r="F966" s="75"/>
    </row>
    <row r="967" spans="1:6" s="53" customFormat="1" ht="21" thickBot="1" x14ac:dyDescent="0.5">
      <c r="B967" s="72" t="s">
        <v>365</v>
      </c>
      <c r="C967" s="76" t="s">
        <v>47</v>
      </c>
      <c r="D967" s="74"/>
      <c r="F967" s="75"/>
    </row>
    <row r="968" spans="1:6" s="53" customFormat="1" ht="15" thickBot="1" x14ac:dyDescent="0.4">
      <c r="A968" s="77" t="s">
        <v>48</v>
      </c>
      <c r="B968" s="78" t="s">
        <v>26</v>
      </c>
      <c r="C968" s="78" t="s">
        <v>49</v>
      </c>
      <c r="D968" s="79" t="s">
        <v>29</v>
      </c>
      <c r="F968" s="75"/>
    </row>
    <row r="969" spans="1:6" s="53" customFormat="1" ht="14.5" customHeight="1" x14ac:dyDescent="0.35">
      <c r="A969" s="207" t="s">
        <v>32</v>
      </c>
      <c r="B969" s="80" t="s">
        <v>366</v>
      </c>
      <c r="C969" s="81" t="s">
        <v>103</v>
      </c>
      <c r="D969" s="82">
        <f>F976</f>
        <v>13203000</v>
      </c>
      <c r="F969" s="75"/>
    </row>
    <row r="970" spans="1:6" s="53" customFormat="1" ht="21" thickBot="1" x14ac:dyDescent="0.5">
      <c r="A970" s="208"/>
      <c r="B970" s="72"/>
      <c r="C970" s="72"/>
      <c r="D970" s="74"/>
      <c r="F970" s="75"/>
    </row>
    <row r="971" spans="1:6" s="53" customFormat="1" ht="15" thickBot="1" x14ac:dyDescent="0.4">
      <c r="A971" s="208"/>
      <c r="B971" s="83" t="s">
        <v>26</v>
      </c>
      <c r="C971" s="84" t="s">
        <v>51</v>
      </c>
      <c r="D971" s="85" t="s">
        <v>52</v>
      </c>
      <c r="F971" s="75"/>
    </row>
    <row r="972" spans="1:6" s="89" customFormat="1" x14ac:dyDescent="0.35">
      <c r="A972" s="208"/>
      <c r="B972" s="86" t="str">
        <f>B969</f>
        <v>02nd February,2026</v>
      </c>
      <c r="C972" s="87" t="s">
        <v>558</v>
      </c>
      <c r="D972" s="88">
        <f>1850*2726</f>
        <v>5043100</v>
      </c>
      <c r="F972" s="90"/>
    </row>
    <row r="973" spans="1:6" s="53" customFormat="1" x14ac:dyDescent="0.35">
      <c r="A973" s="208"/>
      <c r="B973" s="91"/>
      <c r="C973" s="92" t="s">
        <v>621</v>
      </c>
      <c r="D973" s="93">
        <f>219*2450</f>
        <v>536550</v>
      </c>
      <c r="F973" s="75"/>
    </row>
    <row r="974" spans="1:6" s="53" customFormat="1" x14ac:dyDescent="0.35">
      <c r="A974" s="208"/>
      <c r="B974" s="91" t="s">
        <v>54</v>
      </c>
      <c r="C974" s="92" t="s">
        <v>55</v>
      </c>
      <c r="D974" s="93">
        <v>1000000</v>
      </c>
      <c r="F974" s="75"/>
    </row>
    <row r="975" spans="1:6" s="53" customFormat="1" x14ac:dyDescent="0.35">
      <c r="A975" s="208"/>
      <c r="B975" s="91" t="s">
        <v>56</v>
      </c>
      <c r="C975" s="92" t="s">
        <v>57</v>
      </c>
      <c r="D975" s="93">
        <v>40000</v>
      </c>
      <c r="E975" s="210" t="s">
        <v>58</v>
      </c>
      <c r="F975" s="210"/>
    </row>
    <row r="976" spans="1:6" s="53" customFormat="1" x14ac:dyDescent="0.35">
      <c r="A976" s="208"/>
      <c r="B976" s="91" t="s">
        <v>363</v>
      </c>
      <c r="C976" s="92" t="s">
        <v>60</v>
      </c>
      <c r="D976" s="93">
        <f>1150*140</f>
        <v>161000</v>
      </c>
      <c r="E976" s="94" t="s">
        <v>61</v>
      </c>
      <c r="F976" s="95">
        <f>5400*2445</f>
        <v>13203000</v>
      </c>
    </row>
    <row r="977" spans="1:7" s="53" customFormat="1" x14ac:dyDescent="0.35">
      <c r="A977" s="208"/>
      <c r="B977" s="91"/>
      <c r="C977" s="92" t="s">
        <v>62</v>
      </c>
      <c r="D977" s="93">
        <f>2400*140</f>
        <v>336000</v>
      </c>
      <c r="E977" s="96" t="s">
        <v>63</v>
      </c>
      <c r="F977" s="75">
        <f>(3240*2445)+(2160*2445)</f>
        <v>13203000</v>
      </c>
    </row>
    <row r="978" spans="1:7" s="53" customFormat="1" ht="15" thickBot="1" x14ac:dyDescent="0.4">
      <c r="A978" s="208"/>
      <c r="B978" s="91" t="s">
        <v>64</v>
      </c>
      <c r="C978" s="92" t="s">
        <v>65</v>
      </c>
      <c r="D978" s="97">
        <v>30000</v>
      </c>
      <c r="E978" s="98" t="s">
        <v>66</v>
      </c>
      <c r="F978" s="99">
        <f>F976-F977</f>
        <v>0</v>
      </c>
      <c r="G978" s="100">
        <f>F978/2445</f>
        <v>0</v>
      </c>
    </row>
    <row r="979" spans="1:7" s="53" customFormat="1" ht="15" thickTop="1" x14ac:dyDescent="0.35">
      <c r="A979" s="208"/>
      <c r="B979" s="91"/>
      <c r="C979" s="92" t="s">
        <v>71</v>
      </c>
      <c r="D979" s="97">
        <v>30000</v>
      </c>
      <c r="F979" s="75"/>
    </row>
    <row r="980" spans="1:7" s="53" customFormat="1" x14ac:dyDescent="0.35">
      <c r="A980" s="208"/>
      <c r="B980" s="91" t="s">
        <v>362</v>
      </c>
      <c r="C980" s="101"/>
      <c r="D980" s="93"/>
      <c r="E980" s="94" t="s">
        <v>69</v>
      </c>
      <c r="F980" s="95"/>
    </row>
    <row r="981" spans="1:7" s="53" customFormat="1" x14ac:dyDescent="0.35">
      <c r="A981" s="208"/>
      <c r="B981" s="102"/>
      <c r="C981" s="101"/>
      <c r="D981" s="103"/>
      <c r="E981" s="104"/>
      <c r="F981" s="105"/>
    </row>
    <row r="982" spans="1:7" s="53" customFormat="1" x14ac:dyDescent="0.35">
      <c r="A982" s="208"/>
      <c r="B982" s="102"/>
      <c r="C982" s="101"/>
      <c r="D982" s="103"/>
      <c r="E982" s="104" t="s">
        <v>72</v>
      </c>
      <c r="F982" s="105"/>
    </row>
    <row r="983" spans="1:7" s="53" customFormat="1" x14ac:dyDescent="0.35">
      <c r="A983" s="208"/>
      <c r="B983" s="102"/>
      <c r="C983" s="92"/>
      <c r="D983" s="106"/>
      <c r="E983" s="53" t="s">
        <v>487</v>
      </c>
      <c r="F983" s="105"/>
    </row>
    <row r="984" spans="1:7" s="53" customFormat="1" ht="15" thickBot="1" x14ac:dyDescent="0.4">
      <c r="A984" s="208"/>
      <c r="B984" s="107"/>
      <c r="C984" s="108"/>
      <c r="D984" s="109"/>
      <c r="E984" s="53" t="s">
        <v>739</v>
      </c>
      <c r="F984" s="75"/>
    </row>
    <row r="985" spans="1:7" s="53" customFormat="1" ht="15" thickBot="1" x14ac:dyDescent="0.4">
      <c r="A985" s="208"/>
      <c r="B985" s="110"/>
      <c r="C985" s="111" t="s">
        <v>74</v>
      </c>
      <c r="D985" s="112">
        <f>SUM(D972:D984)</f>
        <v>7176650</v>
      </c>
      <c r="F985" s="75"/>
    </row>
    <row r="986" spans="1:7" s="53" customFormat="1" ht="15.5" thickTop="1" thickBot="1" x14ac:dyDescent="0.4">
      <c r="A986" s="209"/>
      <c r="B986" s="211"/>
      <c r="C986" s="211"/>
      <c r="D986" s="211"/>
      <c r="F986" s="75"/>
    </row>
    <row r="987" spans="1:7" s="53" customFormat="1" x14ac:dyDescent="0.35">
      <c r="B987" s="89"/>
      <c r="C987" s="53" t="s">
        <v>75</v>
      </c>
      <c r="D987" s="113">
        <f>D969-D985</f>
        <v>6026350</v>
      </c>
      <c r="F987" s="75"/>
    </row>
    <row r="988" spans="1:7" s="53" customFormat="1" x14ac:dyDescent="0.35">
      <c r="B988" s="89"/>
      <c r="D988" s="113"/>
      <c r="F988" s="75"/>
    </row>
    <row r="989" spans="1:7" s="53" customFormat="1" x14ac:dyDescent="0.35">
      <c r="A989" s="114"/>
      <c r="B989" s="115"/>
      <c r="C989" s="114"/>
      <c r="D989" s="116"/>
      <c r="E989" s="114"/>
      <c r="F989" s="117"/>
    </row>
    <row r="991" spans="1:7" s="53" customFormat="1" ht="23.5" x14ac:dyDescent="0.55000000000000004">
      <c r="B991" s="206" t="s">
        <v>0</v>
      </c>
      <c r="C991" s="206"/>
      <c r="D991" s="206"/>
      <c r="E991" s="70"/>
      <c r="F991" s="71"/>
    </row>
    <row r="992" spans="1:7" s="53" customFormat="1" ht="20.5" x14ac:dyDescent="0.45">
      <c r="B992" s="72"/>
      <c r="C992" s="73" t="s">
        <v>373</v>
      </c>
      <c r="D992" s="74"/>
      <c r="F992" s="75"/>
    </row>
    <row r="993" spans="1:7" s="53" customFormat="1" ht="21" thickBot="1" x14ac:dyDescent="0.5">
      <c r="B993" s="72" t="s">
        <v>374</v>
      </c>
      <c r="C993" s="76" t="s">
        <v>47</v>
      </c>
      <c r="D993" s="74"/>
      <c r="F993" s="75"/>
    </row>
    <row r="994" spans="1:7" s="53" customFormat="1" ht="15" thickBot="1" x14ac:dyDescent="0.4">
      <c r="A994" s="77" t="s">
        <v>48</v>
      </c>
      <c r="B994" s="78" t="s">
        <v>26</v>
      </c>
      <c r="C994" s="78" t="s">
        <v>49</v>
      </c>
      <c r="D994" s="79" t="s">
        <v>29</v>
      </c>
      <c r="F994" s="75"/>
    </row>
    <row r="995" spans="1:7" s="53" customFormat="1" ht="14.5" customHeight="1" x14ac:dyDescent="0.35">
      <c r="A995" s="207" t="s">
        <v>32</v>
      </c>
      <c r="B995" s="80" t="s">
        <v>366</v>
      </c>
      <c r="C995" s="81" t="s">
        <v>103</v>
      </c>
      <c r="D995" s="82">
        <f>F1002</f>
        <v>13203000</v>
      </c>
      <c r="F995" s="75"/>
    </row>
    <row r="996" spans="1:7" s="53" customFormat="1" ht="21" thickBot="1" x14ac:dyDescent="0.5">
      <c r="A996" s="208"/>
      <c r="B996" s="72"/>
      <c r="C996" s="72"/>
      <c r="D996" s="74"/>
      <c r="F996" s="75"/>
    </row>
    <row r="997" spans="1:7" s="53" customFormat="1" ht="15" thickBot="1" x14ac:dyDescent="0.4">
      <c r="A997" s="208"/>
      <c r="B997" s="83" t="s">
        <v>26</v>
      </c>
      <c r="C997" s="84" t="s">
        <v>51</v>
      </c>
      <c r="D997" s="85" t="s">
        <v>52</v>
      </c>
      <c r="F997" s="75"/>
    </row>
    <row r="998" spans="1:7" s="89" customFormat="1" x14ac:dyDescent="0.35">
      <c r="A998" s="208"/>
      <c r="B998" s="86" t="str">
        <f>B995</f>
        <v>02nd February,2026</v>
      </c>
      <c r="C998" s="87" t="s">
        <v>558</v>
      </c>
      <c r="D998" s="88">
        <f>1850*2726</f>
        <v>5043100</v>
      </c>
      <c r="F998" s="90"/>
    </row>
    <row r="999" spans="1:7" s="53" customFormat="1" x14ac:dyDescent="0.35">
      <c r="A999" s="208"/>
      <c r="B999" s="91"/>
      <c r="C999" s="92" t="s">
        <v>53</v>
      </c>
      <c r="D999" s="93">
        <f>325*2450</f>
        <v>796250</v>
      </c>
      <c r="F999" s="75"/>
    </row>
    <row r="1000" spans="1:7" s="53" customFormat="1" x14ac:dyDescent="0.35">
      <c r="A1000" s="208"/>
      <c r="B1000" s="91" t="s">
        <v>54</v>
      </c>
      <c r="C1000" s="92" t="s">
        <v>55</v>
      </c>
      <c r="D1000" s="93">
        <v>1000000</v>
      </c>
      <c r="F1000" s="75"/>
    </row>
    <row r="1001" spans="1:7" s="53" customFormat="1" x14ac:dyDescent="0.35">
      <c r="A1001" s="208"/>
      <c r="B1001" s="91" t="s">
        <v>56</v>
      </c>
      <c r="C1001" s="92" t="s">
        <v>57</v>
      </c>
      <c r="D1001" s="93">
        <v>40000</v>
      </c>
      <c r="E1001" s="210" t="s">
        <v>58</v>
      </c>
      <c r="F1001" s="210"/>
    </row>
    <row r="1002" spans="1:7" s="53" customFormat="1" x14ac:dyDescent="0.35">
      <c r="A1002" s="208"/>
      <c r="B1002" s="91" t="s">
        <v>59</v>
      </c>
      <c r="C1002" s="92" t="s">
        <v>60</v>
      </c>
      <c r="D1002" s="93">
        <f>900*140</f>
        <v>126000</v>
      </c>
      <c r="E1002" s="94" t="s">
        <v>61</v>
      </c>
      <c r="F1002" s="95">
        <f>5400*2445</f>
        <v>13203000</v>
      </c>
    </row>
    <row r="1003" spans="1:7" s="53" customFormat="1" x14ac:dyDescent="0.35">
      <c r="A1003" s="208"/>
      <c r="B1003" s="91"/>
      <c r="C1003" s="92" t="s">
        <v>62</v>
      </c>
      <c r="D1003" s="93">
        <f>3600*140</f>
        <v>504000</v>
      </c>
      <c r="E1003" s="96" t="s">
        <v>63</v>
      </c>
      <c r="F1003" s="75">
        <f>(3240*2445)+(2148.24*2445)</f>
        <v>13174246.800000001</v>
      </c>
    </row>
    <row r="1004" spans="1:7" s="53" customFormat="1" ht="15" thickBot="1" x14ac:dyDescent="0.4">
      <c r="A1004" s="208"/>
      <c r="B1004" s="91" t="s">
        <v>64</v>
      </c>
      <c r="C1004" s="92" t="s">
        <v>65</v>
      </c>
      <c r="D1004" s="97">
        <v>30000</v>
      </c>
      <c r="E1004" s="98" t="s">
        <v>66</v>
      </c>
      <c r="F1004" s="99">
        <f>F1002-F1003</f>
        <v>28753.199999999255</v>
      </c>
      <c r="G1004" s="100">
        <f>F1004/2445</f>
        <v>11.759999999999696</v>
      </c>
    </row>
    <row r="1005" spans="1:7" s="53" customFormat="1" ht="15" thickTop="1" x14ac:dyDescent="0.35">
      <c r="A1005" s="208"/>
      <c r="B1005" s="91"/>
      <c r="C1005" s="92" t="s">
        <v>67</v>
      </c>
      <c r="D1005" s="93">
        <v>150000</v>
      </c>
      <c r="F1005" s="75"/>
    </row>
    <row r="1006" spans="1:7" s="53" customFormat="1" x14ac:dyDescent="0.35">
      <c r="A1006" s="208"/>
      <c r="B1006" s="91" t="s">
        <v>369</v>
      </c>
      <c r="C1006" s="101" t="s">
        <v>68</v>
      </c>
      <c r="D1006" s="93">
        <v>15000</v>
      </c>
      <c r="E1006" s="94" t="s">
        <v>69</v>
      </c>
      <c r="F1006" s="95"/>
    </row>
    <row r="1007" spans="1:7" s="53" customFormat="1" x14ac:dyDescent="0.35">
      <c r="A1007" s="208"/>
      <c r="B1007" s="102"/>
      <c r="C1007" s="101" t="s">
        <v>70</v>
      </c>
      <c r="D1007" s="103">
        <v>10000</v>
      </c>
      <c r="E1007" s="104"/>
      <c r="F1007" s="105"/>
    </row>
    <row r="1008" spans="1:7" s="53" customFormat="1" x14ac:dyDescent="0.35">
      <c r="A1008" s="208"/>
      <c r="B1008" s="102"/>
      <c r="C1008" s="101" t="s">
        <v>71</v>
      </c>
      <c r="D1008" s="103">
        <v>20000</v>
      </c>
      <c r="E1008" s="104" t="s">
        <v>72</v>
      </c>
      <c r="F1008" s="105"/>
    </row>
    <row r="1009" spans="1:6" s="53" customFormat="1" x14ac:dyDescent="0.35">
      <c r="A1009" s="208"/>
      <c r="B1009" s="102"/>
      <c r="C1009" s="92"/>
      <c r="D1009" s="106"/>
      <c r="E1009" s="53" t="s">
        <v>487</v>
      </c>
      <c r="F1009" s="105"/>
    </row>
    <row r="1010" spans="1:6" s="53" customFormat="1" ht="15" thickBot="1" x14ac:dyDescent="0.4">
      <c r="A1010" s="208"/>
      <c r="B1010" s="107"/>
      <c r="C1010" s="108"/>
      <c r="D1010" s="109"/>
      <c r="E1010" s="53" t="s">
        <v>691</v>
      </c>
      <c r="F1010" s="75"/>
    </row>
    <row r="1011" spans="1:6" s="53" customFormat="1" ht="15" thickBot="1" x14ac:dyDescent="0.4">
      <c r="A1011" s="208"/>
      <c r="B1011" s="110"/>
      <c r="C1011" s="111" t="s">
        <v>74</v>
      </c>
      <c r="D1011" s="112">
        <f>SUM(D998:D1010)</f>
        <v>7734350</v>
      </c>
      <c r="F1011" s="75"/>
    </row>
    <row r="1012" spans="1:6" s="53" customFormat="1" ht="15.5" thickTop="1" thickBot="1" x14ac:dyDescent="0.4">
      <c r="A1012" s="209"/>
      <c r="B1012" s="211"/>
      <c r="C1012" s="211"/>
      <c r="D1012" s="211"/>
      <c r="F1012" s="75"/>
    </row>
    <row r="1013" spans="1:6" s="53" customFormat="1" x14ac:dyDescent="0.35">
      <c r="B1013" s="89"/>
      <c r="C1013" s="53" t="s">
        <v>75</v>
      </c>
      <c r="D1013" s="113">
        <f>D995-D1011</f>
        <v>5468650</v>
      </c>
      <c r="F1013" s="75"/>
    </row>
    <row r="1014" spans="1:6" s="53" customFormat="1" x14ac:dyDescent="0.35">
      <c r="B1014" s="89"/>
      <c r="D1014" s="113"/>
      <c r="F1014" s="75"/>
    </row>
    <row r="1015" spans="1:6" s="53" customFormat="1" x14ac:dyDescent="0.35">
      <c r="A1015" s="114"/>
      <c r="B1015" s="115"/>
      <c r="C1015" s="114"/>
      <c r="D1015" s="116"/>
      <c r="E1015" s="114"/>
      <c r="F1015" s="117"/>
    </row>
    <row r="1017" spans="1:6" s="53" customFormat="1" ht="23.5" x14ac:dyDescent="0.55000000000000004">
      <c r="B1017" s="206" t="s">
        <v>0</v>
      </c>
      <c r="C1017" s="206"/>
      <c r="D1017" s="206"/>
      <c r="E1017" s="70"/>
      <c r="F1017" s="71"/>
    </row>
    <row r="1018" spans="1:6" s="53" customFormat="1" ht="20.5" x14ac:dyDescent="0.45">
      <c r="B1018" s="72"/>
      <c r="C1018" s="73" t="s">
        <v>372</v>
      </c>
      <c r="D1018" s="74"/>
      <c r="F1018" s="75"/>
    </row>
    <row r="1019" spans="1:6" s="53" customFormat="1" ht="21" thickBot="1" x14ac:dyDescent="0.5">
      <c r="B1019" s="72" t="s">
        <v>375</v>
      </c>
      <c r="C1019" s="76" t="s">
        <v>47</v>
      </c>
      <c r="D1019" s="74"/>
      <c r="F1019" s="75"/>
    </row>
    <row r="1020" spans="1:6" s="53" customFormat="1" ht="15" thickBot="1" x14ac:dyDescent="0.4">
      <c r="A1020" s="77" t="s">
        <v>48</v>
      </c>
      <c r="B1020" s="78" t="s">
        <v>26</v>
      </c>
      <c r="C1020" s="78" t="s">
        <v>49</v>
      </c>
      <c r="D1020" s="79" t="s">
        <v>29</v>
      </c>
      <c r="F1020" s="75"/>
    </row>
    <row r="1021" spans="1:6" s="53" customFormat="1" ht="14.5" customHeight="1" x14ac:dyDescent="0.35">
      <c r="A1021" s="207" t="s">
        <v>32</v>
      </c>
      <c r="B1021" s="80" t="s">
        <v>366</v>
      </c>
      <c r="C1021" s="81" t="s">
        <v>103</v>
      </c>
      <c r="D1021" s="82">
        <f>F1028</f>
        <v>13203000</v>
      </c>
      <c r="F1021" s="75"/>
    </row>
    <row r="1022" spans="1:6" s="53" customFormat="1" ht="21" thickBot="1" x14ac:dyDescent="0.5">
      <c r="A1022" s="208"/>
      <c r="B1022" s="72"/>
      <c r="C1022" s="72"/>
      <c r="D1022" s="74"/>
      <c r="F1022" s="75"/>
    </row>
    <row r="1023" spans="1:6" s="53" customFormat="1" ht="15" thickBot="1" x14ac:dyDescent="0.4">
      <c r="A1023" s="208"/>
      <c r="B1023" s="83" t="s">
        <v>26</v>
      </c>
      <c r="C1023" s="84" t="s">
        <v>51</v>
      </c>
      <c r="D1023" s="85" t="s">
        <v>52</v>
      </c>
      <c r="F1023" s="75"/>
    </row>
    <row r="1024" spans="1:6" s="89" customFormat="1" x14ac:dyDescent="0.35">
      <c r="A1024" s="208"/>
      <c r="B1024" s="86" t="str">
        <f>B1021</f>
        <v>02nd February,2026</v>
      </c>
      <c r="C1024" s="87" t="s">
        <v>558</v>
      </c>
      <c r="D1024" s="88">
        <f>1850*2726</f>
        <v>5043100</v>
      </c>
      <c r="F1024" s="90"/>
    </row>
    <row r="1025" spans="1:7" s="53" customFormat="1" x14ac:dyDescent="0.35">
      <c r="A1025" s="208"/>
      <c r="B1025" s="91"/>
      <c r="C1025" s="92" t="s">
        <v>53</v>
      </c>
      <c r="D1025" s="93">
        <f>325*2450</f>
        <v>796250</v>
      </c>
      <c r="F1025" s="75"/>
    </row>
    <row r="1026" spans="1:7" s="53" customFormat="1" x14ac:dyDescent="0.35">
      <c r="A1026" s="208"/>
      <c r="B1026" s="91" t="s">
        <v>54</v>
      </c>
      <c r="C1026" s="92" t="s">
        <v>55</v>
      </c>
      <c r="D1026" s="93">
        <v>1000000</v>
      </c>
      <c r="F1026" s="75"/>
    </row>
    <row r="1027" spans="1:7" s="53" customFormat="1" x14ac:dyDescent="0.35">
      <c r="A1027" s="208"/>
      <c r="B1027" s="91" t="s">
        <v>56</v>
      </c>
      <c r="C1027" s="92" t="s">
        <v>57</v>
      </c>
      <c r="D1027" s="93">
        <v>40000</v>
      </c>
      <c r="E1027" s="210" t="s">
        <v>58</v>
      </c>
      <c r="F1027" s="210"/>
    </row>
    <row r="1028" spans="1:7" s="53" customFormat="1" x14ac:dyDescent="0.35">
      <c r="A1028" s="208"/>
      <c r="B1028" s="91" t="s">
        <v>59</v>
      </c>
      <c r="C1028" s="92" t="s">
        <v>60</v>
      </c>
      <c r="D1028" s="93">
        <f>400*140</f>
        <v>56000</v>
      </c>
      <c r="E1028" s="94" t="s">
        <v>61</v>
      </c>
      <c r="F1028" s="95">
        <f>5400*2445</f>
        <v>13203000</v>
      </c>
    </row>
    <row r="1029" spans="1:7" s="53" customFormat="1" x14ac:dyDescent="0.35">
      <c r="A1029" s="208"/>
      <c r="B1029" s="91"/>
      <c r="C1029" s="92" t="s">
        <v>62</v>
      </c>
      <c r="D1029" s="93">
        <f>3600*140</f>
        <v>504000</v>
      </c>
      <c r="E1029" s="96" t="s">
        <v>63</v>
      </c>
      <c r="F1029" s="75">
        <f>(3240*2445)+(2160*2445)</f>
        <v>13203000</v>
      </c>
    </row>
    <row r="1030" spans="1:7" s="53" customFormat="1" ht="15" thickBot="1" x14ac:dyDescent="0.4">
      <c r="A1030" s="208"/>
      <c r="B1030" s="91" t="s">
        <v>64</v>
      </c>
      <c r="C1030" s="92" t="s">
        <v>65</v>
      </c>
      <c r="D1030" s="97">
        <v>30000</v>
      </c>
      <c r="E1030" s="98" t="s">
        <v>66</v>
      </c>
      <c r="F1030" s="99">
        <f>F1028-F1029</f>
        <v>0</v>
      </c>
      <c r="G1030" s="100">
        <f>F1030/2445</f>
        <v>0</v>
      </c>
    </row>
    <row r="1031" spans="1:7" s="53" customFormat="1" ht="15" thickTop="1" x14ac:dyDescent="0.35">
      <c r="A1031" s="208"/>
      <c r="B1031" s="91"/>
      <c r="C1031" s="92" t="s">
        <v>67</v>
      </c>
      <c r="D1031" s="93">
        <v>0</v>
      </c>
      <c r="F1031" s="75"/>
    </row>
    <row r="1032" spans="1:7" s="53" customFormat="1" x14ac:dyDescent="0.35">
      <c r="A1032" s="208"/>
      <c r="B1032" s="91" t="s">
        <v>371</v>
      </c>
      <c r="C1032" s="101" t="s">
        <v>68</v>
      </c>
      <c r="D1032" s="93">
        <v>15000</v>
      </c>
      <c r="E1032" s="94" t="s">
        <v>69</v>
      </c>
      <c r="F1032" s="95"/>
    </row>
    <row r="1033" spans="1:7" s="53" customFormat="1" x14ac:dyDescent="0.35">
      <c r="A1033" s="208"/>
      <c r="B1033" s="102"/>
      <c r="C1033" s="101" t="s">
        <v>70</v>
      </c>
      <c r="D1033" s="103">
        <v>0</v>
      </c>
      <c r="E1033" s="104"/>
      <c r="F1033" s="105"/>
    </row>
    <row r="1034" spans="1:7" s="53" customFormat="1" x14ac:dyDescent="0.35">
      <c r="A1034" s="208"/>
      <c r="B1034" s="102"/>
      <c r="C1034" s="101" t="s">
        <v>71</v>
      </c>
      <c r="D1034" s="103">
        <v>0</v>
      </c>
      <c r="E1034" s="104" t="s">
        <v>72</v>
      </c>
      <c r="F1034" s="105"/>
    </row>
    <row r="1035" spans="1:7" s="53" customFormat="1" x14ac:dyDescent="0.35">
      <c r="A1035" s="208"/>
      <c r="B1035" s="102"/>
      <c r="C1035" s="92" t="s">
        <v>73</v>
      </c>
      <c r="D1035" s="106">
        <v>0</v>
      </c>
      <c r="E1035" s="53" t="s">
        <v>486</v>
      </c>
      <c r="F1035" s="105"/>
    </row>
    <row r="1036" spans="1:7" s="53" customFormat="1" ht="15" thickBot="1" x14ac:dyDescent="0.4">
      <c r="A1036" s="208"/>
      <c r="B1036" s="107"/>
      <c r="C1036" s="108"/>
      <c r="D1036" s="109"/>
      <c r="E1036" s="53" t="s">
        <v>738</v>
      </c>
      <c r="F1036" s="75"/>
    </row>
    <row r="1037" spans="1:7" s="53" customFormat="1" ht="15" thickBot="1" x14ac:dyDescent="0.4">
      <c r="A1037" s="208"/>
      <c r="B1037" s="110"/>
      <c r="C1037" s="111" t="s">
        <v>74</v>
      </c>
      <c r="D1037" s="112">
        <f>SUM(D1024:D1036)</f>
        <v>7484350</v>
      </c>
      <c r="F1037" s="75"/>
    </row>
    <row r="1038" spans="1:7" s="53" customFormat="1" ht="15.5" thickTop="1" thickBot="1" x14ac:dyDescent="0.4">
      <c r="A1038" s="209"/>
      <c r="B1038" s="211"/>
      <c r="C1038" s="211"/>
      <c r="D1038" s="211"/>
      <c r="F1038" s="75"/>
    </row>
    <row r="1039" spans="1:7" s="53" customFormat="1" x14ac:dyDescent="0.35">
      <c r="B1039" s="89"/>
      <c r="C1039" s="53" t="s">
        <v>75</v>
      </c>
      <c r="D1039" s="113">
        <f>D1021-D1037</f>
        <v>5718650</v>
      </c>
      <c r="F1039" s="75"/>
    </row>
    <row r="1040" spans="1:7" s="53" customFormat="1" x14ac:dyDescent="0.35">
      <c r="B1040" s="89"/>
      <c r="D1040" s="113"/>
      <c r="F1040" s="75"/>
    </row>
    <row r="1041" spans="1:7" s="53" customFormat="1" x14ac:dyDescent="0.35">
      <c r="A1041" s="114"/>
      <c r="B1041" s="115"/>
      <c r="C1041" s="114"/>
      <c r="D1041" s="116"/>
      <c r="E1041" s="114"/>
      <c r="F1041" s="117"/>
    </row>
    <row r="1043" spans="1:7" s="53" customFormat="1" ht="23.5" x14ac:dyDescent="0.55000000000000004">
      <c r="B1043" s="206" t="s">
        <v>0</v>
      </c>
      <c r="C1043" s="206"/>
      <c r="D1043" s="206"/>
      <c r="E1043" s="70"/>
      <c r="F1043" s="71"/>
    </row>
    <row r="1044" spans="1:7" s="53" customFormat="1" ht="20.5" x14ac:dyDescent="0.45">
      <c r="B1044" s="72"/>
      <c r="C1044" s="73" t="s">
        <v>379</v>
      </c>
      <c r="D1044" s="74"/>
      <c r="F1044" s="75"/>
    </row>
    <row r="1045" spans="1:7" s="53" customFormat="1" ht="21" thickBot="1" x14ac:dyDescent="0.5">
      <c r="B1045" s="72" t="s">
        <v>380</v>
      </c>
      <c r="C1045" s="76" t="s">
        <v>47</v>
      </c>
      <c r="D1045" s="74"/>
      <c r="F1045" s="75"/>
    </row>
    <row r="1046" spans="1:7" s="53" customFormat="1" ht="15" thickBot="1" x14ac:dyDescent="0.4">
      <c r="A1046" s="77" t="s">
        <v>48</v>
      </c>
      <c r="B1046" s="78" t="s">
        <v>26</v>
      </c>
      <c r="C1046" s="78" t="s">
        <v>49</v>
      </c>
      <c r="D1046" s="79" t="s">
        <v>29</v>
      </c>
      <c r="F1046" s="75"/>
    </row>
    <row r="1047" spans="1:7" s="53" customFormat="1" ht="14.5" customHeight="1" x14ac:dyDescent="0.35">
      <c r="A1047" s="207" t="s">
        <v>32</v>
      </c>
      <c r="B1047" s="80" t="s">
        <v>366</v>
      </c>
      <c r="C1047" s="81" t="s">
        <v>103</v>
      </c>
      <c r="D1047" s="82">
        <f>F1054</f>
        <v>13203000</v>
      </c>
      <c r="F1047" s="75"/>
    </row>
    <row r="1048" spans="1:7" s="53" customFormat="1" ht="21" thickBot="1" x14ac:dyDescent="0.5">
      <c r="A1048" s="208"/>
      <c r="B1048" s="72"/>
      <c r="C1048" s="72"/>
      <c r="D1048" s="74"/>
      <c r="F1048" s="75"/>
    </row>
    <row r="1049" spans="1:7" s="53" customFormat="1" ht="15" thickBot="1" x14ac:dyDescent="0.4">
      <c r="A1049" s="208"/>
      <c r="B1049" s="83" t="s">
        <v>26</v>
      </c>
      <c r="C1049" s="84" t="s">
        <v>51</v>
      </c>
      <c r="D1049" s="85" t="s">
        <v>52</v>
      </c>
      <c r="F1049" s="75"/>
    </row>
    <row r="1050" spans="1:7" s="89" customFormat="1" x14ac:dyDescent="0.35">
      <c r="A1050" s="208"/>
      <c r="B1050" s="86" t="str">
        <f>B1047</f>
        <v>02nd February,2026</v>
      </c>
      <c r="C1050" s="87" t="s">
        <v>558</v>
      </c>
      <c r="D1050" s="88">
        <f>1850*2726</f>
        <v>5043100</v>
      </c>
      <c r="F1050" s="90"/>
    </row>
    <row r="1051" spans="1:7" s="53" customFormat="1" x14ac:dyDescent="0.35">
      <c r="A1051" s="208"/>
      <c r="B1051" s="91"/>
      <c r="C1051" s="92" t="s">
        <v>53</v>
      </c>
      <c r="D1051" s="93">
        <f>325*2450</f>
        <v>796250</v>
      </c>
      <c r="F1051" s="75"/>
    </row>
    <row r="1052" spans="1:7" s="53" customFormat="1" x14ac:dyDescent="0.35">
      <c r="A1052" s="208"/>
      <c r="B1052" s="91" t="s">
        <v>54</v>
      </c>
      <c r="C1052" s="92" t="s">
        <v>55</v>
      </c>
      <c r="D1052" s="93">
        <v>1000000</v>
      </c>
      <c r="F1052" s="75"/>
    </row>
    <row r="1053" spans="1:7" s="53" customFormat="1" x14ac:dyDescent="0.35">
      <c r="A1053" s="208"/>
      <c r="B1053" s="91" t="s">
        <v>56</v>
      </c>
      <c r="C1053" s="92" t="s">
        <v>57</v>
      </c>
      <c r="D1053" s="93">
        <v>40000</v>
      </c>
      <c r="E1053" s="210" t="s">
        <v>58</v>
      </c>
      <c r="F1053" s="210"/>
    </row>
    <row r="1054" spans="1:7" s="53" customFormat="1" x14ac:dyDescent="0.35">
      <c r="A1054" s="208"/>
      <c r="B1054" s="91" t="s">
        <v>59</v>
      </c>
      <c r="C1054" s="92" t="s">
        <v>60</v>
      </c>
      <c r="D1054" s="93">
        <f>1450*140</f>
        <v>203000</v>
      </c>
      <c r="E1054" s="94" t="s">
        <v>61</v>
      </c>
      <c r="F1054" s="95">
        <f>5400*2445</f>
        <v>13203000</v>
      </c>
    </row>
    <row r="1055" spans="1:7" s="53" customFormat="1" x14ac:dyDescent="0.35">
      <c r="A1055" s="208"/>
      <c r="B1055" s="91"/>
      <c r="C1055" s="92" t="s">
        <v>62</v>
      </c>
      <c r="D1055" s="93">
        <f>4200*140</f>
        <v>588000</v>
      </c>
      <c r="E1055" s="96" t="s">
        <v>63</v>
      </c>
      <c r="F1055" s="75">
        <f>(3240*2445)+(1930*2445)</f>
        <v>12640650</v>
      </c>
    </row>
    <row r="1056" spans="1:7" s="53" customFormat="1" ht="15" thickBot="1" x14ac:dyDescent="0.4">
      <c r="A1056" s="208"/>
      <c r="B1056" s="91" t="s">
        <v>64</v>
      </c>
      <c r="C1056" s="92" t="s">
        <v>65</v>
      </c>
      <c r="D1056" s="97">
        <v>30000</v>
      </c>
      <c r="E1056" s="98" t="s">
        <v>66</v>
      </c>
      <c r="F1056" s="99">
        <f>F1054-F1055</f>
        <v>562350</v>
      </c>
      <c r="G1056" s="100">
        <f>F1056/2445</f>
        <v>230</v>
      </c>
    </row>
    <row r="1057" spans="1:6" s="53" customFormat="1" ht="15" thickTop="1" x14ac:dyDescent="0.35">
      <c r="A1057" s="208"/>
      <c r="B1057" s="91"/>
      <c r="C1057" s="92" t="s">
        <v>67</v>
      </c>
      <c r="D1057" s="93">
        <v>150000</v>
      </c>
      <c r="F1057" s="75"/>
    </row>
    <row r="1058" spans="1:6" s="53" customFormat="1" x14ac:dyDescent="0.35">
      <c r="A1058" s="208"/>
      <c r="B1058" s="91" t="s">
        <v>378</v>
      </c>
      <c r="C1058" s="101" t="s">
        <v>68</v>
      </c>
      <c r="D1058" s="93">
        <v>15000</v>
      </c>
      <c r="E1058" s="94" t="s">
        <v>69</v>
      </c>
      <c r="F1058" s="95"/>
    </row>
    <row r="1059" spans="1:6" s="53" customFormat="1" x14ac:dyDescent="0.35">
      <c r="A1059" s="208"/>
      <c r="B1059" s="102"/>
      <c r="C1059" s="101" t="s">
        <v>70</v>
      </c>
      <c r="D1059" s="103">
        <v>10000</v>
      </c>
      <c r="E1059" s="104"/>
      <c r="F1059" s="105"/>
    </row>
    <row r="1060" spans="1:6" s="53" customFormat="1" x14ac:dyDescent="0.35">
      <c r="A1060" s="208"/>
      <c r="B1060" s="102"/>
      <c r="C1060" s="101" t="s">
        <v>71</v>
      </c>
      <c r="D1060" s="103">
        <v>40000</v>
      </c>
      <c r="E1060" s="104" t="s">
        <v>72</v>
      </c>
      <c r="F1060" s="105"/>
    </row>
    <row r="1061" spans="1:6" s="53" customFormat="1" x14ac:dyDescent="0.35">
      <c r="A1061" s="208"/>
      <c r="B1061" s="102"/>
      <c r="C1061" s="92" t="s">
        <v>73</v>
      </c>
      <c r="D1061" s="106">
        <f>703*140</f>
        <v>98420</v>
      </c>
      <c r="E1061" s="53" t="s">
        <v>486</v>
      </c>
      <c r="F1061" s="105"/>
    </row>
    <row r="1062" spans="1:6" s="53" customFormat="1" ht="15" thickBot="1" x14ac:dyDescent="0.4">
      <c r="A1062" s="208"/>
      <c r="B1062" s="107"/>
      <c r="C1062" s="108"/>
      <c r="D1062" s="109"/>
      <c r="E1062" s="53" t="s">
        <v>860</v>
      </c>
      <c r="F1062" s="75"/>
    </row>
    <row r="1063" spans="1:6" s="53" customFormat="1" ht="15" thickBot="1" x14ac:dyDescent="0.4">
      <c r="A1063" s="208"/>
      <c r="B1063" s="110"/>
      <c r="C1063" s="111" t="s">
        <v>74</v>
      </c>
      <c r="D1063" s="112">
        <f>SUM(D1050:D1062)</f>
        <v>8013770</v>
      </c>
      <c r="F1063" s="75"/>
    </row>
    <row r="1064" spans="1:6" s="53" customFormat="1" ht="15.5" thickTop="1" thickBot="1" x14ac:dyDescent="0.4">
      <c r="A1064" s="209"/>
      <c r="B1064" s="211"/>
      <c r="C1064" s="211"/>
      <c r="D1064" s="211"/>
      <c r="F1064" s="75"/>
    </row>
    <row r="1065" spans="1:6" s="53" customFormat="1" x14ac:dyDescent="0.35">
      <c r="B1065" s="89"/>
      <c r="C1065" s="53" t="s">
        <v>75</v>
      </c>
      <c r="D1065" s="113">
        <f>D1047-D1063</f>
        <v>5189230</v>
      </c>
      <c r="F1065" s="75"/>
    </row>
    <row r="1066" spans="1:6" s="53" customFormat="1" x14ac:dyDescent="0.35">
      <c r="B1066" s="89"/>
      <c r="D1066" s="113"/>
      <c r="F1066" s="75"/>
    </row>
    <row r="1067" spans="1:6" s="53" customFormat="1" x14ac:dyDescent="0.35">
      <c r="A1067" s="114"/>
      <c r="B1067" s="115"/>
      <c r="C1067" s="114"/>
      <c r="D1067" s="116"/>
      <c r="E1067" s="114"/>
      <c r="F1067" s="117"/>
    </row>
    <row r="1069" spans="1:6" s="53" customFormat="1" ht="23.5" x14ac:dyDescent="0.55000000000000004">
      <c r="B1069" s="206" t="s">
        <v>0</v>
      </c>
      <c r="C1069" s="206"/>
      <c r="D1069" s="206"/>
      <c r="E1069" s="70"/>
      <c r="F1069" s="71"/>
    </row>
    <row r="1070" spans="1:6" s="53" customFormat="1" ht="20.5" x14ac:dyDescent="0.45">
      <c r="B1070" s="72"/>
      <c r="C1070" s="73" t="s">
        <v>385</v>
      </c>
      <c r="D1070" s="74"/>
      <c r="F1070" s="75"/>
    </row>
    <row r="1071" spans="1:6" s="53" customFormat="1" ht="21" thickBot="1" x14ac:dyDescent="0.5">
      <c r="B1071" s="72" t="s">
        <v>386</v>
      </c>
      <c r="C1071" s="76" t="s">
        <v>47</v>
      </c>
      <c r="D1071" s="74"/>
      <c r="F1071" s="75"/>
    </row>
    <row r="1072" spans="1:6" s="53" customFormat="1" ht="15" thickBot="1" x14ac:dyDescent="0.4">
      <c r="A1072" s="77" t="s">
        <v>48</v>
      </c>
      <c r="B1072" s="78" t="s">
        <v>26</v>
      </c>
      <c r="C1072" s="78" t="s">
        <v>49</v>
      </c>
      <c r="D1072" s="79" t="s">
        <v>29</v>
      </c>
      <c r="F1072" s="75"/>
    </row>
    <row r="1073" spans="1:7" s="53" customFormat="1" ht="14.5" customHeight="1" x14ac:dyDescent="0.35">
      <c r="A1073" s="207" t="s">
        <v>32</v>
      </c>
      <c r="B1073" s="80" t="s">
        <v>366</v>
      </c>
      <c r="C1073" s="81" t="s">
        <v>103</v>
      </c>
      <c r="D1073" s="82">
        <f>F1080</f>
        <v>13203000</v>
      </c>
      <c r="F1073" s="75"/>
    </row>
    <row r="1074" spans="1:7" s="53" customFormat="1" ht="21" thickBot="1" x14ac:dyDescent="0.5">
      <c r="A1074" s="208"/>
      <c r="B1074" s="72"/>
      <c r="C1074" s="72"/>
      <c r="D1074" s="74"/>
      <c r="F1074" s="75"/>
    </row>
    <row r="1075" spans="1:7" s="53" customFormat="1" ht="15" thickBot="1" x14ac:dyDescent="0.4">
      <c r="A1075" s="208"/>
      <c r="B1075" s="83" t="s">
        <v>26</v>
      </c>
      <c r="C1075" s="84" t="s">
        <v>51</v>
      </c>
      <c r="D1075" s="85" t="s">
        <v>52</v>
      </c>
      <c r="F1075" s="75"/>
    </row>
    <row r="1076" spans="1:7" s="89" customFormat="1" x14ac:dyDescent="0.35">
      <c r="A1076" s="208"/>
      <c r="B1076" s="86" t="str">
        <f>B1073</f>
        <v>02nd February,2026</v>
      </c>
      <c r="C1076" s="87" t="s">
        <v>558</v>
      </c>
      <c r="D1076" s="88">
        <f>1850*2726</f>
        <v>5043100</v>
      </c>
      <c r="F1076" s="90"/>
    </row>
    <row r="1077" spans="1:7" s="53" customFormat="1" x14ac:dyDescent="0.35">
      <c r="A1077" s="208"/>
      <c r="B1077" s="91"/>
      <c r="C1077" s="92" t="s">
        <v>53</v>
      </c>
      <c r="D1077" s="93">
        <f>325*2450</f>
        <v>796250</v>
      </c>
      <c r="F1077" s="75"/>
    </row>
    <row r="1078" spans="1:7" s="53" customFormat="1" x14ac:dyDescent="0.35">
      <c r="A1078" s="208"/>
      <c r="B1078" s="91" t="s">
        <v>54</v>
      </c>
      <c r="C1078" s="92" t="s">
        <v>55</v>
      </c>
      <c r="D1078" s="93">
        <v>1000000</v>
      </c>
      <c r="F1078" s="75"/>
    </row>
    <row r="1079" spans="1:7" s="53" customFormat="1" x14ac:dyDescent="0.35">
      <c r="A1079" s="208"/>
      <c r="B1079" s="91" t="s">
        <v>56</v>
      </c>
      <c r="C1079" s="92" t="s">
        <v>57</v>
      </c>
      <c r="D1079" s="93">
        <v>40000</v>
      </c>
      <c r="E1079" s="210" t="s">
        <v>58</v>
      </c>
      <c r="F1079" s="210"/>
    </row>
    <row r="1080" spans="1:7" s="53" customFormat="1" x14ac:dyDescent="0.35">
      <c r="A1080" s="208"/>
      <c r="B1080" s="91" t="s">
        <v>384</v>
      </c>
      <c r="C1080" s="92" t="s">
        <v>60</v>
      </c>
      <c r="D1080" s="93">
        <f>950*140</f>
        <v>133000</v>
      </c>
      <c r="E1080" s="94" t="s">
        <v>61</v>
      </c>
      <c r="F1080" s="95">
        <f>5400*2445</f>
        <v>13203000</v>
      </c>
    </row>
    <row r="1081" spans="1:7" s="53" customFormat="1" x14ac:dyDescent="0.35">
      <c r="A1081" s="208"/>
      <c r="B1081" s="91"/>
      <c r="C1081" s="92" t="s">
        <v>62</v>
      </c>
      <c r="D1081" s="93">
        <f>4800*140</f>
        <v>672000</v>
      </c>
      <c r="E1081" s="96" t="s">
        <v>63</v>
      </c>
      <c r="F1081" s="75">
        <f>(3240*2445)+(1870*2445)</f>
        <v>12493950</v>
      </c>
    </row>
    <row r="1082" spans="1:7" s="53" customFormat="1" ht="15" thickBot="1" x14ac:dyDescent="0.4">
      <c r="A1082" s="208"/>
      <c r="B1082" s="91" t="s">
        <v>64</v>
      </c>
      <c r="C1082" s="92" t="s">
        <v>65</v>
      </c>
      <c r="D1082" s="97">
        <v>30000</v>
      </c>
      <c r="E1082" s="98" t="s">
        <v>66</v>
      </c>
      <c r="F1082" s="99">
        <f>F1080-F1081</f>
        <v>709050</v>
      </c>
      <c r="G1082" s="100">
        <f>F1082/2445</f>
        <v>290</v>
      </c>
    </row>
    <row r="1083" spans="1:7" s="53" customFormat="1" ht="15" thickTop="1" x14ac:dyDescent="0.35">
      <c r="A1083" s="208"/>
      <c r="B1083" s="91"/>
      <c r="C1083" s="92" t="s">
        <v>67</v>
      </c>
      <c r="D1083" s="93">
        <v>150000</v>
      </c>
      <c r="F1083" s="75"/>
    </row>
    <row r="1084" spans="1:7" s="53" customFormat="1" x14ac:dyDescent="0.35">
      <c r="A1084" s="208"/>
      <c r="B1084" s="91" t="s">
        <v>383</v>
      </c>
      <c r="C1084" s="101" t="s">
        <v>68</v>
      </c>
      <c r="D1084" s="93">
        <v>15000</v>
      </c>
      <c r="E1084" s="94" t="s">
        <v>69</v>
      </c>
      <c r="F1084" s="95"/>
    </row>
    <row r="1085" spans="1:7" s="53" customFormat="1" x14ac:dyDescent="0.35">
      <c r="A1085" s="208"/>
      <c r="B1085" s="102"/>
      <c r="C1085" s="101" t="s">
        <v>70</v>
      </c>
      <c r="D1085" s="103">
        <v>10000</v>
      </c>
      <c r="E1085" s="104"/>
      <c r="F1085" s="105"/>
    </row>
    <row r="1086" spans="1:7" s="53" customFormat="1" x14ac:dyDescent="0.35">
      <c r="A1086" s="208"/>
      <c r="B1086" s="102"/>
      <c r="C1086" s="101" t="s">
        <v>71</v>
      </c>
      <c r="D1086" s="103">
        <v>30000</v>
      </c>
      <c r="E1086" s="104" t="s">
        <v>72</v>
      </c>
      <c r="F1086" s="105"/>
    </row>
    <row r="1087" spans="1:7" s="53" customFormat="1" x14ac:dyDescent="0.35">
      <c r="A1087" s="208"/>
      <c r="B1087" s="102"/>
      <c r="C1087" s="92" t="s">
        <v>73</v>
      </c>
      <c r="D1087" s="106">
        <f>709*140</f>
        <v>99260</v>
      </c>
      <c r="E1087" s="53" t="s">
        <v>510</v>
      </c>
      <c r="F1087" s="105"/>
    </row>
    <row r="1088" spans="1:7" s="53" customFormat="1" ht="15" thickBot="1" x14ac:dyDescent="0.4">
      <c r="A1088" s="208"/>
      <c r="B1088" s="107"/>
      <c r="C1088" s="108"/>
      <c r="D1088" s="109"/>
      <c r="E1088" s="53" t="s">
        <v>858</v>
      </c>
      <c r="F1088" s="75"/>
    </row>
    <row r="1089" spans="1:6" s="53" customFormat="1" ht="15" thickBot="1" x14ac:dyDescent="0.4">
      <c r="A1089" s="208"/>
      <c r="B1089" s="110"/>
      <c r="C1089" s="111" t="s">
        <v>74</v>
      </c>
      <c r="D1089" s="112">
        <f>SUM(D1076:D1088)</f>
        <v>8018610</v>
      </c>
      <c r="F1089" s="75"/>
    </row>
    <row r="1090" spans="1:6" s="53" customFormat="1" ht="15.5" thickTop="1" thickBot="1" x14ac:dyDescent="0.4">
      <c r="A1090" s="209"/>
      <c r="B1090" s="211"/>
      <c r="C1090" s="211"/>
      <c r="D1090" s="211"/>
      <c r="F1090" s="75"/>
    </row>
    <row r="1091" spans="1:6" s="53" customFormat="1" x14ac:dyDescent="0.35">
      <c r="B1091" s="89"/>
      <c r="C1091" s="53" t="s">
        <v>75</v>
      </c>
      <c r="D1091" s="113">
        <f>D1073-D1089</f>
        <v>5184390</v>
      </c>
      <c r="F1091" s="75"/>
    </row>
    <row r="1092" spans="1:6" s="53" customFormat="1" x14ac:dyDescent="0.35">
      <c r="B1092" s="89"/>
      <c r="D1092" s="113"/>
      <c r="F1092" s="75"/>
    </row>
    <row r="1093" spans="1:6" s="53" customFormat="1" x14ac:dyDescent="0.35">
      <c r="A1093" s="114"/>
      <c r="B1093" s="115"/>
      <c r="C1093" s="114"/>
      <c r="D1093" s="116"/>
      <c r="E1093" s="114"/>
      <c r="F1093" s="117"/>
    </row>
    <row r="1095" spans="1:6" s="53" customFormat="1" ht="23.5" x14ac:dyDescent="0.55000000000000004">
      <c r="B1095" s="206" t="s">
        <v>0</v>
      </c>
      <c r="C1095" s="206"/>
      <c r="D1095" s="206"/>
      <c r="E1095" s="70"/>
      <c r="F1095" s="71"/>
    </row>
    <row r="1096" spans="1:6" s="53" customFormat="1" ht="20.5" x14ac:dyDescent="0.45">
      <c r="B1096" s="72"/>
      <c r="C1096" s="73" t="s">
        <v>391</v>
      </c>
      <c r="D1096" s="74"/>
      <c r="F1096" s="75"/>
    </row>
    <row r="1097" spans="1:6" s="53" customFormat="1" ht="21" thickBot="1" x14ac:dyDescent="0.5">
      <c r="B1097" s="72" t="s">
        <v>392</v>
      </c>
      <c r="C1097" s="76" t="s">
        <v>47</v>
      </c>
      <c r="D1097" s="74"/>
      <c r="F1097" s="75"/>
    </row>
    <row r="1098" spans="1:6" s="53" customFormat="1" ht="15" thickBot="1" x14ac:dyDescent="0.4">
      <c r="A1098" s="77" t="s">
        <v>48</v>
      </c>
      <c r="B1098" s="78" t="s">
        <v>26</v>
      </c>
      <c r="C1098" s="78" t="s">
        <v>49</v>
      </c>
      <c r="D1098" s="79" t="s">
        <v>29</v>
      </c>
      <c r="F1098" s="75"/>
    </row>
    <row r="1099" spans="1:6" s="53" customFormat="1" ht="14.5" customHeight="1" x14ac:dyDescent="0.35">
      <c r="A1099" s="207" t="s">
        <v>32</v>
      </c>
      <c r="B1099" s="80" t="s">
        <v>366</v>
      </c>
      <c r="C1099" s="81" t="s">
        <v>103</v>
      </c>
      <c r="D1099" s="82">
        <f>F1106</f>
        <v>13447500</v>
      </c>
      <c r="F1099" s="75"/>
    </row>
    <row r="1100" spans="1:6" s="53" customFormat="1" ht="21" thickBot="1" x14ac:dyDescent="0.5">
      <c r="A1100" s="208"/>
      <c r="B1100" s="72"/>
      <c r="C1100" s="72"/>
      <c r="D1100" s="74"/>
      <c r="F1100" s="75"/>
    </row>
    <row r="1101" spans="1:6" s="53" customFormat="1" ht="15" thickBot="1" x14ac:dyDescent="0.4">
      <c r="A1101" s="208"/>
      <c r="B1101" s="83" t="s">
        <v>26</v>
      </c>
      <c r="C1101" s="84" t="s">
        <v>51</v>
      </c>
      <c r="D1101" s="85" t="s">
        <v>52</v>
      </c>
      <c r="F1101" s="75"/>
    </row>
    <row r="1102" spans="1:6" s="89" customFormat="1" x14ac:dyDescent="0.35">
      <c r="A1102" s="208"/>
      <c r="B1102" s="86" t="str">
        <f>B1099</f>
        <v>02nd February,2026</v>
      </c>
      <c r="C1102" s="87" t="s">
        <v>558</v>
      </c>
      <c r="D1102" s="88">
        <f>1850*2726</f>
        <v>5043100</v>
      </c>
      <c r="F1102" s="90"/>
    </row>
    <row r="1103" spans="1:6" s="53" customFormat="1" x14ac:dyDescent="0.35">
      <c r="A1103" s="208"/>
      <c r="B1103" s="91"/>
      <c r="C1103" s="92" t="s">
        <v>155</v>
      </c>
      <c r="D1103" s="93">
        <f>319*2450</f>
        <v>781550</v>
      </c>
      <c r="F1103" s="75"/>
    </row>
    <row r="1104" spans="1:6" s="53" customFormat="1" x14ac:dyDescent="0.35">
      <c r="A1104" s="208"/>
      <c r="B1104" s="91" t="s">
        <v>54</v>
      </c>
      <c r="C1104" s="92" t="s">
        <v>55</v>
      </c>
      <c r="D1104" s="93">
        <v>1000000</v>
      </c>
      <c r="F1104" s="75"/>
    </row>
    <row r="1105" spans="1:7" s="53" customFormat="1" x14ac:dyDescent="0.35">
      <c r="A1105" s="208"/>
      <c r="B1105" s="91" t="s">
        <v>56</v>
      </c>
      <c r="C1105" s="92" t="s">
        <v>57</v>
      </c>
      <c r="D1105" s="93">
        <v>40000</v>
      </c>
      <c r="E1105" s="210" t="s">
        <v>58</v>
      </c>
      <c r="F1105" s="210"/>
    </row>
    <row r="1106" spans="1:7" s="53" customFormat="1" x14ac:dyDescent="0.35">
      <c r="A1106" s="208"/>
      <c r="B1106" s="91" t="s">
        <v>151</v>
      </c>
      <c r="C1106" s="92" t="s">
        <v>60</v>
      </c>
      <c r="D1106" s="93">
        <f>950*140</f>
        <v>133000</v>
      </c>
      <c r="E1106" s="94" t="s">
        <v>61</v>
      </c>
      <c r="F1106" s="95">
        <f>5500*2445</f>
        <v>13447500</v>
      </c>
    </row>
    <row r="1107" spans="1:7" s="53" customFormat="1" x14ac:dyDescent="0.35">
      <c r="A1107" s="208"/>
      <c r="B1107" s="91"/>
      <c r="C1107" s="92" t="s">
        <v>62</v>
      </c>
      <c r="D1107" s="93">
        <f>4290*140</f>
        <v>600600</v>
      </c>
      <c r="E1107" s="96" t="s">
        <v>63</v>
      </c>
      <c r="F1107" s="75">
        <f>(3300*2445)+(2200*2445)</f>
        <v>13447500</v>
      </c>
    </row>
    <row r="1108" spans="1:7" s="53" customFormat="1" ht="15" thickBot="1" x14ac:dyDescent="0.4">
      <c r="A1108" s="208"/>
      <c r="B1108" s="91" t="s">
        <v>64</v>
      </c>
      <c r="C1108" s="92" t="s">
        <v>65</v>
      </c>
      <c r="D1108" s="97">
        <v>30000</v>
      </c>
      <c r="E1108" s="98" t="s">
        <v>66</v>
      </c>
      <c r="F1108" s="99">
        <f>F1106-F1107</f>
        <v>0</v>
      </c>
      <c r="G1108" s="100">
        <f>F1108/2445</f>
        <v>0</v>
      </c>
    </row>
    <row r="1109" spans="1:7" s="53" customFormat="1" ht="15" thickTop="1" x14ac:dyDescent="0.35">
      <c r="A1109" s="208"/>
      <c r="B1109" s="91"/>
      <c r="C1109" s="92" t="s">
        <v>67</v>
      </c>
      <c r="D1109" s="93">
        <v>150000</v>
      </c>
      <c r="F1109" s="75"/>
    </row>
    <row r="1110" spans="1:7" s="53" customFormat="1" x14ac:dyDescent="0.35">
      <c r="A1110" s="208"/>
      <c r="B1110" s="91" t="s">
        <v>390</v>
      </c>
      <c r="C1110" s="101" t="s">
        <v>68</v>
      </c>
      <c r="D1110" s="93">
        <v>15000</v>
      </c>
      <c r="E1110" s="94" t="s">
        <v>69</v>
      </c>
      <c r="F1110" s="95"/>
    </row>
    <row r="1111" spans="1:7" s="53" customFormat="1" x14ac:dyDescent="0.35">
      <c r="A1111" s="208"/>
      <c r="B1111" s="102"/>
      <c r="C1111" s="101" t="s">
        <v>70</v>
      </c>
      <c r="D1111" s="103">
        <v>10000</v>
      </c>
      <c r="E1111" s="104"/>
      <c r="F1111" s="105"/>
    </row>
    <row r="1112" spans="1:7" s="53" customFormat="1" x14ac:dyDescent="0.35">
      <c r="A1112" s="208"/>
      <c r="B1112" s="102"/>
      <c r="C1112" s="101" t="s">
        <v>71</v>
      </c>
      <c r="D1112" s="103">
        <v>40000</v>
      </c>
      <c r="E1112" s="104" t="s">
        <v>72</v>
      </c>
      <c r="F1112" s="105"/>
    </row>
    <row r="1113" spans="1:7" s="53" customFormat="1" x14ac:dyDescent="0.35">
      <c r="A1113" s="208"/>
      <c r="B1113" s="102"/>
      <c r="C1113" s="92"/>
      <c r="D1113" s="106"/>
      <c r="E1113" s="53" t="s">
        <v>486</v>
      </c>
      <c r="F1113" s="105"/>
    </row>
    <row r="1114" spans="1:7" s="53" customFormat="1" ht="15" thickBot="1" x14ac:dyDescent="0.4">
      <c r="A1114" s="208"/>
      <c r="B1114" s="107"/>
      <c r="C1114" s="108"/>
      <c r="D1114" s="109"/>
      <c r="E1114" s="53" t="s">
        <v>860</v>
      </c>
      <c r="F1114" s="75"/>
    </row>
    <row r="1115" spans="1:7" s="53" customFormat="1" ht="15" thickBot="1" x14ac:dyDescent="0.4">
      <c r="A1115" s="208"/>
      <c r="B1115" s="110"/>
      <c r="C1115" s="111" t="s">
        <v>74</v>
      </c>
      <c r="D1115" s="112">
        <f>SUM(D1102:D1114)</f>
        <v>7843250</v>
      </c>
      <c r="F1115" s="75"/>
    </row>
    <row r="1116" spans="1:7" s="53" customFormat="1" ht="15.5" thickTop="1" thickBot="1" x14ac:dyDescent="0.4">
      <c r="A1116" s="209"/>
      <c r="B1116" s="211"/>
      <c r="C1116" s="211"/>
      <c r="D1116" s="211"/>
      <c r="F1116" s="75"/>
    </row>
    <row r="1117" spans="1:7" s="53" customFormat="1" x14ac:dyDescent="0.35">
      <c r="B1117" s="89"/>
      <c r="C1117" s="53" t="s">
        <v>75</v>
      </c>
      <c r="D1117" s="113">
        <f>D1099-D1115</f>
        <v>5604250</v>
      </c>
      <c r="F1117" s="75"/>
    </row>
    <row r="1118" spans="1:7" s="53" customFormat="1" x14ac:dyDescent="0.35">
      <c r="B1118" s="89"/>
      <c r="D1118" s="113"/>
      <c r="F1118" s="75"/>
    </row>
    <row r="1119" spans="1:7" s="53" customFormat="1" x14ac:dyDescent="0.35">
      <c r="A1119" s="114"/>
      <c r="B1119" s="115"/>
      <c r="C1119" s="114"/>
      <c r="D1119" s="116"/>
      <c r="E1119" s="114"/>
      <c r="F1119" s="117"/>
    </row>
    <row r="1121" spans="1:7" s="53" customFormat="1" ht="23.5" x14ac:dyDescent="0.55000000000000004">
      <c r="B1121" s="206" t="s">
        <v>0</v>
      </c>
      <c r="C1121" s="206"/>
      <c r="D1121" s="206"/>
      <c r="E1121" s="70"/>
      <c r="F1121" s="71"/>
    </row>
    <row r="1122" spans="1:7" s="53" customFormat="1" ht="20.5" x14ac:dyDescent="0.45">
      <c r="B1122" s="72"/>
      <c r="C1122" s="73" t="s">
        <v>395</v>
      </c>
      <c r="D1122" s="74"/>
      <c r="F1122" s="75"/>
    </row>
    <row r="1123" spans="1:7" s="53" customFormat="1" ht="21" thickBot="1" x14ac:dyDescent="0.5">
      <c r="B1123" s="72" t="s">
        <v>109</v>
      </c>
      <c r="C1123" s="76" t="s">
        <v>47</v>
      </c>
      <c r="D1123" s="74"/>
      <c r="F1123" s="75"/>
    </row>
    <row r="1124" spans="1:7" s="53" customFormat="1" ht="15" thickBot="1" x14ac:dyDescent="0.4">
      <c r="A1124" s="77" t="s">
        <v>48</v>
      </c>
      <c r="B1124" s="78" t="s">
        <v>26</v>
      </c>
      <c r="C1124" s="78" t="s">
        <v>49</v>
      </c>
      <c r="D1124" s="79" t="s">
        <v>29</v>
      </c>
      <c r="F1124" s="75"/>
    </row>
    <row r="1125" spans="1:7" s="53" customFormat="1" ht="14.5" customHeight="1" x14ac:dyDescent="0.35">
      <c r="A1125" s="207" t="s">
        <v>32</v>
      </c>
      <c r="B1125" s="80" t="s">
        <v>366</v>
      </c>
      <c r="C1125" s="81" t="s">
        <v>103</v>
      </c>
      <c r="D1125" s="82">
        <f>F1132</f>
        <v>13203000</v>
      </c>
      <c r="F1125" s="75"/>
    </row>
    <row r="1126" spans="1:7" s="53" customFormat="1" ht="21" thickBot="1" x14ac:dyDescent="0.5">
      <c r="A1126" s="208"/>
      <c r="B1126" s="72"/>
      <c r="C1126" s="72"/>
      <c r="D1126" s="74"/>
      <c r="F1126" s="75"/>
    </row>
    <row r="1127" spans="1:7" s="53" customFormat="1" ht="15" thickBot="1" x14ac:dyDescent="0.4">
      <c r="A1127" s="208"/>
      <c r="B1127" s="83" t="s">
        <v>26</v>
      </c>
      <c r="C1127" s="84" t="s">
        <v>51</v>
      </c>
      <c r="D1127" s="85" t="s">
        <v>52</v>
      </c>
      <c r="F1127" s="75"/>
    </row>
    <row r="1128" spans="1:7" s="89" customFormat="1" x14ac:dyDescent="0.35">
      <c r="A1128" s="208"/>
      <c r="B1128" s="86" t="str">
        <f>B1125</f>
        <v>02nd February,2026</v>
      </c>
      <c r="C1128" s="87" t="s">
        <v>558</v>
      </c>
      <c r="D1128" s="88">
        <f>1850*2726</f>
        <v>5043100</v>
      </c>
      <c r="F1128" s="90"/>
    </row>
    <row r="1129" spans="1:7" s="53" customFormat="1" x14ac:dyDescent="0.35">
      <c r="A1129" s="208"/>
      <c r="B1129" s="91"/>
      <c r="C1129" s="92" t="s">
        <v>53</v>
      </c>
      <c r="D1129" s="93">
        <f>325*2450</f>
        <v>796250</v>
      </c>
      <c r="F1129" s="75"/>
    </row>
    <row r="1130" spans="1:7" s="53" customFormat="1" x14ac:dyDescent="0.35">
      <c r="A1130" s="208"/>
      <c r="B1130" s="91" t="s">
        <v>54</v>
      </c>
      <c r="C1130" s="92" t="s">
        <v>55</v>
      </c>
      <c r="D1130" s="93">
        <v>1000000</v>
      </c>
      <c r="F1130" s="75"/>
    </row>
    <row r="1131" spans="1:7" s="53" customFormat="1" x14ac:dyDescent="0.35">
      <c r="A1131" s="208"/>
      <c r="B1131" s="91" t="s">
        <v>56</v>
      </c>
      <c r="C1131" s="92" t="s">
        <v>57</v>
      </c>
      <c r="D1131" s="93">
        <v>40000</v>
      </c>
      <c r="E1131" s="210" t="s">
        <v>58</v>
      </c>
      <c r="F1131" s="210"/>
    </row>
    <row r="1132" spans="1:7" s="53" customFormat="1" x14ac:dyDescent="0.35">
      <c r="A1132" s="208"/>
      <c r="B1132" s="91" t="s">
        <v>59</v>
      </c>
      <c r="C1132" s="92" t="s">
        <v>60</v>
      </c>
      <c r="D1132" s="93">
        <f>950*140</f>
        <v>133000</v>
      </c>
      <c r="E1132" s="94" t="s">
        <v>61</v>
      </c>
      <c r="F1132" s="95">
        <f>5400*2445</f>
        <v>13203000</v>
      </c>
    </row>
    <row r="1133" spans="1:7" s="53" customFormat="1" x14ac:dyDescent="0.35">
      <c r="A1133" s="208"/>
      <c r="B1133" s="91"/>
      <c r="C1133" s="92" t="s">
        <v>62</v>
      </c>
      <c r="D1133" s="93">
        <f>3600*140</f>
        <v>504000</v>
      </c>
      <c r="E1133" s="96" t="s">
        <v>63</v>
      </c>
      <c r="F1133" s="75">
        <f>(3240*2445)+(2160*2445)</f>
        <v>13203000</v>
      </c>
    </row>
    <row r="1134" spans="1:7" s="53" customFormat="1" ht="15" thickBot="1" x14ac:dyDescent="0.4">
      <c r="A1134" s="208"/>
      <c r="B1134" s="91" t="s">
        <v>64</v>
      </c>
      <c r="C1134" s="92" t="s">
        <v>65</v>
      </c>
      <c r="D1134" s="97">
        <v>30000</v>
      </c>
      <c r="E1134" s="98" t="s">
        <v>66</v>
      </c>
      <c r="F1134" s="99">
        <f>F1132-F1133</f>
        <v>0</v>
      </c>
      <c r="G1134" s="100">
        <f>F1134/2445</f>
        <v>0</v>
      </c>
    </row>
    <row r="1135" spans="1:7" s="53" customFormat="1" ht="15" thickTop="1" x14ac:dyDescent="0.35">
      <c r="A1135" s="208"/>
      <c r="B1135" s="91"/>
      <c r="C1135" s="92" t="s">
        <v>67</v>
      </c>
      <c r="D1135" s="93">
        <v>150000</v>
      </c>
      <c r="F1135" s="75"/>
    </row>
    <row r="1136" spans="1:7" s="53" customFormat="1" x14ac:dyDescent="0.35">
      <c r="A1136" s="208"/>
      <c r="B1136" s="91" t="s">
        <v>394</v>
      </c>
      <c r="C1136" s="101" t="s">
        <v>68</v>
      </c>
      <c r="D1136" s="93">
        <v>15000</v>
      </c>
      <c r="E1136" s="94" t="s">
        <v>69</v>
      </c>
      <c r="F1136" s="95"/>
    </row>
    <row r="1137" spans="1:6" s="53" customFormat="1" x14ac:dyDescent="0.35">
      <c r="A1137" s="208"/>
      <c r="B1137" s="102"/>
      <c r="C1137" s="101" t="s">
        <v>70</v>
      </c>
      <c r="D1137" s="103">
        <v>10000</v>
      </c>
      <c r="E1137" s="104"/>
      <c r="F1137" s="105"/>
    </row>
    <row r="1138" spans="1:6" s="53" customFormat="1" x14ac:dyDescent="0.35">
      <c r="A1138" s="208"/>
      <c r="B1138" s="102"/>
      <c r="C1138" s="101" t="s">
        <v>71</v>
      </c>
      <c r="D1138" s="103">
        <v>40000</v>
      </c>
      <c r="E1138" s="104" t="s">
        <v>72</v>
      </c>
      <c r="F1138" s="105"/>
    </row>
    <row r="1139" spans="1:6" s="53" customFormat="1" x14ac:dyDescent="0.35">
      <c r="A1139" s="208"/>
      <c r="B1139" s="102"/>
      <c r="C1139" s="92"/>
      <c r="D1139" s="106"/>
      <c r="E1139" s="53" t="s">
        <v>487</v>
      </c>
      <c r="F1139" s="105"/>
    </row>
    <row r="1140" spans="1:6" s="53" customFormat="1" ht="15" thickBot="1" x14ac:dyDescent="0.4">
      <c r="A1140" s="208"/>
      <c r="B1140" s="107"/>
      <c r="C1140" s="108"/>
      <c r="D1140" s="109"/>
      <c r="E1140" s="53" t="s">
        <v>858</v>
      </c>
      <c r="F1140" s="75"/>
    </row>
    <row r="1141" spans="1:6" s="53" customFormat="1" ht="15" thickBot="1" x14ac:dyDescent="0.4">
      <c r="A1141" s="208"/>
      <c r="B1141" s="110"/>
      <c r="C1141" s="111" t="s">
        <v>74</v>
      </c>
      <c r="D1141" s="112">
        <f>SUM(D1128:D1140)</f>
        <v>7761350</v>
      </c>
      <c r="F1141" s="75"/>
    </row>
    <row r="1142" spans="1:6" s="53" customFormat="1" ht="15.5" thickTop="1" thickBot="1" x14ac:dyDescent="0.4">
      <c r="A1142" s="209"/>
      <c r="B1142" s="211"/>
      <c r="C1142" s="211"/>
      <c r="D1142" s="211"/>
      <c r="F1142" s="75"/>
    </row>
    <row r="1143" spans="1:6" s="53" customFormat="1" x14ac:dyDescent="0.35">
      <c r="B1143" s="89"/>
      <c r="C1143" s="53" t="s">
        <v>75</v>
      </c>
      <c r="D1143" s="113">
        <f>D1125-D1141</f>
        <v>5441650</v>
      </c>
      <c r="F1143" s="75"/>
    </row>
    <row r="1144" spans="1:6" s="53" customFormat="1" x14ac:dyDescent="0.35">
      <c r="B1144" s="89"/>
      <c r="D1144" s="113"/>
      <c r="F1144" s="75"/>
    </row>
    <row r="1145" spans="1:6" s="53" customFormat="1" x14ac:dyDescent="0.35">
      <c r="A1145" s="114"/>
      <c r="B1145" s="115"/>
      <c r="C1145" s="114"/>
      <c r="D1145" s="116"/>
      <c r="E1145" s="114"/>
      <c r="F1145" s="117"/>
    </row>
    <row r="1147" spans="1:6" s="53" customFormat="1" ht="23.5" x14ac:dyDescent="0.55000000000000004">
      <c r="B1147" s="206" t="s">
        <v>0</v>
      </c>
      <c r="C1147" s="206"/>
      <c r="D1147" s="206"/>
      <c r="E1147" s="70"/>
      <c r="F1147" s="71"/>
    </row>
    <row r="1148" spans="1:6" s="53" customFormat="1" ht="20.5" x14ac:dyDescent="0.45">
      <c r="B1148" s="72"/>
      <c r="C1148" s="73" t="s">
        <v>464</v>
      </c>
      <c r="D1148" s="74"/>
      <c r="F1148" s="75"/>
    </row>
    <row r="1149" spans="1:6" s="53" customFormat="1" ht="21" thickBot="1" x14ac:dyDescent="0.5">
      <c r="B1149" s="72" t="s">
        <v>115</v>
      </c>
      <c r="C1149" s="76" t="s">
        <v>47</v>
      </c>
      <c r="D1149" s="74"/>
      <c r="F1149" s="75"/>
    </row>
    <row r="1150" spans="1:6" s="53" customFormat="1" ht="15" thickBot="1" x14ac:dyDescent="0.4">
      <c r="A1150" s="77" t="s">
        <v>48</v>
      </c>
      <c r="B1150" s="78" t="s">
        <v>26</v>
      </c>
      <c r="C1150" s="78" t="s">
        <v>49</v>
      </c>
      <c r="D1150" s="79" t="s">
        <v>29</v>
      </c>
      <c r="F1150" s="75"/>
    </row>
    <row r="1151" spans="1:6" s="53" customFormat="1" ht="14.5" customHeight="1" x14ac:dyDescent="0.35">
      <c r="A1151" s="207" t="s">
        <v>32</v>
      </c>
      <c r="B1151" s="80" t="s">
        <v>465</v>
      </c>
      <c r="C1151" s="81" t="s">
        <v>103</v>
      </c>
      <c r="D1151" s="82">
        <f>F1158</f>
        <v>13203000</v>
      </c>
      <c r="F1151" s="75"/>
    </row>
    <row r="1152" spans="1:6" s="53" customFormat="1" ht="21" thickBot="1" x14ac:dyDescent="0.5">
      <c r="A1152" s="208"/>
      <c r="B1152" s="72"/>
      <c r="C1152" s="72"/>
      <c r="D1152" s="74"/>
      <c r="F1152" s="75"/>
    </row>
    <row r="1153" spans="1:7" s="53" customFormat="1" ht="15" thickBot="1" x14ac:dyDescent="0.4">
      <c r="A1153" s="208"/>
      <c r="B1153" s="83" t="s">
        <v>26</v>
      </c>
      <c r="C1153" s="84" t="s">
        <v>51</v>
      </c>
      <c r="D1153" s="85" t="s">
        <v>52</v>
      </c>
      <c r="F1153" s="75"/>
    </row>
    <row r="1154" spans="1:7" s="89" customFormat="1" x14ac:dyDescent="0.35">
      <c r="A1154" s="208"/>
      <c r="B1154" s="86" t="str">
        <f>B1151</f>
        <v>04th February,2026</v>
      </c>
      <c r="C1154" s="87" t="s">
        <v>558</v>
      </c>
      <c r="D1154" s="88">
        <f>1850*2726</f>
        <v>5043100</v>
      </c>
      <c r="F1154" s="90"/>
    </row>
    <row r="1155" spans="1:7" s="53" customFormat="1" x14ac:dyDescent="0.35">
      <c r="A1155" s="208"/>
      <c r="B1155" s="91"/>
      <c r="C1155" s="92" t="s">
        <v>367</v>
      </c>
      <c r="D1155" s="93">
        <f>306*2450</f>
        <v>749700</v>
      </c>
      <c r="F1155" s="75"/>
    </row>
    <row r="1156" spans="1:7" s="53" customFormat="1" x14ac:dyDescent="0.35">
      <c r="A1156" s="208"/>
      <c r="B1156" s="91" t="s">
        <v>54</v>
      </c>
      <c r="C1156" s="92" t="s">
        <v>55</v>
      </c>
      <c r="D1156" s="93">
        <v>1000000</v>
      </c>
      <c r="F1156" s="75"/>
    </row>
    <row r="1157" spans="1:7" s="53" customFormat="1" x14ac:dyDescent="0.35">
      <c r="A1157" s="208"/>
      <c r="B1157" s="91" t="s">
        <v>56</v>
      </c>
      <c r="C1157" s="92" t="s">
        <v>57</v>
      </c>
      <c r="D1157" s="93">
        <v>40000</v>
      </c>
      <c r="E1157" s="210" t="s">
        <v>58</v>
      </c>
      <c r="F1157" s="210"/>
    </row>
    <row r="1158" spans="1:7" s="53" customFormat="1" x14ac:dyDescent="0.35">
      <c r="A1158" s="208"/>
      <c r="B1158" s="91" t="s">
        <v>363</v>
      </c>
      <c r="C1158" s="92" t="s">
        <v>60</v>
      </c>
      <c r="D1158" s="93">
        <f>1150*140</f>
        <v>161000</v>
      </c>
      <c r="E1158" s="94" t="s">
        <v>61</v>
      </c>
      <c r="F1158" s="95">
        <f>5400*2445</f>
        <v>13203000</v>
      </c>
    </row>
    <row r="1159" spans="1:7" s="53" customFormat="1" x14ac:dyDescent="0.35">
      <c r="A1159" s="208"/>
      <c r="B1159" s="91"/>
      <c r="C1159" s="92" t="s">
        <v>62</v>
      </c>
      <c r="D1159" s="93">
        <f>2400*140</f>
        <v>336000</v>
      </c>
      <c r="E1159" s="96" t="s">
        <v>63</v>
      </c>
      <c r="F1159" s="75">
        <f>(3240*2445)+(2160*2445)</f>
        <v>13203000</v>
      </c>
    </row>
    <row r="1160" spans="1:7" s="53" customFormat="1" ht="15" thickBot="1" x14ac:dyDescent="0.4">
      <c r="A1160" s="208"/>
      <c r="B1160" s="91" t="s">
        <v>64</v>
      </c>
      <c r="C1160" s="92" t="s">
        <v>65</v>
      </c>
      <c r="D1160" s="97">
        <v>30000</v>
      </c>
      <c r="E1160" s="98" t="s">
        <v>66</v>
      </c>
      <c r="F1160" s="99">
        <f>F1158-F1159</f>
        <v>0</v>
      </c>
      <c r="G1160" s="100">
        <f>F1160/2445</f>
        <v>0</v>
      </c>
    </row>
    <row r="1161" spans="1:7" s="53" customFormat="1" ht="15" thickTop="1" x14ac:dyDescent="0.35">
      <c r="A1161" s="208"/>
      <c r="B1161" s="91"/>
      <c r="C1161" s="92" t="s">
        <v>71</v>
      </c>
      <c r="D1161" s="93">
        <v>30000</v>
      </c>
      <c r="F1161" s="75"/>
    </row>
    <row r="1162" spans="1:7" s="53" customFormat="1" x14ac:dyDescent="0.35">
      <c r="A1162" s="208"/>
      <c r="B1162" s="91" t="s">
        <v>463</v>
      </c>
      <c r="C1162" s="101" t="s">
        <v>68</v>
      </c>
      <c r="D1162" s="93">
        <v>15000</v>
      </c>
      <c r="E1162" s="94" t="s">
        <v>69</v>
      </c>
      <c r="F1162" s="95"/>
    </row>
    <row r="1163" spans="1:7" s="53" customFormat="1" x14ac:dyDescent="0.35">
      <c r="A1163" s="208"/>
      <c r="B1163" s="102"/>
      <c r="C1163" s="101"/>
      <c r="D1163" s="103"/>
      <c r="E1163" s="104"/>
      <c r="F1163" s="105"/>
    </row>
    <row r="1164" spans="1:7" s="53" customFormat="1" x14ac:dyDescent="0.35">
      <c r="A1164" s="208"/>
      <c r="B1164" s="102"/>
      <c r="C1164" s="101"/>
      <c r="D1164" s="103"/>
      <c r="E1164" s="104" t="s">
        <v>72</v>
      </c>
      <c r="F1164" s="105"/>
    </row>
    <row r="1165" spans="1:7" s="53" customFormat="1" x14ac:dyDescent="0.35">
      <c r="A1165" s="208"/>
      <c r="B1165" s="102"/>
      <c r="C1165" s="92"/>
      <c r="D1165" s="106"/>
      <c r="E1165" s="53" t="s">
        <v>510</v>
      </c>
      <c r="F1165" s="105"/>
    </row>
    <row r="1166" spans="1:7" s="53" customFormat="1" ht="15" thickBot="1" x14ac:dyDescent="0.4">
      <c r="A1166" s="208"/>
      <c r="B1166" s="107"/>
      <c r="C1166" s="108"/>
      <c r="D1166" s="109"/>
      <c r="E1166" s="53" t="s">
        <v>858</v>
      </c>
      <c r="F1166" s="75"/>
    </row>
    <row r="1167" spans="1:7" s="53" customFormat="1" ht="15" thickBot="1" x14ac:dyDescent="0.4">
      <c r="A1167" s="208"/>
      <c r="B1167" s="110"/>
      <c r="C1167" s="111" t="s">
        <v>74</v>
      </c>
      <c r="D1167" s="112">
        <f>SUM(D1154:D1166)</f>
        <v>7404800</v>
      </c>
      <c r="F1167" s="75"/>
    </row>
    <row r="1168" spans="1:7" s="53" customFormat="1" ht="15.5" thickTop="1" thickBot="1" x14ac:dyDescent="0.4">
      <c r="A1168" s="209"/>
      <c r="B1168" s="211"/>
      <c r="C1168" s="211"/>
      <c r="D1168" s="211"/>
      <c r="F1168" s="75"/>
    </row>
    <row r="1169" spans="1:6" s="53" customFormat="1" x14ac:dyDescent="0.35">
      <c r="B1169" s="89"/>
      <c r="C1169" s="53" t="s">
        <v>75</v>
      </c>
      <c r="D1169" s="113">
        <f>D1151-D1167</f>
        <v>5798200</v>
      </c>
      <c r="F1169" s="75"/>
    </row>
    <row r="1170" spans="1:6" s="53" customFormat="1" x14ac:dyDescent="0.35">
      <c r="B1170" s="89"/>
      <c r="D1170" s="113"/>
      <c r="F1170" s="75"/>
    </row>
    <row r="1171" spans="1:6" s="53" customFormat="1" x14ac:dyDescent="0.35">
      <c r="A1171" s="114"/>
      <c r="B1171" s="115"/>
      <c r="C1171" s="114"/>
      <c r="D1171" s="116"/>
      <c r="E1171" s="114"/>
      <c r="F1171" s="117"/>
    </row>
    <row r="1173" spans="1:6" s="53" customFormat="1" ht="23.5" x14ac:dyDescent="0.55000000000000004">
      <c r="B1173" s="206" t="s">
        <v>0</v>
      </c>
      <c r="C1173" s="206"/>
      <c r="D1173" s="206"/>
      <c r="E1173" s="70"/>
      <c r="F1173" s="71"/>
    </row>
    <row r="1174" spans="1:6" s="53" customFormat="1" ht="20.5" x14ac:dyDescent="0.45">
      <c r="B1174" s="72"/>
      <c r="C1174" s="73" t="s">
        <v>468</v>
      </c>
      <c r="D1174" s="74"/>
      <c r="F1174" s="75"/>
    </row>
    <row r="1175" spans="1:6" s="53" customFormat="1" ht="21" thickBot="1" x14ac:dyDescent="0.5">
      <c r="B1175" s="72" t="s">
        <v>99</v>
      </c>
      <c r="C1175" s="76" t="s">
        <v>47</v>
      </c>
      <c r="D1175" s="74"/>
      <c r="F1175" s="75"/>
    </row>
    <row r="1176" spans="1:6" s="53" customFormat="1" ht="15" thickBot="1" x14ac:dyDescent="0.4">
      <c r="A1176" s="77" t="s">
        <v>48</v>
      </c>
      <c r="B1176" s="78" t="s">
        <v>26</v>
      </c>
      <c r="C1176" s="78" t="s">
        <v>49</v>
      </c>
      <c r="D1176" s="79" t="s">
        <v>29</v>
      </c>
      <c r="F1176" s="75"/>
    </row>
    <row r="1177" spans="1:6" s="53" customFormat="1" ht="14.5" customHeight="1" x14ac:dyDescent="0.35">
      <c r="A1177" s="207" t="s">
        <v>32</v>
      </c>
      <c r="B1177" s="80" t="s">
        <v>465</v>
      </c>
      <c r="C1177" s="81" t="s">
        <v>103</v>
      </c>
      <c r="D1177" s="82">
        <f>F1184</f>
        <v>14670000</v>
      </c>
      <c r="F1177" s="75"/>
    </row>
    <row r="1178" spans="1:6" s="53" customFormat="1" ht="21" thickBot="1" x14ac:dyDescent="0.5">
      <c r="A1178" s="208"/>
      <c r="B1178" s="72"/>
      <c r="C1178" s="72"/>
      <c r="D1178" s="74"/>
      <c r="F1178" s="75"/>
    </row>
    <row r="1179" spans="1:6" s="53" customFormat="1" ht="15" thickBot="1" x14ac:dyDescent="0.4">
      <c r="A1179" s="208"/>
      <c r="B1179" s="83" t="s">
        <v>26</v>
      </c>
      <c r="C1179" s="84" t="s">
        <v>51</v>
      </c>
      <c r="D1179" s="85" t="s">
        <v>52</v>
      </c>
      <c r="F1179" s="75"/>
    </row>
    <row r="1180" spans="1:6" s="89" customFormat="1" x14ac:dyDescent="0.35">
      <c r="A1180" s="208"/>
      <c r="B1180" s="86" t="str">
        <f>B1177</f>
        <v>04th February,2026</v>
      </c>
      <c r="C1180" s="87" t="s">
        <v>558</v>
      </c>
      <c r="D1180" s="88">
        <f>1850*2726</f>
        <v>5043100</v>
      </c>
      <c r="F1180" s="90"/>
    </row>
    <row r="1181" spans="1:6" s="53" customFormat="1" x14ac:dyDescent="0.35">
      <c r="A1181" s="208"/>
      <c r="B1181" s="91"/>
      <c r="C1181" s="92" t="s">
        <v>785</v>
      </c>
      <c r="D1181" s="93">
        <f>391*2450</f>
        <v>957950</v>
      </c>
      <c r="F1181" s="75"/>
    </row>
    <row r="1182" spans="1:6" s="53" customFormat="1" x14ac:dyDescent="0.35">
      <c r="A1182" s="208"/>
      <c r="B1182" s="91" t="s">
        <v>54</v>
      </c>
      <c r="C1182" s="92" t="s">
        <v>55</v>
      </c>
      <c r="D1182" s="93">
        <v>1000000</v>
      </c>
      <c r="F1182" s="75"/>
    </row>
    <row r="1183" spans="1:6" s="53" customFormat="1" x14ac:dyDescent="0.35">
      <c r="A1183" s="208"/>
      <c r="B1183" s="91" t="s">
        <v>56</v>
      </c>
      <c r="C1183" s="92" t="s">
        <v>57</v>
      </c>
      <c r="D1183" s="93">
        <v>40000</v>
      </c>
      <c r="E1183" s="210" t="s">
        <v>58</v>
      </c>
      <c r="F1183" s="210"/>
    </row>
    <row r="1184" spans="1:6" s="53" customFormat="1" x14ac:dyDescent="0.35">
      <c r="A1184" s="208"/>
      <c r="B1184" s="91" t="s">
        <v>480</v>
      </c>
      <c r="C1184" s="92" t="s">
        <v>60</v>
      </c>
      <c r="D1184" s="93">
        <f>400*140</f>
        <v>56000</v>
      </c>
      <c r="E1184" s="94" t="s">
        <v>61</v>
      </c>
      <c r="F1184" s="95">
        <f>6000*2445</f>
        <v>14670000</v>
      </c>
    </row>
    <row r="1185" spans="1:7" s="53" customFormat="1" x14ac:dyDescent="0.35">
      <c r="A1185" s="208"/>
      <c r="B1185" s="91"/>
      <c r="C1185" s="92" t="s">
        <v>62</v>
      </c>
      <c r="D1185" s="93">
        <f>5490*140</f>
        <v>768600</v>
      </c>
      <c r="E1185" s="96" t="s">
        <v>63</v>
      </c>
      <c r="F1185" s="75">
        <f>(3600*2445)+(2400*2445)</f>
        <v>14670000</v>
      </c>
    </row>
    <row r="1186" spans="1:7" s="53" customFormat="1" ht="15" thickBot="1" x14ac:dyDescent="0.4">
      <c r="A1186" s="208"/>
      <c r="B1186" s="91" t="s">
        <v>64</v>
      </c>
      <c r="C1186" s="92" t="s">
        <v>65</v>
      </c>
      <c r="D1186" s="97">
        <v>30000</v>
      </c>
      <c r="E1186" s="98" t="s">
        <v>66</v>
      </c>
      <c r="F1186" s="99">
        <f>F1184-F1185</f>
        <v>0</v>
      </c>
      <c r="G1186" s="100">
        <f>F1186/2445</f>
        <v>0</v>
      </c>
    </row>
    <row r="1187" spans="1:7" s="53" customFormat="1" ht="15" thickTop="1" x14ac:dyDescent="0.35">
      <c r="A1187" s="208"/>
      <c r="B1187" s="91"/>
      <c r="C1187" s="92" t="s">
        <v>67</v>
      </c>
      <c r="D1187" s="93">
        <v>150000</v>
      </c>
      <c r="F1187" s="75"/>
    </row>
    <row r="1188" spans="1:7" s="53" customFormat="1" x14ac:dyDescent="0.35">
      <c r="A1188" s="208"/>
      <c r="B1188" s="91" t="s">
        <v>467</v>
      </c>
      <c r="C1188" s="101" t="s">
        <v>68</v>
      </c>
      <c r="D1188" s="93">
        <v>15000</v>
      </c>
      <c r="E1188" s="94" t="s">
        <v>69</v>
      </c>
      <c r="F1188" s="95"/>
    </row>
    <row r="1189" spans="1:7" s="53" customFormat="1" x14ac:dyDescent="0.35">
      <c r="A1189" s="208"/>
      <c r="B1189" s="102"/>
      <c r="C1189" s="101" t="s">
        <v>70</v>
      </c>
      <c r="D1189" s="103">
        <v>10000</v>
      </c>
      <c r="E1189" s="104"/>
      <c r="F1189" s="105"/>
    </row>
    <row r="1190" spans="1:7" s="53" customFormat="1" x14ac:dyDescent="0.35">
      <c r="A1190" s="208"/>
      <c r="B1190" s="102"/>
      <c r="C1190" s="101" t="s">
        <v>71</v>
      </c>
      <c r="D1190" s="103">
        <v>40000</v>
      </c>
      <c r="E1190" s="104" t="s">
        <v>72</v>
      </c>
      <c r="F1190" s="105"/>
    </row>
    <row r="1191" spans="1:7" s="53" customFormat="1" x14ac:dyDescent="0.35">
      <c r="A1191" s="208"/>
      <c r="B1191" s="102"/>
      <c r="C1191" s="92"/>
      <c r="D1191" s="106"/>
      <c r="E1191" s="53" t="s">
        <v>511</v>
      </c>
      <c r="F1191" s="105"/>
    </row>
    <row r="1192" spans="1:7" s="53" customFormat="1" ht="15" thickBot="1" x14ac:dyDescent="0.4">
      <c r="A1192" s="208"/>
      <c r="B1192" s="107"/>
      <c r="C1192" s="108"/>
      <c r="D1192" s="109"/>
      <c r="E1192" s="53" t="s">
        <v>859</v>
      </c>
      <c r="F1192" s="75"/>
    </row>
    <row r="1193" spans="1:7" s="53" customFormat="1" ht="15" thickBot="1" x14ac:dyDescent="0.4">
      <c r="A1193" s="208"/>
      <c r="B1193" s="110"/>
      <c r="C1193" s="111" t="s">
        <v>74</v>
      </c>
      <c r="D1193" s="112">
        <f>SUM(D1180:D1192)</f>
        <v>8110650</v>
      </c>
      <c r="F1193" s="75"/>
    </row>
    <row r="1194" spans="1:7" s="53" customFormat="1" ht="15.5" thickTop="1" thickBot="1" x14ac:dyDescent="0.4">
      <c r="A1194" s="209"/>
      <c r="B1194" s="211"/>
      <c r="C1194" s="211"/>
      <c r="D1194" s="211"/>
      <c r="F1194" s="75"/>
    </row>
    <row r="1195" spans="1:7" s="53" customFormat="1" x14ac:dyDescent="0.35">
      <c r="B1195" s="89"/>
      <c r="C1195" s="53" t="s">
        <v>75</v>
      </c>
      <c r="D1195" s="113">
        <f>D1177-D1193</f>
        <v>6559350</v>
      </c>
      <c r="F1195" s="75"/>
    </row>
    <row r="1196" spans="1:7" s="53" customFormat="1" x14ac:dyDescent="0.35">
      <c r="B1196" s="89"/>
      <c r="D1196" s="113"/>
      <c r="F1196" s="75"/>
    </row>
    <row r="1197" spans="1:7" s="53" customFormat="1" x14ac:dyDescent="0.35">
      <c r="A1197" s="114"/>
      <c r="B1197" s="115"/>
      <c r="C1197" s="114"/>
      <c r="D1197" s="116"/>
      <c r="E1197" s="114"/>
      <c r="F1197" s="117"/>
    </row>
    <row r="1199" spans="1:7" s="53" customFormat="1" ht="23.5" x14ac:dyDescent="0.55000000000000004">
      <c r="B1199" s="206" t="s">
        <v>0</v>
      </c>
      <c r="C1199" s="206"/>
      <c r="D1199" s="206"/>
      <c r="E1199" s="70"/>
      <c r="F1199" s="71"/>
    </row>
    <row r="1200" spans="1:7" s="53" customFormat="1" ht="20.5" x14ac:dyDescent="0.45">
      <c r="B1200" s="72"/>
      <c r="C1200" s="73" t="s">
        <v>471</v>
      </c>
      <c r="D1200" s="74"/>
      <c r="F1200" s="75"/>
    </row>
    <row r="1201" spans="1:7" s="53" customFormat="1" ht="21" thickBot="1" x14ac:dyDescent="0.5">
      <c r="B1201" s="72" t="s">
        <v>165</v>
      </c>
      <c r="C1201" s="76" t="s">
        <v>47</v>
      </c>
      <c r="D1201" s="74"/>
      <c r="F1201" s="75"/>
    </row>
    <row r="1202" spans="1:7" s="53" customFormat="1" ht="15" thickBot="1" x14ac:dyDescent="0.4">
      <c r="A1202" s="77" t="s">
        <v>48</v>
      </c>
      <c r="B1202" s="78" t="s">
        <v>26</v>
      </c>
      <c r="C1202" s="78" t="s">
        <v>49</v>
      </c>
      <c r="D1202" s="79" t="s">
        <v>29</v>
      </c>
      <c r="F1202" s="75"/>
    </row>
    <row r="1203" spans="1:7" s="53" customFormat="1" ht="14.5" customHeight="1" x14ac:dyDescent="0.35">
      <c r="A1203" s="207" t="s">
        <v>32</v>
      </c>
      <c r="B1203" s="80" t="s">
        <v>465</v>
      </c>
      <c r="C1203" s="81" t="s">
        <v>103</v>
      </c>
      <c r="D1203" s="82">
        <f>F1210</f>
        <v>13203000</v>
      </c>
      <c r="F1203" s="75"/>
    </row>
    <row r="1204" spans="1:7" s="53" customFormat="1" ht="21" thickBot="1" x14ac:dyDescent="0.5">
      <c r="A1204" s="208"/>
      <c r="B1204" s="72"/>
      <c r="C1204" s="72"/>
      <c r="D1204" s="74"/>
      <c r="F1204" s="75"/>
    </row>
    <row r="1205" spans="1:7" s="53" customFormat="1" ht="15" thickBot="1" x14ac:dyDescent="0.4">
      <c r="A1205" s="208"/>
      <c r="B1205" s="83" t="s">
        <v>26</v>
      </c>
      <c r="C1205" s="84" t="s">
        <v>51</v>
      </c>
      <c r="D1205" s="85" t="s">
        <v>52</v>
      </c>
      <c r="F1205" s="75"/>
    </row>
    <row r="1206" spans="1:7" s="89" customFormat="1" x14ac:dyDescent="0.35">
      <c r="A1206" s="208"/>
      <c r="B1206" s="86" t="str">
        <f>B1203</f>
        <v>04th February,2026</v>
      </c>
      <c r="C1206" s="87" t="s">
        <v>558</v>
      </c>
      <c r="D1206" s="88">
        <f>1850*2726</f>
        <v>5043100</v>
      </c>
      <c r="F1206" s="90"/>
    </row>
    <row r="1207" spans="1:7" s="53" customFormat="1" x14ac:dyDescent="0.35">
      <c r="A1207" s="208"/>
      <c r="B1207" s="91"/>
      <c r="C1207" s="92" t="s">
        <v>53</v>
      </c>
      <c r="D1207" s="93">
        <f>325*2450</f>
        <v>796250</v>
      </c>
      <c r="F1207" s="75"/>
    </row>
    <row r="1208" spans="1:7" s="53" customFormat="1" x14ac:dyDescent="0.35">
      <c r="A1208" s="208"/>
      <c r="B1208" s="91" t="s">
        <v>54</v>
      </c>
      <c r="C1208" s="92" t="s">
        <v>55</v>
      </c>
      <c r="D1208" s="93">
        <v>1000000</v>
      </c>
      <c r="F1208" s="75"/>
    </row>
    <row r="1209" spans="1:7" s="53" customFormat="1" x14ac:dyDescent="0.35">
      <c r="A1209" s="208"/>
      <c r="B1209" s="91" t="s">
        <v>56</v>
      </c>
      <c r="C1209" s="92" t="s">
        <v>57</v>
      </c>
      <c r="D1209" s="93">
        <v>40000</v>
      </c>
      <c r="E1209" s="210" t="s">
        <v>58</v>
      </c>
      <c r="F1209" s="210"/>
    </row>
    <row r="1210" spans="1:7" s="53" customFormat="1" x14ac:dyDescent="0.35">
      <c r="A1210" s="208"/>
      <c r="B1210" s="91" t="s">
        <v>59</v>
      </c>
      <c r="C1210" s="92" t="s">
        <v>60</v>
      </c>
      <c r="D1210" s="93">
        <f>950*140</f>
        <v>133000</v>
      </c>
      <c r="E1210" s="94" t="s">
        <v>61</v>
      </c>
      <c r="F1210" s="95">
        <f>5400*2445</f>
        <v>13203000</v>
      </c>
    </row>
    <row r="1211" spans="1:7" s="53" customFormat="1" x14ac:dyDescent="0.35">
      <c r="A1211" s="208"/>
      <c r="B1211" s="91"/>
      <c r="C1211" s="92" t="s">
        <v>62</v>
      </c>
      <c r="D1211" s="93">
        <f>4200*140</f>
        <v>588000</v>
      </c>
      <c r="E1211" s="96" t="s">
        <v>63</v>
      </c>
      <c r="F1211" s="75">
        <f>(3240*2445)+(2160*2445)</f>
        <v>13203000</v>
      </c>
    </row>
    <row r="1212" spans="1:7" s="53" customFormat="1" ht="15" thickBot="1" x14ac:dyDescent="0.4">
      <c r="A1212" s="208"/>
      <c r="B1212" s="91" t="s">
        <v>64</v>
      </c>
      <c r="C1212" s="92" t="s">
        <v>65</v>
      </c>
      <c r="D1212" s="97">
        <v>30000</v>
      </c>
      <c r="E1212" s="98" t="s">
        <v>66</v>
      </c>
      <c r="F1212" s="99">
        <f>F1210-F1211</f>
        <v>0</v>
      </c>
      <c r="G1212" s="100">
        <f>F1212/2445</f>
        <v>0</v>
      </c>
    </row>
    <row r="1213" spans="1:7" s="53" customFormat="1" ht="15" thickTop="1" x14ac:dyDescent="0.35">
      <c r="A1213" s="208"/>
      <c r="B1213" s="91"/>
      <c r="C1213" s="92" t="s">
        <v>67</v>
      </c>
      <c r="D1213" s="93">
        <v>150000</v>
      </c>
      <c r="F1213" s="75"/>
    </row>
    <row r="1214" spans="1:7" s="53" customFormat="1" x14ac:dyDescent="0.35">
      <c r="A1214" s="208"/>
      <c r="B1214" s="91" t="s">
        <v>470</v>
      </c>
      <c r="C1214" s="101" t="s">
        <v>68</v>
      </c>
      <c r="D1214" s="93">
        <v>15000</v>
      </c>
      <c r="E1214" s="94" t="s">
        <v>69</v>
      </c>
      <c r="F1214" s="95"/>
    </row>
    <row r="1215" spans="1:7" s="53" customFormat="1" x14ac:dyDescent="0.35">
      <c r="A1215" s="208"/>
      <c r="B1215" s="102"/>
      <c r="C1215" s="101" t="s">
        <v>70</v>
      </c>
      <c r="D1215" s="103">
        <v>10000</v>
      </c>
      <c r="E1215" s="104"/>
      <c r="F1215" s="105"/>
    </row>
    <row r="1216" spans="1:7" s="53" customFormat="1" x14ac:dyDescent="0.35">
      <c r="A1216" s="208"/>
      <c r="B1216" s="102"/>
      <c r="C1216" s="101" t="s">
        <v>71</v>
      </c>
      <c r="D1216" s="103">
        <v>40000</v>
      </c>
      <c r="E1216" s="104" t="s">
        <v>72</v>
      </c>
      <c r="F1216" s="105"/>
    </row>
    <row r="1217" spans="1:6" s="53" customFormat="1" x14ac:dyDescent="0.35">
      <c r="A1217" s="208"/>
      <c r="B1217" s="102"/>
      <c r="C1217" s="92" t="s">
        <v>73</v>
      </c>
      <c r="D1217" s="106">
        <f>680*140</f>
        <v>95200</v>
      </c>
      <c r="E1217" s="53" t="s">
        <v>510</v>
      </c>
      <c r="F1217" s="105"/>
    </row>
    <row r="1218" spans="1:6" s="53" customFormat="1" ht="15" thickBot="1" x14ac:dyDescent="0.4">
      <c r="A1218" s="208"/>
      <c r="B1218" s="107"/>
      <c r="C1218" s="108"/>
      <c r="D1218" s="109"/>
      <c r="E1218" s="53" t="s">
        <v>825</v>
      </c>
      <c r="F1218" s="75"/>
    </row>
    <row r="1219" spans="1:6" s="53" customFormat="1" ht="15" thickBot="1" x14ac:dyDescent="0.4">
      <c r="A1219" s="208"/>
      <c r="B1219" s="110"/>
      <c r="C1219" s="111" t="s">
        <v>74</v>
      </c>
      <c r="D1219" s="112">
        <f>SUM(D1206:D1218)</f>
        <v>7940550</v>
      </c>
      <c r="F1219" s="75"/>
    </row>
    <row r="1220" spans="1:6" s="53" customFormat="1" ht="15.5" thickTop="1" thickBot="1" x14ac:dyDescent="0.4">
      <c r="A1220" s="209"/>
      <c r="B1220" s="211"/>
      <c r="C1220" s="211"/>
      <c r="D1220" s="211"/>
      <c r="F1220" s="75"/>
    </row>
    <row r="1221" spans="1:6" s="53" customFormat="1" x14ac:dyDescent="0.35">
      <c r="B1221" s="89"/>
      <c r="C1221" s="53" t="s">
        <v>75</v>
      </c>
      <c r="D1221" s="113">
        <f>D1203-D1399</f>
        <v>13163000</v>
      </c>
      <c r="F1221" s="75"/>
    </row>
    <row r="1222" spans="1:6" s="53" customFormat="1" x14ac:dyDescent="0.35">
      <c r="B1222" s="89"/>
      <c r="D1222" s="113"/>
      <c r="F1222" s="75"/>
    </row>
    <row r="1223" spans="1:6" s="53" customFormat="1" x14ac:dyDescent="0.35">
      <c r="A1223" s="114"/>
      <c r="B1223" s="115"/>
      <c r="C1223" s="114"/>
      <c r="D1223" s="116"/>
      <c r="E1223" s="114"/>
      <c r="F1223" s="117"/>
    </row>
    <row r="1225" spans="1:6" s="53" customFormat="1" ht="23.5" x14ac:dyDescent="0.55000000000000004">
      <c r="B1225" s="206" t="s">
        <v>0</v>
      </c>
      <c r="C1225" s="206"/>
      <c r="D1225" s="206"/>
      <c r="E1225" s="70"/>
      <c r="F1225" s="71"/>
    </row>
    <row r="1226" spans="1:6" s="53" customFormat="1" ht="20.5" x14ac:dyDescent="0.45">
      <c r="B1226" s="72"/>
      <c r="C1226" s="73" t="s">
        <v>476</v>
      </c>
      <c r="D1226" s="74"/>
      <c r="F1226" s="75"/>
    </row>
    <row r="1227" spans="1:6" s="53" customFormat="1" ht="21" thickBot="1" x14ac:dyDescent="0.5">
      <c r="B1227" s="72" t="s">
        <v>477</v>
      </c>
      <c r="C1227" s="76" t="s">
        <v>47</v>
      </c>
      <c r="D1227" s="74"/>
      <c r="F1227" s="75"/>
    </row>
    <row r="1228" spans="1:6" s="53" customFormat="1" ht="15" thickBot="1" x14ac:dyDescent="0.4">
      <c r="A1228" s="77" t="s">
        <v>48</v>
      </c>
      <c r="B1228" s="78" t="s">
        <v>26</v>
      </c>
      <c r="C1228" s="78" t="s">
        <v>49</v>
      </c>
      <c r="D1228" s="79" t="s">
        <v>29</v>
      </c>
      <c r="F1228" s="75"/>
    </row>
    <row r="1229" spans="1:6" s="53" customFormat="1" ht="14.5" customHeight="1" x14ac:dyDescent="0.35">
      <c r="A1229" s="207" t="s">
        <v>32</v>
      </c>
      <c r="B1229" s="80" t="s">
        <v>478</v>
      </c>
      <c r="C1229" s="81" t="s">
        <v>103</v>
      </c>
      <c r="D1229" s="82">
        <f>F1236</f>
        <v>14868000</v>
      </c>
      <c r="F1229" s="75"/>
    </row>
    <row r="1230" spans="1:6" s="53" customFormat="1" ht="21" thickBot="1" x14ac:dyDescent="0.5">
      <c r="A1230" s="208"/>
      <c r="B1230" s="72"/>
      <c r="C1230" s="72"/>
      <c r="D1230" s="74"/>
      <c r="F1230" s="75"/>
    </row>
    <row r="1231" spans="1:6" s="53" customFormat="1" ht="15" thickBot="1" x14ac:dyDescent="0.4">
      <c r="A1231" s="208"/>
      <c r="B1231" s="83" t="s">
        <v>26</v>
      </c>
      <c r="C1231" s="84" t="s">
        <v>51</v>
      </c>
      <c r="D1231" s="85" t="s">
        <v>52</v>
      </c>
      <c r="F1231" s="75"/>
    </row>
    <row r="1232" spans="1:6" s="89" customFormat="1" x14ac:dyDescent="0.35">
      <c r="A1232" s="208"/>
      <c r="B1232" s="86" t="str">
        <f>B1229</f>
        <v>05th February,2026</v>
      </c>
      <c r="C1232" s="87" t="s">
        <v>730</v>
      </c>
      <c r="D1232" s="88">
        <f>2000*2726</f>
        <v>5452000</v>
      </c>
      <c r="F1232" s="90"/>
    </row>
    <row r="1233" spans="1:7" s="53" customFormat="1" x14ac:dyDescent="0.35">
      <c r="A1233" s="208"/>
      <c r="B1233" s="91"/>
      <c r="C1233" s="92" t="s">
        <v>479</v>
      </c>
      <c r="D1233" s="93">
        <f>356*2450</f>
        <v>872200</v>
      </c>
      <c r="F1233" s="75"/>
    </row>
    <row r="1234" spans="1:7" s="53" customFormat="1" x14ac:dyDescent="0.35">
      <c r="A1234" s="208"/>
      <c r="B1234" s="91" t="s">
        <v>54</v>
      </c>
      <c r="C1234" s="92" t="s">
        <v>55</v>
      </c>
      <c r="D1234" s="93">
        <v>1000000</v>
      </c>
      <c r="F1234" s="75"/>
    </row>
    <row r="1235" spans="1:7" s="53" customFormat="1" x14ac:dyDescent="0.35">
      <c r="A1235" s="208"/>
      <c r="B1235" s="91" t="s">
        <v>56</v>
      </c>
      <c r="C1235" s="92" t="s">
        <v>57</v>
      </c>
      <c r="D1235" s="93">
        <v>40000</v>
      </c>
      <c r="E1235" s="210" t="s">
        <v>58</v>
      </c>
      <c r="F1235" s="210"/>
    </row>
    <row r="1236" spans="1:7" s="53" customFormat="1" x14ac:dyDescent="0.35">
      <c r="A1236" s="208"/>
      <c r="B1236" s="91" t="s">
        <v>475</v>
      </c>
      <c r="C1236" s="92" t="s">
        <v>60</v>
      </c>
      <c r="D1236" s="93">
        <f>900*140</f>
        <v>126000</v>
      </c>
      <c r="E1236" s="94" t="s">
        <v>61</v>
      </c>
      <c r="F1236" s="95">
        <f>5900*2520</f>
        <v>14868000</v>
      </c>
    </row>
    <row r="1237" spans="1:7" s="53" customFormat="1" x14ac:dyDescent="0.35">
      <c r="A1237" s="208"/>
      <c r="B1237" s="91"/>
      <c r="C1237" s="92" t="s">
        <v>62</v>
      </c>
      <c r="D1237" s="93">
        <f>4890*140</f>
        <v>684600</v>
      </c>
      <c r="E1237" s="96" t="s">
        <v>63</v>
      </c>
      <c r="F1237" s="75">
        <f>(3540*2520)+(2360*2520)</f>
        <v>14868000</v>
      </c>
    </row>
    <row r="1238" spans="1:7" s="53" customFormat="1" ht="15" thickBot="1" x14ac:dyDescent="0.4">
      <c r="A1238" s="208"/>
      <c r="B1238" s="91" t="s">
        <v>64</v>
      </c>
      <c r="C1238" s="92" t="s">
        <v>65</v>
      </c>
      <c r="D1238" s="97">
        <v>30000</v>
      </c>
      <c r="E1238" s="98" t="s">
        <v>66</v>
      </c>
      <c r="F1238" s="99">
        <f>F1236-F1237</f>
        <v>0</v>
      </c>
      <c r="G1238" s="100">
        <f>F1238/2520</f>
        <v>0</v>
      </c>
    </row>
    <row r="1239" spans="1:7" s="53" customFormat="1" ht="15" thickTop="1" x14ac:dyDescent="0.35">
      <c r="A1239" s="208"/>
      <c r="B1239" s="91"/>
      <c r="C1239" s="92" t="s">
        <v>67</v>
      </c>
      <c r="D1239" s="93">
        <v>150000</v>
      </c>
      <c r="F1239" s="75"/>
    </row>
    <row r="1240" spans="1:7" s="53" customFormat="1" x14ac:dyDescent="0.35">
      <c r="A1240" s="208"/>
      <c r="B1240" s="91" t="s">
        <v>474</v>
      </c>
      <c r="C1240" s="101" t="s">
        <v>68</v>
      </c>
      <c r="D1240" s="93">
        <v>15000</v>
      </c>
      <c r="E1240" s="94" t="s">
        <v>69</v>
      </c>
      <c r="F1240" s="95"/>
    </row>
    <row r="1241" spans="1:7" s="53" customFormat="1" x14ac:dyDescent="0.35">
      <c r="A1241" s="208"/>
      <c r="B1241" s="102"/>
      <c r="C1241" s="101" t="s">
        <v>70</v>
      </c>
      <c r="D1241" s="103">
        <v>10000</v>
      </c>
      <c r="E1241" s="104"/>
      <c r="F1241" s="105"/>
    </row>
    <row r="1242" spans="1:7" s="53" customFormat="1" x14ac:dyDescent="0.35">
      <c r="A1242" s="208"/>
      <c r="B1242" s="102"/>
      <c r="C1242" s="101" t="s">
        <v>71</v>
      </c>
      <c r="D1242" s="103">
        <v>40000</v>
      </c>
      <c r="E1242" s="104" t="s">
        <v>72</v>
      </c>
      <c r="F1242" s="105"/>
    </row>
    <row r="1243" spans="1:7" s="53" customFormat="1" x14ac:dyDescent="0.35">
      <c r="A1243" s="208"/>
      <c r="B1243" s="102"/>
      <c r="C1243" s="92"/>
      <c r="D1243" s="106"/>
      <c r="E1243" s="53" t="s">
        <v>511</v>
      </c>
      <c r="F1243" s="105"/>
    </row>
    <row r="1244" spans="1:7" s="53" customFormat="1" ht="15" thickBot="1" x14ac:dyDescent="0.4">
      <c r="A1244" s="208"/>
      <c r="B1244" s="107"/>
      <c r="C1244" s="108"/>
      <c r="D1244" s="109"/>
      <c r="E1244" s="53" t="s">
        <v>825</v>
      </c>
      <c r="F1244" s="75"/>
    </row>
    <row r="1245" spans="1:7" s="53" customFormat="1" ht="15" thickBot="1" x14ac:dyDescent="0.4">
      <c r="A1245" s="208"/>
      <c r="B1245" s="110"/>
      <c r="C1245" s="111" t="s">
        <v>74</v>
      </c>
      <c r="D1245" s="112">
        <f>SUM(D1232:D1244)</f>
        <v>8419800</v>
      </c>
      <c r="F1245" s="75"/>
    </row>
    <row r="1246" spans="1:7" s="53" customFormat="1" ht="15.5" thickTop="1" thickBot="1" x14ac:dyDescent="0.4">
      <c r="A1246" s="209"/>
      <c r="B1246" s="211"/>
      <c r="C1246" s="211"/>
      <c r="D1246" s="211"/>
      <c r="F1246" s="75"/>
    </row>
    <row r="1247" spans="1:7" s="53" customFormat="1" x14ac:dyDescent="0.35">
      <c r="B1247" s="89"/>
      <c r="C1247" s="53" t="s">
        <v>75</v>
      </c>
      <c r="D1247" s="113">
        <f>D1229-D1245</f>
        <v>6448200</v>
      </c>
      <c r="F1247" s="75"/>
    </row>
    <row r="1248" spans="1:7" s="53" customFormat="1" x14ac:dyDescent="0.35">
      <c r="B1248" s="89"/>
      <c r="D1248" s="113"/>
      <c r="F1248" s="75"/>
    </row>
    <row r="1249" spans="1:7" s="53" customFormat="1" x14ac:dyDescent="0.35">
      <c r="A1249" s="114"/>
      <c r="B1249" s="115"/>
      <c r="C1249" s="114"/>
      <c r="D1249" s="116"/>
      <c r="E1249" s="114"/>
      <c r="F1249" s="117"/>
    </row>
    <row r="1251" spans="1:7" s="53" customFormat="1" ht="23.5" x14ac:dyDescent="0.55000000000000004">
      <c r="B1251" s="206" t="s">
        <v>0</v>
      </c>
      <c r="C1251" s="206"/>
      <c r="D1251" s="206"/>
      <c r="E1251" s="70"/>
      <c r="F1251" s="71"/>
    </row>
    <row r="1252" spans="1:7" s="53" customFormat="1" ht="20.5" x14ac:dyDescent="0.45">
      <c r="B1252" s="72"/>
      <c r="C1252" s="73" t="s">
        <v>490</v>
      </c>
      <c r="D1252" s="74"/>
      <c r="F1252" s="75"/>
    </row>
    <row r="1253" spans="1:7" s="53" customFormat="1" ht="21" thickBot="1" x14ac:dyDescent="0.5">
      <c r="B1253" s="72" t="s">
        <v>105</v>
      </c>
      <c r="C1253" s="76" t="s">
        <v>47</v>
      </c>
      <c r="D1253" s="74"/>
      <c r="F1253" s="75"/>
    </row>
    <row r="1254" spans="1:7" s="53" customFormat="1" ht="15" thickBot="1" x14ac:dyDescent="0.4">
      <c r="A1254" s="77" t="s">
        <v>48</v>
      </c>
      <c r="B1254" s="78" t="s">
        <v>26</v>
      </c>
      <c r="C1254" s="78" t="s">
        <v>49</v>
      </c>
      <c r="D1254" s="79" t="s">
        <v>29</v>
      </c>
      <c r="F1254" s="75"/>
    </row>
    <row r="1255" spans="1:7" s="53" customFormat="1" ht="14.5" customHeight="1" x14ac:dyDescent="0.35">
      <c r="A1255" s="207" t="s">
        <v>32</v>
      </c>
      <c r="B1255" s="80" t="s">
        <v>491</v>
      </c>
      <c r="C1255" s="81" t="s">
        <v>103</v>
      </c>
      <c r="D1255" s="82">
        <f>F1262</f>
        <v>14868000</v>
      </c>
      <c r="F1255" s="75"/>
    </row>
    <row r="1256" spans="1:7" s="53" customFormat="1" ht="21" thickBot="1" x14ac:dyDescent="0.5">
      <c r="A1256" s="208"/>
      <c r="B1256" s="72"/>
      <c r="C1256" s="72"/>
      <c r="D1256" s="74"/>
      <c r="F1256" s="75"/>
    </row>
    <row r="1257" spans="1:7" s="53" customFormat="1" ht="15" thickBot="1" x14ac:dyDescent="0.4">
      <c r="A1257" s="208"/>
      <c r="B1257" s="83" t="s">
        <v>26</v>
      </c>
      <c r="C1257" s="84" t="s">
        <v>51</v>
      </c>
      <c r="D1257" s="85" t="s">
        <v>52</v>
      </c>
      <c r="F1257" s="75"/>
    </row>
    <row r="1258" spans="1:7" s="89" customFormat="1" x14ac:dyDescent="0.35">
      <c r="A1258" s="208"/>
      <c r="B1258" s="86" t="str">
        <f>B1255</f>
        <v>09th February,2026</v>
      </c>
      <c r="C1258" s="87" t="s">
        <v>730</v>
      </c>
      <c r="D1258" s="88">
        <f>2000*2726</f>
        <v>5452000</v>
      </c>
      <c r="F1258" s="90"/>
    </row>
    <row r="1259" spans="1:7" s="53" customFormat="1" x14ac:dyDescent="0.35">
      <c r="A1259" s="208"/>
      <c r="B1259" s="91"/>
      <c r="C1259" s="92" t="s">
        <v>479</v>
      </c>
      <c r="D1259" s="93">
        <f>356*2450</f>
        <v>872200</v>
      </c>
      <c r="F1259" s="75"/>
    </row>
    <row r="1260" spans="1:7" s="53" customFormat="1" x14ac:dyDescent="0.35">
      <c r="A1260" s="208"/>
      <c r="B1260" s="91" t="s">
        <v>54</v>
      </c>
      <c r="C1260" s="92" t="s">
        <v>55</v>
      </c>
      <c r="D1260" s="93">
        <v>1000000</v>
      </c>
      <c r="F1260" s="75"/>
    </row>
    <row r="1261" spans="1:7" s="53" customFormat="1" x14ac:dyDescent="0.35">
      <c r="A1261" s="208"/>
      <c r="B1261" s="91" t="s">
        <v>56</v>
      </c>
      <c r="C1261" s="92" t="s">
        <v>57</v>
      </c>
      <c r="D1261" s="93">
        <v>40000</v>
      </c>
      <c r="E1261" s="210" t="s">
        <v>58</v>
      </c>
      <c r="F1261" s="210"/>
    </row>
    <row r="1262" spans="1:7" s="53" customFormat="1" x14ac:dyDescent="0.35">
      <c r="A1262" s="208"/>
      <c r="B1262" s="91" t="s">
        <v>475</v>
      </c>
      <c r="C1262" s="92" t="s">
        <v>60</v>
      </c>
      <c r="D1262" s="93">
        <f>900*140</f>
        <v>126000</v>
      </c>
      <c r="E1262" s="94" t="s">
        <v>61</v>
      </c>
      <c r="F1262" s="95">
        <f>5900*2520</f>
        <v>14868000</v>
      </c>
    </row>
    <row r="1263" spans="1:7" s="53" customFormat="1" x14ac:dyDescent="0.35">
      <c r="A1263" s="208"/>
      <c r="B1263" s="91"/>
      <c r="C1263" s="92" t="s">
        <v>62</v>
      </c>
      <c r="D1263" s="93">
        <f>4890*140</f>
        <v>684600</v>
      </c>
      <c r="E1263" s="96" t="s">
        <v>63</v>
      </c>
      <c r="F1263" s="75">
        <f>(3540*2520)+(2295.06*2520)</f>
        <v>14704351.199999999</v>
      </c>
    </row>
    <row r="1264" spans="1:7" s="53" customFormat="1" ht="15" thickBot="1" x14ac:dyDescent="0.4">
      <c r="A1264" s="208"/>
      <c r="B1264" s="91" t="s">
        <v>64</v>
      </c>
      <c r="C1264" s="92" t="s">
        <v>65</v>
      </c>
      <c r="D1264" s="97">
        <v>30000</v>
      </c>
      <c r="E1264" s="98" t="s">
        <v>66</v>
      </c>
      <c r="F1264" s="99">
        <f>F1262-F1263</f>
        <v>163648.80000000075</v>
      </c>
      <c r="G1264" s="100">
        <f>F1264/2520</f>
        <v>64.940000000000296</v>
      </c>
    </row>
    <row r="1265" spans="1:6" s="53" customFormat="1" ht="15" thickTop="1" x14ac:dyDescent="0.35">
      <c r="A1265" s="208"/>
      <c r="B1265" s="91"/>
      <c r="C1265" s="101" t="s">
        <v>71</v>
      </c>
      <c r="D1265" s="103">
        <v>40000</v>
      </c>
      <c r="F1265" s="75"/>
    </row>
    <row r="1266" spans="1:6" s="53" customFormat="1" x14ac:dyDescent="0.35">
      <c r="A1266" s="208"/>
      <c r="B1266" s="91" t="s">
        <v>474</v>
      </c>
      <c r="C1266" s="101" t="s">
        <v>68</v>
      </c>
      <c r="D1266" s="93">
        <v>15000</v>
      </c>
      <c r="E1266" s="94" t="s">
        <v>69</v>
      </c>
      <c r="F1266" s="95"/>
    </row>
    <row r="1267" spans="1:6" s="53" customFormat="1" x14ac:dyDescent="0.35">
      <c r="A1267" s="208"/>
      <c r="B1267" s="102"/>
      <c r="C1267" s="101" t="s">
        <v>70</v>
      </c>
      <c r="D1267" s="103">
        <v>10000</v>
      </c>
      <c r="E1267" s="104"/>
      <c r="F1267" s="105"/>
    </row>
    <row r="1268" spans="1:6" s="53" customFormat="1" x14ac:dyDescent="0.35">
      <c r="A1268" s="208"/>
      <c r="B1268" s="102"/>
      <c r="C1268" s="101"/>
      <c r="D1268" s="103"/>
      <c r="E1268" s="104" t="s">
        <v>72</v>
      </c>
      <c r="F1268" s="105"/>
    </row>
    <row r="1269" spans="1:6" s="53" customFormat="1" x14ac:dyDescent="0.35">
      <c r="A1269" s="208"/>
      <c r="B1269" s="102"/>
      <c r="C1269" s="92"/>
      <c r="D1269" s="106"/>
      <c r="E1269" s="53" t="s">
        <v>512</v>
      </c>
      <c r="F1269" s="105"/>
    </row>
    <row r="1270" spans="1:6" s="53" customFormat="1" ht="15" thickBot="1" x14ac:dyDescent="0.4">
      <c r="A1270" s="208"/>
      <c r="B1270" s="107"/>
      <c r="C1270" s="108"/>
      <c r="D1270" s="109"/>
      <c r="E1270" s="53" t="s">
        <v>825</v>
      </c>
      <c r="F1270" s="75"/>
    </row>
    <row r="1271" spans="1:6" s="53" customFormat="1" ht="15" thickBot="1" x14ac:dyDescent="0.4">
      <c r="A1271" s="208"/>
      <c r="B1271" s="110"/>
      <c r="C1271" s="111" t="s">
        <v>74</v>
      </c>
      <c r="D1271" s="112">
        <f>SUM(D1258:D1270)</f>
        <v>8269800</v>
      </c>
      <c r="F1271" s="75"/>
    </row>
    <row r="1272" spans="1:6" s="53" customFormat="1" ht="15.5" thickTop="1" thickBot="1" x14ac:dyDescent="0.4">
      <c r="A1272" s="209"/>
      <c r="B1272" s="211"/>
      <c r="C1272" s="211"/>
      <c r="D1272" s="211"/>
      <c r="F1272" s="75"/>
    </row>
    <row r="1273" spans="1:6" s="53" customFormat="1" x14ac:dyDescent="0.35">
      <c r="B1273" s="89"/>
      <c r="C1273" s="53" t="s">
        <v>75</v>
      </c>
      <c r="D1273" s="113">
        <f>D1255-D1271</f>
        <v>6598200</v>
      </c>
      <c r="F1273" s="75"/>
    </row>
    <row r="1274" spans="1:6" s="53" customFormat="1" x14ac:dyDescent="0.35">
      <c r="B1274" s="89"/>
      <c r="D1274" s="113"/>
      <c r="F1274" s="75"/>
    </row>
    <row r="1275" spans="1:6" s="53" customFormat="1" x14ac:dyDescent="0.35">
      <c r="A1275" s="114"/>
      <c r="B1275" s="115"/>
      <c r="C1275" s="114"/>
      <c r="D1275" s="116"/>
      <c r="E1275" s="114"/>
      <c r="F1275" s="117"/>
    </row>
    <row r="1277" spans="1:6" s="53" customFormat="1" ht="23.5" x14ac:dyDescent="0.55000000000000004">
      <c r="B1277" s="206" t="s">
        <v>0</v>
      </c>
      <c r="C1277" s="206"/>
      <c r="D1277" s="206"/>
      <c r="E1277" s="70"/>
      <c r="F1277" s="71"/>
    </row>
    <row r="1278" spans="1:6" s="53" customFormat="1" ht="20.5" x14ac:dyDescent="0.45">
      <c r="B1278" s="72"/>
      <c r="C1278" s="73" t="s">
        <v>495</v>
      </c>
      <c r="D1278" s="74"/>
      <c r="F1278" s="75"/>
    </row>
    <row r="1279" spans="1:6" s="53" customFormat="1" ht="21" thickBot="1" x14ac:dyDescent="0.5">
      <c r="B1279" s="72" t="s">
        <v>496</v>
      </c>
      <c r="C1279" s="76" t="s">
        <v>47</v>
      </c>
      <c r="D1279" s="74"/>
      <c r="F1279" s="75"/>
    </row>
    <row r="1280" spans="1:6" s="53" customFormat="1" ht="15" thickBot="1" x14ac:dyDescent="0.4">
      <c r="A1280" s="77" t="s">
        <v>48</v>
      </c>
      <c r="B1280" s="78" t="s">
        <v>26</v>
      </c>
      <c r="C1280" s="78" t="s">
        <v>49</v>
      </c>
      <c r="D1280" s="79" t="s">
        <v>29</v>
      </c>
      <c r="F1280" s="75"/>
    </row>
    <row r="1281" spans="1:7" s="53" customFormat="1" ht="14.5" customHeight="1" x14ac:dyDescent="0.35">
      <c r="A1281" s="207" t="s">
        <v>32</v>
      </c>
      <c r="B1281" s="80" t="s">
        <v>491</v>
      </c>
      <c r="C1281" s="81" t="s">
        <v>103</v>
      </c>
      <c r="D1281" s="82">
        <f>F1288</f>
        <v>13608000</v>
      </c>
      <c r="F1281" s="75"/>
    </row>
    <row r="1282" spans="1:7" s="53" customFormat="1" ht="21" thickBot="1" x14ac:dyDescent="0.5">
      <c r="A1282" s="208"/>
      <c r="B1282" s="72"/>
      <c r="C1282" s="72"/>
      <c r="D1282" s="74"/>
      <c r="F1282" s="75"/>
    </row>
    <row r="1283" spans="1:7" s="53" customFormat="1" ht="15" thickBot="1" x14ac:dyDescent="0.4">
      <c r="A1283" s="208"/>
      <c r="B1283" s="83" t="s">
        <v>26</v>
      </c>
      <c r="C1283" s="84" t="s">
        <v>51</v>
      </c>
      <c r="D1283" s="85" t="s">
        <v>52</v>
      </c>
      <c r="F1283" s="75"/>
    </row>
    <row r="1284" spans="1:7" s="89" customFormat="1" x14ac:dyDescent="0.35">
      <c r="A1284" s="208"/>
      <c r="B1284" s="86" t="str">
        <f>B1281</f>
        <v>09th February,2026</v>
      </c>
      <c r="C1284" s="87" t="s">
        <v>558</v>
      </c>
      <c r="D1284" s="88">
        <f>1850*2726</f>
        <v>5043100</v>
      </c>
      <c r="F1284" s="90"/>
    </row>
    <row r="1285" spans="1:7" s="53" customFormat="1" x14ac:dyDescent="0.35">
      <c r="A1285" s="208"/>
      <c r="B1285" s="91"/>
      <c r="C1285" s="92" t="s">
        <v>53</v>
      </c>
      <c r="D1285" s="93">
        <f>325*2450</f>
        <v>796250</v>
      </c>
      <c r="F1285" s="75"/>
    </row>
    <row r="1286" spans="1:7" s="53" customFormat="1" x14ac:dyDescent="0.35">
      <c r="A1286" s="208"/>
      <c r="B1286" s="91" t="s">
        <v>54</v>
      </c>
      <c r="C1286" s="92" t="s">
        <v>55</v>
      </c>
      <c r="D1286" s="93">
        <v>1000000</v>
      </c>
      <c r="F1286" s="75"/>
    </row>
    <row r="1287" spans="1:7" s="53" customFormat="1" x14ac:dyDescent="0.35">
      <c r="A1287" s="208"/>
      <c r="B1287" s="91" t="s">
        <v>56</v>
      </c>
      <c r="C1287" s="92" t="s">
        <v>57</v>
      </c>
      <c r="D1287" s="93">
        <v>40000</v>
      </c>
      <c r="E1287" s="210" t="s">
        <v>58</v>
      </c>
      <c r="F1287" s="210"/>
    </row>
    <row r="1288" spans="1:7" s="53" customFormat="1" x14ac:dyDescent="0.35">
      <c r="A1288" s="208"/>
      <c r="B1288" s="91" t="s">
        <v>59</v>
      </c>
      <c r="C1288" s="92" t="s">
        <v>60</v>
      </c>
      <c r="D1288" s="93">
        <f>950*140</f>
        <v>133000</v>
      </c>
      <c r="E1288" s="94" t="s">
        <v>61</v>
      </c>
      <c r="F1288" s="95">
        <f>5400*2520</f>
        <v>13608000</v>
      </c>
    </row>
    <row r="1289" spans="1:7" s="53" customFormat="1" x14ac:dyDescent="0.35">
      <c r="A1289" s="208"/>
      <c r="B1289" s="91"/>
      <c r="C1289" s="92" t="s">
        <v>62</v>
      </c>
      <c r="D1289" s="93">
        <f>3600*140</f>
        <v>504000</v>
      </c>
      <c r="E1289" s="96" t="s">
        <v>63</v>
      </c>
      <c r="F1289" s="75">
        <f>(3240*2520)+(1990*2520)</f>
        <v>13179600</v>
      </c>
    </row>
    <row r="1290" spans="1:7" s="53" customFormat="1" ht="15" thickBot="1" x14ac:dyDescent="0.4">
      <c r="A1290" s="208"/>
      <c r="B1290" s="91" t="s">
        <v>64</v>
      </c>
      <c r="C1290" s="92" t="s">
        <v>65</v>
      </c>
      <c r="D1290" s="97">
        <v>30000</v>
      </c>
      <c r="E1290" s="98" t="s">
        <v>66</v>
      </c>
      <c r="F1290" s="99">
        <f>F1288-F1289</f>
        <v>428400</v>
      </c>
      <c r="G1290" s="100">
        <f>F1290/2520</f>
        <v>170</v>
      </c>
    </row>
    <row r="1291" spans="1:7" s="53" customFormat="1" ht="15" thickTop="1" x14ac:dyDescent="0.35">
      <c r="A1291" s="208"/>
      <c r="B1291" s="91"/>
      <c r="C1291" s="92" t="s">
        <v>67</v>
      </c>
      <c r="D1291" s="93">
        <v>150000</v>
      </c>
      <c r="F1291" s="75"/>
    </row>
    <row r="1292" spans="1:7" s="53" customFormat="1" x14ac:dyDescent="0.35">
      <c r="A1292" s="208"/>
      <c r="B1292" s="91" t="s">
        <v>494</v>
      </c>
      <c r="C1292" s="101" t="s">
        <v>68</v>
      </c>
      <c r="D1292" s="93">
        <v>15000</v>
      </c>
      <c r="E1292" s="94" t="s">
        <v>69</v>
      </c>
      <c r="F1292" s="95"/>
    </row>
    <row r="1293" spans="1:7" s="53" customFormat="1" x14ac:dyDescent="0.35">
      <c r="A1293" s="208"/>
      <c r="B1293" s="102"/>
      <c r="C1293" s="101" t="s">
        <v>70</v>
      </c>
      <c r="D1293" s="103">
        <v>10000</v>
      </c>
      <c r="E1293" s="104"/>
      <c r="F1293" s="105"/>
    </row>
    <row r="1294" spans="1:7" s="53" customFormat="1" x14ac:dyDescent="0.35">
      <c r="A1294" s="208"/>
      <c r="B1294" s="102"/>
      <c r="C1294" s="101" t="s">
        <v>71</v>
      </c>
      <c r="D1294" s="103">
        <v>30000</v>
      </c>
      <c r="E1294" s="104" t="s">
        <v>72</v>
      </c>
      <c r="F1294" s="105"/>
    </row>
    <row r="1295" spans="1:7" s="53" customFormat="1" x14ac:dyDescent="0.35">
      <c r="A1295" s="208"/>
      <c r="B1295" s="102"/>
      <c r="C1295" s="92"/>
      <c r="D1295" s="106"/>
      <c r="E1295" s="53" t="s">
        <v>513</v>
      </c>
      <c r="F1295" s="105"/>
    </row>
    <row r="1296" spans="1:7" s="53" customFormat="1" ht="15" thickBot="1" x14ac:dyDescent="0.4">
      <c r="A1296" s="208"/>
      <c r="B1296" s="107"/>
      <c r="C1296" s="108"/>
      <c r="D1296" s="109"/>
      <c r="E1296" s="53" t="s">
        <v>859</v>
      </c>
      <c r="F1296" s="75"/>
    </row>
    <row r="1297" spans="1:6" s="53" customFormat="1" ht="15" thickBot="1" x14ac:dyDescent="0.4">
      <c r="A1297" s="208"/>
      <c r="B1297" s="110"/>
      <c r="C1297" s="111" t="s">
        <v>74</v>
      </c>
      <c r="D1297" s="112">
        <f>SUM(D1284:D1296)</f>
        <v>7751350</v>
      </c>
      <c r="F1297" s="75"/>
    </row>
    <row r="1298" spans="1:6" s="53" customFormat="1" ht="15.5" thickTop="1" thickBot="1" x14ac:dyDescent="0.4">
      <c r="A1298" s="209"/>
      <c r="B1298" s="211"/>
      <c r="C1298" s="211"/>
      <c r="D1298" s="211"/>
      <c r="F1298" s="75"/>
    </row>
    <row r="1299" spans="1:6" s="53" customFormat="1" x14ac:dyDescent="0.35">
      <c r="B1299" s="89"/>
      <c r="C1299" s="53" t="s">
        <v>75</v>
      </c>
      <c r="D1299" s="113">
        <f>D1281-D1297</f>
        <v>5856650</v>
      </c>
      <c r="F1299" s="75"/>
    </row>
    <row r="1300" spans="1:6" s="53" customFormat="1" x14ac:dyDescent="0.35">
      <c r="B1300" s="89"/>
      <c r="D1300" s="113"/>
      <c r="F1300" s="75"/>
    </row>
    <row r="1301" spans="1:6" s="53" customFormat="1" x14ac:dyDescent="0.35">
      <c r="A1301" s="114"/>
      <c r="B1301" s="115"/>
      <c r="C1301" s="114"/>
      <c r="D1301" s="116"/>
      <c r="E1301" s="114"/>
      <c r="F1301" s="117"/>
    </row>
    <row r="1303" spans="1:6" s="53" customFormat="1" ht="23.5" x14ac:dyDescent="0.55000000000000004">
      <c r="B1303" s="206" t="s">
        <v>0</v>
      </c>
      <c r="C1303" s="206"/>
      <c r="D1303" s="206"/>
      <c r="E1303" s="70"/>
      <c r="F1303" s="71"/>
    </row>
    <row r="1304" spans="1:6" s="53" customFormat="1" ht="20.5" x14ac:dyDescent="0.45">
      <c r="B1304" s="72"/>
      <c r="C1304" s="73" t="s">
        <v>499</v>
      </c>
      <c r="D1304" s="74"/>
      <c r="F1304" s="75"/>
    </row>
    <row r="1305" spans="1:6" s="53" customFormat="1" ht="21" thickBot="1" x14ac:dyDescent="0.5">
      <c r="B1305" s="72" t="s">
        <v>146</v>
      </c>
      <c r="C1305" s="76" t="s">
        <v>47</v>
      </c>
      <c r="D1305" s="74"/>
      <c r="F1305" s="75"/>
    </row>
    <row r="1306" spans="1:6" s="53" customFormat="1" ht="15" thickBot="1" x14ac:dyDescent="0.4">
      <c r="A1306" s="77" t="s">
        <v>48</v>
      </c>
      <c r="B1306" s="78" t="s">
        <v>26</v>
      </c>
      <c r="C1306" s="78" t="s">
        <v>49</v>
      </c>
      <c r="D1306" s="79" t="s">
        <v>29</v>
      </c>
      <c r="F1306" s="75"/>
    </row>
    <row r="1307" spans="1:6" s="53" customFormat="1" ht="14.5" customHeight="1" x14ac:dyDescent="0.35">
      <c r="A1307" s="207" t="s">
        <v>32</v>
      </c>
      <c r="B1307" s="80" t="s">
        <v>491</v>
      </c>
      <c r="C1307" s="81" t="s">
        <v>103</v>
      </c>
      <c r="D1307" s="82">
        <f>F1314</f>
        <v>13608000</v>
      </c>
      <c r="F1307" s="75"/>
    </row>
    <row r="1308" spans="1:6" s="53" customFormat="1" ht="21" thickBot="1" x14ac:dyDescent="0.5">
      <c r="A1308" s="208"/>
      <c r="B1308" s="72"/>
      <c r="C1308" s="72"/>
      <c r="D1308" s="74"/>
      <c r="F1308" s="75"/>
    </row>
    <row r="1309" spans="1:6" s="53" customFormat="1" ht="15" thickBot="1" x14ac:dyDescent="0.4">
      <c r="A1309" s="208"/>
      <c r="B1309" s="83" t="s">
        <v>26</v>
      </c>
      <c r="C1309" s="84" t="s">
        <v>51</v>
      </c>
      <c r="D1309" s="85" t="s">
        <v>52</v>
      </c>
      <c r="F1309" s="75"/>
    </row>
    <row r="1310" spans="1:6" s="89" customFormat="1" x14ac:dyDescent="0.35">
      <c r="A1310" s="208"/>
      <c r="B1310" s="86" t="str">
        <f>B1307</f>
        <v>09th February,2026</v>
      </c>
      <c r="C1310" s="87" t="s">
        <v>558</v>
      </c>
      <c r="D1310" s="88">
        <f>1850*2726</f>
        <v>5043100</v>
      </c>
      <c r="F1310" s="90"/>
    </row>
    <row r="1311" spans="1:6" s="53" customFormat="1" x14ac:dyDescent="0.35">
      <c r="A1311" s="208"/>
      <c r="B1311" s="91"/>
      <c r="C1311" s="92" t="s">
        <v>53</v>
      </c>
      <c r="D1311" s="93">
        <f>325*2450</f>
        <v>796250</v>
      </c>
      <c r="F1311" s="75"/>
    </row>
    <row r="1312" spans="1:6" s="53" customFormat="1" x14ac:dyDescent="0.35">
      <c r="A1312" s="208"/>
      <c r="B1312" s="91" t="s">
        <v>54</v>
      </c>
      <c r="C1312" s="92" t="s">
        <v>55</v>
      </c>
      <c r="D1312" s="93">
        <v>1000000</v>
      </c>
      <c r="F1312" s="75"/>
    </row>
    <row r="1313" spans="1:7" s="53" customFormat="1" x14ac:dyDescent="0.35">
      <c r="A1313" s="208"/>
      <c r="B1313" s="91" t="s">
        <v>56</v>
      </c>
      <c r="C1313" s="92" t="s">
        <v>57</v>
      </c>
      <c r="D1313" s="93">
        <v>40000</v>
      </c>
      <c r="E1313" s="210" t="s">
        <v>58</v>
      </c>
      <c r="F1313" s="210"/>
    </row>
    <row r="1314" spans="1:7" s="53" customFormat="1" x14ac:dyDescent="0.35">
      <c r="A1314" s="208"/>
      <c r="B1314" s="91" t="s">
        <v>59</v>
      </c>
      <c r="C1314" s="92" t="s">
        <v>60</v>
      </c>
      <c r="D1314" s="93">
        <f>950*140</f>
        <v>133000</v>
      </c>
      <c r="E1314" s="94" t="s">
        <v>61</v>
      </c>
      <c r="F1314" s="95">
        <f>5400*2520</f>
        <v>13608000</v>
      </c>
    </row>
    <row r="1315" spans="1:7" s="53" customFormat="1" x14ac:dyDescent="0.35">
      <c r="A1315" s="208"/>
      <c r="B1315" s="91"/>
      <c r="C1315" s="92" t="s">
        <v>62</v>
      </c>
      <c r="D1315" s="93">
        <f>3600*140</f>
        <v>504000</v>
      </c>
      <c r="E1315" s="96" t="s">
        <v>63</v>
      </c>
      <c r="F1315" s="75">
        <f>(3240*2520)+(2160*2520)</f>
        <v>13608000</v>
      </c>
    </row>
    <row r="1316" spans="1:7" s="53" customFormat="1" ht="15" thickBot="1" x14ac:dyDescent="0.4">
      <c r="A1316" s="208"/>
      <c r="B1316" s="91" t="s">
        <v>64</v>
      </c>
      <c r="C1316" s="92" t="s">
        <v>65</v>
      </c>
      <c r="D1316" s="97">
        <v>30000</v>
      </c>
      <c r="E1316" s="98" t="s">
        <v>66</v>
      </c>
      <c r="F1316" s="99">
        <f>F1314-F1315</f>
        <v>0</v>
      </c>
      <c r="G1316" s="100">
        <f>F1316/2520</f>
        <v>0</v>
      </c>
    </row>
    <row r="1317" spans="1:7" s="53" customFormat="1" ht="15" thickTop="1" x14ac:dyDescent="0.35">
      <c r="A1317" s="208"/>
      <c r="B1317" s="91"/>
      <c r="C1317" s="92" t="s">
        <v>67</v>
      </c>
      <c r="D1317" s="93">
        <v>150000</v>
      </c>
      <c r="F1317" s="75"/>
    </row>
    <row r="1318" spans="1:7" s="53" customFormat="1" x14ac:dyDescent="0.35">
      <c r="A1318" s="208"/>
      <c r="B1318" s="91" t="s">
        <v>498</v>
      </c>
      <c r="C1318" s="101" t="s">
        <v>68</v>
      </c>
      <c r="D1318" s="93">
        <v>15000</v>
      </c>
      <c r="E1318" s="94" t="s">
        <v>69</v>
      </c>
      <c r="F1318" s="95"/>
    </row>
    <row r="1319" spans="1:7" s="53" customFormat="1" x14ac:dyDescent="0.35">
      <c r="A1319" s="208"/>
      <c r="B1319" s="102"/>
      <c r="C1319" s="101" t="s">
        <v>70</v>
      </c>
      <c r="D1319" s="103">
        <v>10000</v>
      </c>
      <c r="E1319" s="104"/>
      <c r="F1319" s="105"/>
    </row>
    <row r="1320" spans="1:7" s="53" customFormat="1" x14ac:dyDescent="0.35">
      <c r="A1320" s="208"/>
      <c r="B1320" s="102"/>
      <c r="C1320" s="101" t="s">
        <v>71</v>
      </c>
      <c r="D1320" s="103">
        <v>30000</v>
      </c>
      <c r="E1320" s="104" t="s">
        <v>72</v>
      </c>
      <c r="F1320" s="105"/>
    </row>
    <row r="1321" spans="1:7" s="53" customFormat="1" x14ac:dyDescent="0.35">
      <c r="A1321" s="208"/>
      <c r="B1321" s="102"/>
      <c r="C1321" s="92"/>
      <c r="D1321" s="106"/>
      <c r="E1321" s="53" t="s">
        <v>513</v>
      </c>
      <c r="F1321" s="105"/>
    </row>
    <row r="1322" spans="1:7" s="53" customFormat="1" ht="15" thickBot="1" x14ac:dyDescent="0.4">
      <c r="A1322" s="208"/>
      <c r="B1322" s="107"/>
      <c r="C1322" s="108"/>
      <c r="D1322" s="109"/>
      <c r="E1322" s="53" t="s">
        <v>859</v>
      </c>
      <c r="F1322" s="75"/>
    </row>
    <row r="1323" spans="1:7" s="53" customFormat="1" ht="15" thickBot="1" x14ac:dyDescent="0.4">
      <c r="A1323" s="208"/>
      <c r="B1323" s="110"/>
      <c r="C1323" s="111" t="s">
        <v>74</v>
      </c>
      <c r="D1323" s="112">
        <f>SUM(D1310:D1322)</f>
        <v>7751350</v>
      </c>
      <c r="F1323" s="75"/>
    </row>
    <row r="1324" spans="1:7" s="53" customFormat="1" ht="15.5" thickTop="1" thickBot="1" x14ac:dyDescent="0.4">
      <c r="A1324" s="209"/>
      <c r="B1324" s="211"/>
      <c r="C1324" s="211"/>
      <c r="D1324" s="211"/>
      <c r="F1324" s="75"/>
    </row>
    <row r="1325" spans="1:7" s="53" customFormat="1" x14ac:dyDescent="0.35">
      <c r="B1325" s="89"/>
      <c r="C1325" s="53" t="s">
        <v>75</v>
      </c>
      <c r="D1325" s="113">
        <f>D1307-D1323</f>
        <v>5856650</v>
      </c>
      <c r="F1325" s="75"/>
    </row>
    <row r="1326" spans="1:7" s="53" customFormat="1" x14ac:dyDescent="0.35">
      <c r="B1326" s="89"/>
      <c r="D1326" s="113"/>
      <c r="F1326" s="75"/>
    </row>
    <row r="1327" spans="1:7" s="53" customFormat="1" x14ac:dyDescent="0.35">
      <c r="A1327" s="114"/>
      <c r="B1327" s="115"/>
      <c r="C1327" s="114"/>
      <c r="D1327" s="116"/>
      <c r="E1327" s="114"/>
      <c r="F1327" s="117"/>
    </row>
    <row r="1330" spans="1:7" s="53" customFormat="1" ht="23.5" x14ac:dyDescent="0.55000000000000004">
      <c r="B1330" s="206" t="s">
        <v>0</v>
      </c>
      <c r="C1330" s="206"/>
      <c r="D1330" s="206"/>
      <c r="E1330" s="70"/>
      <c r="F1330" s="71"/>
    </row>
    <row r="1331" spans="1:7" s="53" customFormat="1" ht="20.5" x14ac:dyDescent="0.45">
      <c r="B1331" s="72"/>
      <c r="C1331" s="73" t="s">
        <v>517</v>
      </c>
      <c r="D1331" s="74"/>
      <c r="F1331" s="75"/>
    </row>
    <row r="1332" spans="1:7" s="53" customFormat="1" ht="21" thickBot="1" x14ac:dyDescent="0.5">
      <c r="B1332" s="72" t="s">
        <v>146</v>
      </c>
      <c r="C1332" s="76" t="s">
        <v>47</v>
      </c>
      <c r="D1332" s="74"/>
      <c r="F1332" s="75"/>
    </row>
    <row r="1333" spans="1:7" s="53" customFormat="1" ht="15" thickBot="1" x14ac:dyDescent="0.4">
      <c r="A1333" s="77" t="s">
        <v>48</v>
      </c>
      <c r="B1333" s="78" t="s">
        <v>26</v>
      </c>
      <c r="C1333" s="78" t="s">
        <v>49</v>
      </c>
      <c r="D1333" s="79" t="s">
        <v>29</v>
      </c>
      <c r="F1333" s="75"/>
    </row>
    <row r="1334" spans="1:7" s="53" customFormat="1" ht="14.5" customHeight="1" x14ac:dyDescent="0.35">
      <c r="A1334" s="207" t="s">
        <v>32</v>
      </c>
      <c r="B1334" s="80" t="s">
        <v>491</v>
      </c>
      <c r="C1334" s="81" t="s">
        <v>103</v>
      </c>
      <c r="D1334" s="82">
        <f>F1341</f>
        <v>13608000</v>
      </c>
      <c r="F1334" s="75"/>
    </row>
    <row r="1335" spans="1:7" s="53" customFormat="1" ht="21" thickBot="1" x14ac:dyDescent="0.5">
      <c r="A1335" s="208"/>
      <c r="B1335" s="72"/>
      <c r="C1335" s="72"/>
      <c r="D1335" s="74"/>
      <c r="F1335" s="75"/>
    </row>
    <row r="1336" spans="1:7" s="53" customFormat="1" ht="15" thickBot="1" x14ac:dyDescent="0.4">
      <c r="A1336" s="208"/>
      <c r="B1336" s="83" t="s">
        <v>26</v>
      </c>
      <c r="C1336" s="84" t="s">
        <v>51</v>
      </c>
      <c r="D1336" s="85" t="s">
        <v>52</v>
      </c>
      <c r="F1336" s="75"/>
    </row>
    <row r="1337" spans="1:7" s="89" customFormat="1" x14ac:dyDescent="0.35">
      <c r="A1337" s="208"/>
      <c r="B1337" s="86" t="str">
        <f>B1334</f>
        <v>09th February,2026</v>
      </c>
      <c r="C1337" s="87" t="s">
        <v>558</v>
      </c>
      <c r="D1337" s="88">
        <f>1850*2726</f>
        <v>5043100</v>
      </c>
      <c r="F1337" s="90"/>
    </row>
    <row r="1338" spans="1:7" s="53" customFormat="1" x14ac:dyDescent="0.35">
      <c r="A1338" s="208"/>
      <c r="B1338" s="91"/>
      <c r="C1338" s="92" t="s">
        <v>53</v>
      </c>
      <c r="D1338" s="93">
        <f>325*2450</f>
        <v>796250</v>
      </c>
      <c r="F1338" s="75"/>
    </row>
    <row r="1339" spans="1:7" s="53" customFormat="1" x14ac:dyDescent="0.35">
      <c r="A1339" s="208"/>
      <c r="B1339" s="91" t="s">
        <v>54</v>
      </c>
      <c r="C1339" s="92" t="s">
        <v>55</v>
      </c>
      <c r="D1339" s="93">
        <v>1000000</v>
      </c>
      <c r="F1339" s="75"/>
    </row>
    <row r="1340" spans="1:7" s="53" customFormat="1" x14ac:dyDescent="0.35">
      <c r="A1340" s="208"/>
      <c r="B1340" s="91" t="s">
        <v>56</v>
      </c>
      <c r="C1340" s="92" t="s">
        <v>57</v>
      </c>
      <c r="D1340" s="93">
        <v>40000</v>
      </c>
      <c r="E1340" s="210" t="s">
        <v>58</v>
      </c>
      <c r="F1340" s="210"/>
    </row>
    <row r="1341" spans="1:7" s="53" customFormat="1" x14ac:dyDescent="0.35">
      <c r="A1341" s="208"/>
      <c r="B1341" s="91" t="s">
        <v>59</v>
      </c>
      <c r="C1341" s="92" t="s">
        <v>60</v>
      </c>
      <c r="D1341" s="93">
        <f>950*140</f>
        <v>133000</v>
      </c>
      <c r="E1341" s="94" t="s">
        <v>61</v>
      </c>
      <c r="F1341" s="95">
        <f>5400*2520</f>
        <v>13608000</v>
      </c>
    </row>
    <row r="1342" spans="1:7" s="53" customFormat="1" x14ac:dyDescent="0.35">
      <c r="A1342" s="208"/>
      <c r="B1342" s="91"/>
      <c r="C1342" s="92" t="s">
        <v>62</v>
      </c>
      <c r="D1342" s="93">
        <f>3600*140</f>
        <v>504000</v>
      </c>
      <c r="E1342" s="96" t="s">
        <v>63</v>
      </c>
      <c r="F1342" s="75">
        <f>(3240*2520)+(2120*2520)</f>
        <v>13507200</v>
      </c>
    </row>
    <row r="1343" spans="1:7" s="53" customFormat="1" ht="15" thickBot="1" x14ac:dyDescent="0.4">
      <c r="A1343" s="208"/>
      <c r="B1343" s="91" t="s">
        <v>64</v>
      </c>
      <c r="C1343" s="92" t="s">
        <v>65</v>
      </c>
      <c r="D1343" s="97">
        <v>30000</v>
      </c>
      <c r="E1343" s="98" t="s">
        <v>66</v>
      </c>
      <c r="F1343" s="99">
        <f>F1341-F1342</f>
        <v>100800</v>
      </c>
      <c r="G1343" s="100">
        <f>F1343/2520</f>
        <v>40</v>
      </c>
    </row>
    <row r="1344" spans="1:7" s="53" customFormat="1" ht="15" thickTop="1" x14ac:dyDescent="0.35">
      <c r="A1344" s="208"/>
      <c r="B1344" s="91"/>
      <c r="C1344" s="92" t="s">
        <v>67</v>
      </c>
      <c r="D1344" s="93">
        <v>150000</v>
      </c>
      <c r="F1344" s="75"/>
    </row>
    <row r="1345" spans="1:6" s="53" customFormat="1" x14ac:dyDescent="0.35">
      <c r="A1345" s="208"/>
      <c r="B1345" s="91" t="s">
        <v>498</v>
      </c>
      <c r="C1345" s="101" t="s">
        <v>68</v>
      </c>
      <c r="D1345" s="93">
        <v>15000</v>
      </c>
      <c r="E1345" s="94" t="s">
        <v>69</v>
      </c>
      <c r="F1345" s="95"/>
    </row>
    <row r="1346" spans="1:6" s="53" customFormat="1" x14ac:dyDescent="0.35">
      <c r="A1346" s="208"/>
      <c r="B1346" s="102"/>
      <c r="C1346" s="101" t="s">
        <v>70</v>
      </c>
      <c r="D1346" s="103">
        <v>10000</v>
      </c>
      <c r="E1346" s="104"/>
      <c r="F1346" s="105"/>
    </row>
    <row r="1347" spans="1:6" s="53" customFormat="1" x14ac:dyDescent="0.35">
      <c r="A1347" s="208"/>
      <c r="B1347" s="102"/>
      <c r="C1347" s="101" t="s">
        <v>71</v>
      </c>
      <c r="D1347" s="103">
        <v>30000</v>
      </c>
      <c r="E1347" s="104" t="s">
        <v>72</v>
      </c>
      <c r="F1347" s="105"/>
    </row>
    <row r="1348" spans="1:6" s="53" customFormat="1" x14ac:dyDescent="0.35">
      <c r="A1348" s="208"/>
      <c r="B1348" s="102"/>
      <c r="C1348" s="92"/>
      <c r="D1348" s="106"/>
      <c r="E1348" s="53" t="s">
        <v>533</v>
      </c>
      <c r="F1348" s="105"/>
    </row>
    <row r="1349" spans="1:6" s="53" customFormat="1" ht="15" thickBot="1" x14ac:dyDescent="0.4">
      <c r="A1349" s="208"/>
      <c r="B1349" s="107"/>
      <c r="C1349" s="108"/>
      <c r="D1349" s="109"/>
      <c r="E1349" s="53" t="s">
        <v>861</v>
      </c>
      <c r="F1349" s="75"/>
    </row>
    <row r="1350" spans="1:6" s="53" customFormat="1" ht="15" thickBot="1" x14ac:dyDescent="0.4">
      <c r="A1350" s="208"/>
      <c r="B1350" s="110"/>
      <c r="C1350" s="111" t="s">
        <v>74</v>
      </c>
      <c r="D1350" s="112">
        <f>SUM(D1337:D1349)</f>
        <v>7751350</v>
      </c>
      <c r="F1350" s="75"/>
    </row>
    <row r="1351" spans="1:6" s="53" customFormat="1" ht="15.5" thickTop="1" thickBot="1" x14ac:dyDescent="0.4">
      <c r="A1351" s="209"/>
      <c r="B1351" s="211"/>
      <c r="C1351" s="211"/>
      <c r="D1351" s="211"/>
      <c r="F1351" s="75"/>
    </row>
    <row r="1352" spans="1:6" s="53" customFormat="1" x14ac:dyDescent="0.35">
      <c r="B1352" s="89"/>
      <c r="C1352" s="53" t="s">
        <v>75</v>
      </c>
      <c r="D1352" s="113">
        <f>D1334-D1350</f>
        <v>5856650</v>
      </c>
      <c r="F1352" s="75"/>
    </row>
    <row r="1353" spans="1:6" s="53" customFormat="1" x14ac:dyDescent="0.35">
      <c r="B1353" s="89"/>
      <c r="D1353" s="113"/>
      <c r="F1353" s="75"/>
    </row>
    <row r="1354" spans="1:6" s="53" customFormat="1" x14ac:dyDescent="0.35">
      <c r="A1354" s="114"/>
      <c r="B1354" s="115"/>
      <c r="C1354" s="114"/>
      <c r="D1354" s="116"/>
      <c r="E1354" s="114"/>
      <c r="F1354" s="117"/>
    </row>
    <row r="1356" spans="1:6" s="53" customFormat="1" ht="23.5" x14ac:dyDescent="0.55000000000000004">
      <c r="B1356" s="206" t="s">
        <v>0</v>
      </c>
      <c r="C1356" s="206"/>
      <c r="D1356" s="206"/>
      <c r="E1356" s="70"/>
      <c r="F1356" s="71"/>
    </row>
    <row r="1357" spans="1:6" s="53" customFormat="1" ht="20.5" x14ac:dyDescent="0.45">
      <c r="B1357" s="72"/>
      <c r="C1357" s="73" t="s">
        <v>524</v>
      </c>
      <c r="D1357" s="74"/>
      <c r="F1357" s="75"/>
    </row>
    <row r="1358" spans="1:6" s="53" customFormat="1" ht="21" thickBot="1" x14ac:dyDescent="0.5">
      <c r="B1358" s="72" t="s">
        <v>525</v>
      </c>
      <c r="C1358" s="76" t="s">
        <v>47</v>
      </c>
      <c r="D1358" s="74"/>
      <c r="F1358" s="75"/>
    </row>
    <row r="1359" spans="1:6" s="53" customFormat="1" ht="15" thickBot="1" x14ac:dyDescent="0.4">
      <c r="A1359" s="77" t="s">
        <v>48</v>
      </c>
      <c r="B1359" s="78" t="s">
        <v>26</v>
      </c>
      <c r="C1359" s="78" t="s">
        <v>49</v>
      </c>
      <c r="D1359" s="79" t="s">
        <v>29</v>
      </c>
      <c r="F1359" s="75"/>
    </row>
    <row r="1360" spans="1:6" s="53" customFormat="1" ht="14.5" customHeight="1" x14ac:dyDescent="0.35">
      <c r="A1360" s="207" t="s">
        <v>32</v>
      </c>
      <c r="B1360" s="80" t="s">
        <v>526</v>
      </c>
      <c r="C1360" s="81" t="s">
        <v>200</v>
      </c>
      <c r="D1360" s="82">
        <f>F1367</f>
        <v>13515000</v>
      </c>
      <c r="F1360" s="75"/>
    </row>
    <row r="1361" spans="1:7" s="53" customFormat="1" ht="21" thickBot="1" x14ac:dyDescent="0.5">
      <c r="A1361" s="208"/>
      <c r="B1361" s="72"/>
      <c r="C1361" s="72"/>
      <c r="D1361" s="74"/>
      <c r="F1361" s="75"/>
    </row>
    <row r="1362" spans="1:7" s="53" customFormat="1" ht="15" thickBot="1" x14ac:dyDescent="0.4">
      <c r="A1362" s="208"/>
      <c r="B1362" s="83" t="s">
        <v>26</v>
      </c>
      <c r="C1362" s="84" t="s">
        <v>51</v>
      </c>
      <c r="D1362" s="85" t="s">
        <v>52</v>
      </c>
      <c r="F1362" s="75"/>
    </row>
    <row r="1363" spans="1:7" s="89" customFormat="1" x14ac:dyDescent="0.35">
      <c r="A1363" s="208"/>
      <c r="B1363" s="86" t="str">
        <f>B1360</f>
        <v>12th February,2026</v>
      </c>
      <c r="C1363" s="87" t="s">
        <v>558</v>
      </c>
      <c r="D1363" s="88">
        <f>1850*2726</f>
        <v>5043100</v>
      </c>
      <c r="F1363" s="90"/>
    </row>
    <row r="1364" spans="1:7" s="53" customFormat="1" x14ac:dyDescent="0.35">
      <c r="A1364" s="208"/>
      <c r="B1364" s="91"/>
      <c r="C1364" s="92" t="s">
        <v>527</v>
      </c>
      <c r="D1364" s="93">
        <f>299*2450</f>
        <v>732550</v>
      </c>
      <c r="F1364" s="75"/>
    </row>
    <row r="1365" spans="1:7" s="53" customFormat="1" x14ac:dyDescent="0.35">
      <c r="A1365" s="208"/>
      <c r="B1365" s="91" t="s">
        <v>54</v>
      </c>
      <c r="C1365" s="92" t="s">
        <v>55</v>
      </c>
      <c r="D1365" s="93">
        <v>1000000</v>
      </c>
      <c r="F1365" s="75"/>
    </row>
    <row r="1366" spans="1:7" s="53" customFormat="1" x14ac:dyDescent="0.35">
      <c r="A1366" s="208"/>
      <c r="B1366" s="91" t="s">
        <v>56</v>
      </c>
      <c r="C1366" s="92" t="s">
        <v>57</v>
      </c>
      <c r="D1366" s="93">
        <v>40000</v>
      </c>
      <c r="E1366" s="210" t="s">
        <v>58</v>
      </c>
      <c r="F1366" s="210"/>
    </row>
    <row r="1367" spans="1:7" s="53" customFormat="1" x14ac:dyDescent="0.35">
      <c r="A1367" s="208"/>
      <c r="B1367" s="91" t="s">
        <v>523</v>
      </c>
      <c r="C1367" s="92" t="s">
        <v>60</v>
      </c>
      <c r="D1367" s="93">
        <f>1000*140</f>
        <v>140000</v>
      </c>
      <c r="E1367" s="94" t="s">
        <v>61</v>
      </c>
      <c r="F1367" s="95">
        <f>(5200*2550)+(100*2550)</f>
        <v>13515000</v>
      </c>
    </row>
    <row r="1368" spans="1:7" s="53" customFormat="1" x14ac:dyDescent="0.35">
      <c r="A1368" s="208"/>
      <c r="B1368" s="91"/>
      <c r="C1368" s="92" t="s">
        <v>62</v>
      </c>
      <c r="D1368" s="93">
        <f>3000*140</f>
        <v>420000</v>
      </c>
      <c r="E1368" s="96" t="s">
        <v>63</v>
      </c>
      <c r="F1368" s="75">
        <f>5300*2550</f>
        <v>13515000</v>
      </c>
    </row>
    <row r="1369" spans="1:7" s="53" customFormat="1" ht="15" thickBot="1" x14ac:dyDescent="0.4">
      <c r="A1369" s="208"/>
      <c r="B1369" s="91" t="s">
        <v>64</v>
      </c>
      <c r="C1369" s="92" t="s">
        <v>65</v>
      </c>
      <c r="D1369" s="97">
        <v>30000</v>
      </c>
      <c r="E1369" s="98" t="s">
        <v>66</v>
      </c>
      <c r="F1369" s="99">
        <f>F1367-F1368</f>
        <v>0</v>
      </c>
      <c r="G1369" s="100">
        <f>F1369/2550</f>
        <v>0</v>
      </c>
    </row>
    <row r="1370" spans="1:7" s="53" customFormat="1" ht="15" thickTop="1" x14ac:dyDescent="0.35">
      <c r="A1370" s="208"/>
      <c r="B1370" s="91"/>
      <c r="C1370" s="92" t="s">
        <v>67</v>
      </c>
      <c r="D1370" s="93">
        <v>150000</v>
      </c>
      <c r="F1370" s="75"/>
    </row>
    <row r="1371" spans="1:7" s="53" customFormat="1" x14ac:dyDescent="0.35">
      <c r="A1371" s="208"/>
      <c r="B1371" s="91" t="s">
        <v>522</v>
      </c>
      <c r="C1371" s="101" t="s">
        <v>68</v>
      </c>
      <c r="D1371" s="93">
        <v>15000</v>
      </c>
      <c r="E1371" s="94" t="s">
        <v>69</v>
      </c>
      <c r="F1371" s="95"/>
    </row>
    <row r="1372" spans="1:7" s="53" customFormat="1" x14ac:dyDescent="0.35">
      <c r="A1372" s="208"/>
      <c r="B1372" s="102"/>
      <c r="C1372" s="101" t="s">
        <v>70</v>
      </c>
      <c r="D1372" s="103">
        <v>10000</v>
      </c>
      <c r="E1372" s="104"/>
      <c r="F1372" s="105"/>
    </row>
    <row r="1373" spans="1:7" s="53" customFormat="1" x14ac:dyDescent="0.35">
      <c r="A1373" s="208"/>
      <c r="B1373" s="102"/>
      <c r="C1373" s="101" t="s">
        <v>71</v>
      </c>
      <c r="D1373" s="103">
        <v>40000</v>
      </c>
      <c r="E1373" s="104" t="s">
        <v>72</v>
      </c>
      <c r="F1373" s="105"/>
    </row>
    <row r="1374" spans="1:7" s="53" customFormat="1" x14ac:dyDescent="0.35">
      <c r="A1374" s="208"/>
      <c r="B1374" s="102"/>
      <c r="C1374" s="92"/>
      <c r="D1374" s="106"/>
      <c r="E1374" s="53" t="s">
        <v>862</v>
      </c>
      <c r="F1374" s="105"/>
    </row>
    <row r="1375" spans="1:7" s="53" customFormat="1" ht="15" thickBot="1" x14ac:dyDescent="0.4">
      <c r="A1375" s="208"/>
      <c r="B1375" s="107"/>
      <c r="C1375" s="108"/>
      <c r="D1375" s="109"/>
      <c r="F1375" s="75"/>
    </row>
    <row r="1376" spans="1:7" s="53" customFormat="1" ht="15" thickBot="1" x14ac:dyDescent="0.4">
      <c r="A1376" s="208"/>
      <c r="B1376" s="110"/>
      <c r="C1376" s="111" t="s">
        <v>74</v>
      </c>
      <c r="D1376" s="112">
        <f>SUM(D1363:D1375)</f>
        <v>7620650</v>
      </c>
      <c r="F1376" s="75"/>
    </row>
    <row r="1377" spans="1:6" s="53" customFormat="1" ht="15.5" thickTop="1" thickBot="1" x14ac:dyDescent="0.4">
      <c r="A1377" s="209"/>
      <c r="B1377" s="211"/>
      <c r="C1377" s="211"/>
      <c r="D1377" s="211"/>
      <c r="F1377" s="75"/>
    </row>
    <row r="1378" spans="1:6" s="53" customFormat="1" x14ac:dyDescent="0.35">
      <c r="B1378" s="89"/>
      <c r="C1378" s="53" t="s">
        <v>75</v>
      </c>
      <c r="D1378" s="113">
        <f>D1360-D1376</f>
        <v>5894350</v>
      </c>
      <c r="F1378" s="75"/>
    </row>
    <row r="1379" spans="1:6" s="53" customFormat="1" x14ac:dyDescent="0.35">
      <c r="B1379" s="89"/>
      <c r="D1379" s="113"/>
      <c r="F1379" s="75"/>
    </row>
    <row r="1380" spans="1:6" s="53" customFormat="1" x14ac:dyDescent="0.35">
      <c r="A1380" s="114"/>
      <c r="B1380" s="115"/>
      <c r="C1380" s="114"/>
      <c r="D1380" s="116"/>
      <c r="E1380" s="114"/>
      <c r="F1380" s="117"/>
    </row>
    <row r="1381" spans="1:6" x14ac:dyDescent="0.35">
      <c r="F1381" s="118"/>
    </row>
    <row r="1382" spans="1:6" s="53" customFormat="1" ht="23.5" x14ac:dyDescent="0.55000000000000004">
      <c r="B1382" s="206" t="s">
        <v>0</v>
      </c>
      <c r="C1382" s="206"/>
      <c r="D1382" s="206"/>
      <c r="E1382" s="70"/>
      <c r="F1382" s="71"/>
    </row>
    <row r="1383" spans="1:6" s="53" customFormat="1" ht="20.5" x14ac:dyDescent="0.45">
      <c r="B1383" s="72"/>
      <c r="C1383" s="73" t="s">
        <v>529</v>
      </c>
      <c r="D1383" s="74"/>
      <c r="F1383" s="75"/>
    </row>
    <row r="1384" spans="1:6" s="53" customFormat="1" ht="21" thickBot="1" x14ac:dyDescent="0.5">
      <c r="B1384" s="72" t="s">
        <v>170</v>
      </c>
      <c r="C1384" s="76" t="s">
        <v>47</v>
      </c>
      <c r="D1384" s="74"/>
      <c r="F1384" s="75"/>
    </row>
    <row r="1385" spans="1:6" s="53" customFormat="1" ht="15" thickBot="1" x14ac:dyDescent="0.4">
      <c r="A1385" s="77" t="s">
        <v>48</v>
      </c>
      <c r="B1385" s="78" t="s">
        <v>26</v>
      </c>
      <c r="C1385" s="78" t="s">
        <v>49</v>
      </c>
      <c r="D1385" s="79" t="s">
        <v>29</v>
      </c>
      <c r="F1385" s="75"/>
    </row>
    <row r="1386" spans="1:6" s="53" customFormat="1" ht="14.5" customHeight="1" x14ac:dyDescent="0.35">
      <c r="A1386" s="207" t="s">
        <v>32</v>
      </c>
      <c r="B1386" s="80" t="s">
        <v>526</v>
      </c>
      <c r="C1386" s="81" t="s">
        <v>200</v>
      </c>
      <c r="D1386" s="82">
        <f>F1393</f>
        <v>13260000</v>
      </c>
      <c r="F1386" s="75"/>
    </row>
    <row r="1387" spans="1:6" s="53" customFormat="1" ht="21" thickBot="1" x14ac:dyDescent="0.5">
      <c r="A1387" s="208"/>
      <c r="B1387" s="72"/>
      <c r="C1387" s="72"/>
      <c r="D1387" s="74"/>
      <c r="F1387" s="75"/>
    </row>
    <row r="1388" spans="1:6" s="53" customFormat="1" ht="15" thickBot="1" x14ac:dyDescent="0.4">
      <c r="A1388" s="208"/>
      <c r="B1388" s="83" t="s">
        <v>26</v>
      </c>
      <c r="C1388" s="84" t="s">
        <v>51</v>
      </c>
      <c r="D1388" s="85" t="s">
        <v>52</v>
      </c>
      <c r="F1388" s="75"/>
    </row>
    <row r="1389" spans="1:6" s="89" customFormat="1" x14ac:dyDescent="0.35">
      <c r="A1389" s="208"/>
      <c r="B1389" s="86" t="str">
        <f>B1386</f>
        <v>12th February,2026</v>
      </c>
      <c r="C1389" s="87" t="s">
        <v>558</v>
      </c>
      <c r="D1389" s="88">
        <f>1850*2726</f>
        <v>5043100</v>
      </c>
      <c r="F1389" s="90"/>
    </row>
    <row r="1390" spans="1:6" s="53" customFormat="1" x14ac:dyDescent="0.35">
      <c r="A1390" s="208"/>
      <c r="B1390" s="91"/>
      <c r="C1390" s="92" t="s">
        <v>527</v>
      </c>
      <c r="D1390" s="93">
        <f>299*2450</f>
        <v>732550</v>
      </c>
      <c r="F1390" s="75"/>
    </row>
    <row r="1391" spans="1:6" s="53" customFormat="1" x14ac:dyDescent="0.35">
      <c r="A1391" s="208"/>
      <c r="B1391" s="91" t="s">
        <v>54</v>
      </c>
      <c r="C1391" s="92" t="s">
        <v>55</v>
      </c>
      <c r="D1391" s="93">
        <v>1000000</v>
      </c>
      <c r="F1391" s="75"/>
    </row>
    <row r="1392" spans="1:6" s="53" customFormat="1" x14ac:dyDescent="0.35">
      <c r="A1392" s="208"/>
      <c r="B1392" s="91" t="s">
        <v>56</v>
      </c>
      <c r="C1392" s="92" t="s">
        <v>57</v>
      </c>
      <c r="D1392" s="93">
        <v>40000</v>
      </c>
      <c r="E1392" s="210" t="s">
        <v>58</v>
      </c>
      <c r="F1392" s="210"/>
    </row>
    <row r="1393" spans="1:7" s="53" customFormat="1" x14ac:dyDescent="0.35">
      <c r="A1393" s="208"/>
      <c r="B1393" s="91" t="s">
        <v>523</v>
      </c>
      <c r="C1393" s="92" t="s">
        <v>60</v>
      </c>
      <c r="D1393" s="93">
        <f>1000*140</f>
        <v>140000</v>
      </c>
      <c r="E1393" s="94" t="s">
        <v>61</v>
      </c>
      <c r="F1393" s="95">
        <f>5200*2550</f>
        <v>13260000</v>
      </c>
    </row>
    <row r="1394" spans="1:7" s="53" customFormat="1" x14ac:dyDescent="0.35">
      <c r="A1394" s="208"/>
      <c r="B1394" s="91"/>
      <c r="C1394" s="92" t="s">
        <v>62</v>
      </c>
      <c r="D1394" s="93">
        <f>3000*140</f>
        <v>420000</v>
      </c>
      <c r="E1394" s="96" t="s">
        <v>63</v>
      </c>
      <c r="F1394" s="75">
        <f>5200*2550</f>
        <v>13260000</v>
      </c>
    </row>
    <row r="1395" spans="1:7" s="53" customFormat="1" ht="15" thickBot="1" x14ac:dyDescent="0.4">
      <c r="A1395" s="208"/>
      <c r="B1395" s="91" t="s">
        <v>64</v>
      </c>
      <c r="C1395" s="92" t="s">
        <v>65</v>
      </c>
      <c r="D1395" s="97">
        <v>30000</v>
      </c>
      <c r="E1395" s="98" t="s">
        <v>66</v>
      </c>
      <c r="F1395" s="99">
        <f>F1393-F1394</f>
        <v>0</v>
      </c>
      <c r="G1395" s="100">
        <f>F1395/2550</f>
        <v>0</v>
      </c>
    </row>
    <row r="1396" spans="1:7" s="53" customFormat="1" ht="15" thickTop="1" x14ac:dyDescent="0.35">
      <c r="A1396" s="208"/>
      <c r="B1396" s="91"/>
      <c r="C1396" s="92" t="s">
        <v>67</v>
      </c>
      <c r="D1396" s="93">
        <v>150000</v>
      </c>
      <c r="F1396" s="75"/>
    </row>
    <row r="1397" spans="1:7" s="53" customFormat="1" x14ac:dyDescent="0.35">
      <c r="A1397" s="208"/>
      <c r="B1397" s="91" t="s">
        <v>528</v>
      </c>
      <c r="C1397" s="101" t="s">
        <v>68</v>
      </c>
      <c r="D1397" s="93">
        <v>15000</v>
      </c>
      <c r="E1397" s="94" t="s">
        <v>69</v>
      </c>
      <c r="F1397" s="95"/>
    </row>
    <row r="1398" spans="1:7" s="53" customFormat="1" x14ac:dyDescent="0.35">
      <c r="A1398" s="208"/>
      <c r="B1398" s="102"/>
      <c r="C1398" s="101" t="s">
        <v>70</v>
      </c>
      <c r="D1398" s="103">
        <v>10000</v>
      </c>
      <c r="E1398" s="104"/>
      <c r="F1398" s="105"/>
    </row>
    <row r="1399" spans="1:7" s="53" customFormat="1" x14ac:dyDescent="0.35">
      <c r="A1399" s="208"/>
      <c r="B1399" s="102"/>
      <c r="C1399" s="101" t="s">
        <v>71</v>
      </c>
      <c r="D1399" s="103">
        <v>40000</v>
      </c>
      <c r="E1399" s="104" t="s">
        <v>72</v>
      </c>
      <c r="F1399" s="105"/>
    </row>
    <row r="1400" spans="1:7" s="53" customFormat="1" x14ac:dyDescent="0.35">
      <c r="A1400" s="208"/>
      <c r="B1400" s="102"/>
      <c r="C1400" s="92"/>
      <c r="D1400" s="106"/>
      <c r="E1400" s="53" t="s">
        <v>890</v>
      </c>
      <c r="F1400" s="105"/>
    </row>
    <row r="1401" spans="1:7" s="53" customFormat="1" ht="15" thickBot="1" x14ac:dyDescent="0.4">
      <c r="A1401" s="208"/>
      <c r="B1401" s="107"/>
      <c r="C1401" s="108"/>
      <c r="D1401" s="109"/>
      <c r="F1401" s="75"/>
    </row>
    <row r="1402" spans="1:7" s="53" customFormat="1" ht="15" thickBot="1" x14ac:dyDescent="0.4">
      <c r="A1402" s="208"/>
      <c r="B1402" s="110"/>
      <c r="C1402" s="111" t="s">
        <v>74</v>
      </c>
      <c r="D1402" s="112">
        <f>SUM(D1389:D1401)</f>
        <v>7620650</v>
      </c>
      <c r="F1402" s="75"/>
    </row>
    <row r="1403" spans="1:7" s="53" customFormat="1" ht="15.5" thickTop="1" thickBot="1" x14ac:dyDescent="0.4">
      <c r="A1403" s="209"/>
      <c r="B1403" s="211"/>
      <c r="C1403" s="211"/>
      <c r="D1403" s="211"/>
      <c r="F1403" s="75"/>
    </row>
    <row r="1404" spans="1:7" s="53" customFormat="1" x14ac:dyDescent="0.35">
      <c r="B1404" s="89"/>
      <c r="C1404" s="53" t="s">
        <v>75</v>
      </c>
      <c r="D1404" s="113">
        <f>D1386-D1402</f>
        <v>5639350</v>
      </c>
      <c r="F1404" s="75"/>
    </row>
    <row r="1405" spans="1:7" s="53" customFormat="1" x14ac:dyDescent="0.35">
      <c r="B1405" s="89"/>
      <c r="D1405" s="113"/>
      <c r="F1405" s="75"/>
    </row>
    <row r="1406" spans="1:7" s="53" customFormat="1" x14ac:dyDescent="0.35">
      <c r="A1406" s="114"/>
      <c r="B1406" s="115"/>
      <c r="C1406" s="114"/>
      <c r="D1406" s="116"/>
      <c r="E1406" s="114"/>
      <c r="F1406" s="117"/>
    </row>
    <row r="1407" spans="1:7" x14ac:dyDescent="0.35">
      <c r="F1407" s="118"/>
    </row>
    <row r="1408" spans="1:7" s="53" customFormat="1" ht="23.5" x14ac:dyDescent="0.55000000000000004">
      <c r="B1408" s="206" t="s">
        <v>0</v>
      </c>
      <c r="C1408" s="206"/>
      <c r="D1408" s="206"/>
      <c r="E1408" s="70"/>
      <c r="F1408" s="71"/>
    </row>
    <row r="1409" spans="1:7" s="53" customFormat="1" ht="20.5" x14ac:dyDescent="0.45">
      <c r="B1409" s="72"/>
      <c r="C1409" s="73" t="s">
        <v>531</v>
      </c>
      <c r="D1409" s="74"/>
      <c r="F1409" s="75"/>
    </row>
    <row r="1410" spans="1:7" s="53" customFormat="1" ht="21" thickBot="1" x14ac:dyDescent="0.5">
      <c r="B1410" s="72" t="s">
        <v>160</v>
      </c>
      <c r="C1410" s="76" t="s">
        <v>47</v>
      </c>
      <c r="D1410" s="74"/>
      <c r="F1410" s="75"/>
    </row>
    <row r="1411" spans="1:7" s="53" customFormat="1" ht="15" thickBot="1" x14ac:dyDescent="0.4">
      <c r="A1411" s="77" t="s">
        <v>48</v>
      </c>
      <c r="B1411" s="78" t="s">
        <v>26</v>
      </c>
      <c r="C1411" s="78" t="s">
        <v>49</v>
      </c>
      <c r="D1411" s="79" t="s">
        <v>29</v>
      </c>
      <c r="F1411" s="75"/>
    </row>
    <row r="1412" spans="1:7" s="53" customFormat="1" ht="14.5" customHeight="1" x14ac:dyDescent="0.35">
      <c r="A1412" s="207" t="s">
        <v>32</v>
      </c>
      <c r="B1412" s="80" t="s">
        <v>537</v>
      </c>
      <c r="C1412" s="81" t="s">
        <v>200</v>
      </c>
      <c r="D1412" s="82">
        <f>F1419</f>
        <v>13515000</v>
      </c>
      <c r="F1412" s="75"/>
    </row>
    <row r="1413" spans="1:7" s="53" customFormat="1" ht="21" thickBot="1" x14ac:dyDescent="0.5">
      <c r="A1413" s="208"/>
      <c r="B1413" s="72"/>
      <c r="C1413" s="72"/>
      <c r="D1413" s="74"/>
      <c r="F1413" s="75"/>
    </row>
    <row r="1414" spans="1:7" s="53" customFormat="1" ht="15" thickBot="1" x14ac:dyDescent="0.4">
      <c r="A1414" s="208"/>
      <c r="B1414" s="83" t="s">
        <v>26</v>
      </c>
      <c r="C1414" s="84" t="s">
        <v>51</v>
      </c>
      <c r="D1414" s="85" t="s">
        <v>52</v>
      </c>
      <c r="F1414" s="75"/>
    </row>
    <row r="1415" spans="1:7" s="89" customFormat="1" x14ac:dyDescent="0.35">
      <c r="A1415" s="208"/>
      <c r="B1415" s="86" t="str">
        <f>B1412</f>
        <v>14th February,2026</v>
      </c>
      <c r="C1415" s="87" t="s">
        <v>558</v>
      </c>
      <c r="D1415" s="88">
        <f>1850*2726</f>
        <v>5043100</v>
      </c>
      <c r="F1415" s="90"/>
    </row>
    <row r="1416" spans="1:7" s="53" customFormat="1" x14ac:dyDescent="0.35">
      <c r="A1416" s="208"/>
      <c r="B1416" s="91"/>
      <c r="C1416" s="92" t="s">
        <v>527</v>
      </c>
      <c r="D1416" s="93">
        <f>299*2450</f>
        <v>732550</v>
      </c>
      <c r="F1416" s="75"/>
    </row>
    <row r="1417" spans="1:7" s="53" customFormat="1" x14ac:dyDescent="0.35">
      <c r="A1417" s="208"/>
      <c r="B1417" s="91" t="s">
        <v>54</v>
      </c>
      <c r="C1417" s="92" t="s">
        <v>55</v>
      </c>
      <c r="D1417" s="93">
        <v>1000000</v>
      </c>
      <c r="F1417" s="75"/>
    </row>
    <row r="1418" spans="1:7" s="53" customFormat="1" x14ac:dyDescent="0.35">
      <c r="A1418" s="208"/>
      <c r="B1418" s="91" t="s">
        <v>56</v>
      </c>
      <c r="C1418" s="92" t="s">
        <v>57</v>
      </c>
      <c r="D1418" s="93">
        <v>40000</v>
      </c>
      <c r="E1418" s="210" t="s">
        <v>58</v>
      </c>
      <c r="F1418" s="210"/>
    </row>
    <row r="1419" spans="1:7" s="53" customFormat="1" x14ac:dyDescent="0.35">
      <c r="A1419" s="208"/>
      <c r="B1419" s="91" t="s">
        <v>523</v>
      </c>
      <c r="C1419" s="92" t="s">
        <v>60</v>
      </c>
      <c r="D1419" s="93">
        <f>1000*140</f>
        <v>140000</v>
      </c>
      <c r="E1419" s="94" t="s">
        <v>61</v>
      </c>
      <c r="F1419" s="95">
        <f>(5200*2550)+(100*2550)</f>
        <v>13515000</v>
      </c>
    </row>
    <row r="1420" spans="1:7" s="53" customFormat="1" x14ac:dyDescent="0.35">
      <c r="A1420" s="208"/>
      <c r="B1420" s="91"/>
      <c r="C1420" s="92" t="s">
        <v>62</v>
      </c>
      <c r="D1420" s="93">
        <f>3000*140</f>
        <v>420000</v>
      </c>
      <c r="E1420" s="96" t="s">
        <v>63</v>
      </c>
      <c r="F1420" s="75">
        <f>5300*2550</f>
        <v>13515000</v>
      </c>
    </row>
    <row r="1421" spans="1:7" s="53" customFormat="1" ht="15" thickBot="1" x14ac:dyDescent="0.4">
      <c r="A1421" s="208"/>
      <c r="B1421" s="91" t="s">
        <v>64</v>
      </c>
      <c r="C1421" s="92" t="s">
        <v>65</v>
      </c>
      <c r="D1421" s="97">
        <v>30000</v>
      </c>
      <c r="E1421" s="98" t="s">
        <v>66</v>
      </c>
      <c r="F1421" s="99">
        <f>F1419-F1420</f>
        <v>0</v>
      </c>
      <c r="G1421" s="100">
        <f>F1421/2550</f>
        <v>0</v>
      </c>
    </row>
    <row r="1422" spans="1:7" s="53" customFormat="1" ht="15" thickTop="1" x14ac:dyDescent="0.35">
      <c r="A1422" s="208"/>
      <c r="B1422" s="91"/>
      <c r="C1422" s="92" t="s">
        <v>67</v>
      </c>
      <c r="D1422" s="93">
        <v>150000</v>
      </c>
      <c r="F1422" s="75"/>
    </row>
    <row r="1423" spans="1:7" s="53" customFormat="1" x14ac:dyDescent="0.35">
      <c r="A1423" s="208"/>
      <c r="B1423" s="91" t="s">
        <v>530</v>
      </c>
      <c r="C1423" s="101" t="s">
        <v>68</v>
      </c>
      <c r="D1423" s="93">
        <v>15000</v>
      </c>
      <c r="E1423" s="94" t="s">
        <v>69</v>
      </c>
      <c r="F1423" s="95"/>
    </row>
    <row r="1424" spans="1:7" s="53" customFormat="1" x14ac:dyDescent="0.35">
      <c r="A1424" s="208"/>
      <c r="B1424" s="102"/>
      <c r="C1424" s="101" t="s">
        <v>70</v>
      </c>
      <c r="D1424" s="103">
        <v>10000</v>
      </c>
      <c r="E1424" s="104"/>
      <c r="F1424" s="105"/>
    </row>
    <row r="1425" spans="1:6" s="53" customFormat="1" x14ac:dyDescent="0.35">
      <c r="A1425" s="208"/>
      <c r="B1425" s="102"/>
      <c r="C1425" s="101" t="s">
        <v>71</v>
      </c>
      <c r="D1425" s="103">
        <v>40000</v>
      </c>
      <c r="E1425" s="104" t="s">
        <v>72</v>
      </c>
      <c r="F1425" s="105"/>
    </row>
    <row r="1426" spans="1:6" s="53" customFormat="1" x14ac:dyDescent="0.35">
      <c r="A1426" s="208"/>
      <c r="B1426" s="102"/>
      <c r="C1426" s="92"/>
      <c r="D1426" s="106"/>
      <c r="E1426" s="53" t="s">
        <v>886</v>
      </c>
      <c r="F1426" s="105"/>
    </row>
    <row r="1427" spans="1:6" s="53" customFormat="1" ht="15" thickBot="1" x14ac:dyDescent="0.4">
      <c r="A1427" s="208"/>
      <c r="B1427" s="107"/>
      <c r="C1427" s="108"/>
      <c r="D1427" s="109"/>
      <c r="F1427" s="75"/>
    </row>
    <row r="1428" spans="1:6" s="53" customFormat="1" ht="15" thickBot="1" x14ac:dyDescent="0.4">
      <c r="A1428" s="208"/>
      <c r="B1428" s="110"/>
      <c r="C1428" s="111" t="s">
        <v>74</v>
      </c>
      <c r="D1428" s="112">
        <f>SUM(D1415:D1427)</f>
        <v>7620650</v>
      </c>
      <c r="F1428" s="75"/>
    </row>
    <row r="1429" spans="1:6" s="53" customFormat="1" ht="15.5" thickTop="1" thickBot="1" x14ac:dyDescent="0.4">
      <c r="A1429" s="209"/>
      <c r="B1429" s="211"/>
      <c r="C1429" s="211"/>
      <c r="D1429" s="211"/>
      <c r="F1429" s="75"/>
    </row>
    <row r="1430" spans="1:6" s="53" customFormat="1" x14ac:dyDescent="0.35">
      <c r="B1430" s="89"/>
      <c r="C1430" s="53" t="s">
        <v>75</v>
      </c>
      <c r="D1430" s="113">
        <f>D1412-D1428</f>
        <v>5894350</v>
      </c>
      <c r="F1430" s="75"/>
    </row>
    <row r="1431" spans="1:6" s="53" customFormat="1" x14ac:dyDescent="0.35">
      <c r="B1431" s="89"/>
      <c r="D1431" s="113"/>
      <c r="F1431" s="75"/>
    </row>
    <row r="1432" spans="1:6" s="53" customFormat="1" x14ac:dyDescent="0.35">
      <c r="A1432" s="114"/>
      <c r="B1432" s="115"/>
      <c r="C1432" s="114"/>
      <c r="D1432" s="116"/>
      <c r="E1432" s="114"/>
      <c r="F1432" s="117"/>
    </row>
    <row r="1433" spans="1:6" x14ac:dyDescent="0.35">
      <c r="F1433" s="118"/>
    </row>
    <row r="1434" spans="1:6" s="53" customFormat="1" ht="23.5" x14ac:dyDescent="0.55000000000000004">
      <c r="B1434" s="206" t="s">
        <v>0</v>
      </c>
      <c r="C1434" s="206"/>
      <c r="D1434" s="206"/>
      <c r="E1434" s="70"/>
      <c r="F1434" s="71"/>
    </row>
    <row r="1435" spans="1:6" s="53" customFormat="1" ht="20.5" x14ac:dyDescent="0.45">
      <c r="B1435" s="72"/>
      <c r="C1435" s="73" t="s">
        <v>536</v>
      </c>
      <c r="D1435" s="74"/>
      <c r="F1435" s="75"/>
    </row>
    <row r="1436" spans="1:6" s="53" customFormat="1" ht="21" thickBot="1" x14ac:dyDescent="0.5">
      <c r="B1436" s="72" t="s">
        <v>260</v>
      </c>
      <c r="C1436" s="76" t="s">
        <v>47</v>
      </c>
      <c r="D1436" s="74"/>
      <c r="F1436" s="75"/>
    </row>
    <row r="1437" spans="1:6" s="53" customFormat="1" ht="15" thickBot="1" x14ac:dyDescent="0.4">
      <c r="A1437" s="77" t="s">
        <v>48</v>
      </c>
      <c r="B1437" s="78" t="s">
        <v>26</v>
      </c>
      <c r="C1437" s="78" t="s">
        <v>49</v>
      </c>
      <c r="D1437" s="79" t="s">
        <v>29</v>
      </c>
      <c r="F1437" s="75"/>
    </row>
    <row r="1438" spans="1:6" s="53" customFormat="1" ht="14.5" customHeight="1" x14ac:dyDescent="0.35">
      <c r="A1438" s="207" t="s">
        <v>32</v>
      </c>
      <c r="B1438" s="80" t="s">
        <v>537</v>
      </c>
      <c r="C1438" s="81" t="s">
        <v>200</v>
      </c>
      <c r="D1438" s="82">
        <f>F1445</f>
        <v>13260000</v>
      </c>
      <c r="F1438" s="75"/>
    </row>
    <row r="1439" spans="1:6" s="53" customFormat="1" ht="21" thickBot="1" x14ac:dyDescent="0.5">
      <c r="A1439" s="208"/>
      <c r="B1439" s="72"/>
      <c r="C1439" s="72"/>
      <c r="D1439" s="74"/>
      <c r="F1439" s="75"/>
    </row>
    <row r="1440" spans="1:6" s="53" customFormat="1" ht="15" thickBot="1" x14ac:dyDescent="0.4">
      <c r="A1440" s="208"/>
      <c r="B1440" s="83" t="s">
        <v>26</v>
      </c>
      <c r="C1440" s="84" t="s">
        <v>51</v>
      </c>
      <c r="D1440" s="85" t="s">
        <v>52</v>
      </c>
      <c r="F1440" s="75"/>
    </row>
    <row r="1441" spans="1:7" s="89" customFormat="1" x14ac:dyDescent="0.35">
      <c r="A1441" s="208"/>
      <c r="B1441" s="86" t="str">
        <f>B1438</f>
        <v>14th February,2026</v>
      </c>
      <c r="C1441" s="87" t="s">
        <v>558</v>
      </c>
      <c r="D1441" s="88">
        <f>1850*2726</f>
        <v>5043100</v>
      </c>
      <c r="F1441" s="90"/>
    </row>
    <row r="1442" spans="1:7" s="53" customFormat="1" x14ac:dyDescent="0.35">
      <c r="A1442" s="208"/>
      <c r="B1442" s="91"/>
      <c r="C1442" s="92" t="s">
        <v>527</v>
      </c>
      <c r="D1442" s="93">
        <f>299*2450</f>
        <v>732550</v>
      </c>
      <c r="F1442" s="75"/>
    </row>
    <row r="1443" spans="1:7" s="53" customFormat="1" x14ac:dyDescent="0.35">
      <c r="A1443" s="208"/>
      <c r="B1443" s="91" t="s">
        <v>54</v>
      </c>
      <c r="C1443" s="92" t="s">
        <v>55</v>
      </c>
      <c r="D1443" s="93">
        <v>1000000</v>
      </c>
      <c r="F1443" s="75"/>
    </row>
    <row r="1444" spans="1:7" s="53" customFormat="1" x14ac:dyDescent="0.35">
      <c r="A1444" s="208"/>
      <c r="B1444" s="91" t="s">
        <v>56</v>
      </c>
      <c r="C1444" s="92" t="s">
        <v>57</v>
      </c>
      <c r="D1444" s="93">
        <v>40000</v>
      </c>
      <c r="E1444" s="210" t="s">
        <v>58</v>
      </c>
      <c r="F1444" s="210"/>
    </row>
    <row r="1445" spans="1:7" s="53" customFormat="1" x14ac:dyDescent="0.35">
      <c r="A1445" s="208"/>
      <c r="B1445" s="91" t="s">
        <v>523</v>
      </c>
      <c r="C1445" s="92" t="s">
        <v>60</v>
      </c>
      <c r="D1445" s="93">
        <f>1000*140</f>
        <v>140000</v>
      </c>
      <c r="E1445" s="94" t="s">
        <v>61</v>
      </c>
      <c r="F1445" s="95">
        <f>5200*2550</f>
        <v>13260000</v>
      </c>
    </row>
    <row r="1446" spans="1:7" s="53" customFormat="1" x14ac:dyDescent="0.35">
      <c r="A1446" s="208"/>
      <c r="B1446" s="91"/>
      <c r="C1446" s="92" t="s">
        <v>62</v>
      </c>
      <c r="D1446" s="93">
        <f>3000*140</f>
        <v>420000</v>
      </c>
      <c r="E1446" s="96" t="s">
        <v>63</v>
      </c>
      <c r="F1446" s="75">
        <f>5200*2550</f>
        <v>13260000</v>
      </c>
    </row>
    <row r="1447" spans="1:7" s="53" customFormat="1" ht="15" thickBot="1" x14ac:dyDescent="0.4">
      <c r="A1447" s="208"/>
      <c r="B1447" s="91" t="s">
        <v>64</v>
      </c>
      <c r="C1447" s="92" t="s">
        <v>65</v>
      </c>
      <c r="D1447" s="97">
        <v>30000</v>
      </c>
      <c r="E1447" s="98" t="s">
        <v>66</v>
      </c>
      <c r="F1447" s="99">
        <f>F1445-F1446</f>
        <v>0</v>
      </c>
      <c r="G1447" s="100">
        <f>F1447/2550</f>
        <v>0</v>
      </c>
    </row>
    <row r="1448" spans="1:7" s="53" customFormat="1" ht="15" thickTop="1" x14ac:dyDescent="0.35">
      <c r="A1448" s="208"/>
      <c r="B1448" s="91"/>
      <c r="C1448" s="92" t="s">
        <v>67</v>
      </c>
      <c r="D1448" s="93">
        <v>150000</v>
      </c>
      <c r="F1448" s="75"/>
    </row>
    <row r="1449" spans="1:7" s="53" customFormat="1" x14ac:dyDescent="0.35">
      <c r="A1449" s="208"/>
      <c r="B1449" s="91" t="s">
        <v>535</v>
      </c>
      <c r="C1449" s="101" t="s">
        <v>68</v>
      </c>
      <c r="D1449" s="93">
        <v>15000</v>
      </c>
      <c r="E1449" s="94" t="s">
        <v>69</v>
      </c>
      <c r="F1449" s="95"/>
    </row>
    <row r="1450" spans="1:7" s="53" customFormat="1" x14ac:dyDescent="0.35">
      <c r="A1450" s="208"/>
      <c r="B1450" s="102"/>
      <c r="C1450" s="101" t="s">
        <v>70</v>
      </c>
      <c r="D1450" s="103">
        <v>10000</v>
      </c>
      <c r="E1450" s="104"/>
      <c r="F1450" s="105"/>
    </row>
    <row r="1451" spans="1:7" s="53" customFormat="1" x14ac:dyDescent="0.35">
      <c r="A1451" s="208"/>
      <c r="B1451" s="102"/>
      <c r="C1451" s="101" t="s">
        <v>71</v>
      </c>
      <c r="D1451" s="103">
        <v>40000</v>
      </c>
      <c r="E1451" s="104" t="s">
        <v>72</v>
      </c>
      <c r="F1451" s="105"/>
    </row>
    <row r="1452" spans="1:7" s="53" customFormat="1" x14ac:dyDescent="0.35">
      <c r="A1452" s="208"/>
      <c r="B1452" s="102"/>
      <c r="C1452" s="92"/>
      <c r="D1452" s="106"/>
      <c r="E1452" s="53" t="s">
        <v>887</v>
      </c>
      <c r="F1452" s="105"/>
    </row>
    <row r="1453" spans="1:7" s="53" customFormat="1" ht="15" thickBot="1" x14ac:dyDescent="0.4">
      <c r="A1453" s="208"/>
      <c r="B1453" s="107"/>
      <c r="C1453" s="108"/>
      <c r="D1453" s="109"/>
      <c r="F1453" s="75"/>
    </row>
    <row r="1454" spans="1:7" s="53" customFormat="1" ht="15" thickBot="1" x14ac:dyDescent="0.4">
      <c r="A1454" s="208"/>
      <c r="B1454" s="110"/>
      <c r="C1454" s="111" t="s">
        <v>74</v>
      </c>
      <c r="D1454" s="112">
        <f>SUM(D1441:D1453)</f>
        <v>7620650</v>
      </c>
      <c r="F1454" s="75"/>
    </row>
    <row r="1455" spans="1:7" s="53" customFormat="1" ht="15.5" thickTop="1" thickBot="1" x14ac:dyDescent="0.4">
      <c r="A1455" s="209"/>
      <c r="B1455" s="211"/>
      <c r="C1455" s="211"/>
      <c r="D1455" s="211"/>
      <c r="F1455" s="75"/>
    </row>
    <row r="1456" spans="1:7" s="53" customFormat="1" x14ac:dyDescent="0.35">
      <c r="B1456" s="89"/>
      <c r="C1456" s="53" t="s">
        <v>75</v>
      </c>
      <c r="D1456" s="113">
        <f>D1438-D1454</f>
        <v>5639350</v>
      </c>
      <c r="F1456" s="75"/>
    </row>
    <row r="1457" spans="1:6" s="53" customFormat="1" x14ac:dyDescent="0.35">
      <c r="B1457" s="89"/>
      <c r="D1457" s="113"/>
      <c r="F1457" s="75"/>
    </row>
    <row r="1458" spans="1:6" s="53" customFormat="1" x14ac:dyDescent="0.35">
      <c r="A1458" s="114"/>
      <c r="B1458" s="115"/>
      <c r="C1458" s="114"/>
      <c r="D1458" s="116"/>
      <c r="E1458" s="114"/>
      <c r="F1458" s="117"/>
    </row>
    <row r="1459" spans="1:6" x14ac:dyDescent="0.35">
      <c r="F1459" s="118"/>
    </row>
    <row r="1460" spans="1:6" s="53" customFormat="1" ht="23.5" x14ac:dyDescent="0.55000000000000004">
      <c r="B1460" s="206" t="s">
        <v>0</v>
      </c>
      <c r="C1460" s="206"/>
      <c r="D1460" s="206"/>
      <c r="E1460" s="70"/>
      <c r="F1460" s="71"/>
    </row>
    <row r="1461" spans="1:6" s="53" customFormat="1" ht="20.5" x14ac:dyDescent="0.45">
      <c r="B1461" s="72"/>
      <c r="C1461" s="73" t="s">
        <v>542</v>
      </c>
      <c r="D1461" s="74"/>
      <c r="F1461" s="75"/>
    </row>
    <row r="1462" spans="1:6" s="53" customFormat="1" ht="21" thickBot="1" x14ac:dyDescent="0.5">
      <c r="B1462" s="72" t="s">
        <v>153</v>
      </c>
      <c r="C1462" s="76" t="s">
        <v>47</v>
      </c>
      <c r="D1462" s="74"/>
      <c r="F1462" s="75"/>
    </row>
    <row r="1463" spans="1:6" s="53" customFormat="1" ht="15" thickBot="1" x14ac:dyDescent="0.4">
      <c r="A1463" s="77" t="s">
        <v>48</v>
      </c>
      <c r="B1463" s="78" t="s">
        <v>26</v>
      </c>
      <c r="C1463" s="78" t="s">
        <v>49</v>
      </c>
      <c r="D1463" s="79" t="s">
        <v>29</v>
      </c>
      <c r="F1463" s="75"/>
    </row>
    <row r="1464" spans="1:6" s="53" customFormat="1" ht="14.5" customHeight="1" x14ac:dyDescent="0.35">
      <c r="A1464" s="207" t="s">
        <v>32</v>
      </c>
      <c r="B1464" s="80" t="s">
        <v>537</v>
      </c>
      <c r="C1464" s="81" t="s">
        <v>200</v>
      </c>
      <c r="D1464" s="82">
        <f>F1471</f>
        <v>13260000</v>
      </c>
      <c r="F1464" s="75"/>
    </row>
    <row r="1465" spans="1:6" s="53" customFormat="1" ht="21" thickBot="1" x14ac:dyDescent="0.5">
      <c r="A1465" s="208"/>
      <c r="B1465" s="72"/>
      <c r="C1465" s="72"/>
      <c r="D1465" s="74"/>
      <c r="F1465" s="75"/>
    </row>
    <row r="1466" spans="1:6" s="53" customFormat="1" ht="15" thickBot="1" x14ac:dyDescent="0.4">
      <c r="A1466" s="208"/>
      <c r="B1466" s="83" t="s">
        <v>26</v>
      </c>
      <c r="C1466" s="84" t="s">
        <v>51</v>
      </c>
      <c r="D1466" s="85" t="s">
        <v>52</v>
      </c>
      <c r="F1466" s="75"/>
    </row>
    <row r="1467" spans="1:6" s="89" customFormat="1" x14ac:dyDescent="0.35">
      <c r="A1467" s="208"/>
      <c r="B1467" s="86" t="str">
        <f>B1464</f>
        <v>14th February,2026</v>
      </c>
      <c r="C1467" s="87" t="s">
        <v>558</v>
      </c>
      <c r="D1467" s="88">
        <f>1850*2726</f>
        <v>5043100</v>
      </c>
      <c r="F1467" s="90"/>
    </row>
    <row r="1468" spans="1:6" s="53" customFormat="1" x14ac:dyDescent="0.35">
      <c r="A1468" s="208"/>
      <c r="B1468" s="91"/>
      <c r="C1468" s="92" t="s">
        <v>605</v>
      </c>
      <c r="D1468" s="93">
        <f>299*2500</f>
        <v>747500</v>
      </c>
      <c r="F1468" s="75"/>
    </row>
    <row r="1469" spans="1:6" s="53" customFormat="1" x14ac:dyDescent="0.35">
      <c r="A1469" s="208"/>
      <c r="B1469" s="91" t="s">
        <v>54</v>
      </c>
      <c r="C1469" s="92" t="s">
        <v>55</v>
      </c>
      <c r="D1469" s="93">
        <v>1000000</v>
      </c>
      <c r="F1469" s="75"/>
    </row>
    <row r="1470" spans="1:6" s="53" customFormat="1" x14ac:dyDescent="0.35">
      <c r="A1470" s="208"/>
      <c r="B1470" s="91" t="s">
        <v>56</v>
      </c>
      <c r="C1470" s="92" t="s">
        <v>57</v>
      </c>
      <c r="D1470" s="93">
        <v>40000</v>
      </c>
      <c r="E1470" s="210" t="s">
        <v>58</v>
      </c>
      <c r="F1470" s="210"/>
    </row>
    <row r="1471" spans="1:6" s="53" customFormat="1" x14ac:dyDescent="0.35">
      <c r="A1471" s="208"/>
      <c r="B1471" s="91" t="s">
        <v>523</v>
      </c>
      <c r="C1471" s="92" t="s">
        <v>60</v>
      </c>
      <c r="D1471" s="93">
        <f>1000*140</f>
        <v>140000</v>
      </c>
      <c r="E1471" s="94" t="s">
        <v>61</v>
      </c>
      <c r="F1471" s="95">
        <f>5200*2550</f>
        <v>13260000</v>
      </c>
    </row>
    <row r="1472" spans="1:6" s="53" customFormat="1" x14ac:dyDescent="0.35">
      <c r="A1472" s="208"/>
      <c r="B1472" s="91"/>
      <c r="C1472" s="92" t="s">
        <v>62</v>
      </c>
      <c r="D1472" s="93">
        <f>3000*140</f>
        <v>420000</v>
      </c>
      <c r="E1472" s="96" t="s">
        <v>63</v>
      </c>
      <c r="F1472" s="75">
        <f>5200*2550</f>
        <v>13260000</v>
      </c>
    </row>
    <row r="1473" spans="1:7" s="53" customFormat="1" ht="15" thickBot="1" x14ac:dyDescent="0.4">
      <c r="A1473" s="208"/>
      <c r="B1473" s="91" t="s">
        <v>64</v>
      </c>
      <c r="C1473" s="92" t="s">
        <v>65</v>
      </c>
      <c r="D1473" s="97">
        <v>30000</v>
      </c>
      <c r="E1473" s="98" t="s">
        <v>66</v>
      </c>
      <c r="F1473" s="99">
        <f>F1471-F1472</f>
        <v>0</v>
      </c>
      <c r="G1473" s="100">
        <f>F1473/2550</f>
        <v>0</v>
      </c>
    </row>
    <row r="1474" spans="1:7" s="53" customFormat="1" ht="15" thickTop="1" x14ac:dyDescent="0.35">
      <c r="A1474" s="208"/>
      <c r="B1474" s="91"/>
      <c r="C1474" s="92" t="s">
        <v>67</v>
      </c>
      <c r="D1474" s="93">
        <v>150000</v>
      </c>
      <c r="F1474" s="75"/>
    </row>
    <row r="1475" spans="1:7" s="53" customFormat="1" x14ac:dyDescent="0.35">
      <c r="A1475" s="208"/>
      <c r="B1475" s="91" t="s">
        <v>540</v>
      </c>
      <c r="C1475" s="101" t="s">
        <v>68</v>
      </c>
      <c r="D1475" s="93">
        <v>15000</v>
      </c>
      <c r="E1475" s="94" t="s">
        <v>69</v>
      </c>
      <c r="F1475" s="95"/>
    </row>
    <row r="1476" spans="1:7" s="53" customFormat="1" x14ac:dyDescent="0.35">
      <c r="A1476" s="208"/>
      <c r="B1476" s="102"/>
      <c r="C1476" s="101" t="s">
        <v>70</v>
      </c>
      <c r="D1476" s="103">
        <v>10000</v>
      </c>
      <c r="E1476" s="104"/>
      <c r="F1476" s="105"/>
    </row>
    <row r="1477" spans="1:7" s="53" customFormat="1" x14ac:dyDescent="0.35">
      <c r="A1477" s="208"/>
      <c r="B1477" s="102"/>
      <c r="C1477" s="101" t="s">
        <v>71</v>
      </c>
      <c r="D1477" s="103">
        <v>40000</v>
      </c>
      <c r="E1477" s="104" t="s">
        <v>72</v>
      </c>
      <c r="F1477" s="105"/>
    </row>
    <row r="1478" spans="1:7" s="53" customFormat="1" x14ac:dyDescent="0.35">
      <c r="A1478" s="208"/>
      <c r="B1478" s="102"/>
      <c r="C1478" s="92"/>
      <c r="D1478" s="106"/>
      <c r="E1478" s="53" t="s">
        <v>891</v>
      </c>
      <c r="F1478" s="105"/>
    </row>
    <row r="1479" spans="1:7" s="53" customFormat="1" ht="15" thickBot="1" x14ac:dyDescent="0.4">
      <c r="A1479" s="208"/>
      <c r="B1479" s="107"/>
      <c r="C1479" s="108"/>
      <c r="D1479" s="109"/>
      <c r="F1479" s="75"/>
    </row>
    <row r="1480" spans="1:7" s="53" customFormat="1" ht="15" thickBot="1" x14ac:dyDescent="0.4">
      <c r="A1480" s="208"/>
      <c r="B1480" s="110"/>
      <c r="C1480" s="111" t="s">
        <v>74</v>
      </c>
      <c r="D1480" s="112">
        <f>SUM(D1467:D1479)</f>
        <v>7635600</v>
      </c>
      <c r="F1480" s="75"/>
    </row>
    <row r="1481" spans="1:7" s="53" customFormat="1" ht="15.5" thickTop="1" thickBot="1" x14ac:dyDescent="0.4">
      <c r="A1481" s="209"/>
      <c r="B1481" s="211"/>
      <c r="C1481" s="211"/>
      <c r="D1481" s="211"/>
      <c r="F1481" s="75"/>
    </row>
    <row r="1482" spans="1:7" s="53" customFormat="1" x14ac:dyDescent="0.35">
      <c r="B1482" s="89"/>
      <c r="C1482" s="53" t="s">
        <v>75</v>
      </c>
      <c r="D1482" s="113">
        <f>D1464-D1480</f>
        <v>5624400</v>
      </c>
      <c r="F1482" s="75"/>
    </row>
    <row r="1483" spans="1:7" s="53" customFormat="1" x14ac:dyDescent="0.35">
      <c r="B1483" s="89"/>
      <c r="D1483" s="113"/>
      <c r="F1483" s="75"/>
    </row>
    <row r="1484" spans="1:7" s="53" customFormat="1" x14ac:dyDescent="0.35">
      <c r="A1484" s="114"/>
      <c r="B1484" s="115"/>
      <c r="C1484" s="114"/>
      <c r="D1484" s="116"/>
      <c r="E1484" s="114"/>
      <c r="F1484" s="117"/>
    </row>
    <row r="1485" spans="1:7" x14ac:dyDescent="0.35">
      <c r="F1485" s="118"/>
    </row>
    <row r="1487" spans="1:7" s="53" customFormat="1" ht="23.5" x14ac:dyDescent="0.55000000000000004">
      <c r="B1487" s="206" t="s">
        <v>0</v>
      </c>
      <c r="C1487" s="206"/>
      <c r="D1487" s="206"/>
      <c r="E1487" s="70"/>
      <c r="F1487" s="71"/>
    </row>
    <row r="1488" spans="1:7" s="53" customFormat="1" ht="20.5" x14ac:dyDescent="0.45">
      <c r="B1488" s="72"/>
      <c r="C1488" s="73" t="s">
        <v>555</v>
      </c>
      <c r="D1488" s="74"/>
      <c r="F1488" s="75"/>
    </row>
    <row r="1489" spans="1:7" s="53" customFormat="1" ht="21" thickBot="1" x14ac:dyDescent="0.5">
      <c r="B1489" s="72" t="s">
        <v>216</v>
      </c>
      <c r="C1489" s="76" t="s">
        <v>47</v>
      </c>
      <c r="D1489" s="74"/>
      <c r="F1489" s="75"/>
    </row>
    <row r="1490" spans="1:7" s="53" customFormat="1" ht="15" thickBot="1" x14ac:dyDescent="0.4">
      <c r="A1490" s="77" t="s">
        <v>48</v>
      </c>
      <c r="B1490" s="78" t="s">
        <v>26</v>
      </c>
      <c r="C1490" s="78" t="s">
        <v>49</v>
      </c>
      <c r="D1490" s="79" t="s">
        <v>29</v>
      </c>
      <c r="F1490" s="75"/>
    </row>
    <row r="1491" spans="1:7" s="53" customFormat="1" ht="14.5" customHeight="1" x14ac:dyDescent="0.35">
      <c r="A1491" s="207" t="s">
        <v>32</v>
      </c>
      <c r="B1491" s="80" t="s">
        <v>537</v>
      </c>
      <c r="C1491" s="81" t="s">
        <v>200</v>
      </c>
      <c r="D1491" s="82">
        <f>F1498</f>
        <v>13260000</v>
      </c>
      <c r="F1491" s="75"/>
    </row>
    <row r="1492" spans="1:7" s="53" customFormat="1" ht="21" thickBot="1" x14ac:dyDescent="0.5">
      <c r="A1492" s="208"/>
      <c r="B1492" s="72"/>
      <c r="C1492" s="72"/>
      <c r="D1492" s="74"/>
      <c r="F1492" s="75"/>
    </row>
    <row r="1493" spans="1:7" s="53" customFormat="1" ht="15" thickBot="1" x14ac:dyDescent="0.4">
      <c r="A1493" s="208"/>
      <c r="B1493" s="83" t="s">
        <v>26</v>
      </c>
      <c r="C1493" s="84" t="s">
        <v>51</v>
      </c>
      <c r="D1493" s="85" t="s">
        <v>52</v>
      </c>
      <c r="F1493" s="75"/>
    </row>
    <row r="1494" spans="1:7" s="89" customFormat="1" x14ac:dyDescent="0.35">
      <c r="A1494" s="208"/>
      <c r="B1494" s="86" t="str">
        <f>B1491</f>
        <v>14th February,2026</v>
      </c>
      <c r="C1494" s="87" t="s">
        <v>558</v>
      </c>
      <c r="D1494" s="88">
        <f>1850*2726</f>
        <v>5043100</v>
      </c>
      <c r="F1494" s="90"/>
    </row>
    <row r="1495" spans="1:7" s="53" customFormat="1" x14ac:dyDescent="0.35">
      <c r="A1495" s="208"/>
      <c r="B1495" s="91"/>
      <c r="C1495" s="92" t="s">
        <v>606</v>
      </c>
      <c r="D1495" s="93">
        <f>325*2500</f>
        <v>812500</v>
      </c>
      <c r="F1495" s="75"/>
    </row>
    <row r="1496" spans="1:7" s="53" customFormat="1" x14ac:dyDescent="0.35">
      <c r="A1496" s="208"/>
      <c r="B1496" s="91" t="s">
        <v>54</v>
      </c>
      <c r="C1496" s="92" t="s">
        <v>55</v>
      </c>
      <c r="D1496" s="93">
        <v>1000000</v>
      </c>
      <c r="F1496" s="75"/>
    </row>
    <row r="1497" spans="1:7" s="53" customFormat="1" x14ac:dyDescent="0.35">
      <c r="A1497" s="208"/>
      <c r="B1497" s="91" t="s">
        <v>56</v>
      </c>
      <c r="C1497" s="92" t="s">
        <v>57</v>
      </c>
      <c r="D1497" s="93">
        <v>40000</v>
      </c>
      <c r="E1497" s="210" t="s">
        <v>58</v>
      </c>
      <c r="F1497" s="210"/>
    </row>
    <row r="1498" spans="1:7" s="53" customFormat="1" x14ac:dyDescent="0.35">
      <c r="A1498" s="208"/>
      <c r="B1498" s="91" t="s">
        <v>384</v>
      </c>
      <c r="C1498" s="92" t="s">
        <v>60</v>
      </c>
      <c r="D1498" s="93">
        <f>400*140</f>
        <v>56000</v>
      </c>
      <c r="E1498" s="94" t="s">
        <v>61</v>
      </c>
      <c r="F1498" s="95">
        <f>5200*2550</f>
        <v>13260000</v>
      </c>
    </row>
    <row r="1499" spans="1:7" s="53" customFormat="1" x14ac:dyDescent="0.35">
      <c r="A1499" s="208"/>
      <c r="B1499" s="91"/>
      <c r="C1499" s="92" t="s">
        <v>62</v>
      </c>
      <c r="D1499" s="93">
        <f>4200*140</f>
        <v>588000</v>
      </c>
      <c r="E1499" s="96" t="s">
        <v>63</v>
      </c>
      <c r="F1499" s="75">
        <f>5200*2550</f>
        <v>13260000</v>
      </c>
    </row>
    <row r="1500" spans="1:7" s="53" customFormat="1" ht="15" thickBot="1" x14ac:dyDescent="0.4">
      <c r="A1500" s="208"/>
      <c r="B1500" s="91" t="s">
        <v>64</v>
      </c>
      <c r="C1500" s="92" t="s">
        <v>65</v>
      </c>
      <c r="D1500" s="97">
        <v>30000</v>
      </c>
      <c r="E1500" s="98" t="s">
        <v>66</v>
      </c>
      <c r="F1500" s="99">
        <f>F1498-F1499</f>
        <v>0</v>
      </c>
      <c r="G1500" s="100">
        <f>F1500/2550</f>
        <v>0</v>
      </c>
    </row>
    <row r="1501" spans="1:7" s="53" customFormat="1" ht="15" thickTop="1" x14ac:dyDescent="0.35">
      <c r="A1501" s="208"/>
      <c r="B1501" s="91"/>
      <c r="C1501" s="92" t="s">
        <v>71</v>
      </c>
      <c r="D1501" s="93">
        <v>30000</v>
      </c>
      <c r="F1501" s="75"/>
    </row>
    <row r="1502" spans="1:7" s="53" customFormat="1" x14ac:dyDescent="0.35">
      <c r="A1502" s="208"/>
      <c r="B1502" s="91" t="s">
        <v>553</v>
      </c>
      <c r="C1502" s="101" t="s">
        <v>68</v>
      </c>
      <c r="D1502" s="93">
        <v>15000</v>
      </c>
      <c r="E1502" s="94" t="s">
        <v>69</v>
      </c>
      <c r="F1502" s="95"/>
    </row>
    <row r="1503" spans="1:7" s="53" customFormat="1" x14ac:dyDescent="0.35">
      <c r="A1503" s="208"/>
      <c r="B1503" s="102"/>
      <c r="C1503" s="101" t="s">
        <v>70</v>
      </c>
      <c r="D1503" s="103">
        <v>10000</v>
      </c>
      <c r="E1503" s="104"/>
      <c r="F1503" s="105"/>
    </row>
    <row r="1504" spans="1:7" s="53" customFormat="1" x14ac:dyDescent="0.35">
      <c r="A1504" s="208"/>
      <c r="B1504" s="102"/>
      <c r="C1504" s="101" t="s">
        <v>73</v>
      </c>
      <c r="D1504" s="103">
        <f>304*140</f>
        <v>42560</v>
      </c>
      <c r="E1504" s="104" t="s">
        <v>72</v>
      </c>
      <c r="F1504" s="105"/>
    </row>
    <row r="1505" spans="1:6" s="53" customFormat="1" x14ac:dyDescent="0.35">
      <c r="A1505" s="208"/>
      <c r="B1505" s="102"/>
      <c r="C1505" s="92" t="s">
        <v>73</v>
      </c>
      <c r="D1505" s="106">
        <v>0</v>
      </c>
      <c r="E1505" s="53" t="s">
        <v>888</v>
      </c>
      <c r="F1505" s="105"/>
    </row>
    <row r="1506" spans="1:6" s="53" customFormat="1" ht="15" thickBot="1" x14ac:dyDescent="0.4">
      <c r="A1506" s="208"/>
      <c r="B1506" s="107"/>
      <c r="C1506" s="108"/>
      <c r="D1506" s="109"/>
      <c r="F1506" s="75"/>
    </row>
    <row r="1507" spans="1:6" s="53" customFormat="1" ht="15" thickBot="1" x14ac:dyDescent="0.4">
      <c r="A1507" s="208"/>
      <c r="B1507" s="110"/>
      <c r="C1507" s="111" t="s">
        <v>74</v>
      </c>
      <c r="D1507" s="112">
        <f>SUM(D1494:D1506)</f>
        <v>7667160</v>
      </c>
      <c r="F1507" s="75"/>
    </row>
    <row r="1508" spans="1:6" s="53" customFormat="1" ht="15.5" thickTop="1" thickBot="1" x14ac:dyDescent="0.4">
      <c r="A1508" s="209"/>
      <c r="B1508" s="211"/>
      <c r="C1508" s="211"/>
      <c r="D1508" s="211"/>
      <c r="F1508" s="75"/>
    </row>
    <row r="1509" spans="1:6" s="53" customFormat="1" x14ac:dyDescent="0.35">
      <c r="B1509" s="89"/>
      <c r="C1509" s="53" t="s">
        <v>75</v>
      </c>
      <c r="D1509" s="113">
        <f>D1491-D1507</f>
        <v>5592840</v>
      </c>
      <c r="F1509" s="75"/>
    </row>
    <row r="1510" spans="1:6" s="53" customFormat="1" x14ac:dyDescent="0.35">
      <c r="B1510" s="89"/>
      <c r="D1510" s="113"/>
      <c r="F1510" s="75"/>
    </row>
    <row r="1511" spans="1:6" s="53" customFormat="1" x14ac:dyDescent="0.35">
      <c r="A1511" s="114"/>
      <c r="B1511" s="115"/>
      <c r="C1511" s="114"/>
      <c r="D1511" s="116"/>
      <c r="E1511" s="114"/>
      <c r="F1511" s="117"/>
    </row>
    <row r="1512" spans="1:6" x14ac:dyDescent="0.35">
      <c r="F1512" s="118"/>
    </row>
    <row r="1513" spans="1:6" s="53" customFormat="1" ht="23.5" x14ac:dyDescent="0.55000000000000004">
      <c r="B1513" s="206" t="s">
        <v>0</v>
      </c>
      <c r="C1513" s="206"/>
      <c r="D1513" s="206"/>
      <c r="E1513" s="70"/>
      <c r="F1513" s="71"/>
    </row>
    <row r="1514" spans="1:6" s="53" customFormat="1" ht="20.5" x14ac:dyDescent="0.45">
      <c r="B1514" s="72"/>
      <c r="C1514" s="73" t="s">
        <v>556</v>
      </c>
      <c r="D1514" s="74"/>
      <c r="F1514" s="75"/>
    </row>
    <row r="1515" spans="1:6" s="53" customFormat="1" ht="21" thickBot="1" x14ac:dyDescent="0.5">
      <c r="B1515" s="72" t="s">
        <v>226</v>
      </c>
      <c r="C1515" s="76" t="s">
        <v>47</v>
      </c>
      <c r="D1515" s="74"/>
      <c r="F1515" s="75"/>
    </row>
    <row r="1516" spans="1:6" s="53" customFormat="1" ht="15" thickBot="1" x14ac:dyDescent="0.4">
      <c r="A1516" s="77" t="s">
        <v>48</v>
      </c>
      <c r="B1516" s="78" t="s">
        <v>26</v>
      </c>
      <c r="C1516" s="78" t="s">
        <v>49</v>
      </c>
      <c r="D1516" s="79" t="s">
        <v>29</v>
      </c>
      <c r="F1516" s="75"/>
    </row>
    <row r="1517" spans="1:6" s="53" customFormat="1" ht="14.5" customHeight="1" x14ac:dyDescent="0.35">
      <c r="A1517" s="207" t="s">
        <v>32</v>
      </c>
      <c r="B1517" s="80" t="s">
        <v>537</v>
      </c>
      <c r="C1517" s="81" t="s">
        <v>200</v>
      </c>
      <c r="D1517" s="82">
        <f>F1524</f>
        <v>13260000</v>
      </c>
      <c r="F1517" s="75"/>
    </row>
    <row r="1518" spans="1:6" s="53" customFormat="1" ht="21" thickBot="1" x14ac:dyDescent="0.5">
      <c r="A1518" s="208"/>
      <c r="B1518" s="72"/>
      <c r="C1518" s="72"/>
      <c r="D1518" s="74"/>
      <c r="F1518" s="75"/>
    </row>
    <row r="1519" spans="1:6" s="53" customFormat="1" ht="15" thickBot="1" x14ac:dyDescent="0.4">
      <c r="A1519" s="208"/>
      <c r="B1519" s="83" t="s">
        <v>26</v>
      </c>
      <c r="C1519" s="84" t="s">
        <v>51</v>
      </c>
      <c r="D1519" s="85" t="s">
        <v>52</v>
      </c>
      <c r="F1519" s="75"/>
    </row>
    <row r="1520" spans="1:6" s="89" customFormat="1" x14ac:dyDescent="0.35">
      <c r="A1520" s="208"/>
      <c r="B1520" s="86" t="str">
        <f>B1517</f>
        <v>14th February,2026</v>
      </c>
      <c r="C1520" s="87" t="s">
        <v>558</v>
      </c>
      <c r="D1520" s="88">
        <f>1850*2726</f>
        <v>5043100</v>
      </c>
      <c r="F1520" s="90"/>
    </row>
    <row r="1521" spans="1:7" s="53" customFormat="1" x14ac:dyDescent="0.35">
      <c r="A1521" s="208"/>
      <c r="B1521" s="91"/>
      <c r="C1521" s="92" t="s">
        <v>53</v>
      </c>
      <c r="D1521" s="93">
        <f>325*2450</f>
        <v>796250</v>
      </c>
      <c r="F1521" s="75"/>
    </row>
    <row r="1522" spans="1:7" s="53" customFormat="1" x14ac:dyDescent="0.35">
      <c r="A1522" s="208"/>
      <c r="B1522" s="91" t="s">
        <v>54</v>
      </c>
      <c r="C1522" s="92" t="s">
        <v>55</v>
      </c>
      <c r="D1522" s="93">
        <v>1000000</v>
      </c>
      <c r="F1522" s="75"/>
    </row>
    <row r="1523" spans="1:7" s="53" customFormat="1" x14ac:dyDescent="0.35">
      <c r="A1523" s="208"/>
      <c r="B1523" s="91" t="s">
        <v>56</v>
      </c>
      <c r="C1523" s="92" t="s">
        <v>57</v>
      </c>
      <c r="D1523" s="93">
        <v>40000</v>
      </c>
      <c r="E1523" s="210" t="s">
        <v>58</v>
      </c>
      <c r="F1523" s="210"/>
    </row>
    <row r="1524" spans="1:7" s="53" customFormat="1" x14ac:dyDescent="0.35">
      <c r="A1524" s="208"/>
      <c r="B1524" s="91" t="s">
        <v>384</v>
      </c>
      <c r="C1524" s="92" t="s">
        <v>60</v>
      </c>
      <c r="D1524" s="93">
        <f>1056*140</f>
        <v>147840</v>
      </c>
      <c r="E1524" s="94" t="s">
        <v>61</v>
      </c>
      <c r="F1524" s="95">
        <f>5200*2550</f>
        <v>13260000</v>
      </c>
    </row>
    <row r="1525" spans="1:7" s="53" customFormat="1" x14ac:dyDescent="0.35">
      <c r="A1525" s="208"/>
      <c r="B1525" s="91"/>
      <c r="C1525" s="92" t="s">
        <v>62</v>
      </c>
      <c r="D1525" s="93">
        <f>4200*140</f>
        <v>588000</v>
      </c>
      <c r="E1525" s="96" t="s">
        <v>63</v>
      </c>
      <c r="F1525" s="75">
        <f>5200*2550</f>
        <v>13260000</v>
      </c>
    </row>
    <row r="1526" spans="1:7" s="53" customFormat="1" ht="15" thickBot="1" x14ac:dyDescent="0.4">
      <c r="A1526" s="208"/>
      <c r="B1526" s="91" t="s">
        <v>64</v>
      </c>
      <c r="C1526" s="92" t="s">
        <v>65</v>
      </c>
      <c r="D1526" s="97">
        <v>30000</v>
      </c>
      <c r="E1526" s="98" t="s">
        <v>66</v>
      </c>
      <c r="F1526" s="99">
        <f>F1524-F1525</f>
        <v>0</v>
      </c>
      <c r="G1526" s="100">
        <f>F1526/2550</f>
        <v>0</v>
      </c>
    </row>
    <row r="1527" spans="1:7" s="53" customFormat="1" ht="15" thickTop="1" x14ac:dyDescent="0.35">
      <c r="A1527" s="208"/>
      <c r="B1527" s="91"/>
      <c r="C1527" s="92" t="s">
        <v>73</v>
      </c>
      <c r="D1527" s="106">
        <f>680*140</f>
        <v>95200</v>
      </c>
      <c r="F1527" s="75"/>
    </row>
    <row r="1528" spans="1:7" s="53" customFormat="1" x14ac:dyDescent="0.35">
      <c r="A1528" s="208"/>
      <c r="B1528" s="91" t="s">
        <v>554</v>
      </c>
      <c r="C1528" s="101" t="s">
        <v>68</v>
      </c>
      <c r="D1528" s="93">
        <v>15000</v>
      </c>
      <c r="E1528" s="94" t="s">
        <v>69</v>
      </c>
      <c r="F1528" s="95"/>
    </row>
    <row r="1529" spans="1:7" s="53" customFormat="1" x14ac:dyDescent="0.35">
      <c r="A1529" s="208"/>
      <c r="B1529" s="102"/>
      <c r="C1529" s="101" t="s">
        <v>70</v>
      </c>
      <c r="D1529" s="103">
        <v>10000</v>
      </c>
      <c r="E1529" s="104"/>
      <c r="F1529" s="105"/>
    </row>
    <row r="1530" spans="1:7" s="53" customFormat="1" x14ac:dyDescent="0.35">
      <c r="A1530" s="208"/>
      <c r="B1530" s="102"/>
      <c r="C1530" s="101" t="s">
        <v>71</v>
      </c>
      <c r="D1530" s="103">
        <v>40000</v>
      </c>
      <c r="E1530" s="104" t="s">
        <v>72</v>
      </c>
      <c r="F1530" s="105"/>
    </row>
    <row r="1531" spans="1:7" s="53" customFormat="1" x14ac:dyDescent="0.35">
      <c r="A1531" s="208"/>
      <c r="B1531" s="102"/>
      <c r="C1531" s="92"/>
      <c r="D1531" s="106"/>
      <c r="E1531" s="53" t="s">
        <v>889</v>
      </c>
      <c r="F1531" s="105"/>
    </row>
    <row r="1532" spans="1:7" s="53" customFormat="1" ht="15" thickBot="1" x14ac:dyDescent="0.4">
      <c r="A1532" s="208"/>
      <c r="B1532" s="107"/>
      <c r="C1532" s="108"/>
      <c r="D1532" s="109"/>
      <c r="F1532" s="75"/>
    </row>
    <row r="1533" spans="1:7" s="53" customFormat="1" ht="15" thickBot="1" x14ac:dyDescent="0.4">
      <c r="A1533" s="208"/>
      <c r="B1533" s="110"/>
      <c r="C1533" s="111" t="s">
        <v>74</v>
      </c>
      <c r="D1533" s="112">
        <f>SUM(D1520:D1532)</f>
        <v>7805390</v>
      </c>
      <c r="F1533" s="75"/>
    </row>
    <row r="1534" spans="1:7" s="53" customFormat="1" ht="15.5" thickTop="1" thickBot="1" x14ac:dyDescent="0.4">
      <c r="A1534" s="209"/>
      <c r="B1534" s="211"/>
      <c r="C1534" s="211"/>
      <c r="D1534" s="211"/>
      <c r="F1534" s="75"/>
    </row>
    <row r="1535" spans="1:7" s="53" customFormat="1" x14ac:dyDescent="0.35">
      <c r="B1535" s="89"/>
      <c r="C1535" s="53" t="s">
        <v>75</v>
      </c>
      <c r="D1535" s="113">
        <f>D1517-D1533</f>
        <v>5454610</v>
      </c>
      <c r="F1535" s="75"/>
    </row>
    <row r="1536" spans="1:7" s="53" customFormat="1" x14ac:dyDescent="0.35">
      <c r="B1536" s="89"/>
      <c r="D1536" s="113"/>
      <c r="F1536" s="75"/>
    </row>
    <row r="1537" spans="1:7" s="53" customFormat="1" x14ac:dyDescent="0.35">
      <c r="A1537" s="114"/>
      <c r="B1537" s="115"/>
      <c r="C1537" s="114"/>
      <c r="D1537" s="116"/>
      <c r="E1537" s="114"/>
      <c r="F1537" s="117"/>
    </row>
    <row r="1538" spans="1:7" x14ac:dyDescent="0.35">
      <c r="F1538" s="118"/>
    </row>
    <row r="1539" spans="1:7" s="53" customFormat="1" ht="23.5" x14ac:dyDescent="0.55000000000000004">
      <c r="B1539" s="206" t="s">
        <v>0</v>
      </c>
      <c r="C1539" s="206"/>
      <c r="D1539" s="206"/>
      <c r="E1539" s="70"/>
      <c r="F1539" s="71"/>
    </row>
    <row r="1540" spans="1:7" s="53" customFormat="1" ht="20.5" x14ac:dyDescent="0.45">
      <c r="B1540" s="72"/>
      <c r="C1540" s="73" t="s">
        <v>578</v>
      </c>
      <c r="D1540" s="74"/>
      <c r="F1540" s="75"/>
    </row>
    <row r="1541" spans="1:7" s="53" customFormat="1" ht="21" thickBot="1" x14ac:dyDescent="0.5">
      <c r="B1541" s="72" t="s">
        <v>317</v>
      </c>
      <c r="C1541" s="76" t="s">
        <v>47</v>
      </c>
      <c r="D1541" s="74"/>
      <c r="F1541" s="75"/>
    </row>
    <row r="1542" spans="1:7" s="53" customFormat="1" ht="15" thickBot="1" x14ac:dyDescent="0.4">
      <c r="A1542" s="77" t="s">
        <v>48</v>
      </c>
      <c r="B1542" s="78" t="s">
        <v>26</v>
      </c>
      <c r="C1542" s="78" t="s">
        <v>49</v>
      </c>
      <c r="D1542" s="79" t="s">
        <v>29</v>
      </c>
      <c r="F1542" s="75"/>
    </row>
    <row r="1543" spans="1:7" s="53" customFormat="1" ht="14.5" customHeight="1" x14ac:dyDescent="0.35">
      <c r="A1543" s="207" t="s">
        <v>32</v>
      </c>
      <c r="B1543" s="80" t="s">
        <v>579</v>
      </c>
      <c r="C1543" s="81" t="s">
        <v>103</v>
      </c>
      <c r="D1543" s="82">
        <f>F1550</f>
        <v>13860000</v>
      </c>
      <c r="F1543" s="75"/>
    </row>
    <row r="1544" spans="1:7" s="53" customFormat="1" ht="21" thickBot="1" x14ac:dyDescent="0.5">
      <c r="A1544" s="208"/>
      <c r="B1544" s="72"/>
      <c r="C1544" s="72"/>
      <c r="D1544" s="74"/>
      <c r="F1544" s="75"/>
    </row>
    <row r="1545" spans="1:7" s="53" customFormat="1" ht="15" thickBot="1" x14ac:dyDescent="0.4">
      <c r="A1545" s="208"/>
      <c r="B1545" s="83" t="s">
        <v>26</v>
      </c>
      <c r="C1545" s="84" t="s">
        <v>51</v>
      </c>
      <c r="D1545" s="85" t="s">
        <v>52</v>
      </c>
      <c r="F1545" s="75"/>
    </row>
    <row r="1546" spans="1:7" s="89" customFormat="1" x14ac:dyDescent="0.35">
      <c r="A1546" s="208"/>
      <c r="B1546" s="86" t="str">
        <f>B1543</f>
        <v>24th February,2026</v>
      </c>
      <c r="C1546" s="87" t="s">
        <v>154</v>
      </c>
      <c r="D1546" s="88">
        <f>1850*2750</f>
        <v>5087500</v>
      </c>
      <c r="F1546" s="90"/>
    </row>
    <row r="1547" spans="1:7" s="53" customFormat="1" x14ac:dyDescent="0.35">
      <c r="A1547" s="208"/>
      <c r="B1547" s="91"/>
      <c r="C1547" s="92" t="s">
        <v>606</v>
      </c>
      <c r="D1547" s="93">
        <f>325*2500</f>
        <v>812500</v>
      </c>
      <c r="F1547" s="75"/>
    </row>
    <row r="1548" spans="1:7" s="53" customFormat="1" x14ac:dyDescent="0.35">
      <c r="A1548" s="208"/>
      <c r="B1548" s="91" t="s">
        <v>54</v>
      </c>
      <c r="C1548" s="92" t="s">
        <v>55</v>
      </c>
      <c r="D1548" s="93">
        <v>1000000</v>
      </c>
      <c r="F1548" s="75"/>
    </row>
    <row r="1549" spans="1:7" s="53" customFormat="1" x14ac:dyDescent="0.35">
      <c r="A1549" s="208"/>
      <c r="B1549" s="91" t="s">
        <v>56</v>
      </c>
      <c r="C1549" s="92" t="s">
        <v>57</v>
      </c>
      <c r="D1549" s="93">
        <v>40000</v>
      </c>
      <c r="E1549" s="210" t="s">
        <v>58</v>
      </c>
      <c r="F1549" s="210"/>
    </row>
    <row r="1550" spans="1:7" s="53" customFormat="1" x14ac:dyDescent="0.35">
      <c r="A1550" s="208"/>
      <c r="B1550" s="91" t="s">
        <v>59</v>
      </c>
      <c r="C1550" s="92" t="s">
        <v>60</v>
      </c>
      <c r="D1550" s="93">
        <f>950*140</f>
        <v>133000</v>
      </c>
      <c r="E1550" s="94" t="s">
        <v>61</v>
      </c>
      <c r="F1550" s="95">
        <f>5500*2520</f>
        <v>13860000</v>
      </c>
    </row>
    <row r="1551" spans="1:7" s="53" customFormat="1" x14ac:dyDescent="0.35">
      <c r="A1551" s="208"/>
      <c r="B1551" s="91"/>
      <c r="C1551" s="92" t="s">
        <v>62</v>
      </c>
      <c r="D1551" s="93">
        <f>4200*140</f>
        <v>588000</v>
      </c>
      <c r="E1551" s="96" t="s">
        <v>63</v>
      </c>
      <c r="F1551" s="75">
        <f>(3300*2520)+(2100*2520)</f>
        <v>13608000</v>
      </c>
    </row>
    <row r="1552" spans="1:7" s="53" customFormat="1" ht="15" thickBot="1" x14ac:dyDescent="0.4">
      <c r="A1552" s="208"/>
      <c r="B1552" s="91" t="s">
        <v>64</v>
      </c>
      <c r="C1552" s="92" t="s">
        <v>65</v>
      </c>
      <c r="D1552" s="97">
        <v>30000</v>
      </c>
      <c r="E1552" s="98" t="s">
        <v>66</v>
      </c>
      <c r="F1552" s="99">
        <f>F1550-F1551</f>
        <v>252000</v>
      </c>
      <c r="G1552" s="100">
        <f>F1552/2520</f>
        <v>100</v>
      </c>
    </row>
    <row r="1553" spans="1:6" s="53" customFormat="1" ht="15" thickTop="1" x14ac:dyDescent="0.35">
      <c r="A1553" s="208"/>
      <c r="B1553" s="91"/>
      <c r="C1553" s="92" t="s">
        <v>67</v>
      </c>
      <c r="D1553" s="93">
        <v>150000</v>
      </c>
      <c r="F1553" s="75"/>
    </row>
    <row r="1554" spans="1:6" s="53" customFormat="1" x14ac:dyDescent="0.35">
      <c r="A1554" s="208"/>
      <c r="B1554" s="91" t="s">
        <v>580</v>
      </c>
      <c r="C1554" s="101" t="s">
        <v>68</v>
      </c>
      <c r="D1554" s="93">
        <v>15000</v>
      </c>
      <c r="E1554" s="94" t="s">
        <v>69</v>
      </c>
      <c r="F1554" s="95"/>
    </row>
    <row r="1555" spans="1:6" s="53" customFormat="1" x14ac:dyDescent="0.35">
      <c r="A1555" s="208"/>
      <c r="B1555" s="102"/>
      <c r="C1555" s="101" t="s">
        <v>70</v>
      </c>
      <c r="D1555" s="103">
        <v>10000</v>
      </c>
      <c r="E1555" s="104"/>
      <c r="F1555" s="105"/>
    </row>
    <row r="1556" spans="1:6" s="53" customFormat="1" x14ac:dyDescent="0.35">
      <c r="A1556" s="208"/>
      <c r="B1556" s="102"/>
      <c r="C1556" s="101" t="s">
        <v>71</v>
      </c>
      <c r="D1556" s="103">
        <v>30000</v>
      </c>
      <c r="E1556" s="104" t="s">
        <v>72</v>
      </c>
      <c r="F1556" s="105"/>
    </row>
    <row r="1557" spans="1:6" s="53" customFormat="1" x14ac:dyDescent="0.35">
      <c r="A1557" s="208"/>
      <c r="B1557" s="102"/>
      <c r="C1557" s="92" t="s">
        <v>73</v>
      </c>
      <c r="D1557" s="106">
        <f>718*140</f>
        <v>100520</v>
      </c>
      <c r="E1557" s="53" t="s">
        <v>622</v>
      </c>
      <c r="F1557" s="105"/>
    </row>
    <row r="1558" spans="1:6" s="53" customFormat="1" ht="15" thickBot="1" x14ac:dyDescent="0.4">
      <c r="A1558" s="208"/>
      <c r="B1558" s="107"/>
      <c r="C1558" s="108" t="s">
        <v>799</v>
      </c>
      <c r="D1558" s="109">
        <f>1630*140</f>
        <v>228200</v>
      </c>
      <c r="E1558" s="53" t="s">
        <v>859</v>
      </c>
      <c r="F1558" s="75"/>
    </row>
    <row r="1559" spans="1:6" s="53" customFormat="1" ht="15" thickBot="1" x14ac:dyDescent="0.4">
      <c r="A1559" s="208"/>
      <c r="B1559" s="110"/>
      <c r="C1559" s="111" t="s">
        <v>74</v>
      </c>
      <c r="D1559" s="112">
        <f>SUM(D1546:D1558)</f>
        <v>8224720</v>
      </c>
      <c r="F1559" s="75"/>
    </row>
    <row r="1560" spans="1:6" s="53" customFormat="1" ht="15.5" thickTop="1" thickBot="1" x14ac:dyDescent="0.4">
      <c r="A1560" s="209"/>
      <c r="B1560" s="211"/>
      <c r="C1560" s="211"/>
      <c r="D1560" s="211"/>
      <c r="F1560" s="75"/>
    </row>
    <row r="1561" spans="1:6" s="53" customFormat="1" x14ac:dyDescent="0.35">
      <c r="B1561" s="89"/>
      <c r="C1561" s="53" t="s">
        <v>75</v>
      </c>
      <c r="D1561" s="113">
        <f>D1543-D1559</f>
        <v>5635280</v>
      </c>
      <c r="F1561" s="75"/>
    </row>
    <row r="1562" spans="1:6" s="53" customFormat="1" x14ac:dyDescent="0.35">
      <c r="B1562" s="89"/>
      <c r="D1562" s="113"/>
      <c r="F1562" s="75"/>
    </row>
    <row r="1563" spans="1:6" s="53" customFormat="1" x14ac:dyDescent="0.35">
      <c r="A1563" s="114"/>
      <c r="B1563" s="115"/>
      <c r="C1563" s="114"/>
      <c r="D1563" s="116"/>
      <c r="E1563" s="114"/>
      <c r="F1563" s="117"/>
    </row>
    <row r="1565" spans="1:6" s="53" customFormat="1" ht="23.5" x14ac:dyDescent="0.55000000000000004">
      <c r="B1565" s="206" t="s">
        <v>0</v>
      </c>
      <c r="C1565" s="206"/>
      <c r="D1565" s="206"/>
      <c r="E1565" s="70"/>
      <c r="F1565" s="71"/>
    </row>
    <row r="1566" spans="1:6" s="53" customFormat="1" ht="20.5" x14ac:dyDescent="0.45">
      <c r="B1566" s="72"/>
      <c r="C1566" s="73" t="s">
        <v>600</v>
      </c>
      <c r="D1566" s="74"/>
      <c r="F1566" s="75"/>
    </row>
    <row r="1567" spans="1:6" s="53" customFormat="1" ht="21" thickBot="1" x14ac:dyDescent="0.5">
      <c r="B1567" s="72" t="s">
        <v>365</v>
      </c>
      <c r="C1567" s="76" t="s">
        <v>47</v>
      </c>
      <c r="D1567" s="74"/>
      <c r="F1567" s="75"/>
    </row>
    <row r="1568" spans="1:6" s="53" customFormat="1" ht="15" thickBot="1" x14ac:dyDescent="0.4">
      <c r="A1568" s="77" t="s">
        <v>48</v>
      </c>
      <c r="B1568" s="78" t="s">
        <v>26</v>
      </c>
      <c r="C1568" s="78" t="s">
        <v>49</v>
      </c>
      <c r="D1568" s="79" t="s">
        <v>29</v>
      </c>
      <c r="F1568" s="75"/>
    </row>
    <row r="1569" spans="1:7" s="53" customFormat="1" ht="14.5" customHeight="1" x14ac:dyDescent="0.35">
      <c r="A1569" s="207" t="s">
        <v>32</v>
      </c>
      <c r="B1569" s="80" t="s">
        <v>579</v>
      </c>
      <c r="C1569" s="81" t="s">
        <v>601</v>
      </c>
      <c r="D1569" s="82">
        <f>F1576</f>
        <v>12500000</v>
      </c>
      <c r="F1569" s="75"/>
    </row>
    <row r="1570" spans="1:7" s="53" customFormat="1" ht="21" thickBot="1" x14ac:dyDescent="0.5">
      <c r="A1570" s="208"/>
      <c r="B1570" s="72"/>
      <c r="C1570" s="72"/>
      <c r="D1570" s="74"/>
      <c r="F1570" s="75"/>
    </row>
    <row r="1571" spans="1:7" s="53" customFormat="1" ht="15" thickBot="1" x14ac:dyDescent="0.4">
      <c r="A1571" s="208"/>
      <c r="B1571" s="83" t="s">
        <v>26</v>
      </c>
      <c r="C1571" s="84" t="s">
        <v>51</v>
      </c>
      <c r="D1571" s="85" t="s">
        <v>52</v>
      </c>
      <c r="F1571" s="75"/>
    </row>
    <row r="1572" spans="1:7" s="89" customFormat="1" x14ac:dyDescent="0.35">
      <c r="A1572" s="208"/>
      <c r="B1572" s="86" t="str">
        <f>B1569</f>
        <v>24th February,2026</v>
      </c>
      <c r="C1572" s="87" t="s">
        <v>154</v>
      </c>
      <c r="D1572" s="88">
        <f>1850*2750</f>
        <v>5087500</v>
      </c>
      <c r="F1572" s="90"/>
    </row>
    <row r="1573" spans="1:7" s="53" customFormat="1" x14ac:dyDescent="0.35">
      <c r="A1573" s="208"/>
      <c r="B1573" s="91"/>
      <c r="C1573" s="92" t="s">
        <v>604</v>
      </c>
      <c r="D1573" s="93">
        <f>428*2500</f>
        <v>1070000</v>
      </c>
      <c r="F1573" s="75"/>
    </row>
    <row r="1574" spans="1:7" s="53" customFormat="1" x14ac:dyDescent="0.35">
      <c r="A1574" s="208"/>
      <c r="B1574" s="91" t="s">
        <v>54</v>
      </c>
      <c r="C1574" s="92" t="s">
        <v>55</v>
      </c>
      <c r="D1574" s="93">
        <v>1000000</v>
      </c>
      <c r="F1574" s="75"/>
    </row>
    <row r="1575" spans="1:7" s="53" customFormat="1" x14ac:dyDescent="0.35">
      <c r="A1575" s="208"/>
      <c r="B1575" s="91" t="s">
        <v>56</v>
      </c>
      <c r="C1575" s="92" t="s">
        <v>57</v>
      </c>
      <c r="D1575" s="93">
        <v>40000</v>
      </c>
      <c r="E1575" s="210" t="s">
        <v>58</v>
      </c>
      <c r="F1575" s="210"/>
    </row>
    <row r="1576" spans="1:7" s="53" customFormat="1" x14ac:dyDescent="0.35">
      <c r="A1576" s="208"/>
      <c r="B1576" s="91" t="s">
        <v>603</v>
      </c>
      <c r="C1576" s="92" t="s">
        <v>60</v>
      </c>
      <c r="D1576" s="93">
        <f>1450*140</f>
        <v>203000</v>
      </c>
      <c r="E1576" s="94" t="s">
        <v>61</v>
      </c>
      <c r="F1576" s="95">
        <f>5000*2500</f>
        <v>12500000</v>
      </c>
    </row>
    <row r="1577" spans="1:7" s="53" customFormat="1" x14ac:dyDescent="0.35">
      <c r="A1577" s="208"/>
      <c r="B1577" s="91"/>
      <c r="C1577" s="92" t="s">
        <v>62</v>
      </c>
      <c r="D1577" s="93">
        <f>4800*140</f>
        <v>672000</v>
      </c>
      <c r="E1577" s="96" t="s">
        <v>63</v>
      </c>
      <c r="F1577" s="75">
        <f>5000*2500</f>
        <v>12500000</v>
      </c>
    </row>
    <row r="1578" spans="1:7" s="53" customFormat="1" ht="15" thickBot="1" x14ac:dyDescent="0.4">
      <c r="A1578" s="208"/>
      <c r="B1578" s="91" t="s">
        <v>64</v>
      </c>
      <c r="C1578" s="92" t="s">
        <v>65</v>
      </c>
      <c r="D1578" s="97">
        <v>30000</v>
      </c>
      <c r="E1578" s="98" t="s">
        <v>66</v>
      </c>
      <c r="F1578" s="99">
        <f>F1576-F1577</f>
        <v>0</v>
      </c>
      <c r="G1578" s="100">
        <f>F1578/2500</f>
        <v>0</v>
      </c>
    </row>
    <row r="1579" spans="1:7" s="53" customFormat="1" ht="15" thickTop="1" x14ac:dyDescent="0.35">
      <c r="A1579" s="208"/>
      <c r="B1579" s="91"/>
      <c r="C1579" s="92" t="s">
        <v>67</v>
      </c>
      <c r="D1579" s="93">
        <v>150000</v>
      </c>
      <c r="F1579" s="75"/>
    </row>
    <row r="1580" spans="1:7" s="53" customFormat="1" x14ac:dyDescent="0.35">
      <c r="A1580" s="208"/>
      <c r="B1580" s="91" t="s">
        <v>597</v>
      </c>
      <c r="C1580" s="101" t="s">
        <v>68</v>
      </c>
      <c r="D1580" s="93">
        <v>15000</v>
      </c>
      <c r="E1580" s="94" t="s">
        <v>69</v>
      </c>
      <c r="F1580" s="95"/>
    </row>
    <row r="1581" spans="1:7" s="53" customFormat="1" x14ac:dyDescent="0.35">
      <c r="A1581" s="208"/>
      <c r="B1581" s="102"/>
      <c r="C1581" s="101" t="s">
        <v>70</v>
      </c>
      <c r="D1581" s="103">
        <v>10000</v>
      </c>
      <c r="E1581" s="104"/>
      <c r="F1581" s="105"/>
    </row>
    <row r="1582" spans="1:7" s="53" customFormat="1" x14ac:dyDescent="0.35">
      <c r="A1582" s="208"/>
      <c r="B1582" s="102"/>
      <c r="C1582" s="101" t="s">
        <v>71</v>
      </c>
      <c r="D1582" s="103">
        <v>40000</v>
      </c>
      <c r="E1582" s="104" t="s">
        <v>72</v>
      </c>
      <c r="F1582" s="105"/>
    </row>
    <row r="1583" spans="1:7" s="53" customFormat="1" x14ac:dyDescent="0.35">
      <c r="A1583" s="208"/>
      <c r="B1583" s="102"/>
      <c r="C1583" s="92" t="s">
        <v>73</v>
      </c>
      <c r="D1583" s="106">
        <f>727*140</f>
        <v>101780</v>
      </c>
      <c r="E1583" s="53" t="s">
        <v>602</v>
      </c>
      <c r="F1583" s="105"/>
    </row>
    <row r="1584" spans="1:7" s="53" customFormat="1" ht="15" thickBot="1" x14ac:dyDescent="0.4">
      <c r="A1584" s="208"/>
      <c r="B1584" s="107"/>
      <c r="C1584" s="108"/>
      <c r="D1584" s="109"/>
      <c r="F1584" s="75"/>
    </row>
    <row r="1585" spans="1:6" s="53" customFormat="1" ht="15" thickBot="1" x14ac:dyDescent="0.4">
      <c r="A1585" s="208"/>
      <c r="B1585" s="110"/>
      <c r="C1585" s="111" t="s">
        <v>74</v>
      </c>
      <c r="D1585" s="112">
        <f>SUM(D1572:D1584)</f>
        <v>8419280</v>
      </c>
      <c r="F1585" s="75"/>
    </row>
    <row r="1586" spans="1:6" s="53" customFormat="1" ht="15.5" thickTop="1" thickBot="1" x14ac:dyDescent="0.4">
      <c r="A1586" s="209"/>
      <c r="B1586" s="211"/>
      <c r="C1586" s="211"/>
      <c r="D1586" s="211"/>
      <c r="F1586" s="75"/>
    </row>
    <row r="1587" spans="1:6" s="53" customFormat="1" x14ac:dyDescent="0.35">
      <c r="B1587" s="89"/>
      <c r="C1587" s="53" t="s">
        <v>75</v>
      </c>
      <c r="D1587" s="113">
        <f>D1569-D1585</f>
        <v>4080720</v>
      </c>
      <c r="F1587" s="75"/>
    </row>
    <row r="1588" spans="1:6" s="53" customFormat="1" x14ac:dyDescent="0.35">
      <c r="B1588" s="89"/>
      <c r="D1588" s="113"/>
      <c r="F1588" s="75"/>
    </row>
    <row r="1589" spans="1:6" s="53" customFormat="1" x14ac:dyDescent="0.35">
      <c r="A1589" s="114"/>
      <c r="B1589" s="115"/>
      <c r="C1589" s="114"/>
      <c r="D1589" s="116"/>
      <c r="E1589" s="114"/>
      <c r="F1589" s="117"/>
    </row>
    <row r="1593" spans="1:6" s="53" customFormat="1" ht="23.5" x14ac:dyDescent="0.55000000000000004">
      <c r="B1593" s="206" t="s">
        <v>0</v>
      </c>
      <c r="C1593" s="206"/>
      <c r="D1593" s="206"/>
      <c r="E1593" s="70"/>
      <c r="F1593" s="71"/>
    </row>
    <row r="1594" spans="1:6" s="53" customFormat="1" ht="20.5" x14ac:dyDescent="0.45">
      <c r="B1594" s="72"/>
      <c r="C1594" s="73" t="s">
        <v>584</v>
      </c>
      <c r="D1594" s="74"/>
      <c r="F1594" s="75"/>
    </row>
    <row r="1595" spans="1:6" s="53" customFormat="1" ht="21" thickBot="1" x14ac:dyDescent="0.5">
      <c r="B1595" s="72" t="s">
        <v>302</v>
      </c>
      <c r="C1595" s="76" t="s">
        <v>47</v>
      </c>
      <c r="D1595" s="74"/>
      <c r="F1595" s="75"/>
    </row>
    <row r="1596" spans="1:6" s="53" customFormat="1" ht="15" thickBot="1" x14ac:dyDescent="0.4">
      <c r="A1596" s="77" t="s">
        <v>48</v>
      </c>
      <c r="B1596" s="78" t="s">
        <v>26</v>
      </c>
      <c r="C1596" s="78" t="s">
        <v>49</v>
      </c>
      <c r="D1596" s="79" t="s">
        <v>29</v>
      </c>
      <c r="F1596" s="75"/>
    </row>
    <row r="1597" spans="1:6" s="53" customFormat="1" ht="14.5" customHeight="1" x14ac:dyDescent="0.35">
      <c r="A1597" s="207" t="s">
        <v>32</v>
      </c>
      <c r="B1597" s="80" t="s">
        <v>579</v>
      </c>
      <c r="C1597" s="81" t="s">
        <v>103</v>
      </c>
      <c r="D1597" s="82">
        <f>F1604</f>
        <v>13860000</v>
      </c>
      <c r="F1597" s="75"/>
    </row>
    <row r="1598" spans="1:6" s="53" customFormat="1" ht="21" thickBot="1" x14ac:dyDescent="0.5">
      <c r="A1598" s="208"/>
      <c r="B1598" s="72"/>
      <c r="C1598" s="72"/>
      <c r="D1598" s="74"/>
      <c r="F1598" s="75"/>
    </row>
    <row r="1599" spans="1:6" s="53" customFormat="1" ht="15" thickBot="1" x14ac:dyDescent="0.4">
      <c r="A1599" s="208"/>
      <c r="B1599" s="83" t="s">
        <v>26</v>
      </c>
      <c r="C1599" s="84" t="s">
        <v>51</v>
      </c>
      <c r="D1599" s="85" t="s">
        <v>52</v>
      </c>
      <c r="F1599" s="75"/>
    </row>
    <row r="1600" spans="1:6" s="89" customFormat="1" x14ac:dyDescent="0.35">
      <c r="A1600" s="208"/>
      <c r="B1600" s="86" t="str">
        <f>B1597</f>
        <v>24th February,2026</v>
      </c>
      <c r="C1600" s="87" t="s">
        <v>154</v>
      </c>
      <c r="D1600" s="88">
        <f>1850*2750</f>
        <v>5087500</v>
      </c>
      <c r="F1600" s="90"/>
    </row>
    <row r="1601" spans="1:7" s="53" customFormat="1" x14ac:dyDescent="0.35">
      <c r="A1601" s="208"/>
      <c r="B1601" s="91"/>
      <c r="C1601" s="92" t="s">
        <v>606</v>
      </c>
      <c r="D1601" s="93">
        <f>325*2500</f>
        <v>812500</v>
      </c>
      <c r="F1601" s="75"/>
    </row>
    <row r="1602" spans="1:7" s="53" customFormat="1" x14ac:dyDescent="0.35">
      <c r="A1602" s="208"/>
      <c r="B1602" s="91" t="s">
        <v>54</v>
      </c>
      <c r="C1602" s="92" t="s">
        <v>55</v>
      </c>
      <c r="D1602" s="93">
        <v>1000000</v>
      </c>
      <c r="F1602" s="75"/>
    </row>
    <row r="1603" spans="1:7" s="53" customFormat="1" x14ac:dyDescent="0.35">
      <c r="A1603" s="208"/>
      <c r="B1603" s="91" t="s">
        <v>56</v>
      </c>
      <c r="C1603" s="92" t="s">
        <v>57</v>
      </c>
      <c r="D1603" s="93">
        <v>40000</v>
      </c>
      <c r="E1603" s="210" t="s">
        <v>58</v>
      </c>
      <c r="F1603" s="210"/>
    </row>
    <row r="1604" spans="1:7" s="53" customFormat="1" x14ac:dyDescent="0.35">
      <c r="A1604" s="208"/>
      <c r="B1604" s="91" t="s">
        <v>59</v>
      </c>
      <c r="C1604" s="92" t="s">
        <v>60</v>
      </c>
      <c r="D1604" s="93">
        <f>1050*140</f>
        <v>147000</v>
      </c>
      <c r="E1604" s="94" t="s">
        <v>61</v>
      </c>
      <c r="F1604" s="95">
        <f>5500*2520</f>
        <v>13860000</v>
      </c>
    </row>
    <row r="1605" spans="1:7" s="53" customFormat="1" x14ac:dyDescent="0.35">
      <c r="A1605" s="208"/>
      <c r="B1605" s="91"/>
      <c r="C1605" s="92" t="s">
        <v>62</v>
      </c>
      <c r="D1605" s="93">
        <f>4200*140</f>
        <v>588000</v>
      </c>
      <c r="E1605" s="96" t="s">
        <v>63</v>
      </c>
      <c r="F1605" s="75">
        <f>(3300*2520)+(2200*2520)</f>
        <v>13860000</v>
      </c>
    </row>
    <row r="1606" spans="1:7" s="53" customFormat="1" ht="15" thickBot="1" x14ac:dyDescent="0.4">
      <c r="A1606" s="208"/>
      <c r="B1606" s="91" t="s">
        <v>64</v>
      </c>
      <c r="C1606" s="92" t="s">
        <v>65</v>
      </c>
      <c r="D1606" s="97">
        <v>30000</v>
      </c>
      <c r="E1606" s="98" t="s">
        <v>66</v>
      </c>
      <c r="F1606" s="99">
        <f>F1604-F1605</f>
        <v>0</v>
      </c>
      <c r="G1606" s="100">
        <f>F1606/2520</f>
        <v>0</v>
      </c>
    </row>
    <row r="1607" spans="1:7" s="53" customFormat="1" ht="15" thickTop="1" x14ac:dyDescent="0.35">
      <c r="A1607" s="208"/>
      <c r="B1607" s="91"/>
      <c r="C1607" s="92" t="s">
        <v>67</v>
      </c>
      <c r="D1607" s="93">
        <v>150000</v>
      </c>
      <c r="F1607" s="75"/>
    </row>
    <row r="1608" spans="1:7" s="53" customFormat="1" x14ac:dyDescent="0.35">
      <c r="A1608" s="208"/>
      <c r="B1608" s="91" t="s">
        <v>583</v>
      </c>
      <c r="C1608" s="101" t="s">
        <v>68</v>
      </c>
      <c r="D1608" s="93">
        <v>15000</v>
      </c>
      <c r="E1608" s="94" t="s">
        <v>69</v>
      </c>
      <c r="F1608" s="95"/>
    </row>
    <row r="1609" spans="1:7" s="53" customFormat="1" x14ac:dyDescent="0.35">
      <c r="A1609" s="208"/>
      <c r="B1609" s="102"/>
      <c r="C1609" s="101" t="s">
        <v>70</v>
      </c>
      <c r="D1609" s="103">
        <v>10000</v>
      </c>
      <c r="E1609" s="104"/>
      <c r="F1609" s="105"/>
    </row>
    <row r="1610" spans="1:7" s="53" customFormat="1" x14ac:dyDescent="0.35">
      <c r="A1610" s="208"/>
      <c r="B1610" s="102"/>
      <c r="C1610" s="101" t="s">
        <v>71</v>
      </c>
      <c r="D1610" s="103">
        <v>30000</v>
      </c>
      <c r="E1610" s="104" t="s">
        <v>72</v>
      </c>
      <c r="F1610" s="105"/>
    </row>
    <row r="1611" spans="1:7" s="53" customFormat="1" x14ac:dyDescent="0.35">
      <c r="A1611" s="208"/>
      <c r="B1611" s="102"/>
      <c r="C1611" s="92"/>
      <c r="D1611" s="106"/>
      <c r="E1611" s="53" t="s">
        <v>622</v>
      </c>
      <c r="F1611" s="105"/>
    </row>
    <row r="1612" spans="1:7" s="53" customFormat="1" ht="15" thickBot="1" x14ac:dyDescent="0.4">
      <c r="A1612" s="208"/>
      <c r="B1612" s="107"/>
      <c r="C1612" s="108"/>
      <c r="D1612" s="109"/>
      <c r="E1612" s="53" t="s">
        <v>860</v>
      </c>
      <c r="F1612" s="75"/>
    </row>
    <row r="1613" spans="1:7" s="53" customFormat="1" ht="15" thickBot="1" x14ac:dyDescent="0.4">
      <c r="A1613" s="208"/>
      <c r="B1613" s="110"/>
      <c r="C1613" s="111" t="s">
        <v>74</v>
      </c>
      <c r="D1613" s="112">
        <f>SUM(D1600:D1612)</f>
        <v>7910000</v>
      </c>
      <c r="F1613" s="75"/>
    </row>
    <row r="1614" spans="1:7" s="53" customFormat="1" ht="15.5" thickTop="1" thickBot="1" x14ac:dyDescent="0.4">
      <c r="A1614" s="209"/>
      <c r="B1614" s="211"/>
      <c r="C1614" s="211"/>
      <c r="D1614" s="211"/>
      <c r="F1614" s="75"/>
    </row>
    <row r="1615" spans="1:7" s="53" customFormat="1" x14ac:dyDescent="0.35">
      <c r="B1615" s="89"/>
      <c r="C1615" s="53" t="s">
        <v>75</v>
      </c>
      <c r="D1615" s="113">
        <f>D1597-D1613</f>
        <v>5950000</v>
      </c>
      <c r="F1615" s="75"/>
    </row>
    <row r="1616" spans="1:7" s="53" customFormat="1" x14ac:dyDescent="0.35">
      <c r="B1616" s="89"/>
      <c r="D1616" s="113"/>
      <c r="F1616" s="75"/>
    </row>
    <row r="1617" spans="1:7" s="53" customFormat="1" x14ac:dyDescent="0.35">
      <c r="A1617" s="114"/>
      <c r="B1617" s="115"/>
      <c r="C1617" s="114"/>
      <c r="D1617" s="116"/>
      <c r="E1617" s="114"/>
      <c r="F1617" s="117"/>
    </row>
    <row r="1619" spans="1:7" s="53" customFormat="1" ht="23.5" x14ac:dyDescent="0.55000000000000004">
      <c r="B1619" s="206" t="s">
        <v>0</v>
      </c>
      <c r="C1619" s="206"/>
      <c r="D1619" s="206"/>
      <c r="E1619" s="70"/>
      <c r="F1619" s="71"/>
    </row>
    <row r="1620" spans="1:7" s="53" customFormat="1" ht="20.5" x14ac:dyDescent="0.45">
      <c r="B1620" s="72"/>
      <c r="C1620" s="73" t="s">
        <v>587</v>
      </c>
      <c r="D1620" s="74"/>
      <c r="F1620" s="75"/>
    </row>
    <row r="1621" spans="1:7" s="53" customFormat="1" ht="21" thickBot="1" x14ac:dyDescent="0.5">
      <c r="B1621" s="72" t="s">
        <v>251</v>
      </c>
      <c r="C1621" s="76" t="s">
        <v>47</v>
      </c>
      <c r="D1621" s="74"/>
      <c r="F1621" s="75"/>
    </row>
    <row r="1622" spans="1:7" s="53" customFormat="1" ht="15" thickBot="1" x14ac:dyDescent="0.4">
      <c r="A1622" s="77" t="s">
        <v>48</v>
      </c>
      <c r="B1622" s="78" t="s">
        <v>26</v>
      </c>
      <c r="C1622" s="78" t="s">
        <v>49</v>
      </c>
      <c r="D1622" s="79" t="s">
        <v>29</v>
      </c>
      <c r="F1622" s="75"/>
    </row>
    <row r="1623" spans="1:7" s="53" customFormat="1" ht="14.5" customHeight="1" x14ac:dyDescent="0.35">
      <c r="A1623" s="207" t="s">
        <v>32</v>
      </c>
      <c r="B1623" s="80" t="s">
        <v>588</v>
      </c>
      <c r="C1623" s="81" t="s">
        <v>103</v>
      </c>
      <c r="D1623" s="82">
        <f>F1630</f>
        <v>13860000</v>
      </c>
      <c r="F1623" s="75"/>
    </row>
    <row r="1624" spans="1:7" s="53" customFormat="1" ht="21" thickBot="1" x14ac:dyDescent="0.5">
      <c r="A1624" s="208"/>
      <c r="B1624" s="72"/>
      <c r="C1624" s="72"/>
      <c r="D1624" s="74"/>
      <c r="F1624" s="75"/>
    </row>
    <row r="1625" spans="1:7" s="53" customFormat="1" ht="15" thickBot="1" x14ac:dyDescent="0.4">
      <c r="A1625" s="208"/>
      <c r="B1625" s="83" t="s">
        <v>26</v>
      </c>
      <c r="C1625" s="84" t="s">
        <v>51</v>
      </c>
      <c r="D1625" s="85" t="s">
        <v>52</v>
      </c>
      <c r="F1625" s="75"/>
    </row>
    <row r="1626" spans="1:7" s="89" customFormat="1" x14ac:dyDescent="0.35">
      <c r="A1626" s="208"/>
      <c r="B1626" s="86" t="str">
        <f>B1623</f>
        <v>25th February,2026</v>
      </c>
      <c r="C1626" s="87" t="s">
        <v>154</v>
      </c>
      <c r="D1626" s="88">
        <f>1850*2750</f>
        <v>5087500</v>
      </c>
      <c r="F1626" s="90"/>
    </row>
    <row r="1627" spans="1:7" s="53" customFormat="1" x14ac:dyDescent="0.35">
      <c r="A1627" s="208"/>
      <c r="B1627" s="91"/>
      <c r="C1627" s="92" t="s">
        <v>606</v>
      </c>
      <c r="D1627" s="93">
        <f>325*2500</f>
        <v>812500</v>
      </c>
      <c r="F1627" s="75"/>
    </row>
    <row r="1628" spans="1:7" s="53" customFormat="1" x14ac:dyDescent="0.35">
      <c r="A1628" s="208"/>
      <c r="B1628" s="91" t="s">
        <v>54</v>
      </c>
      <c r="C1628" s="92" t="s">
        <v>55</v>
      </c>
      <c r="D1628" s="93">
        <v>1000000</v>
      </c>
      <c r="F1628" s="75"/>
    </row>
    <row r="1629" spans="1:7" s="53" customFormat="1" x14ac:dyDescent="0.35">
      <c r="A1629" s="208"/>
      <c r="B1629" s="91" t="s">
        <v>56</v>
      </c>
      <c r="C1629" s="92" t="s">
        <v>57</v>
      </c>
      <c r="D1629" s="93">
        <v>40000</v>
      </c>
      <c r="E1629" s="210" t="s">
        <v>58</v>
      </c>
      <c r="F1629" s="210"/>
    </row>
    <row r="1630" spans="1:7" s="53" customFormat="1" x14ac:dyDescent="0.35">
      <c r="A1630" s="208"/>
      <c r="B1630" s="91" t="s">
        <v>59</v>
      </c>
      <c r="C1630" s="92" t="s">
        <v>60</v>
      </c>
      <c r="D1630" s="93">
        <f>950*140</f>
        <v>133000</v>
      </c>
      <c r="E1630" s="94" t="s">
        <v>61</v>
      </c>
      <c r="F1630" s="95">
        <f>5500*2520</f>
        <v>13860000</v>
      </c>
    </row>
    <row r="1631" spans="1:7" s="53" customFormat="1" x14ac:dyDescent="0.35">
      <c r="A1631" s="208"/>
      <c r="B1631" s="91"/>
      <c r="C1631" s="92" t="s">
        <v>62</v>
      </c>
      <c r="D1631" s="93">
        <f>4200*140</f>
        <v>588000</v>
      </c>
      <c r="E1631" s="96" t="s">
        <v>63</v>
      </c>
      <c r="F1631" s="75">
        <f>(3300*2520)+(2200*2520)</f>
        <v>13860000</v>
      </c>
    </row>
    <row r="1632" spans="1:7" s="53" customFormat="1" ht="15" thickBot="1" x14ac:dyDescent="0.4">
      <c r="A1632" s="208"/>
      <c r="B1632" s="91" t="s">
        <v>64</v>
      </c>
      <c r="C1632" s="92" t="s">
        <v>65</v>
      </c>
      <c r="D1632" s="97">
        <v>30000</v>
      </c>
      <c r="E1632" s="98" t="s">
        <v>66</v>
      </c>
      <c r="F1632" s="99">
        <f>F1630-F1631</f>
        <v>0</v>
      </c>
      <c r="G1632" s="100">
        <f>F1632/2520</f>
        <v>0</v>
      </c>
    </row>
    <row r="1633" spans="1:6" s="53" customFormat="1" ht="15" thickTop="1" x14ac:dyDescent="0.35">
      <c r="A1633" s="208"/>
      <c r="B1633" s="91"/>
      <c r="C1633" s="92" t="s">
        <v>67</v>
      </c>
      <c r="D1633" s="93">
        <v>150000</v>
      </c>
      <c r="F1633" s="75"/>
    </row>
    <row r="1634" spans="1:6" s="53" customFormat="1" x14ac:dyDescent="0.35">
      <c r="A1634" s="208"/>
      <c r="B1634" s="91" t="s">
        <v>586</v>
      </c>
      <c r="C1634" s="101" t="s">
        <v>68</v>
      </c>
      <c r="D1634" s="93">
        <v>15000</v>
      </c>
      <c r="E1634" s="94" t="s">
        <v>69</v>
      </c>
      <c r="F1634" s="95"/>
    </row>
    <row r="1635" spans="1:6" s="53" customFormat="1" x14ac:dyDescent="0.35">
      <c r="A1635" s="208"/>
      <c r="B1635" s="102"/>
      <c r="C1635" s="101" t="s">
        <v>70</v>
      </c>
      <c r="D1635" s="103">
        <v>10000</v>
      </c>
      <c r="E1635" s="104"/>
      <c r="F1635" s="105"/>
    </row>
    <row r="1636" spans="1:6" s="53" customFormat="1" x14ac:dyDescent="0.35">
      <c r="A1636" s="208"/>
      <c r="B1636" s="102"/>
      <c r="C1636" s="101" t="s">
        <v>71</v>
      </c>
      <c r="D1636" s="103">
        <v>40000</v>
      </c>
      <c r="E1636" s="104" t="s">
        <v>72</v>
      </c>
      <c r="F1636" s="105"/>
    </row>
    <row r="1637" spans="1:6" s="53" customFormat="1" x14ac:dyDescent="0.35">
      <c r="A1637" s="208"/>
      <c r="B1637" s="102"/>
      <c r="C1637" s="92" t="s">
        <v>73</v>
      </c>
      <c r="D1637" s="106">
        <f>718*140</f>
        <v>100520</v>
      </c>
      <c r="E1637" s="53" t="s">
        <v>682</v>
      </c>
      <c r="F1637" s="105"/>
    </row>
    <row r="1638" spans="1:6" s="53" customFormat="1" ht="15" thickBot="1" x14ac:dyDescent="0.4">
      <c r="A1638" s="208"/>
      <c r="B1638" s="107"/>
      <c r="C1638" s="108"/>
      <c r="D1638" s="109"/>
      <c r="E1638" s="53" t="s">
        <v>861</v>
      </c>
      <c r="F1638" s="75"/>
    </row>
    <row r="1639" spans="1:6" s="53" customFormat="1" ht="15" thickBot="1" x14ac:dyDescent="0.4">
      <c r="A1639" s="208"/>
      <c r="B1639" s="110"/>
      <c r="C1639" s="111" t="s">
        <v>74</v>
      </c>
      <c r="D1639" s="112">
        <f>SUM(D1626:D1638)</f>
        <v>8006520</v>
      </c>
      <c r="F1639" s="75"/>
    </row>
    <row r="1640" spans="1:6" s="53" customFormat="1" ht="15.5" thickTop="1" thickBot="1" x14ac:dyDescent="0.4">
      <c r="A1640" s="209"/>
      <c r="B1640" s="211"/>
      <c r="C1640" s="211"/>
      <c r="D1640" s="211"/>
      <c r="F1640" s="75"/>
    </row>
    <row r="1641" spans="1:6" s="53" customFormat="1" x14ac:dyDescent="0.35">
      <c r="B1641" s="89"/>
      <c r="C1641" s="53" t="s">
        <v>75</v>
      </c>
      <c r="D1641" s="113">
        <f>D1623-D1639</f>
        <v>5853480</v>
      </c>
      <c r="F1641" s="75"/>
    </row>
    <row r="1642" spans="1:6" s="53" customFormat="1" x14ac:dyDescent="0.35">
      <c r="B1642" s="89"/>
      <c r="D1642" s="113"/>
      <c r="F1642" s="75"/>
    </row>
    <row r="1643" spans="1:6" s="53" customFormat="1" x14ac:dyDescent="0.35">
      <c r="A1643" s="114"/>
      <c r="B1643" s="115"/>
      <c r="C1643" s="114"/>
      <c r="D1643" s="116"/>
      <c r="E1643" s="114"/>
      <c r="F1643" s="117"/>
    </row>
    <row r="1645" spans="1:6" s="53" customFormat="1" ht="23.5" x14ac:dyDescent="0.55000000000000004">
      <c r="B1645" s="206" t="s">
        <v>0</v>
      </c>
      <c r="C1645" s="206"/>
      <c r="D1645" s="206"/>
      <c r="E1645" s="70"/>
      <c r="F1645" s="71"/>
    </row>
    <row r="1646" spans="1:6" s="53" customFormat="1" ht="20.5" x14ac:dyDescent="0.45">
      <c r="B1646" s="72"/>
      <c r="C1646" s="73" t="s">
        <v>593</v>
      </c>
      <c r="D1646" s="74"/>
      <c r="F1646" s="75"/>
    </row>
    <row r="1647" spans="1:6" s="53" customFormat="1" ht="21" thickBot="1" x14ac:dyDescent="0.5">
      <c r="B1647" s="72" t="s">
        <v>206</v>
      </c>
      <c r="C1647" s="76" t="s">
        <v>47</v>
      </c>
      <c r="D1647" s="74"/>
      <c r="F1647" s="75"/>
    </row>
    <row r="1648" spans="1:6" s="53" customFormat="1" ht="15" thickBot="1" x14ac:dyDescent="0.4">
      <c r="A1648" s="77" t="s">
        <v>48</v>
      </c>
      <c r="B1648" s="78" t="s">
        <v>26</v>
      </c>
      <c r="C1648" s="78" t="s">
        <v>49</v>
      </c>
      <c r="D1648" s="79" t="s">
        <v>29</v>
      </c>
      <c r="F1648" s="75"/>
    </row>
    <row r="1649" spans="1:7" s="53" customFormat="1" ht="14.5" customHeight="1" x14ac:dyDescent="0.35">
      <c r="A1649" s="207" t="s">
        <v>32</v>
      </c>
      <c r="B1649" s="80" t="s">
        <v>588</v>
      </c>
      <c r="C1649" s="81" t="s">
        <v>103</v>
      </c>
      <c r="D1649" s="82">
        <f>F1656</f>
        <v>13860000</v>
      </c>
      <c r="F1649" s="75"/>
    </row>
    <row r="1650" spans="1:7" s="53" customFormat="1" ht="21" thickBot="1" x14ac:dyDescent="0.5">
      <c r="A1650" s="208"/>
      <c r="B1650" s="72"/>
      <c r="C1650" s="72"/>
      <c r="D1650" s="74"/>
      <c r="F1650" s="75"/>
    </row>
    <row r="1651" spans="1:7" s="53" customFormat="1" ht="15" thickBot="1" x14ac:dyDescent="0.4">
      <c r="A1651" s="208"/>
      <c r="B1651" s="83" t="s">
        <v>26</v>
      </c>
      <c r="C1651" s="84" t="s">
        <v>51</v>
      </c>
      <c r="D1651" s="85" t="s">
        <v>52</v>
      </c>
      <c r="F1651" s="75"/>
    </row>
    <row r="1652" spans="1:7" s="89" customFormat="1" x14ac:dyDescent="0.35">
      <c r="A1652" s="208"/>
      <c r="B1652" s="86" t="str">
        <f>B1649</f>
        <v>25th February,2026</v>
      </c>
      <c r="C1652" s="87" t="s">
        <v>154</v>
      </c>
      <c r="D1652" s="88">
        <f>1850*2750</f>
        <v>5087500</v>
      </c>
      <c r="F1652" s="90"/>
    </row>
    <row r="1653" spans="1:7" s="53" customFormat="1" x14ac:dyDescent="0.35">
      <c r="A1653" s="208"/>
      <c r="B1653" s="91"/>
      <c r="C1653" s="92" t="s">
        <v>606</v>
      </c>
      <c r="D1653" s="93">
        <f>325*2500</f>
        <v>812500</v>
      </c>
      <c r="F1653" s="75"/>
    </row>
    <row r="1654" spans="1:7" s="53" customFormat="1" x14ac:dyDescent="0.35">
      <c r="A1654" s="208"/>
      <c r="B1654" s="91" t="s">
        <v>54</v>
      </c>
      <c r="C1654" s="92" t="s">
        <v>55</v>
      </c>
      <c r="D1654" s="93">
        <v>1000000</v>
      </c>
      <c r="F1654" s="75"/>
    </row>
    <row r="1655" spans="1:7" s="53" customFormat="1" x14ac:dyDescent="0.35">
      <c r="A1655" s="208"/>
      <c r="B1655" s="91" t="s">
        <v>56</v>
      </c>
      <c r="C1655" s="92" t="s">
        <v>57</v>
      </c>
      <c r="D1655" s="93">
        <v>40000</v>
      </c>
      <c r="E1655" s="210" t="s">
        <v>58</v>
      </c>
      <c r="F1655" s="210"/>
    </row>
    <row r="1656" spans="1:7" s="53" customFormat="1" x14ac:dyDescent="0.35">
      <c r="A1656" s="208"/>
      <c r="B1656" s="91" t="s">
        <v>59</v>
      </c>
      <c r="C1656" s="92" t="s">
        <v>60</v>
      </c>
      <c r="D1656" s="93">
        <f>950*140</f>
        <v>133000</v>
      </c>
      <c r="E1656" s="94" t="s">
        <v>61</v>
      </c>
      <c r="F1656" s="95">
        <f>5500*2520</f>
        <v>13860000</v>
      </c>
    </row>
    <row r="1657" spans="1:7" s="53" customFormat="1" x14ac:dyDescent="0.35">
      <c r="A1657" s="208"/>
      <c r="B1657" s="91"/>
      <c r="C1657" s="92" t="s">
        <v>62</v>
      </c>
      <c r="D1657" s="93">
        <f>4200*140</f>
        <v>588000</v>
      </c>
      <c r="E1657" s="96" t="s">
        <v>63</v>
      </c>
      <c r="F1657" s="75">
        <f>(3300*2520)+(2080*2520)</f>
        <v>13557600</v>
      </c>
    </row>
    <row r="1658" spans="1:7" s="53" customFormat="1" ht="15" thickBot="1" x14ac:dyDescent="0.4">
      <c r="A1658" s="208"/>
      <c r="B1658" s="91" t="s">
        <v>64</v>
      </c>
      <c r="C1658" s="92" t="s">
        <v>65</v>
      </c>
      <c r="D1658" s="97">
        <v>30000</v>
      </c>
      <c r="E1658" s="98" t="s">
        <v>66</v>
      </c>
      <c r="F1658" s="99">
        <f>F1656-F1657</f>
        <v>302400</v>
      </c>
      <c r="G1658" s="100">
        <f>F1658/2520</f>
        <v>120</v>
      </c>
    </row>
    <row r="1659" spans="1:7" s="53" customFormat="1" ht="15" thickTop="1" x14ac:dyDescent="0.35">
      <c r="A1659" s="208"/>
      <c r="B1659" s="91"/>
      <c r="C1659" s="92" t="s">
        <v>67</v>
      </c>
      <c r="D1659" s="93">
        <v>150000</v>
      </c>
      <c r="F1659" s="75"/>
    </row>
    <row r="1660" spans="1:7" s="53" customFormat="1" x14ac:dyDescent="0.35">
      <c r="A1660" s="208"/>
      <c r="B1660" s="91" t="s">
        <v>592</v>
      </c>
      <c r="C1660" s="101" t="s">
        <v>68</v>
      </c>
      <c r="D1660" s="93">
        <v>15000</v>
      </c>
      <c r="E1660" s="94" t="s">
        <v>69</v>
      </c>
      <c r="F1660" s="95"/>
    </row>
    <row r="1661" spans="1:7" s="53" customFormat="1" x14ac:dyDescent="0.35">
      <c r="A1661" s="208"/>
      <c r="B1661" s="102"/>
      <c r="C1661" s="101" t="s">
        <v>70</v>
      </c>
      <c r="D1661" s="103">
        <v>10000</v>
      </c>
      <c r="E1661" s="104"/>
      <c r="F1661" s="105"/>
    </row>
    <row r="1662" spans="1:7" s="53" customFormat="1" x14ac:dyDescent="0.35">
      <c r="A1662" s="208"/>
      <c r="B1662" s="102"/>
      <c r="C1662" s="101" t="s">
        <v>71</v>
      </c>
      <c r="D1662" s="103">
        <v>40000</v>
      </c>
      <c r="E1662" s="104" t="s">
        <v>72</v>
      </c>
      <c r="F1662" s="105"/>
    </row>
    <row r="1663" spans="1:7" s="53" customFormat="1" x14ac:dyDescent="0.35">
      <c r="A1663" s="208"/>
      <c r="B1663" s="102"/>
      <c r="C1663" s="92" t="s">
        <v>73</v>
      </c>
      <c r="D1663" s="106">
        <f>718*140</f>
        <v>100520</v>
      </c>
      <c r="E1663" s="53" t="s">
        <v>682</v>
      </c>
      <c r="F1663" s="105"/>
    </row>
    <row r="1664" spans="1:7" s="53" customFormat="1" ht="15" thickBot="1" x14ac:dyDescent="0.4">
      <c r="A1664" s="208"/>
      <c r="B1664" s="107"/>
      <c r="C1664" s="108"/>
      <c r="D1664" s="109"/>
      <c r="E1664" s="53" t="s">
        <v>860</v>
      </c>
      <c r="F1664" s="75"/>
    </row>
    <row r="1665" spans="1:6" s="53" customFormat="1" ht="15" thickBot="1" x14ac:dyDescent="0.4">
      <c r="A1665" s="208"/>
      <c r="B1665" s="110"/>
      <c r="C1665" s="111" t="s">
        <v>74</v>
      </c>
      <c r="D1665" s="112">
        <f>SUM(D1652:D1664)</f>
        <v>8006520</v>
      </c>
      <c r="F1665" s="75"/>
    </row>
    <row r="1666" spans="1:6" s="53" customFormat="1" ht="15.5" thickTop="1" thickBot="1" x14ac:dyDescent="0.4">
      <c r="A1666" s="209"/>
      <c r="B1666" s="211"/>
      <c r="C1666" s="211"/>
      <c r="D1666" s="211"/>
      <c r="F1666" s="75"/>
    </row>
    <row r="1667" spans="1:6" s="53" customFormat="1" x14ac:dyDescent="0.35">
      <c r="B1667" s="89"/>
      <c r="C1667" s="53" t="s">
        <v>75</v>
      </c>
      <c r="D1667" s="113">
        <f>D1649-D1665</f>
        <v>5853480</v>
      </c>
      <c r="F1667" s="75"/>
    </row>
    <row r="1668" spans="1:6" s="53" customFormat="1" x14ac:dyDescent="0.35">
      <c r="B1668" s="89"/>
      <c r="D1668" s="113"/>
      <c r="F1668" s="75"/>
    </row>
    <row r="1669" spans="1:6" s="53" customFormat="1" x14ac:dyDescent="0.35">
      <c r="A1669" s="114"/>
      <c r="B1669" s="115"/>
      <c r="C1669" s="114"/>
      <c r="D1669" s="116"/>
      <c r="E1669" s="114"/>
      <c r="F1669" s="117"/>
    </row>
    <row r="1671" spans="1:6" s="53" customFormat="1" ht="23.5" x14ac:dyDescent="0.55000000000000004">
      <c r="B1671" s="206" t="s">
        <v>0</v>
      </c>
      <c r="C1671" s="206"/>
      <c r="D1671" s="206"/>
      <c r="E1671" s="70"/>
      <c r="F1671" s="71"/>
    </row>
    <row r="1672" spans="1:6" s="53" customFormat="1" ht="20.5" x14ac:dyDescent="0.45">
      <c r="B1672" s="72"/>
      <c r="C1672" s="73" t="s">
        <v>595</v>
      </c>
      <c r="D1672" s="74"/>
      <c r="F1672" s="75"/>
    </row>
    <row r="1673" spans="1:6" s="53" customFormat="1" ht="21" thickBot="1" x14ac:dyDescent="0.5">
      <c r="B1673" s="72" t="s">
        <v>596</v>
      </c>
      <c r="C1673" s="76" t="s">
        <v>47</v>
      </c>
      <c r="D1673" s="74"/>
      <c r="F1673" s="75"/>
    </row>
    <row r="1674" spans="1:6" s="53" customFormat="1" ht="15" thickBot="1" x14ac:dyDescent="0.4">
      <c r="A1674" s="77" t="s">
        <v>48</v>
      </c>
      <c r="B1674" s="78" t="s">
        <v>26</v>
      </c>
      <c r="C1674" s="78" t="s">
        <v>49</v>
      </c>
      <c r="D1674" s="79" t="s">
        <v>29</v>
      </c>
      <c r="F1674" s="75"/>
    </row>
    <row r="1675" spans="1:6" s="53" customFormat="1" ht="14.5" customHeight="1" x14ac:dyDescent="0.35">
      <c r="A1675" s="207" t="s">
        <v>32</v>
      </c>
      <c r="B1675" s="80" t="s">
        <v>588</v>
      </c>
      <c r="C1675" s="81" t="s">
        <v>103</v>
      </c>
      <c r="D1675" s="82">
        <f>F1682</f>
        <v>13860000</v>
      </c>
      <c r="F1675" s="75"/>
    </row>
    <row r="1676" spans="1:6" s="53" customFormat="1" ht="21" thickBot="1" x14ac:dyDescent="0.5">
      <c r="A1676" s="208"/>
      <c r="B1676" s="72"/>
      <c r="C1676" s="72"/>
      <c r="D1676" s="74"/>
      <c r="F1676" s="75"/>
    </row>
    <row r="1677" spans="1:6" s="53" customFormat="1" ht="15" thickBot="1" x14ac:dyDescent="0.4">
      <c r="A1677" s="208"/>
      <c r="B1677" s="83" t="s">
        <v>26</v>
      </c>
      <c r="C1677" s="84" t="s">
        <v>51</v>
      </c>
      <c r="D1677" s="85" t="s">
        <v>52</v>
      </c>
      <c r="F1677" s="75"/>
    </row>
    <row r="1678" spans="1:6" s="89" customFormat="1" x14ac:dyDescent="0.35">
      <c r="A1678" s="208"/>
      <c r="B1678" s="86" t="str">
        <f>B1675</f>
        <v>25th February,2026</v>
      </c>
      <c r="C1678" s="87" t="s">
        <v>154</v>
      </c>
      <c r="D1678" s="88">
        <f>1850*2750</f>
        <v>5087500</v>
      </c>
      <c r="F1678" s="90"/>
    </row>
    <row r="1679" spans="1:6" s="53" customFormat="1" x14ac:dyDescent="0.35">
      <c r="A1679" s="208"/>
      <c r="B1679" s="91"/>
      <c r="C1679" s="92" t="s">
        <v>606</v>
      </c>
      <c r="D1679" s="93">
        <f>325*2500</f>
        <v>812500</v>
      </c>
      <c r="F1679" s="75"/>
    </row>
    <row r="1680" spans="1:6" s="53" customFormat="1" x14ac:dyDescent="0.35">
      <c r="A1680" s="208"/>
      <c r="B1680" s="91" t="s">
        <v>54</v>
      </c>
      <c r="C1680" s="92" t="s">
        <v>55</v>
      </c>
      <c r="D1680" s="93">
        <v>1000000</v>
      </c>
      <c r="F1680" s="75"/>
    </row>
    <row r="1681" spans="1:7" s="53" customFormat="1" x14ac:dyDescent="0.35">
      <c r="A1681" s="208"/>
      <c r="B1681" s="91" t="s">
        <v>56</v>
      </c>
      <c r="C1681" s="92" t="s">
        <v>57</v>
      </c>
      <c r="D1681" s="93">
        <v>40000</v>
      </c>
      <c r="E1681" s="210" t="s">
        <v>58</v>
      </c>
      <c r="F1681" s="210"/>
    </row>
    <row r="1682" spans="1:7" s="53" customFormat="1" x14ac:dyDescent="0.35">
      <c r="A1682" s="208"/>
      <c r="B1682" s="91" t="s">
        <v>59</v>
      </c>
      <c r="C1682" s="92" t="s">
        <v>60</v>
      </c>
      <c r="D1682" s="93">
        <f>900*140</f>
        <v>126000</v>
      </c>
      <c r="E1682" s="94" t="s">
        <v>61</v>
      </c>
      <c r="F1682" s="95">
        <f>5500*2520</f>
        <v>13860000</v>
      </c>
    </row>
    <row r="1683" spans="1:7" s="53" customFormat="1" x14ac:dyDescent="0.35">
      <c r="A1683" s="208"/>
      <c r="B1683" s="91"/>
      <c r="C1683" s="92" t="s">
        <v>62</v>
      </c>
      <c r="D1683" s="93">
        <f>4200*140</f>
        <v>588000</v>
      </c>
      <c r="E1683" s="96" t="s">
        <v>63</v>
      </c>
      <c r="F1683" s="75">
        <f>(3300*2520)+(2135.06*2520)</f>
        <v>13696351.199999999</v>
      </c>
    </row>
    <row r="1684" spans="1:7" s="53" customFormat="1" ht="15" thickBot="1" x14ac:dyDescent="0.4">
      <c r="A1684" s="208"/>
      <c r="B1684" s="91" t="s">
        <v>64</v>
      </c>
      <c r="C1684" s="92" t="s">
        <v>65</v>
      </c>
      <c r="D1684" s="97">
        <v>30000</v>
      </c>
      <c r="E1684" s="98" t="s">
        <v>66</v>
      </c>
      <c r="F1684" s="99">
        <f>F1682-F1683</f>
        <v>163648.80000000075</v>
      </c>
      <c r="G1684" s="100">
        <f>F1684/2520</f>
        <v>64.940000000000296</v>
      </c>
    </row>
    <row r="1685" spans="1:7" s="53" customFormat="1" ht="15" thickTop="1" x14ac:dyDescent="0.35">
      <c r="A1685" s="208"/>
      <c r="B1685" s="91"/>
      <c r="C1685" s="92" t="s">
        <v>67</v>
      </c>
      <c r="D1685" s="93">
        <v>150000</v>
      </c>
      <c r="F1685" s="75"/>
    </row>
    <row r="1686" spans="1:7" s="53" customFormat="1" x14ac:dyDescent="0.35">
      <c r="A1686" s="208"/>
      <c r="B1686" s="91" t="s">
        <v>594</v>
      </c>
      <c r="C1686" s="101" t="s">
        <v>68</v>
      </c>
      <c r="D1686" s="93">
        <v>15000</v>
      </c>
      <c r="E1686" s="94" t="s">
        <v>69</v>
      </c>
      <c r="F1686" s="95"/>
    </row>
    <row r="1687" spans="1:7" s="53" customFormat="1" x14ac:dyDescent="0.35">
      <c r="A1687" s="208"/>
      <c r="B1687" s="102"/>
      <c r="C1687" s="101" t="s">
        <v>70</v>
      </c>
      <c r="D1687" s="103">
        <v>10000</v>
      </c>
      <c r="E1687" s="104"/>
      <c r="F1687" s="105"/>
    </row>
    <row r="1688" spans="1:7" s="53" customFormat="1" x14ac:dyDescent="0.35">
      <c r="A1688" s="208"/>
      <c r="B1688" s="102"/>
      <c r="C1688" s="101" t="s">
        <v>71</v>
      </c>
      <c r="D1688" s="103">
        <v>40000</v>
      </c>
      <c r="E1688" s="104" t="s">
        <v>72</v>
      </c>
      <c r="F1688" s="105"/>
    </row>
    <row r="1689" spans="1:7" s="53" customFormat="1" x14ac:dyDescent="0.35">
      <c r="A1689" s="208"/>
      <c r="B1689" s="102"/>
      <c r="C1689" s="92" t="s">
        <v>73</v>
      </c>
      <c r="D1689" s="106">
        <f>728*140</f>
        <v>101920</v>
      </c>
      <c r="E1689" s="53" t="s">
        <v>622</v>
      </c>
      <c r="F1689" s="105"/>
    </row>
    <row r="1690" spans="1:7" s="53" customFormat="1" ht="15" thickBot="1" x14ac:dyDescent="0.4">
      <c r="A1690" s="208"/>
      <c r="B1690" s="107"/>
      <c r="C1690" s="108"/>
      <c r="D1690" s="109"/>
      <c r="E1690" s="53" t="s">
        <v>861</v>
      </c>
      <c r="F1690" s="75"/>
    </row>
    <row r="1691" spans="1:7" s="53" customFormat="1" ht="15" thickBot="1" x14ac:dyDescent="0.4">
      <c r="A1691" s="208"/>
      <c r="B1691" s="110"/>
      <c r="C1691" s="111" t="s">
        <v>74</v>
      </c>
      <c r="D1691" s="112">
        <f>SUM(D1678:D1690)</f>
        <v>8000920</v>
      </c>
      <c r="F1691" s="75"/>
    </row>
    <row r="1692" spans="1:7" s="53" customFormat="1" ht="15.5" thickTop="1" thickBot="1" x14ac:dyDescent="0.4">
      <c r="A1692" s="209"/>
      <c r="B1692" s="211"/>
      <c r="C1692" s="211"/>
      <c r="D1692" s="211"/>
      <c r="F1692" s="75"/>
    </row>
    <row r="1693" spans="1:7" s="53" customFormat="1" x14ac:dyDescent="0.35">
      <c r="B1693" s="89"/>
      <c r="C1693" s="53" t="s">
        <v>75</v>
      </c>
      <c r="D1693" s="113">
        <f>D1675-D1691</f>
        <v>5859080</v>
      </c>
      <c r="F1693" s="75"/>
    </row>
    <row r="1694" spans="1:7" s="53" customFormat="1" x14ac:dyDescent="0.35">
      <c r="B1694" s="89"/>
      <c r="D1694" s="113"/>
      <c r="F1694" s="75"/>
    </row>
    <row r="1695" spans="1:7" s="53" customFormat="1" x14ac:dyDescent="0.35">
      <c r="A1695" s="114"/>
      <c r="B1695" s="115"/>
      <c r="C1695" s="114"/>
      <c r="D1695" s="116"/>
      <c r="E1695" s="114"/>
      <c r="F1695" s="117"/>
    </row>
    <row r="1697" spans="1:7" s="53" customFormat="1" ht="23.5" x14ac:dyDescent="0.55000000000000004">
      <c r="B1697" s="206" t="s">
        <v>0</v>
      </c>
      <c r="C1697" s="206"/>
      <c r="D1697" s="206"/>
      <c r="E1697" s="70"/>
      <c r="F1697" s="71"/>
    </row>
    <row r="1698" spans="1:7" s="53" customFormat="1" ht="20.5" x14ac:dyDescent="0.45">
      <c r="B1698" s="72"/>
      <c r="C1698" s="73" t="s">
        <v>608</v>
      </c>
      <c r="D1698" s="74"/>
      <c r="F1698" s="75"/>
    </row>
    <row r="1699" spans="1:7" s="53" customFormat="1" ht="21" thickBot="1" x14ac:dyDescent="0.5">
      <c r="B1699" s="72" t="s">
        <v>307</v>
      </c>
      <c r="C1699" s="76" t="s">
        <v>47</v>
      </c>
      <c r="D1699" s="74"/>
      <c r="F1699" s="75"/>
    </row>
    <row r="1700" spans="1:7" s="53" customFormat="1" ht="15" thickBot="1" x14ac:dyDescent="0.4">
      <c r="A1700" s="77" t="s">
        <v>48</v>
      </c>
      <c r="B1700" s="78" t="s">
        <v>26</v>
      </c>
      <c r="C1700" s="78" t="s">
        <v>49</v>
      </c>
      <c r="D1700" s="79" t="s">
        <v>29</v>
      </c>
      <c r="F1700" s="75"/>
    </row>
    <row r="1701" spans="1:7" s="53" customFormat="1" ht="14.5" customHeight="1" x14ac:dyDescent="0.35">
      <c r="A1701" s="207" t="s">
        <v>32</v>
      </c>
      <c r="B1701" s="80" t="s">
        <v>588</v>
      </c>
      <c r="C1701" s="81" t="s">
        <v>601</v>
      </c>
      <c r="D1701" s="82">
        <f>F1708</f>
        <v>12500000</v>
      </c>
      <c r="F1701" s="75"/>
    </row>
    <row r="1702" spans="1:7" s="53" customFormat="1" ht="21" thickBot="1" x14ac:dyDescent="0.5">
      <c r="A1702" s="208"/>
      <c r="B1702" s="72"/>
      <c r="C1702" s="72"/>
      <c r="D1702" s="74"/>
      <c r="F1702" s="75"/>
    </row>
    <row r="1703" spans="1:7" s="53" customFormat="1" ht="15" thickBot="1" x14ac:dyDescent="0.4">
      <c r="A1703" s="208"/>
      <c r="B1703" s="83" t="s">
        <v>26</v>
      </c>
      <c r="C1703" s="84" t="s">
        <v>51</v>
      </c>
      <c r="D1703" s="85" t="s">
        <v>52</v>
      </c>
      <c r="F1703" s="75"/>
    </row>
    <row r="1704" spans="1:7" s="89" customFormat="1" x14ac:dyDescent="0.35">
      <c r="A1704" s="208"/>
      <c r="B1704" s="86" t="str">
        <f>B1701</f>
        <v>25th February,2026</v>
      </c>
      <c r="C1704" s="87" t="s">
        <v>154</v>
      </c>
      <c r="D1704" s="88">
        <f>1850*2750</f>
        <v>5087500</v>
      </c>
      <c r="F1704" s="90"/>
    </row>
    <row r="1705" spans="1:7" s="53" customFormat="1" x14ac:dyDescent="0.35">
      <c r="A1705" s="208"/>
      <c r="B1705" s="91"/>
      <c r="C1705" s="92" t="s">
        <v>604</v>
      </c>
      <c r="D1705" s="93">
        <f>428*2500</f>
        <v>1070000</v>
      </c>
      <c r="F1705" s="75"/>
    </row>
    <row r="1706" spans="1:7" s="53" customFormat="1" x14ac:dyDescent="0.35">
      <c r="A1706" s="208"/>
      <c r="B1706" s="91" t="s">
        <v>54</v>
      </c>
      <c r="C1706" s="92" t="s">
        <v>55</v>
      </c>
      <c r="D1706" s="93">
        <v>1000000</v>
      </c>
      <c r="F1706" s="75"/>
    </row>
    <row r="1707" spans="1:7" s="53" customFormat="1" x14ac:dyDescent="0.35">
      <c r="A1707" s="208"/>
      <c r="B1707" s="91" t="s">
        <v>56</v>
      </c>
      <c r="C1707" s="92" t="s">
        <v>57</v>
      </c>
      <c r="D1707" s="93">
        <v>40000</v>
      </c>
      <c r="E1707" s="210" t="s">
        <v>58</v>
      </c>
      <c r="F1707" s="210"/>
    </row>
    <row r="1708" spans="1:7" s="53" customFormat="1" x14ac:dyDescent="0.35">
      <c r="A1708" s="208"/>
      <c r="B1708" s="91" t="s">
        <v>603</v>
      </c>
      <c r="C1708" s="92" t="s">
        <v>60</v>
      </c>
      <c r="D1708" s="93">
        <f>1350*140</f>
        <v>189000</v>
      </c>
      <c r="E1708" s="94" t="s">
        <v>61</v>
      </c>
      <c r="F1708" s="95">
        <f>5000*2500</f>
        <v>12500000</v>
      </c>
    </row>
    <row r="1709" spans="1:7" s="53" customFormat="1" x14ac:dyDescent="0.35">
      <c r="A1709" s="208"/>
      <c r="B1709" s="91"/>
      <c r="C1709" s="92" t="s">
        <v>62</v>
      </c>
      <c r="D1709" s="93">
        <f>4800*140</f>
        <v>672000</v>
      </c>
      <c r="E1709" s="96" t="s">
        <v>63</v>
      </c>
      <c r="F1709" s="75">
        <f>5000*2500</f>
        <v>12500000</v>
      </c>
    </row>
    <row r="1710" spans="1:7" s="53" customFormat="1" ht="15" thickBot="1" x14ac:dyDescent="0.4">
      <c r="A1710" s="208"/>
      <c r="B1710" s="91" t="s">
        <v>64</v>
      </c>
      <c r="C1710" s="92" t="s">
        <v>65</v>
      </c>
      <c r="D1710" s="97">
        <v>30000</v>
      </c>
      <c r="E1710" s="98" t="s">
        <v>66</v>
      </c>
      <c r="F1710" s="99">
        <f>F1708-F1709</f>
        <v>0</v>
      </c>
      <c r="G1710" s="100">
        <f>F1710/2500</f>
        <v>0</v>
      </c>
    </row>
    <row r="1711" spans="1:7" s="53" customFormat="1" ht="15" thickTop="1" x14ac:dyDescent="0.35">
      <c r="A1711" s="208"/>
      <c r="B1711" s="91"/>
      <c r="C1711" s="92" t="s">
        <v>67</v>
      </c>
      <c r="D1711" s="93">
        <v>150000</v>
      </c>
      <c r="F1711" s="75"/>
    </row>
    <row r="1712" spans="1:7" s="53" customFormat="1" x14ac:dyDescent="0.35">
      <c r="A1712" s="208"/>
      <c r="B1712" s="91" t="s">
        <v>607</v>
      </c>
      <c r="C1712" s="101" t="s">
        <v>68</v>
      </c>
      <c r="D1712" s="93">
        <v>15000</v>
      </c>
      <c r="E1712" s="94" t="s">
        <v>69</v>
      </c>
      <c r="F1712" s="95"/>
    </row>
    <row r="1713" spans="1:6" s="53" customFormat="1" x14ac:dyDescent="0.35">
      <c r="A1713" s="208"/>
      <c r="B1713" s="102"/>
      <c r="C1713" s="101" t="s">
        <v>70</v>
      </c>
      <c r="D1713" s="103">
        <v>10000</v>
      </c>
      <c r="E1713" s="104"/>
      <c r="F1713" s="105"/>
    </row>
    <row r="1714" spans="1:6" s="53" customFormat="1" x14ac:dyDescent="0.35">
      <c r="A1714" s="208"/>
      <c r="B1714" s="102"/>
      <c r="C1714" s="101" t="s">
        <v>71</v>
      </c>
      <c r="D1714" s="103">
        <v>40000</v>
      </c>
      <c r="E1714" s="104" t="s">
        <v>72</v>
      </c>
      <c r="F1714" s="105"/>
    </row>
    <row r="1715" spans="1:6" s="53" customFormat="1" x14ac:dyDescent="0.35">
      <c r="A1715" s="208"/>
      <c r="B1715" s="102"/>
      <c r="C1715" s="92" t="s">
        <v>73</v>
      </c>
      <c r="D1715" s="106">
        <f>727*140</f>
        <v>101780</v>
      </c>
      <c r="E1715" s="53" t="s">
        <v>602</v>
      </c>
      <c r="F1715" s="105"/>
    </row>
    <row r="1716" spans="1:6" s="53" customFormat="1" ht="15" thickBot="1" x14ac:dyDescent="0.4">
      <c r="A1716" s="208"/>
      <c r="B1716" s="107"/>
      <c r="C1716" s="108"/>
      <c r="D1716" s="109"/>
      <c r="F1716" s="75"/>
    </row>
    <row r="1717" spans="1:6" s="53" customFormat="1" ht="15" thickBot="1" x14ac:dyDescent="0.4">
      <c r="A1717" s="208"/>
      <c r="B1717" s="110"/>
      <c r="C1717" s="111" t="s">
        <v>74</v>
      </c>
      <c r="D1717" s="112">
        <f>SUM(D1704:D1716)</f>
        <v>8405280</v>
      </c>
      <c r="F1717" s="75"/>
    </row>
    <row r="1718" spans="1:6" s="53" customFormat="1" ht="15.5" thickTop="1" thickBot="1" x14ac:dyDescent="0.4">
      <c r="A1718" s="209"/>
      <c r="B1718" s="211"/>
      <c r="C1718" s="211"/>
      <c r="D1718" s="211"/>
      <c r="F1718" s="75"/>
    </row>
    <row r="1719" spans="1:6" s="53" customFormat="1" x14ac:dyDescent="0.35">
      <c r="B1719" s="89"/>
      <c r="C1719" s="53" t="s">
        <v>75</v>
      </c>
      <c r="D1719" s="113">
        <f>D1701-D1717</f>
        <v>4094720</v>
      </c>
      <c r="F1719" s="75"/>
    </row>
    <row r="1720" spans="1:6" s="53" customFormat="1" x14ac:dyDescent="0.35">
      <c r="B1720" s="89"/>
      <c r="D1720" s="113"/>
      <c r="F1720" s="75"/>
    </row>
    <row r="1721" spans="1:6" s="53" customFormat="1" x14ac:dyDescent="0.35">
      <c r="A1721" s="114"/>
      <c r="B1721" s="115"/>
      <c r="C1721" s="114"/>
      <c r="D1721" s="116"/>
      <c r="E1721" s="114"/>
      <c r="F1721" s="117"/>
    </row>
    <row r="1723" spans="1:6" s="53" customFormat="1" ht="23.5" x14ac:dyDescent="0.55000000000000004">
      <c r="B1723" s="206" t="s">
        <v>0</v>
      </c>
      <c r="C1723" s="206"/>
      <c r="D1723" s="206"/>
      <c r="E1723" s="70"/>
      <c r="F1723" s="71"/>
    </row>
    <row r="1724" spans="1:6" s="53" customFormat="1" ht="20.5" x14ac:dyDescent="0.45">
      <c r="B1724" s="72"/>
      <c r="C1724" s="73" t="s">
        <v>614</v>
      </c>
      <c r="D1724" s="74"/>
      <c r="F1724" s="75"/>
    </row>
    <row r="1725" spans="1:6" s="53" customFormat="1" ht="21" thickBot="1" x14ac:dyDescent="0.5">
      <c r="B1725" s="72" t="s">
        <v>241</v>
      </c>
      <c r="C1725" s="76" t="s">
        <v>47</v>
      </c>
      <c r="D1725" s="74"/>
      <c r="F1725" s="75"/>
    </row>
    <row r="1726" spans="1:6" s="53" customFormat="1" ht="15" thickBot="1" x14ac:dyDescent="0.4">
      <c r="A1726" s="77" t="s">
        <v>48</v>
      </c>
      <c r="B1726" s="78" t="s">
        <v>26</v>
      </c>
      <c r="C1726" s="78" t="s">
        <v>49</v>
      </c>
      <c r="D1726" s="79" t="s">
        <v>29</v>
      </c>
      <c r="F1726" s="75"/>
    </row>
    <row r="1727" spans="1:6" s="53" customFormat="1" ht="14.5" customHeight="1" x14ac:dyDescent="0.35">
      <c r="A1727" s="207" t="s">
        <v>32</v>
      </c>
      <c r="B1727" s="80" t="s">
        <v>588</v>
      </c>
      <c r="C1727" s="81" t="s">
        <v>601</v>
      </c>
      <c r="D1727" s="82">
        <f>F1734</f>
        <v>12500000</v>
      </c>
      <c r="F1727" s="75"/>
    </row>
    <row r="1728" spans="1:6" s="53" customFormat="1" ht="21" thickBot="1" x14ac:dyDescent="0.5">
      <c r="A1728" s="208"/>
      <c r="B1728" s="72"/>
      <c r="C1728" s="72"/>
      <c r="D1728" s="74"/>
      <c r="F1728" s="75"/>
    </row>
    <row r="1729" spans="1:7" s="53" customFormat="1" ht="15" thickBot="1" x14ac:dyDescent="0.4">
      <c r="A1729" s="208"/>
      <c r="B1729" s="83" t="s">
        <v>26</v>
      </c>
      <c r="C1729" s="84" t="s">
        <v>51</v>
      </c>
      <c r="D1729" s="85" t="s">
        <v>52</v>
      </c>
      <c r="F1729" s="75"/>
    </row>
    <row r="1730" spans="1:7" s="89" customFormat="1" x14ac:dyDescent="0.35">
      <c r="A1730" s="208"/>
      <c r="B1730" s="86" t="str">
        <f>B1727</f>
        <v>25th February,2026</v>
      </c>
      <c r="C1730" s="87" t="s">
        <v>154</v>
      </c>
      <c r="D1730" s="88">
        <f>1850*2750</f>
        <v>5087500</v>
      </c>
      <c r="F1730" s="90"/>
    </row>
    <row r="1731" spans="1:7" s="53" customFormat="1" x14ac:dyDescent="0.35">
      <c r="A1731" s="208"/>
      <c r="B1731" s="91"/>
      <c r="C1731" s="92" t="s">
        <v>604</v>
      </c>
      <c r="D1731" s="93">
        <f>428*2500</f>
        <v>1070000</v>
      </c>
      <c r="F1731" s="75"/>
    </row>
    <row r="1732" spans="1:7" s="53" customFormat="1" x14ac:dyDescent="0.35">
      <c r="A1732" s="208"/>
      <c r="B1732" s="91" t="s">
        <v>54</v>
      </c>
      <c r="C1732" s="92" t="s">
        <v>55</v>
      </c>
      <c r="D1732" s="93">
        <v>1000000</v>
      </c>
      <c r="F1732" s="75"/>
    </row>
    <row r="1733" spans="1:7" s="53" customFormat="1" x14ac:dyDescent="0.35">
      <c r="A1733" s="208"/>
      <c r="B1733" s="91" t="s">
        <v>56</v>
      </c>
      <c r="C1733" s="92" t="s">
        <v>57</v>
      </c>
      <c r="D1733" s="93">
        <v>40000</v>
      </c>
      <c r="E1733" s="210" t="s">
        <v>58</v>
      </c>
      <c r="F1733" s="210"/>
    </row>
    <row r="1734" spans="1:7" s="53" customFormat="1" x14ac:dyDescent="0.35">
      <c r="A1734" s="208"/>
      <c r="B1734" s="91" t="s">
        <v>603</v>
      </c>
      <c r="C1734" s="92" t="s">
        <v>60</v>
      </c>
      <c r="D1734" s="93">
        <f>1300*140</f>
        <v>182000</v>
      </c>
      <c r="E1734" s="94" t="s">
        <v>61</v>
      </c>
      <c r="F1734" s="95">
        <f>5000*2500</f>
        <v>12500000</v>
      </c>
    </row>
    <row r="1735" spans="1:7" s="53" customFormat="1" x14ac:dyDescent="0.35">
      <c r="A1735" s="208"/>
      <c r="B1735" s="91"/>
      <c r="C1735" s="92" t="s">
        <v>62</v>
      </c>
      <c r="D1735" s="93">
        <f>4800*140</f>
        <v>672000</v>
      </c>
      <c r="E1735" s="96" t="s">
        <v>63</v>
      </c>
      <c r="F1735" s="75">
        <f>5000*2500</f>
        <v>12500000</v>
      </c>
    </row>
    <row r="1736" spans="1:7" s="53" customFormat="1" ht="15" thickBot="1" x14ac:dyDescent="0.4">
      <c r="A1736" s="208"/>
      <c r="B1736" s="91" t="s">
        <v>64</v>
      </c>
      <c r="C1736" s="92" t="s">
        <v>65</v>
      </c>
      <c r="D1736" s="97">
        <v>30000</v>
      </c>
      <c r="E1736" s="98" t="s">
        <v>66</v>
      </c>
      <c r="F1736" s="99">
        <f>F1734-F1735</f>
        <v>0</v>
      </c>
      <c r="G1736" s="100">
        <f>F1736/2500</f>
        <v>0</v>
      </c>
    </row>
    <row r="1737" spans="1:7" s="53" customFormat="1" ht="15" thickTop="1" x14ac:dyDescent="0.35">
      <c r="A1737" s="208"/>
      <c r="B1737" s="91"/>
      <c r="C1737" s="92" t="s">
        <v>67</v>
      </c>
      <c r="D1737" s="93">
        <v>150000</v>
      </c>
      <c r="F1737" s="75"/>
    </row>
    <row r="1738" spans="1:7" s="53" customFormat="1" x14ac:dyDescent="0.35">
      <c r="A1738" s="208"/>
      <c r="B1738" s="91" t="s">
        <v>607</v>
      </c>
      <c r="C1738" s="101" t="s">
        <v>68</v>
      </c>
      <c r="D1738" s="93">
        <v>15000</v>
      </c>
      <c r="E1738" s="94" t="s">
        <v>69</v>
      </c>
      <c r="F1738" s="95"/>
    </row>
    <row r="1739" spans="1:7" s="53" customFormat="1" x14ac:dyDescent="0.35">
      <c r="A1739" s="208"/>
      <c r="B1739" s="102"/>
      <c r="C1739" s="101" t="s">
        <v>70</v>
      </c>
      <c r="D1739" s="103">
        <v>10000</v>
      </c>
      <c r="E1739" s="104"/>
      <c r="F1739" s="105"/>
    </row>
    <row r="1740" spans="1:7" s="53" customFormat="1" x14ac:dyDescent="0.35">
      <c r="A1740" s="208"/>
      <c r="B1740" s="102"/>
      <c r="C1740" s="101" t="s">
        <v>71</v>
      </c>
      <c r="D1740" s="103">
        <v>40000</v>
      </c>
      <c r="E1740" s="104" t="s">
        <v>72</v>
      </c>
      <c r="F1740" s="105"/>
    </row>
    <row r="1741" spans="1:7" s="53" customFormat="1" x14ac:dyDescent="0.35">
      <c r="A1741" s="208"/>
      <c r="B1741" s="102"/>
      <c r="C1741" s="92" t="s">
        <v>73</v>
      </c>
      <c r="D1741" s="106">
        <f>727*140</f>
        <v>101780</v>
      </c>
      <c r="E1741" s="53" t="s">
        <v>602</v>
      </c>
      <c r="F1741" s="105"/>
    </row>
    <row r="1742" spans="1:7" s="53" customFormat="1" ht="15" thickBot="1" x14ac:dyDescent="0.4">
      <c r="A1742" s="208"/>
      <c r="B1742" s="107"/>
      <c r="C1742" s="108"/>
      <c r="D1742" s="109" t="s">
        <v>818</v>
      </c>
      <c r="F1742" s="75"/>
    </row>
    <row r="1743" spans="1:7" s="53" customFormat="1" ht="15" thickBot="1" x14ac:dyDescent="0.4">
      <c r="A1743" s="208"/>
      <c r="B1743" s="110"/>
      <c r="C1743" s="111" t="s">
        <v>74</v>
      </c>
      <c r="D1743" s="112">
        <f>SUM(D1730:D1742)</f>
        <v>8398280</v>
      </c>
      <c r="F1743" s="75"/>
    </row>
    <row r="1744" spans="1:7" s="53" customFormat="1" ht="15.5" thickTop="1" thickBot="1" x14ac:dyDescent="0.4">
      <c r="A1744" s="209"/>
      <c r="B1744" s="211"/>
      <c r="C1744" s="211"/>
      <c r="D1744" s="211"/>
      <c r="F1744" s="75"/>
    </row>
    <row r="1745" spans="1:6" s="53" customFormat="1" x14ac:dyDescent="0.35">
      <c r="B1745" s="89"/>
      <c r="C1745" s="53" t="s">
        <v>75</v>
      </c>
      <c r="D1745" s="113">
        <f>D1727-D1743</f>
        <v>4101720</v>
      </c>
      <c r="F1745" s="75"/>
    </row>
    <row r="1746" spans="1:6" s="53" customFormat="1" x14ac:dyDescent="0.35">
      <c r="B1746" s="89"/>
      <c r="D1746" s="113"/>
      <c r="F1746" s="75"/>
    </row>
    <row r="1747" spans="1:6" s="53" customFormat="1" x14ac:dyDescent="0.35">
      <c r="A1747" s="114"/>
      <c r="B1747" s="115"/>
      <c r="C1747" s="114"/>
      <c r="D1747" s="116"/>
      <c r="E1747" s="114"/>
      <c r="F1747" s="117"/>
    </row>
    <row r="1749" spans="1:6" s="53" customFormat="1" ht="23.5" x14ac:dyDescent="0.55000000000000004">
      <c r="B1749" s="206" t="s">
        <v>0</v>
      </c>
      <c r="C1749" s="206"/>
      <c r="D1749" s="206"/>
      <c r="E1749" s="70"/>
      <c r="F1749" s="71"/>
    </row>
    <row r="1750" spans="1:6" s="53" customFormat="1" ht="20.5" x14ac:dyDescent="0.45">
      <c r="B1750" s="72"/>
      <c r="C1750" s="73" t="s">
        <v>616</v>
      </c>
      <c r="D1750" s="74"/>
      <c r="F1750" s="75"/>
    </row>
    <row r="1751" spans="1:6" s="53" customFormat="1" ht="21" thickBot="1" x14ac:dyDescent="0.5">
      <c r="B1751" s="72" t="s">
        <v>322</v>
      </c>
      <c r="C1751" s="76" t="s">
        <v>47</v>
      </c>
      <c r="D1751" s="74"/>
      <c r="F1751" s="75"/>
    </row>
    <row r="1752" spans="1:6" s="53" customFormat="1" ht="15" thickBot="1" x14ac:dyDescent="0.4">
      <c r="A1752" s="77" t="s">
        <v>48</v>
      </c>
      <c r="B1752" s="78" t="s">
        <v>26</v>
      </c>
      <c r="C1752" s="78" t="s">
        <v>49</v>
      </c>
      <c r="D1752" s="79" t="s">
        <v>29</v>
      </c>
      <c r="F1752" s="75"/>
    </row>
    <row r="1753" spans="1:6" s="53" customFormat="1" ht="14.5" customHeight="1" x14ac:dyDescent="0.35">
      <c r="A1753" s="207" t="s">
        <v>32</v>
      </c>
      <c r="B1753" s="80" t="s">
        <v>588</v>
      </c>
      <c r="C1753" s="81" t="s">
        <v>601</v>
      </c>
      <c r="D1753" s="82">
        <f>F1760</f>
        <v>12500000</v>
      </c>
      <c r="F1753" s="75"/>
    </row>
    <row r="1754" spans="1:6" s="53" customFormat="1" ht="21" thickBot="1" x14ac:dyDescent="0.5">
      <c r="A1754" s="208"/>
      <c r="B1754" s="72"/>
      <c r="C1754" s="72"/>
      <c r="D1754" s="74"/>
      <c r="F1754" s="75"/>
    </row>
    <row r="1755" spans="1:6" s="53" customFormat="1" ht="15" thickBot="1" x14ac:dyDescent="0.4">
      <c r="A1755" s="208"/>
      <c r="B1755" s="83" t="s">
        <v>26</v>
      </c>
      <c r="C1755" s="84" t="s">
        <v>51</v>
      </c>
      <c r="D1755" s="85" t="s">
        <v>52</v>
      </c>
      <c r="F1755" s="75"/>
    </row>
    <row r="1756" spans="1:6" s="89" customFormat="1" x14ac:dyDescent="0.35">
      <c r="A1756" s="208"/>
      <c r="B1756" s="86" t="str">
        <f>B1753</f>
        <v>25th February,2026</v>
      </c>
      <c r="C1756" s="87" t="s">
        <v>154</v>
      </c>
      <c r="D1756" s="88">
        <f>1850*2750</f>
        <v>5087500</v>
      </c>
      <c r="F1756" s="90"/>
    </row>
    <row r="1757" spans="1:6" s="53" customFormat="1" x14ac:dyDescent="0.35">
      <c r="A1757" s="208"/>
      <c r="B1757" s="91"/>
      <c r="C1757" s="92" t="s">
        <v>604</v>
      </c>
      <c r="D1757" s="93">
        <f>428*2500</f>
        <v>1070000</v>
      </c>
      <c r="F1757" s="75"/>
    </row>
    <row r="1758" spans="1:6" s="53" customFormat="1" x14ac:dyDescent="0.35">
      <c r="A1758" s="208"/>
      <c r="B1758" s="91" t="s">
        <v>54</v>
      </c>
      <c r="C1758" s="92" t="s">
        <v>55</v>
      </c>
      <c r="D1758" s="93">
        <v>1000000</v>
      </c>
      <c r="F1758" s="75"/>
    </row>
    <row r="1759" spans="1:6" s="53" customFormat="1" x14ac:dyDescent="0.35">
      <c r="A1759" s="208"/>
      <c r="B1759" s="91" t="s">
        <v>56</v>
      </c>
      <c r="C1759" s="92" t="s">
        <v>57</v>
      </c>
      <c r="D1759" s="93">
        <v>40000</v>
      </c>
      <c r="E1759" s="210" t="s">
        <v>58</v>
      </c>
      <c r="F1759" s="210"/>
    </row>
    <row r="1760" spans="1:6" s="53" customFormat="1" x14ac:dyDescent="0.35">
      <c r="A1760" s="208"/>
      <c r="B1760" s="91" t="s">
        <v>603</v>
      </c>
      <c r="C1760" s="92" t="s">
        <v>60</v>
      </c>
      <c r="D1760" s="93">
        <f>1300*140</f>
        <v>182000</v>
      </c>
      <c r="E1760" s="94" t="s">
        <v>61</v>
      </c>
      <c r="F1760" s="95">
        <f>5000*2500</f>
        <v>12500000</v>
      </c>
    </row>
    <row r="1761" spans="1:7" s="53" customFormat="1" x14ac:dyDescent="0.35">
      <c r="A1761" s="208"/>
      <c r="B1761" s="91"/>
      <c r="C1761" s="92" t="s">
        <v>62</v>
      </c>
      <c r="D1761" s="93">
        <f>4800*140</f>
        <v>672000</v>
      </c>
      <c r="E1761" s="96" t="s">
        <v>63</v>
      </c>
      <c r="F1761" s="75">
        <f>5000*2500</f>
        <v>12500000</v>
      </c>
    </row>
    <row r="1762" spans="1:7" s="53" customFormat="1" ht="15" thickBot="1" x14ac:dyDescent="0.4">
      <c r="A1762" s="208"/>
      <c r="B1762" s="91" t="s">
        <v>64</v>
      </c>
      <c r="C1762" s="92" t="s">
        <v>65</v>
      </c>
      <c r="D1762" s="97">
        <v>30000</v>
      </c>
      <c r="E1762" s="98" t="s">
        <v>66</v>
      </c>
      <c r="F1762" s="99">
        <f>F1760-F1761</f>
        <v>0</v>
      </c>
      <c r="G1762" s="100">
        <f>F1762/2500</f>
        <v>0</v>
      </c>
    </row>
    <row r="1763" spans="1:7" s="53" customFormat="1" ht="15" thickTop="1" x14ac:dyDescent="0.35">
      <c r="A1763" s="208"/>
      <c r="B1763" s="91"/>
      <c r="C1763" s="92" t="s">
        <v>67</v>
      </c>
      <c r="D1763" s="93">
        <v>150000</v>
      </c>
      <c r="F1763" s="75"/>
    </row>
    <row r="1764" spans="1:7" s="53" customFormat="1" x14ac:dyDescent="0.35">
      <c r="A1764" s="208"/>
      <c r="B1764" s="91" t="s">
        <v>615</v>
      </c>
      <c r="C1764" s="101" t="s">
        <v>68</v>
      </c>
      <c r="D1764" s="93">
        <v>15000</v>
      </c>
      <c r="E1764" s="94" t="s">
        <v>69</v>
      </c>
      <c r="F1764" s="95"/>
    </row>
    <row r="1765" spans="1:7" s="53" customFormat="1" x14ac:dyDescent="0.35">
      <c r="A1765" s="208"/>
      <c r="B1765" s="102"/>
      <c r="C1765" s="101" t="s">
        <v>70</v>
      </c>
      <c r="D1765" s="103">
        <v>10000</v>
      </c>
      <c r="E1765" s="104"/>
      <c r="F1765" s="105"/>
    </row>
    <row r="1766" spans="1:7" s="53" customFormat="1" x14ac:dyDescent="0.35">
      <c r="A1766" s="208"/>
      <c r="B1766" s="102"/>
      <c r="C1766" s="101" t="s">
        <v>71</v>
      </c>
      <c r="D1766" s="103">
        <v>40000</v>
      </c>
      <c r="E1766" s="104" t="s">
        <v>72</v>
      </c>
      <c r="F1766" s="105"/>
    </row>
    <row r="1767" spans="1:7" s="53" customFormat="1" x14ac:dyDescent="0.35">
      <c r="A1767" s="208"/>
      <c r="B1767" s="102"/>
      <c r="C1767" s="92" t="s">
        <v>73</v>
      </c>
      <c r="D1767" s="106">
        <f>727*140</f>
        <v>101780</v>
      </c>
      <c r="E1767" s="53" t="s">
        <v>602</v>
      </c>
      <c r="F1767" s="105"/>
    </row>
    <row r="1768" spans="1:7" s="53" customFormat="1" ht="15" thickBot="1" x14ac:dyDescent="0.4">
      <c r="A1768" s="208"/>
      <c r="B1768" s="107"/>
      <c r="C1768" s="108"/>
      <c r="D1768" s="109"/>
      <c r="F1768" s="75"/>
    </row>
    <row r="1769" spans="1:7" s="53" customFormat="1" ht="15" thickBot="1" x14ac:dyDescent="0.4">
      <c r="A1769" s="208"/>
      <c r="B1769" s="110"/>
      <c r="C1769" s="111" t="s">
        <v>74</v>
      </c>
      <c r="D1769" s="112">
        <f>SUM(D1756:D1768)</f>
        <v>8398280</v>
      </c>
      <c r="F1769" s="75"/>
    </row>
    <row r="1770" spans="1:7" s="53" customFormat="1" ht="15.5" thickTop="1" thickBot="1" x14ac:dyDescent="0.4">
      <c r="A1770" s="209"/>
      <c r="B1770" s="211"/>
      <c r="C1770" s="211"/>
      <c r="D1770" s="211"/>
      <c r="F1770" s="75"/>
    </row>
    <row r="1771" spans="1:7" s="53" customFormat="1" x14ac:dyDescent="0.35">
      <c r="B1771" s="89"/>
      <c r="C1771" s="53" t="s">
        <v>75</v>
      </c>
      <c r="D1771" s="113">
        <f>D1753-D1769</f>
        <v>4101720</v>
      </c>
      <c r="F1771" s="75"/>
    </row>
    <row r="1772" spans="1:7" s="53" customFormat="1" x14ac:dyDescent="0.35">
      <c r="B1772" s="89"/>
      <c r="D1772" s="113"/>
      <c r="F1772" s="75"/>
    </row>
    <row r="1773" spans="1:7" s="53" customFormat="1" x14ac:dyDescent="0.35">
      <c r="A1773" s="114"/>
      <c r="B1773" s="115"/>
      <c r="C1773" s="114"/>
      <c r="D1773" s="116"/>
      <c r="E1773" s="114"/>
      <c r="F1773" s="117"/>
    </row>
    <row r="1775" spans="1:7" s="53" customFormat="1" ht="23.5" x14ac:dyDescent="0.55000000000000004">
      <c r="B1775" s="206" t="s">
        <v>0</v>
      </c>
      <c r="C1775" s="206"/>
      <c r="D1775" s="206"/>
      <c r="E1775" s="70"/>
      <c r="F1775" s="71"/>
    </row>
    <row r="1776" spans="1:7" s="53" customFormat="1" ht="20.5" x14ac:dyDescent="0.45">
      <c r="B1776" s="72"/>
      <c r="C1776" s="73" t="s">
        <v>619</v>
      </c>
      <c r="D1776" s="74"/>
      <c r="F1776" s="75"/>
    </row>
    <row r="1777" spans="1:7" s="53" customFormat="1" ht="21" thickBot="1" x14ac:dyDescent="0.5">
      <c r="B1777" s="72" t="s">
        <v>327</v>
      </c>
      <c r="C1777" s="76" t="s">
        <v>47</v>
      </c>
      <c r="D1777" s="74"/>
      <c r="F1777" s="75"/>
    </row>
    <row r="1778" spans="1:7" s="53" customFormat="1" ht="15" thickBot="1" x14ac:dyDescent="0.4">
      <c r="A1778" s="77" t="s">
        <v>48</v>
      </c>
      <c r="B1778" s="78" t="s">
        <v>26</v>
      </c>
      <c r="C1778" s="78" t="s">
        <v>49</v>
      </c>
      <c r="D1778" s="79" t="s">
        <v>29</v>
      </c>
      <c r="F1778" s="75"/>
    </row>
    <row r="1779" spans="1:7" s="53" customFormat="1" ht="14.5" customHeight="1" x14ac:dyDescent="0.35">
      <c r="A1779" s="207" t="s">
        <v>32</v>
      </c>
      <c r="B1779" s="80" t="s">
        <v>588</v>
      </c>
      <c r="C1779" s="81" t="s">
        <v>601</v>
      </c>
      <c r="D1779" s="82">
        <f>F1786</f>
        <v>12500000</v>
      </c>
      <c r="F1779" s="75"/>
    </row>
    <row r="1780" spans="1:7" s="53" customFormat="1" ht="21" thickBot="1" x14ac:dyDescent="0.5">
      <c r="A1780" s="208"/>
      <c r="B1780" s="72"/>
      <c r="C1780" s="72"/>
      <c r="D1780" s="74"/>
      <c r="F1780" s="75"/>
    </row>
    <row r="1781" spans="1:7" s="53" customFormat="1" ht="15" thickBot="1" x14ac:dyDescent="0.4">
      <c r="A1781" s="208"/>
      <c r="B1781" s="83" t="s">
        <v>26</v>
      </c>
      <c r="C1781" s="84" t="s">
        <v>51</v>
      </c>
      <c r="D1781" s="85" t="s">
        <v>52</v>
      </c>
      <c r="F1781" s="75"/>
    </row>
    <row r="1782" spans="1:7" s="89" customFormat="1" x14ac:dyDescent="0.35">
      <c r="A1782" s="208"/>
      <c r="B1782" s="86" t="str">
        <f>B1779</f>
        <v>25th February,2026</v>
      </c>
      <c r="C1782" s="87" t="s">
        <v>154</v>
      </c>
      <c r="D1782" s="88">
        <f>1850*2750</f>
        <v>5087500</v>
      </c>
      <c r="F1782" s="90"/>
    </row>
    <row r="1783" spans="1:7" s="53" customFormat="1" x14ac:dyDescent="0.35">
      <c r="A1783" s="208"/>
      <c r="B1783" s="91"/>
      <c r="C1783" s="92" t="s">
        <v>604</v>
      </c>
      <c r="D1783" s="93">
        <f>428*2500</f>
        <v>1070000</v>
      </c>
      <c r="F1783" s="75"/>
    </row>
    <row r="1784" spans="1:7" s="53" customFormat="1" x14ac:dyDescent="0.35">
      <c r="A1784" s="208"/>
      <c r="B1784" s="91" t="s">
        <v>54</v>
      </c>
      <c r="C1784" s="92" t="s">
        <v>55</v>
      </c>
      <c r="D1784" s="93">
        <v>1000000</v>
      </c>
      <c r="F1784" s="75"/>
    </row>
    <row r="1785" spans="1:7" s="53" customFormat="1" x14ac:dyDescent="0.35">
      <c r="A1785" s="208"/>
      <c r="B1785" s="91" t="s">
        <v>56</v>
      </c>
      <c r="C1785" s="92" t="s">
        <v>57</v>
      </c>
      <c r="D1785" s="93">
        <v>40000</v>
      </c>
      <c r="E1785" s="210" t="s">
        <v>58</v>
      </c>
      <c r="F1785" s="210"/>
    </row>
    <row r="1786" spans="1:7" s="53" customFormat="1" x14ac:dyDescent="0.35">
      <c r="A1786" s="208"/>
      <c r="B1786" s="91" t="s">
        <v>603</v>
      </c>
      <c r="C1786" s="92" t="s">
        <v>60</v>
      </c>
      <c r="D1786" s="93">
        <f>1300*140</f>
        <v>182000</v>
      </c>
      <c r="E1786" s="94" t="s">
        <v>61</v>
      </c>
      <c r="F1786" s="95">
        <f>5000*2500</f>
        <v>12500000</v>
      </c>
    </row>
    <row r="1787" spans="1:7" s="53" customFormat="1" x14ac:dyDescent="0.35">
      <c r="A1787" s="208"/>
      <c r="B1787" s="91"/>
      <c r="C1787" s="92" t="s">
        <v>62</v>
      </c>
      <c r="D1787" s="93">
        <f>4800*140</f>
        <v>672000</v>
      </c>
      <c r="E1787" s="96" t="s">
        <v>63</v>
      </c>
      <c r="F1787" s="75">
        <f>5000*2500</f>
        <v>12500000</v>
      </c>
    </row>
    <row r="1788" spans="1:7" s="53" customFormat="1" ht="15" thickBot="1" x14ac:dyDescent="0.4">
      <c r="A1788" s="208"/>
      <c r="B1788" s="91" t="s">
        <v>64</v>
      </c>
      <c r="C1788" s="92" t="s">
        <v>65</v>
      </c>
      <c r="D1788" s="97">
        <v>30000</v>
      </c>
      <c r="E1788" s="98" t="s">
        <v>66</v>
      </c>
      <c r="F1788" s="99">
        <f>F1786-F1787</f>
        <v>0</v>
      </c>
      <c r="G1788" s="100">
        <f>F1788/2500</f>
        <v>0</v>
      </c>
    </row>
    <row r="1789" spans="1:7" s="53" customFormat="1" ht="15" thickTop="1" x14ac:dyDescent="0.35">
      <c r="A1789" s="208"/>
      <c r="B1789" s="91"/>
      <c r="C1789" s="92" t="s">
        <v>67</v>
      </c>
      <c r="D1789" s="93">
        <v>150000</v>
      </c>
      <c r="F1789" s="75"/>
    </row>
    <row r="1790" spans="1:7" s="53" customFormat="1" x14ac:dyDescent="0.35">
      <c r="A1790" s="208"/>
      <c r="B1790" s="91" t="s">
        <v>617</v>
      </c>
      <c r="C1790" s="101" t="s">
        <v>68</v>
      </c>
      <c r="D1790" s="93">
        <v>15000</v>
      </c>
      <c r="E1790" s="94" t="s">
        <v>69</v>
      </c>
      <c r="F1790" s="95"/>
    </row>
    <row r="1791" spans="1:7" s="53" customFormat="1" x14ac:dyDescent="0.35">
      <c r="A1791" s="208"/>
      <c r="B1791" s="102"/>
      <c r="C1791" s="101" t="s">
        <v>70</v>
      </c>
      <c r="D1791" s="103">
        <v>10000</v>
      </c>
      <c r="E1791" s="104"/>
      <c r="F1791" s="105"/>
    </row>
    <row r="1792" spans="1:7" s="53" customFormat="1" x14ac:dyDescent="0.35">
      <c r="A1792" s="208"/>
      <c r="B1792" s="102"/>
      <c r="C1792" s="101" t="s">
        <v>71</v>
      </c>
      <c r="D1792" s="103">
        <v>40000</v>
      </c>
      <c r="E1792" s="104" t="s">
        <v>72</v>
      </c>
      <c r="F1792" s="105"/>
    </row>
    <row r="1793" spans="1:6" s="53" customFormat="1" x14ac:dyDescent="0.35">
      <c r="A1793" s="208"/>
      <c r="B1793" s="102"/>
      <c r="C1793" s="92" t="s">
        <v>73</v>
      </c>
      <c r="D1793" s="106">
        <f>727*140</f>
        <v>101780</v>
      </c>
      <c r="E1793" s="53" t="s">
        <v>602</v>
      </c>
      <c r="F1793" s="105"/>
    </row>
    <row r="1794" spans="1:6" s="53" customFormat="1" ht="15" thickBot="1" x14ac:dyDescent="0.4">
      <c r="A1794" s="208"/>
      <c r="B1794" s="107"/>
      <c r="C1794" s="108"/>
      <c r="D1794" s="109"/>
      <c r="F1794" s="75"/>
    </row>
    <row r="1795" spans="1:6" s="53" customFormat="1" ht="15" thickBot="1" x14ac:dyDescent="0.4">
      <c r="A1795" s="208"/>
      <c r="B1795" s="110"/>
      <c r="C1795" s="111" t="s">
        <v>74</v>
      </c>
      <c r="D1795" s="112">
        <f>SUM(D1782:D1794)</f>
        <v>8398280</v>
      </c>
      <c r="F1795" s="75"/>
    </row>
    <row r="1796" spans="1:6" s="53" customFormat="1" ht="15.5" thickTop="1" thickBot="1" x14ac:dyDescent="0.4">
      <c r="A1796" s="209"/>
      <c r="B1796" s="211"/>
      <c r="C1796" s="211"/>
      <c r="D1796" s="211"/>
      <c r="F1796" s="75"/>
    </row>
    <row r="1797" spans="1:6" s="53" customFormat="1" x14ac:dyDescent="0.35">
      <c r="B1797" s="89"/>
      <c r="C1797" s="53" t="s">
        <v>75</v>
      </c>
      <c r="D1797" s="113">
        <f>D1779-D1795</f>
        <v>4101720</v>
      </c>
      <c r="F1797" s="75"/>
    </row>
    <row r="1798" spans="1:6" s="53" customFormat="1" x14ac:dyDescent="0.35">
      <c r="B1798" s="89"/>
      <c r="D1798" s="113"/>
      <c r="F1798" s="75"/>
    </row>
    <row r="1799" spans="1:6" s="53" customFormat="1" x14ac:dyDescent="0.35">
      <c r="A1799" s="114"/>
      <c r="B1799" s="115"/>
      <c r="C1799" s="114"/>
      <c r="D1799" s="116"/>
      <c r="E1799" s="114"/>
      <c r="F1799" s="117"/>
    </row>
    <row r="1801" spans="1:6" s="53" customFormat="1" ht="23.5" x14ac:dyDescent="0.55000000000000004">
      <c r="B1801" s="206" t="s">
        <v>0</v>
      </c>
      <c r="C1801" s="206"/>
      <c r="D1801" s="206"/>
      <c r="E1801" s="70"/>
      <c r="F1801" s="71"/>
    </row>
    <row r="1802" spans="1:6" s="53" customFormat="1" ht="20.5" x14ac:dyDescent="0.45">
      <c r="B1802" s="72"/>
      <c r="C1802" s="73" t="s">
        <v>620</v>
      </c>
      <c r="D1802" s="74"/>
      <c r="F1802" s="75"/>
    </row>
    <row r="1803" spans="1:6" s="53" customFormat="1" ht="21" thickBot="1" x14ac:dyDescent="0.5">
      <c r="B1803" s="72" t="s">
        <v>296</v>
      </c>
      <c r="C1803" s="76" t="s">
        <v>47</v>
      </c>
      <c r="D1803" s="74"/>
      <c r="F1803" s="75"/>
    </row>
    <row r="1804" spans="1:6" s="53" customFormat="1" ht="15" thickBot="1" x14ac:dyDescent="0.4">
      <c r="A1804" s="77" t="s">
        <v>48</v>
      </c>
      <c r="B1804" s="78" t="s">
        <v>26</v>
      </c>
      <c r="C1804" s="78" t="s">
        <v>49</v>
      </c>
      <c r="D1804" s="79" t="s">
        <v>29</v>
      </c>
      <c r="F1804" s="75"/>
    </row>
    <row r="1805" spans="1:6" s="53" customFormat="1" ht="14.5" customHeight="1" x14ac:dyDescent="0.35">
      <c r="A1805" s="207" t="s">
        <v>32</v>
      </c>
      <c r="B1805" s="80" t="s">
        <v>588</v>
      </c>
      <c r="C1805" s="81" t="s">
        <v>601</v>
      </c>
      <c r="D1805" s="82">
        <f>F1812</f>
        <v>12500000</v>
      </c>
      <c r="F1805" s="75"/>
    </row>
    <row r="1806" spans="1:6" s="53" customFormat="1" ht="21" thickBot="1" x14ac:dyDescent="0.5">
      <c r="A1806" s="208"/>
      <c r="B1806" s="72"/>
      <c r="C1806" s="72"/>
      <c r="D1806" s="74"/>
      <c r="F1806" s="75"/>
    </row>
    <row r="1807" spans="1:6" s="53" customFormat="1" ht="15" thickBot="1" x14ac:dyDescent="0.4">
      <c r="A1807" s="208"/>
      <c r="B1807" s="83" t="s">
        <v>26</v>
      </c>
      <c r="C1807" s="84" t="s">
        <v>51</v>
      </c>
      <c r="D1807" s="85" t="s">
        <v>52</v>
      </c>
      <c r="F1807" s="75"/>
    </row>
    <row r="1808" spans="1:6" s="89" customFormat="1" x14ac:dyDescent="0.35">
      <c r="A1808" s="208"/>
      <c r="B1808" s="86" t="str">
        <f>B1805</f>
        <v>25th February,2026</v>
      </c>
      <c r="C1808" s="87" t="s">
        <v>154</v>
      </c>
      <c r="D1808" s="88">
        <f>1850*2750</f>
        <v>5087500</v>
      </c>
      <c r="F1808" s="90"/>
    </row>
    <row r="1809" spans="1:7" s="53" customFormat="1" x14ac:dyDescent="0.35">
      <c r="A1809" s="208"/>
      <c r="B1809" s="91"/>
      <c r="C1809" s="92" t="s">
        <v>604</v>
      </c>
      <c r="D1809" s="93">
        <f>428*2500</f>
        <v>1070000</v>
      </c>
      <c r="F1809" s="75"/>
    </row>
    <row r="1810" spans="1:7" s="53" customFormat="1" x14ac:dyDescent="0.35">
      <c r="A1810" s="208"/>
      <c r="B1810" s="91" t="s">
        <v>54</v>
      </c>
      <c r="C1810" s="92" t="s">
        <v>55</v>
      </c>
      <c r="D1810" s="93">
        <v>1000000</v>
      </c>
      <c r="F1810" s="75"/>
    </row>
    <row r="1811" spans="1:7" s="53" customFormat="1" x14ac:dyDescent="0.35">
      <c r="A1811" s="208"/>
      <c r="B1811" s="91" t="s">
        <v>56</v>
      </c>
      <c r="C1811" s="92" t="s">
        <v>57</v>
      </c>
      <c r="D1811" s="93">
        <v>40000</v>
      </c>
      <c r="E1811" s="210" t="s">
        <v>58</v>
      </c>
      <c r="F1811" s="210"/>
    </row>
    <row r="1812" spans="1:7" s="53" customFormat="1" x14ac:dyDescent="0.35">
      <c r="A1812" s="208"/>
      <c r="B1812" s="91" t="s">
        <v>603</v>
      </c>
      <c r="C1812" s="92" t="s">
        <v>60</v>
      </c>
      <c r="D1812" s="93">
        <f>1650*140</f>
        <v>231000</v>
      </c>
      <c r="E1812" s="94" t="s">
        <v>61</v>
      </c>
      <c r="F1812" s="95">
        <f>5000*2500</f>
        <v>12500000</v>
      </c>
    </row>
    <row r="1813" spans="1:7" s="53" customFormat="1" x14ac:dyDescent="0.35">
      <c r="A1813" s="208"/>
      <c r="B1813" s="91"/>
      <c r="C1813" s="92" t="s">
        <v>62</v>
      </c>
      <c r="D1813" s="93">
        <f>4800*140</f>
        <v>672000</v>
      </c>
      <c r="E1813" s="96" t="s">
        <v>63</v>
      </c>
      <c r="F1813" s="75">
        <f>5000*2500</f>
        <v>12500000</v>
      </c>
    </row>
    <row r="1814" spans="1:7" s="53" customFormat="1" ht="15" thickBot="1" x14ac:dyDescent="0.4">
      <c r="A1814" s="208"/>
      <c r="B1814" s="91" t="s">
        <v>64</v>
      </c>
      <c r="C1814" s="92" t="s">
        <v>65</v>
      </c>
      <c r="D1814" s="97">
        <v>30000</v>
      </c>
      <c r="E1814" s="98" t="s">
        <v>66</v>
      </c>
      <c r="F1814" s="99">
        <f>F1812-F1813</f>
        <v>0</v>
      </c>
      <c r="G1814" s="100">
        <f>F1814/2500</f>
        <v>0</v>
      </c>
    </row>
    <row r="1815" spans="1:7" s="53" customFormat="1" ht="15" thickTop="1" x14ac:dyDescent="0.35">
      <c r="A1815" s="208"/>
      <c r="B1815" s="91"/>
      <c r="C1815" s="92" t="s">
        <v>67</v>
      </c>
      <c r="D1815" s="93">
        <v>150000</v>
      </c>
      <c r="F1815" s="75"/>
    </row>
    <row r="1816" spans="1:7" s="53" customFormat="1" x14ac:dyDescent="0.35">
      <c r="A1816" s="208"/>
      <c r="B1816" s="91" t="s">
        <v>618</v>
      </c>
      <c r="C1816" s="101" t="s">
        <v>68</v>
      </c>
      <c r="D1816" s="93">
        <v>15000</v>
      </c>
      <c r="E1816" s="94" t="s">
        <v>69</v>
      </c>
      <c r="F1816" s="95"/>
    </row>
    <row r="1817" spans="1:7" s="53" customFormat="1" x14ac:dyDescent="0.35">
      <c r="A1817" s="208"/>
      <c r="B1817" s="102"/>
      <c r="C1817" s="101" t="s">
        <v>70</v>
      </c>
      <c r="D1817" s="103">
        <v>10000</v>
      </c>
      <c r="E1817" s="104"/>
      <c r="F1817" s="105"/>
    </row>
    <row r="1818" spans="1:7" s="53" customFormat="1" x14ac:dyDescent="0.35">
      <c r="A1818" s="208"/>
      <c r="B1818" s="102"/>
      <c r="C1818" s="101" t="s">
        <v>71</v>
      </c>
      <c r="D1818" s="103">
        <v>40000</v>
      </c>
      <c r="E1818" s="104" t="s">
        <v>72</v>
      </c>
      <c r="F1818" s="105"/>
    </row>
    <row r="1819" spans="1:7" s="53" customFormat="1" x14ac:dyDescent="0.35">
      <c r="A1819" s="208"/>
      <c r="B1819" s="102"/>
      <c r="C1819" s="92" t="s">
        <v>73</v>
      </c>
      <c r="D1819" s="106">
        <f>727*140</f>
        <v>101780</v>
      </c>
      <c r="E1819" s="53" t="s">
        <v>602</v>
      </c>
      <c r="F1819" s="105"/>
    </row>
    <row r="1820" spans="1:7" s="53" customFormat="1" ht="15" thickBot="1" x14ac:dyDescent="0.4">
      <c r="A1820" s="208"/>
      <c r="B1820" s="107"/>
      <c r="C1820" s="108"/>
      <c r="D1820" s="109"/>
      <c r="F1820" s="75"/>
    </row>
    <row r="1821" spans="1:7" s="53" customFormat="1" ht="15" thickBot="1" x14ac:dyDescent="0.4">
      <c r="A1821" s="208"/>
      <c r="B1821" s="110"/>
      <c r="C1821" s="111" t="s">
        <v>74</v>
      </c>
      <c r="D1821" s="112">
        <f>SUM(D1808:D1820)</f>
        <v>8447280</v>
      </c>
      <c r="F1821" s="75"/>
    </row>
    <row r="1822" spans="1:7" s="53" customFormat="1" ht="15.5" thickTop="1" thickBot="1" x14ac:dyDescent="0.4">
      <c r="A1822" s="209"/>
      <c r="B1822" s="211"/>
      <c r="C1822" s="211"/>
      <c r="D1822" s="211"/>
      <c r="F1822" s="75"/>
    </row>
    <row r="1823" spans="1:7" s="53" customFormat="1" x14ac:dyDescent="0.35">
      <c r="B1823" s="89"/>
      <c r="C1823" s="53" t="s">
        <v>75</v>
      </c>
      <c r="D1823" s="113">
        <f>D1805-D1821</f>
        <v>4052720</v>
      </c>
      <c r="F1823" s="75"/>
    </row>
    <row r="1824" spans="1:7" s="53" customFormat="1" x14ac:dyDescent="0.35">
      <c r="B1824" s="89"/>
      <c r="D1824" s="113"/>
      <c r="F1824" s="75"/>
    </row>
    <row r="1825" spans="1:7" s="53" customFormat="1" x14ac:dyDescent="0.35">
      <c r="A1825" s="114"/>
      <c r="B1825" s="115"/>
      <c r="C1825" s="114"/>
      <c r="D1825" s="116"/>
      <c r="E1825" s="114"/>
      <c r="F1825" s="117"/>
    </row>
    <row r="1827" spans="1:7" s="53" customFormat="1" ht="23.5" x14ac:dyDescent="0.55000000000000004">
      <c r="B1827" s="206" t="s">
        <v>0</v>
      </c>
      <c r="C1827" s="206"/>
      <c r="D1827" s="206"/>
      <c r="E1827" s="70"/>
      <c r="F1827" s="71"/>
    </row>
    <row r="1828" spans="1:7" s="53" customFormat="1" ht="20.5" x14ac:dyDescent="0.45">
      <c r="B1828" s="72"/>
      <c r="C1828" s="73" t="s">
        <v>628</v>
      </c>
      <c r="D1828" s="74"/>
      <c r="F1828" s="75"/>
    </row>
    <row r="1829" spans="1:7" s="53" customFormat="1" ht="21" thickBot="1" x14ac:dyDescent="0.5">
      <c r="B1829" s="72" t="s">
        <v>246</v>
      </c>
      <c r="C1829" s="76" t="s">
        <v>47</v>
      </c>
      <c r="D1829" s="74"/>
      <c r="F1829" s="75"/>
    </row>
    <row r="1830" spans="1:7" s="53" customFormat="1" ht="15" thickBot="1" x14ac:dyDescent="0.4">
      <c r="A1830" s="77" t="s">
        <v>48</v>
      </c>
      <c r="B1830" s="78" t="s">
        <v>26</v>
      </c>
      <c r="C1830" s="78" t="s">
        <v>49</v>
      </c>
      <c r="D1830" s="79" t="s">
        <v>29</v>
      </c>
      <c r="F1830" s="75"/>
    </row>
    <row r="1831" spans="1:7" s="53" customFormat="1" ht="14.5" customHeight="1" x14ac:dyDescent="0.35">
      <c r="A1831" s="207" t="s">
        <v>32</v>
      </c>
      <c r="B1831" s="80" t="s">
        <v>629</v>
      </c>
      <c r="C1831" s="81" t="s">
        <v>601</v>
      </c>
      <c r="D1831" s="82">
        <f>F1838</f>
        <v>12500000</v>
      </c>
      <c r="F1831" s="75"/>
    </row>
    <row r="1832" spans="1:7" s="53" customFormat="1" ht="21" thickBot="1" x14ac:dyDescent="0.5">
      <c r="A1832" s="208"/>
      <c r="B1832" s="72"/>
      <c r="C1832" s="72"/>
      <c r="D1832" s="74"/>
      <c r="F1832" s="75"/>
    </row>
    <row r="1833" spans="1:7" s="53" customFormat="1" ht="15" thickBot="1" x14ac:dyDescent="0.4">
      <c r="A1833" s="208"/>
      <c r="B1833" s="83" t="s">
        <v>26</v>
      </c>
      <c r="C1833" s="84" t="s">
        <v>51</v>
      </c>
      <c r="D1833" s="85" t="s">
        <v>52</v>
      </c>
      <c r="F1833" s="75"/>
    </row>
    <row r="1834" spans="1:7" s="89" customFormat="1" x14ac:dyDescent="0.35">
      <c r="A1834" s="208"/>
      <c r="B1834" s="86" t="str">
        <f>B1831</f>
        <v>27th February,2026</v>
      </c>
      <c r="C1834" s="87" t="s">
        <v>154</v>
      </c>
      <c r="D1834" s="88">
        <f>1850*2750</f>
        <v>5087500</v>
      </c>
      <c r="F1834" s="90"/>
    </row>
    <row r="1835" spans="1:7" s="53" customFormat="1" x14ac:dyDescent="0.35">
      <c r="A1835" s="208"/>
      <c r="B1835" s="91"/>
      <c r="C1835" s="92" t="s">
        <v>604</v>
      </c>
      <c r="D1835" s="93">
        <f>428*2500</f>
        <v>1070000</v>
      </c>
      <c r="F1835" s="75"/>
    </row>
    <row r="1836" spans="1:7" s="53" customFormat="1" x14ac:dyDescent="0.35">
      <c r="A1836" s="208"/>
      <c r="B1836" s="91" t="s">
        <v>54</v>
      </c>
      <c r="C1836" s="92" t="s">
        <v>55</v>
      </c>
      <c r="D1836" s="93">
        <v>1000000</v>
      </c>
      <c r="F1836" s="75"/>
    </row>
    <row r="1837" spans="1:7" s="53" customFormat="1" x14ac:dyDescent="0.35">
      <c r="A1837" s="208"/>
      <c r="B1837" s="91" t="s">
        <v>56</v>
      </c>
      <c r="C1837" s="92" t="s">
        <v>57</v>
      </c>
      <c r="D1837" s="93">
        <v>40000</v>
      </c>
      <c r="E1837" s="210" t="s">
        <v>58</v>
      </c>
      <c r="F1837" s="210"/>
    </row>
    <row r="1838" spans="1:7" s="53" customFormat="1" x14ac:dyDescent="0.35">
      <c r="A1838" s="208"/>
      <c r="B1838" s="91" t="s">
        <v>603</v>
      </c>
      <c r="C1838" s="92" t="s">
        <v>60</v>
      </c>
      <c r="D1838" s="93">
        <f>1300*140</f>
        <v>182000</v>
      </c>
      <c r="E1838" s="94" t="s">
        <v>61</v>
      </c>
      <c r="F1838" s="95">
        <f>5000*2500</f>
        <v>12500000</v>
      </c>
    </row>
    <row r="1839" spans="1:7" s="53" customFormat="1" x14ac:dyDescent="0.35">
      <c r="A1839" s="208"/>
      <c r="B1839" s="91"/>
      <c r="C1839" s="92" t="s">
        <v>62</v>
      </c>
      <c r="D1839" s="93">
        <f>4800*140</f>
        <v>672000</v>
      </c>
      <c r="E1839" s="96" t="s">
        <v>63</v>
      </c>
      <c r="F1839" s="75">
        <f>5000*2500</f>
        <v>12500000</v>
      </c>
    </row>
    <row r="1840" spans="1:7" s="53" customFormat="1" ht="15" thickBot="1" x14ac:dyDescent="0.4">
      <c r="A1840" s="208"/>
      <c r="B1840" s="91" t="s">
        <v>64</v>
      </c>
      <c r="C1840" s="92" t="s">
        <v>65</v>
      </c>
      <c r="D1840" s="97">
        <v>30000</v>
      </c>
      <c r="E1840" s="98" t="s">
        <v>66</v>
      </c>
      <c r="F1840" s="99">
        <f>F1838-F1839</f>
        <v>0</v>
      </c>
      <c r="G1840" s="100">
        <f>F1840/2500</f>
        <v>0</v>
      </c>
    </row>
    <row r="1841" spans="1:6" s="53" customFormat="1" ht="15" thickTop="1" x14ac:dyDescent="0.35">
      <c r="A1841" s="208"/>
      <c r="B1841" s="91"/>
      <c r="C1841" s="92" t="s">
        <v>67</v>
      </c>
      <c r="D1841" s="93">
        <v>150000</v>
      </c>
      <c r="F1841" s="75"/>
    </row>
    <row r="1842" spans="1:6" s="53" customFormat="1" x14ac:dyDescent="0.35">
      <c r="A1842" s="208"/>
      <c r="B1842" s="91" t="s">
        <v>626</v>
      </c>
      <c r="C1842" s="101" t="s">
        <v>68</v>
      </c>
      <c r="D1842" s="93">
        <v>15000</v>
      </c>
      <c r="E1842" s="94" t="s">
        <v>69</v>
      </c>
      <c r="F1842" s="95"/>
    </row>
    <row r="1843" spans="1:6" s="53" customFormat="1" x14ac:dyDescent="0.35">
      <c r="A1843" s="208"/>
      <c r="B1843" s="102"/>
      <c r="C1843" s="101" t="s">
        <v>70</v>
      </c>
      <c r="D1843" s="103">
        <v>10000</v>
      </c>
      <c r="E1843" s="104"/>
      <c r="F1843" s="105"/>
    </row>
    <row r="1844" spans="1:6" s="53" customFormat="1" x14ac:dyDescent="0.35">
      <c r="A1844" s="208"/>
      <c r="B1844" s="102"/>
      <c r="C1844" s="101" t="s">
        <v>71</v>
      </c>
      <c r="D1844" s="103">
        <v>40000</v>
      </c>
      <c r="E1844" s="104" t="s">
        <v>72</v>
      </c>
      <c r="F1844" s="105"/>
    </row>
    <row r="1845" spans="1:6" s="53" customFormat="1" x14ac:dyDescent="0.35">
      <c r="A1845" s="208"/>
      <c r="B1845" s="102"/>
      <c r="C1845" s="92" t="s">
        <v>73</v>
      </c>
      <c r="D1845" s="106">
        <f>727*140</f>
        <v>101780</v>
      </c>
      <c r="E1845" s="53" t="s">
        <v>602</v>
      </c>
      <c r="F1845" s="105"/>
    </row>
    <row r="1846" spans="1:6" s="53" customFormat="1" ht="15" thickBot="1" x14ac:dyDescent="0.4">
      <c r="A1846" s="208"/>
      <c r="B1846" s="107"/>
      <c r="C1846" s="108"/>
      <c r="D1846" s="109"/>
      <c r="F1846" s="75"/>
    </row>
    <row r="1847" spans="1:6" s="53" customFormat="1" ht="15" thickBot="1" x14ac:dyDescent="0.4">
      <c r="A1847" s="208"/>
      <c r="B1847" s="110"/>
      <c r="C1847" s="111" t="s">
        <v>74</v>
      </c>
      <c r="D1847" s="112">
        <f>SUM(D1834:D1846)</f>
        <v>8398280</v>
      </c>
      <c r="F1847" s="75"/>
    </row>
    <row r="1848" spans="1:6" s="53" customFormat="1" ht="15.5" thickTop="1" thickBot="1" x14ac:dyDescent="0.4">
      <c r="A1848" s="209"/>
      <c r="B1848" s="211"/>
      <c r="C1848" s="211"/>
      <c r="D1848" s="211"/>
      <c r="F1848" s="75"/>
    </row>
    <row r="1849" spans="1:6" s="53" customFormat="1" x14ac:dyDescent="0.35">
      <c r="B1849" s="89"/>
      <c r="C1849" s="53" t="s">
        <v>75</v>
      </c>
      <c r="D1849" s="113">
        <f>D1831-D1847</f>
        <v>4101720</v>
      </c>
      <c r="F1849" s="75"/>
    </row>
    <row r="1850" spans="1:6" s="53" customFormat="1" x14ac:dyDescent="0.35">
      <c r="B1850" s="89"/>
      <c r="D1850" s="113"/>
      <c r="F1850" s="75"/>
    </row>
    <row r="1851" spans="1:6" s="53" customFormat="1" x14ac:dyDescent="0.35">
      <c r="A1851" s="114"/>
      <c r="B1851" s="115"/>
      <c r="C1851" s="114"/>
      <c r="D1851" s="116"/>
      <c r="E1851" s="114"/>
      <c r="F1851" s="117"/>
    </row>
    <row r="1853" spans="1:6" s="53" customFormat="1" ht="23.5" x14ac:dyDescent="0.55000000000000004">
      <c r="B1853" s="206" t="s">
        <v>0</v>
      </c>
      <c r="C1853" s="206"/>
      <c r="D1853" s="206"/>
      <c r="E1853" s="70"/>
      <c r="F1853" s="71"/>
    </row>
    <row r="1854" spans="1:6" s="53" customFormat="1" ht="20.5" x14ac:dyDescent="0.45">
      <c r="B1854" s="72"/>
      <c r="C1854" s="73" t="s">
        <v>632</v>
      </c>
      <c r="D1854" s="74"/>
      <c r="F1854" s="75"/>
    </row>
    <row r="1855" spans="1:6" s="53" customFormat="1" ht="21" thickBot="1" x14ac:dyDescent="0.5">
      <c r="B1855" s="72" t="s">
        <v>374</v>
      </c>
      <c r="C1855" s="76" t="s">
        <v>47</v>
      </c>
      <c r="D1855" s="74"/>
      <c r="F1855" s="75"/>
    </row>
    <row r="1856" spans="1:6" s="53" customFormat="1" ht="15" thickBot="1" x14ac:dyDescent="0.4">
      <c r="A1856" s="77" t="s">
        <v>48</v>
      </c>
      <c r="B1856" s="78" t="s">
        <v>26</v>
      </c>
      <c r="C1856" s="78" t="s">
        <v>49</v>
      </c>
      <c r="D1856" s="79" t="s">
        <v>29</v>
      </c>
      <c r="F1856" s="75"/>
    </row>
    <row r="1857" spans="1:7" s="53" customFormat="1" ht="14.5" customHeight="1" x14ac:dyDescent="0.35">
      <c r="A1857" s="207" t="s">
        <v>32</v>
      </c>
      <c r="B1857" s="80" t="s">
        <v>629</v>
      </c>
      <c r="C1857" s="81" t="s">
        <v>601</v>
      </c>
      <c r="D1857" s="82">
        <f>F1864</f>
        <v>12500000</v>
      </c>
      <c r="F1857" s="75"/>
    </row>
    <row r="1858" spans="1:7" s="53" customFormat="1" ht="21" thickBot="1" x14ac:dyDescent="0.5">
      <c r="A1858" s="208"/>
      <c r="B1858" s="72"/>
      <c r="C1858" s="72"/>
      <c r="D1858" s="74"/>
      <c r="F1858" s="75"/>
    </row>
    <row r="1859" spans="1:7" s="53" customFormat="1" ht="15" thickBot="1" x14ac:dyDescent="0.4">
      <c r="A1859" s="208"/>
      <c r="B1859" s="83" t="s">
        <v>26</v>
      </c>
      <c r="C1859" s="84" t="s">
        <v>51</v>
      </c>
      <c r="D1859" s="85" t="s">
        <v>52</v>
      </c>
      <c r="F1859" s="75"/>
    </row>
    <row r="1860" spans="1:7" s="89" customFormat="1" x14ac:dyDescent="0.35">
      <c r="A1860" s="208"/>
      <c r="B1860" s="86" t="str">
        <f>B1857</f>
        <v>27th February,2026</v>
      </c>
      <c r="C1860" s="87" t="s">
        <v>154</v>
      </c>
      <c r="D1860" s="88">
        <f>1850*2750</f>
        <v>5087500</v>
      </c>
      <c r="F1860" s="90"/>
    </row>
    <row r="1861" spans="1:7" s="53" customFormat="1" x14ac:dyDescent="0.35">
      <c r="A1861" s="208"/>
      <c r="B1861" s="91"/>
      <c r="C1861" s="92" t="s">
        <v>604</v>
      </c>
      <c r="D1861" s="93">
        <f>428*2500</f>
        <v>1070000</v>
      </c>
      <c r="F1861" s="75"/>
    </row>
    <row r="1862" spans="1:7" s="53" customFormat="1" x14ac:dyDescent="0.35">
      <c r="A1862" s="208"/>
      <c r="B1862" s="91" t="s">
        <v>54</v>
      </c>
      <c r="C1862" s="92" t="s">
        <v>55</v>
      </c>
      <c r="D1862" s="93">
        <v>1000000</v>
      </c>
      <c r="F1862" s="75"/>
    </row>
    <row r="1863" spans="1:7" s="53" customFormat="1" x14ac:dyDescent="0.35">
      <c r="A1863" s="208"/>
      <c r="B1863" s="91" t="s">
        <v>56</v>
      </c>
      <c r="C1863" s="92" t="s">
        <v>57</v>
      </c>
      <c r="D1863" s="93">
        <v>40000</v>
      </c>
      <c r="E1863" s="210" t="s">
        <v>58</v>
      </c>
      <c r="F1863" s="210"/>
    </row>
    <row r="1864" spans="1:7" s="53" customFormat="1" x14ac:dyDescent="0.35">
      <c r="A1864" s="208"/>
      <c r="B1864" s="91" t="s">
        <v>603</v>
      </c>
      <c r="C1864" s="92" t="s">
        <v>60</v>
      </c>
      <c r="D1864" s="93">
        <f>1100*140</f>
        <v>154000</v>
      </c>
      <c r="E1864" s="94" t="s">
        <v>61</v>
      </c>
      <c r="F1864" s="95">
        <f>5000*2500</f>
        <v>12500000</v>
      </c>
    </row>
    <row r="1865" spans="1:7" s="53" customFormat="1" x14ac:dyDescent="0.35">
      <c r="A1865" s="208"/>
      <c r="B1865" s="91"/>
      <c r="C1865" s="92" t="s">
        <v>62</v>
      </c>
      <c r="D1865" s="93">
        <f>4800*140</f>
        <v>672000</v>
      </c>
      <c r="E1865" s="96" t="s">
        <v>63</v>
      </c>
      <c r="F1865" s="75">
        <f>5000*2500</f>
        <v>12500000</v>
      </c>
    </row>
    <row r="1866" spans="1:7" s="53" customFormat="1" ht="15" thickBot="1" x14ac:dyDescent="0.4">
      <c r="A1866" s="208"/>
      <c r="B1866" s="91" t="s">
        <v>64</v>
      </c>
      <c r="C1866" s="92" t="s">
        <v>65</v>
      </c>
      <c r="D1866" s="97">
        <v>30000</v>
      </c>
      <c r="E1866" s="98" t="s">
        <v>66</v>
      </c>
      <c r="F1866" s="99">
        <f>F1864-F1865</f>
        <v>0</v>
      </c>
      <c r="G1866" s="100">
        <f>F1866/2500</f>
        <v>0</v>
      </c>
    </row>
    <row r="1867" spans="1:7" s="53" customFormat="1" ht="15" thickTop="1" x14ac:dyDescent="0.35">
      <c r="A1867" s="208"/>
      <c r="B1867" s="91"/>
      <c r="C1867" s="92" t="s">
        <v>67</v>
      </c>
      <c r="D1867" s="93">
        <v>150000</v>
      </c>
      <c r="F1867" s="75"/>
    </row>
    <row r="1868" spans="1:7" s="53" customFormat="1" x14ac:dyDescent="0.35">
      <c r="A1868" s="208"/>
      <c r="B1868" s="91" t="s">
        <v>631</v>
      </c>
      <c r="C1868" s="101" t="s">
        <v>68</v>
      </c>
      <c r="D1868" s="93">
        <v>15000</v>
      </c>
      <c r="E1868" s="94" t="s">
        <v>69</v>
      </c>
      <c r="F1868" s="95"/>
    </row>
    <row r="1869" spans="1:7" s="53" customFormat="1" x14ac:dyDescent="0.35">
      <c r="A1869" s="208"/>
      <c r="B1869" s="102"/>
      <c r="C1869" s="101" t="s">
        <v>70</v>
      </c>
      <c r="D1869" s="103">
        <v>10000</v>
      </c>
      <c r="E1869" s="104"/>
      <c r="F1869" s="105"/>
    </row>
    <row r="1870" spans="1:7" s="53" customFormat="1" x14ac:dyDescent="0.35">
      <c r="A1870" s="208"/>
      <c r="B1870" s="102"/>
      <c r="C1870" s="101" t="s">
        <v>71</v>
      </c>
      <c r="D1870" s="103">
        <v>40000</v>
      </c>
      <c r="E1870" s="104" t="s">
        <v>72</v>
      </c>
      <c r="F1870" s="105"/>
    </row>
    <row r="1871" spans="1:7" s="53" customFormat="1" x14ac:dyDescent="0.35">
      <c r="A1871" s="208"/>
      <c r="B1871" s="102"/>
      <c r="C1871" s="92" t="s">
        <v>73</v>
      </c>
      <c r="D1871" s="106">
        <f>728*140</f>
        <v>101920</v>
      </c>
      <c r="E1871" s="53" t="s">
        <v>602</v>
      </c>
      <c r="F1871" s="105"/>
    </row>
    <row r="1872" spans="1:7" s="53" customFormat="1" ht="15" thickBot="1" x14ac:dyDescent="0.4">
      <c r="A1872" s="208"/>
      <c r="B1872" s="107"/>
      <c r="C1872" s="108"/>
      <c r="D1872" s="109"/>
      <c r="F1872" s="75"/>
    </row>
    <row r="1873" spans="1:6" s="53" customFormat="1" ht="15" thickBot="1" x14ac:dyDescent="0.4">
      <c r="A1873" s="208"/>
      <c r="B1873" s="110"/>
      <c r="C1873" s="111" t="s">
        <v>74</v>
      </c>
      <c r="D1873" s="112">
        <f>SUM(D1860:D1872)</f>
        <v>8370420</v>
      </c>
      <c r="F1873" s="75"/>
    </row>
    <row r="1874" spans="1:6" s="53" customFormat="1" ht="15.5" thickTop="1" thickBot="1" x14ac:dyDescent="0.4">
      <c r="A1874" s="209"/>
      <c r="B1874" s="211"/>
      <c r="C1874" s="211"/>
      <c r="D1874" s="211"/>
      <c r="F1874" s="75"/>
    </row>
    <row r="1875" spans="1:6" s="53" customFormat="1" x14ac:dyDescent="0.35">
      <c r="B1875" s="89"/>
      <c r="C1875" s="53" t="s">
        <v>75</v>
      </c>
      <c r="D1875" s="113">
        <f>D1857-D1873</f>
        <v>4129580</v>
      </c>
      <c r="F1875" s="75"/>
    </row>
    <row r="1876" spans="1:6" s="53" customFormat="1" x14ac:dyDescent="0.35">
      <c r="B1876" s="89"/>
      <c r="D1876" s="113"/>
      <c r="F1876" s="75"/>
    </row>
    <row r="1877" spans="1:6" s="53" customFormat="1" x14ac:dyDescent="0.35">
      <c r="A1877" s="114"/>
      <c r="B1877" s="115"/>
      <c r="C1877" s="114"/>
      <c r="D1877" s="116"/>
      <c r="E1877" s="114"/>
      <c r="F1877" s="117"/>
    </row>
    <row r="1879" spans="1:6" s="53" customFormat="1" ht="23.5" x14ac:dyDescent="0.55000000000000004">
      <c r="B1879" s="206" t="s">
        <v>0</v>
      </c>
      <c r="C1879" s="206"/>
      <c r="D1879" s="206"/>
      <c r="E1879" s="70"/>
      <c r="F1879" s="71"/>
    </row>
    <row r="1880" spans="1:6" s="53" customFormat="1" ht="20.5" x14ac:dyDescent="0.45">
      <c r="B1880" s="72"/>
      <c r="C1880" s="73" t="s">
        <v>635</v>
      </c>
      <c r="D1880" s="74"/>
      <c r="F1880" s="75"/>
    </row>
    <row r="1881" spans="1:6" s="53" customFormat="1" ht="21" thickBot="1" x14ac:dyDescent="0.5">
      <c r="B1881" s="72" t="s">
        <v>277</v>
      </c>
      <c r="C1881" s="76" t="s">
        <v>47</v>
      </c>
      <c r="D1881" s="74"/>
      <c r="F1881" s="75"/>
    </row>
    <row r="1882" spans="1:6" s="53" customFormat="1" ht="15" thickBot="1" x14ac:dyDescent="0.4">
      <c r="A1882" s="77" t="s">
        <v>48</v>
      </c>
      <c r="B1882" s="78" t="s">
        <v>26</v>
      </c>
      <c r="C1882" s="78" t="s">
        <v>49</v>
      </c>
      <c r="D1882" s="79" t="s">
        <v>29</v>
      </c>
      <c r="F1882" s="75"/>
    </row>
    <row r="1883" spans="1:6" s="53" customFormat="1" ht="14.5" customHeight="1" x14ac:dyDescent="0.35">
      <c r="A1883" s="207" t="s">
        <v>32</v>
      </c>
      <c r="B1883" s="80" t="s">
        <v>629</v>
      </c>
      <c r="C1883" s="81" t="s">
        <v>601</v>
      </c>
      <c r="D1883" s="82">
        <f>F1890</f>
        <v>12500000</v>
      </c>
      <c r="F1883" s="75"/>
    </row>
    <row r="1884" spans="1:6" s="53" customFormat="1" ht="21" thickBot="1" x14ac:dyDescent="0.5">
      <c r="A1884" s="208"/>
      <c r="B1884" s="72"/>
      <c r="C1884" s="72"/>
      <c r="D1884" s="74"/>
      <c r="F1884" s="75"/>
    </row>
    <row r="1885" spans="1:6" s="53" customFormat="1" ht="15" thickBot="1" x14ac:dyDescent="0.4">
      <c r="A1885" s="208"/>
      <c r="B1885" s="83" t="s">
        <v>26</v>
      </c>
      <c r="C1885" s="84" t="s">
        <v>51</v>
      </c>
      <c r="D1885" s="85" t="s">
        <v>52</v>
      </c>
      <c r="F1885" s="75"/>
    </row>
    <row r="1886" spans="1:6" s="89" customFormat="1" x14ac:dyDescent="0.35">
      <c r="A1886" s="208"/>
      <c r="B1886" s="86" t="str">
        <f>B1883</f>
        <v>27th February,2026</v>
      </c>
      <c r="C1886" s="87" t="s">
        <v>154</v>
      </c>
      <c r="D1886" s="88">
        <f>1850*2750</f>
        <v>5087500</v>
      </c>
      <c r="F1886" s="90"/>
    </row>
    <row r="1887" spans="1:6" s="53" customFormat="1" x14ac:dyDescent="0.35">
      <c r="A1887" s="208"/>
      <c r="B1887" s="91"/>
      <c r="C1887" s="92" t="s">
        <v>604</v>
      </c>
      <c r="D1887" s="93">
        <f>428*2500</f>
        <v>1070000</v>
      </c>
      <c r="F1887" s="75"/>
    </row>
    <row r="1888" spans="1:6" s="53" customFormat="1" x14ac:dyDescent="0.35">
      <c r="A1888" s="208"/>
      <c r="B1888" s="91" t="s">
        <v>54</v>
      </c>
      <c r="C1888" s="92" t="s">
        <v>55</v>
      </c>
      <c r="D1888" s="93">
        <v>1000000</v>
      </c>
      <c r="F1888" s="75"/>
    </row>
    <row r="1889" spans="1:7" s="53" customFormat="1" x14ac:dyDescent="0.35">
      <c r="A1889" s="208"/>
      <c r="B1889" s="91" t="s">
        <v>56</v>
      </c>
      <c r="C1889" s="92" t="s">
        <v>57</v>
      </c>
      <c r="D1889" s="93">
        <v>40000</v>
      </c>
      <c r="E1889" s="210" t="s">
        <v>58</v>
      </c>
      <c r="F1889" s="210"/>
    </row>
    <row r="1890" spans="1:7" s="53" customFormat="1" x14ac:dyDescent="0.35">
      <c r="A1890" s="208"/>
      <c r="B1890" s="91" t="s">
        <v>603</v>
      </c>
      <c r="C1890" s="92" t="s">
        <v>60</v>
      </c>
      <c r="D1890" s="93">
        <f>1300*140</f>
        <v>182000</v>
      </c>
      <c r="E1890" s="94" t="s">
        <v>61</v>
      </c>
      <c r="F1890" s="95">
        <f>5000*2500</f>
        <v>12500000</v>
      </c>
    </row>
    <row r="1891" spans="1:7" s="53" customFormat="1" x14ac:dyDescent="0.35">
      <c r="A1891" s="208"/>
      <c r="B1891" s="91"/>
      <c r="C1891" s="92" t="s">
        <v>62</v>
      </c>
      <c r="D1891" s="93">
        <f>4800*140</f>
        <v>672000</v>
      </c>
      <c r="E1891" s="96" t="s">
        <v>63</v>
      </c>
      <c r="F1891" s="75">
        <f>5000*2500</f>
        <v>12500000</v>
      </c>
    </row>
    <row r="1892" spans="1:7" s="53" customFormat="1" ht="15" thickBot="1" x14ac:dyDescent="0.4">
      <c r="A1892" s="208"/>
      <c r="B1892" s="91" t="s">
        <v>64</v>
      </c>
      <c r="C1892" s="92" t="s">
        <v>65</v>
      </c>
      <c r="D1892" s="97">
        <v>30000</v>
      </c>
      <c r="E1892" s="98" t="s">
        <v>66</v>
      </c>
      <c r="F1892" s="99">
        <f>F1890-F1891</f>
        <v>0</v>
      </c>
      <c r="G1892" s="100">
        <f>F1892/2500</f>
        <v>0</v>
      </c>
    </row>
    <row r="1893" spans="1:7" s="53" customFormat="1" ht="15" thickTop="1" x14ac:dyDescent="0.35">
      <c r="A1893" s="208"/>
      <c r="B1893" s="91"/>
      <c r="C1893" s="92" t="s">
        <v>67</v>
      </c>
      <c r="D1893" s="93">
        <v>150000</v>
      </c>
      <c r="F1893" s="75"/>
    </row>
    <row r="1894" spans="1:7" s="53" customFormat="1" x14ac:dyDescent="0.35">
      <c r="A1894" s="208"/>
      <c r="B1894" s="91" t="s">
        <v>634</v>
      </c>
      <c r="C1894" s="101" t="s">
        <v>68</v>
      </c>
      <c r="D1894" s="93">
        <v>15000</v>
      </c>
      <c r="E1894" s="94" t="s">
        <v>69</v>
      </c>
      <c r="F1894" s="95"/>
    </row>
    <row r="1895" spans="1:7" s="53" customFormat="1" x14ac:dyDescent="0.35">
      <c r="A1895" s="208"/>
      <c r="B1895" s="102"/>
      <c r="C1895" s="101" t="s">
        <v>70</v>
      </c>
      <c r="D1895" s="103">
        <v>10000</v>
      </c>
      <c r="E1895" s="104"/>
      <c r="F1895" s="105"/>
    </row>
    <row r="1896" spans="1:7" s="53" customFormat="1" x14ac:dyDescent="0.35">
      <c r="A1896" s="208"/>
      <c r="B1896" s="102"/>
      <c r="C1896" s="101" t="s">
        <v>71</v>
      </c>
      <c r="D1896" s="103">
        <v>40000</v>
      </c>
      <c r="E1896" s="104" t="s">
        <v>72</v>
      </c>
      <c r="F1896" s="105"/>
    </row>
    <row r="1897" spans="1:7" s="53" customFormat="1" x14ac:dyDescent="0.35">
      <c r="A1897" s="208"/>
      <c r="B1897" s="102"/>
      <c r="C1897" s="92" t="s">
        <v>73</v>
      </c>
      <c r="D1897" s="106">
        <f>727*140</f>
        <v>101780</v>
      </c>
      <c r="E1897" s="53" t="s">
        <v>602</v>
      </c>
      <c r="F1897" s="105"/>
    </row>
    <row r="1898" spans="1:7" s="53" customFormat="1" ht="15" thickBot="1" x14ac:dyDescent="0.4">
      <c r="A1898" s="208"/>
      <c r="B1898" s="107"/>
      <c r="C1898" s="108"/>
      <c r="D1898" s="109"/>
      <c r="F1898" s="75"/>
    </row>
    <row r="1899" spans="1:7" s="53" customFormat="1" ht="15" thickBot="1" x14ac:dyDescent="0.4">
      <c r="A1899" s="208"/>
      <c r="B1899" s="110"/>
      <c r="C1899" s="111" t="s">
        <v>74</v>
      </c>
      <c r="D1899" s="112">
        <f>SUM(D1886:D1898)</f>
        <v>8398280</v>
      </c>
      <c r="F1899" s="75"/>
    </row>
    <row r="1900" spans="1:7" s="53" customFormat="1" ht="15.5" thickTop="1" thickBot="1" x14ac:dyDescent="0.4">
      <c r="A1900" s="209"/>
      <c r="B1900" s="211"/>
      <c r="C1900" s="211"/>
      <c r="D1900" s="211"/>
      <c r="F1900" s="75"/>
    </row>
    <row r="1901" spans="1:7" s="53" customFormat="1" x14ac:dyDescent="0.35">
      <c r="B1901" s="89"/>
      <c r="C1901" s="53" t="s">
        <v>75</v>
      </c>
      <c r="D1901" s="113">
        <f>D1883-D1899</f>
        <v>4101720</v>
      </c>
      <c r="F1901" s="75"/>
    </row>
    <row r="1902" spans="1:7" s="53" customFormat="1" x14ac:dyDescent="0.35">
      <c r="B1902" s="89"/>
      <c r="D1902" s="113"/>
      <c r="F1902" s="75"/>
    </row>
    <row r="1903" spans="1:7" s="53" customFormat="1" x14ac:dyDescent="0.35">
      <c r="A1903" s="114"/>
      <c r="B1903" s="115"/>
      <c r="C1903" s="114"/>
      <c r="D1903" s="116"/>
      <c r="E1903" s="114"/>
      <c r="F1903" s="117"/>
    </row>
    <row r="1905" spans="1:7" s="53" customFormat="1" ht="23.5" x14ac:dyDescent="0.55000000000000004">
      <c r="B1905" s="206" t="s">
        <v>0</v>
      </c>
      <c r="C1905" s="206"/>
      <c r="D1905" s="206"/>
      <c r="E1905" s="70"/>
      <c r="F1905" s="71"/>
    </row>
    <row r="1906" spans="1:7" s="53" customFormat="1" ht="20.5" x14ac:dyDescent="0.45">
      <c r="B1906" s="72"/>
      <c r="C1906" s="73" t="s">
        <v>638</v>
      </c>
      <c r="D1906" s="74"/>
      <c r="F1906" s="75"/>
    </row>
    <row r="1907" spans="1:7" s="53" customFormat="1" ht="21" thickBot="1" x14ac:dyDescent="0.5">
      <c r="B1907" s="72" t="s">
        <v>282</v>
      </c>
      <c r="C1907" s="76" t="s">
        <v>47</v>
      </c>
      <c r="D1907" s="74"/>
      <c r="F1907" s="75"/>
    </row>
    <row r="1908" spans="1:7" s="53" customFormat="1" ht="15" thickBot="1" x14ac:dyDescent="0.4">
      <c r="A1908" s="77" t="s">
        <v>48</v>
      </c>
      <c r="B1908" s="78" t="s">
        <v>26</v>
      </c>
      <c r="C1908" s="78" t="s">
        <v>49</v>
      </c>
      <c r="D1908" s="79" t="s">
        <v>29</v>
      </c>
      <c r="F1908" s="75"/>
    </row>
    <row r="1909" spans="1:7" s="53" customFormat="1" ht="14.5" customHeight="1" x14ac:dyDescent="0.35">
      <c r="A1909" s="207" t="s">
        <v>32</v>
      </c>
      <c r="B1909" s="80" t="s">
        <v>629</v>
      </c>
      <c r="C1909" s="81" t="s">
        <v>601</v>
      </c>
      <c r="D1909" s="82">
        <f>F1916</f>
        <v>12500000</v>
      </c>
      <c r="F1909" s="75"/>
    </row>
    <row r="1910" spans="1:7" s="53" customFormat="1" ht="21" thickBot="1" x14ac:dyDescent="0.5">
      <c r="A1910" s="208"/>
      <c r="B1910" s="72"/>
      <c r="C1910" s="72"/>
      <c r="D1910" s="74"/>
      <c r="F1910" s="75"/>
    </row>
    <row r="1911" spans="1:7" s="53" customFormat="1" ht="15" thickBot="1" x14ac:dyDescent="0.4">
      <c r="A1911" s="208"/>
      <c r="B1911" s="83" t="s">
        <v>26</v>
      </c>
      <c r="C1911" s="84" t="s">
        <v>51</v>
      </c>
      <c r="D1911" s="85" t="s">
        <v>52</v>
      </c>
      <c r="F1911" s="75"/>
    </row>
    <row r="1912" spans="1:7" s="89" customFormat="1" x14ac:dyDescent="0.35">
      <c r="A1912" s="208"/>
      <c r="B1912" s="86" t="str">
        <f>B1909</f>
        <v>27th February,2026</v>
      </c>
      <c r="C1912" s="87" t="s">
        <v>154</v>
      </c>
      <c r="D1912" s="88">
        <f>1850*2750</f>
        <v>5087500</v>
      </c>
      <c r="F1912" s="90"/>
    </row>
    <row r="1913" spans="1:7" s="53" customFormat="1" x14ac:dyDescent="0.35">
      <c r="A1913" s="208"/>
      <c r="B1913" s="91"/>
      <c r="C1913" s="92" t="s">
        <v>604</v>
      </c>
      <c r="D1913" s="93">
        <f>428*2500</f>
        <v>1070000</v>
      </c>
      <c r="F1913" s="75"/>
    </row>
    <row r="1914" spans="1:7" s="53" customFormat="1" x14ac:dyDescent="0.35">
      <c r="A1914" s="208"/>
      <c r="B1914" s="91" t="s">
        <v>54</v>
      </c>
      <c r="C1914" s="92" t="s">
        <v>55</v>
      </c>
      <c r="D1914" s="93">
        <v>1000000</v>
      </c>
      <c r="F1914" s="75"/>
    </row>
    <row r="1915" spans="1:7" s="53" customFormat="1" x14ac:dyDescent="0.35">
      <c r="A1915" s="208"/>
      <c r="B1915" s="91" t="s">
        <v>56</v>
      </c>
      <c r="C1915" s="92" t="s">
        <v>57</v>
      </c>
      <c r="D1915" s="93">
        <v>40000</v>
      </c>
      <c r="E1915" s="210" t="s">
        <v>58</v>
      </c>
      <c r="F1915" s="210"/>
    </row>
    <row r="1916" spans="1:7" s="53" customFormat="1" x14ac:dyDescent="0.35">
      <c r="A1916" s="208"/>
      <c r="B1916" s="91" t="s">
        <v>603</v>
      </c>
      <c r="C1916" s="92" t="s">
        <v>60</v>
      </c>
      <c r="D1916" s="93">
        <f>1050*140</f>
        <v>147000</v>
      </c>
      <c r="E1916" s="94" t="s">
        <v>61</v>
      </c>
      <c r="F1916" s="95">
        <f>5000*2500</f>
        <v>12500000</v>
      </c>
    </row>
    <row r="1917" spans="1:7" s="53" customFormat="1" x14ac:dyDescent="0.35">
      <c r="A1917" s="208"/>
      <c r="B1917" s="91"/>
      <c r="C1917" s="92" t="s">
        <v>62</v>
      </c>
      <c r="D1917" s="93">
        <f>4800*140</f>
        <v>672000</v>
      </c>
      <c r="E1917" s="96" t="s">
        <v>63</v>
      </c>
      <c r="F1917" s="75">
        <f>5000*2500</f>
        <v>12500000</v>
      </c>
    </row>
    <row r="1918" spans="1:7" s="53" customFormat="1" ht="15" thickBot="1" x14ac:dyDescent="0.4">
      <c r="A1918" s="208"/>
      <c r="B1918" s="91" t="s">
        <v>64</v>
      </c>
      <c r="C1918" s="92" t="s">
        <v>65</v>
      </c>
      <c r="D1918" s="97">
        <v>30000</v>
      </c>
      <c r="E1918" s="98" t="s">
        <v>66</v>
      </c>
      <c r="F1918" s="99">
        <f>F1916-F1917</f>
        <v>0</v>
      </c>
      <c r="G1918" s="100">
        <f>F1918/2500</f>
        <v>0</v>
      </c>
    </row>
    <row r="1919" spans="1:7" s="53" customFormat="1" ht="15" thickTop="1" x14ac:dyDescent="0.35">
      <c r="A1919" s="208"/>
      <c r="B1919" s="91"/>
      <c r="C1919" s="92" t="s">
        <v>67</v>
      </c>
      <c r="D1919" s="93">
        <v>150000</v>
      </c>
      <c r="F1919" s="75"/>
    </row>
    <row r="1920" spans="1:7" s="53" customFormat="1" x14ac:dyDescent="0.35">
      <c r="A1920" s="208"/>
      <c r="B1920" s="91" t="s">
        <v>634</v>
      </c>
      <c r="C1920" s="101" t="s">
        <v>68</v>
      </c>
      <c r="D1920" s="93">
        <v>15000</v>
      </c>
      <c r="E1920" s="94" t="s">
        <v>69</v>
      </c>
      <c r="F1920" s="95"/>
    </row>
    <row r="1921" spans="1:6" s="53" customFormat="1" x14ac:dyDescent="0.35">
      <c r="A1921" s="208"/>
      <c r="B1921" s="102"/>
      <c r="C1921" s="101" t="s">
        <v>70</v>
      </c>
      <c r="D1921" s="103">
        <v>10000</v>
      </c>
      <c r="E1921" s="104"/>
      <c r="F1921" s="105"/>
    </row>
    <row r="1922" spans="1:6" s="53" customFormat="1" x14ac:dyDescent="0.35">
      <c r="A1922" s="208"/>
      <c r="B1922" s="102"/>
      <c r="C1922" s="101" t="s">
        <v>71</v>
      </c>
      <c r="D1922" s="103">
        <v>40000</v>
      </c>
      <c r="E1922" s="104" t="s">
        <v>72</v>
      </c>
      <c r="F1922" s="105"/>
    </row>
    <row r="1923" spans="1:6" s="53" customFormat="1" x14ac:dyDescent="0.35">
      <c r="A1923" s="208"/>
      <c r="B1923" s="102"/>
      <c r="C1923" s="92"/>
      <c r="D1923" s="106"/>
      <c r="E1923" s="53" t="s">
        <v>602</v>
      </c>
      <c r="F1923" s="105"/>
    </row>
    <row r="1924" spans="1:6" s="53" customFormat="1" ht="15" thickBot="1" x14ac:dyDescent="0.4">
      <c r="A1924" s="208"/>
      <c r="B1924" s="107"/>
      <c r="C1924" s="108"/>
      <c r="D1924" s="109"/>
      <c r="F1924" s="75"/>
    </row>
    <row r="1925" spans="1:6" s="53" customFormat="1" ht="15" thickBot="1" x14ac:dyDescent="0.4">
      <c r="A1925" s="208"/>
      <c r="B1925" s="110"/>
      <c r="C1925" s="111" t="s">
        <v>74</v>
      </c>
      <c r="D1925" s="112">
        <f>SUM(D1912:D1924)</f>
        <v>8261500</v>
      </c>
      <c r="F1925" s="75"/>
    </row>
    <row r="1926" spans="1:6" s="53" customFormat="1" ht="15.5" thickTop="1" thickBot="1" x14ac:dyDescent="0.4">
      <c r="A1926" s="209"/>
      <c r="B1926" s="211"/>
      <c r="C1926" s="211"/>
      <c r="D1926" s="211"/>
      <c r="F1926" s="75"/>
    </row>
    <row r="1927" spans="1:6" s="53" customFormat="1" x14ac:dyDescent="0.35">
      <c r="B1927" s="89"/>
      <c r="C1927" s="53" t="s">
        <v>75</v>
      </c>
      <c r="D1927" s="113">
        <f>D1909-D1925</f>
        <v>4238500</v>
      </c>
      <c r="F1927" s="75"/>
    </row>
    <row r="1928" spans="1:6" s="53" customFormat="1" x14ac:dyDescent="0.35">
      <c r="B1928" s="89"/>
      <c r="D1928" s="113"/>
      <c r="F1928" s="75"/>
    </row>
    <row r="1929" spans="1:6" s="53" customFormat="1" x14ac:dyDescent="0.35">
      <c r="A1929" s="114"/>
      <c r="B1929" s="115"/>
      <c r="C1929" s="114"/>
      <c r="D1929" s="116"/>
      <c r="E1929" s="114"/>
      <c r="F1929" s="117"/>
    </row>
    <row r="1931" spans="1:6" s="53" customFormat="1" ht="23.5" x14ac:dyDescent="0.55000000000000004">
      <c r="B1931" s="206" t="s">
        <v>0</v>
      </c>
      <c r="C1931" s="206"/>
      <c r="D1931" s="206"/>
      <c r="E1931" s="70"/>
      <c r="F1931" s="71"/>
    </row>
    <row r="1932" spans="1:6" s="53" customFormat="1" ht="20.5" x14ac:dyDescent="0.45">
      <c r="B1932" s="72"/>
      <c r="C1932" s="73" t="s">
        <v>641</v>
      </c>
      <c r="D1932" s="74"/>
      <c r="F1932" s="75"/>
    </row>
    <row r="1933" spans="1:6" s="53" customFormat="1" ht="21" thickBot="1" x14ac:dyDescent="0.5">
      <c r="B1933" s="72" t="s">
        <v>642</v>
      </c>
      <c r="C1933" s="76" t="s">
        <v>47</v>
      </c>
      <c r="D1933" s="74"/>
      <c r="F1933" s="75"/>
    </row>
    <row r="1934" spans="1:6" s="53" customFormat="1" ht="15" thickBot="1" x14ac:dyDescent="0.4">
      <c r="A1934" s="77" t="s">
        <v>48</v>
      </c>
      <c r="B1934" s="78" t="s">
        <v>26</v>
      </c>
      <c r="C1934" s="78" t="s">
        <v>49</v>
      </c>
      <c r="D1934" s="79" t="s">
        <v>29</v>
      </c>
      <c r="F1934" s="75"/>
    </row>
    <row r="1935" spans="1:6" s="53" customFormat="1" ht="14.5" customHeight="1" x14ac:dyDescent="0.35">
      <c r="A1935" s="207" t="s">
        <v>32</v>
      </c>
      <c r="B1935" s="80" t="s">
        <v>629</v>
      </c>
      <c r="C1935" s="81" t="s">
        <v>601</v>
      </c>
      <c r="D1935" s="82">
        <f>F1942</f>
        <v>12500000</v>
      </c>
      <c r="F1935" s="75"/>
    </row>
    <row r="1936" spans="1:6" s="53" customFormat="1" ht="21" thickBot="1" x14ac:dyDescent="0.5">
      <c r="A1936" s="208"/>
      <c r="B1936" s="72"/>
      <c r="C1936" s="72"/>
      <c r="D1936" s="74"/>
      <c r="F1936" s="75"/>
    </row>
    <row r="1937" spans="1:7" s="53" customFormat="1" ht="15" thickBot="1" x14ac:dyDescent="0.4">
      <c r="A1937" s="208"/>
      <c r="B1937" s="83" t="s">
        <v>26</v>
      </c>
      <c r="C1937" s="84" t="s">
        <v>51</v>
      </c>
      <c r="D1937" s="85" t="s">
        <v>52</v>
      </c>
      <c r="F1937" s="75"/>
    </row>
    <row r="1938" spans="1:7" s="89" customFormat="1" x14ac:dyDescent="0.35">
      <c r="A1938" s="208"/>
      <c r="B1938" s="86" t="str">
        <f>B1935</f>
        <v>27th February,2026</v>
      </c>
      <c r="C1938" s="87" t="s">
        <v>154</v>
      </c>
      <c r="D1938" s="88">
        <f>1850*2750</f>
        <v>5087500</v>
      </c>
      <c r="F1938" s="90"/>
    </row>
    <row r="1939" spans="1:7" s="53" customFormat="1" x14ac:dyDescent="0.35">
      <c r="A1939" s="208"/>
      <c r="B1939" s="91"/>
      <c r="C1939" s="92" t="s">
        <v>604</v>
      </c>
      <c r="D1939" s="93">
        <f>428*2500</f>
        <v>1070000</v>
      </c>
      <c r="F1939" s="75"/>
    </row>
    <row r="1940" spans="1:7" s="53" customFormat="1" x14ac:dyDescent="0.35">
      <c r="A1940" s="208"/>
      <c r="B1940" s="91" t="s">
        <v>54</v>
      </c>
      <c r="C1940" s="92" t="s">
        <v>55</v>
      </c>
      <c r="D1940" s="93">
        <v>1000000</v>
      </c>
      <c r="F1940" s="75"/>
    </row>
    <row r="1941" spans="1:7" s="53" customFormat="1" x14ac:dyDescent="0.35">
      <c r="A1941" s="208"/>
      <c r="B1941" s="91" t="s">
        <v>56</v>
      </c>
      <c r="C1941" s="92" t="s">
        <v>57</v>
      </c>
      <c r="D1941" s="93">
        <v>40000</v>
      </c>
      <c r="E1941" s="210" t="s">
        <v>58</v>
      </c>
      <c r="F1941" s="210"/>
    </row>
    <row r="1942" spans="1:7" s="53" customFormat="1" x14ac:dyDescent="0.35">
      <c r="A1942" s="208"/>
      <c r="B1942" s="91" t="s">
        <v>603</v>
      </c>
      <c r="C1942" s="92" t="s">
        <v>60</v>
      </c>
      <c r="D1942" s="93">
        <f>1150*140</f>
        <v>161000</v>
      </c>
      <c r="E1942" s="94" t="s">
        <v>61</v>
      </c>
      <c r="F1942" s="95">
        <f>5000*2500</f>
        <v>12500000</v>
      </c>
    </row>
    <row r="1943" spans="1:7" s="53" customFormat="1" x14ac:dyDescent="0.35">
      <c r="A1943" s="208"/>
      <c r="B1943" s="91"/>
      <c r="C1943" s="92" t="s">
        <v>62</v>
      </c>
      <c r="D1943" s="93">
        <f>4200*140</f>
        <v>588000</v>
      </c>
      <c r="E1943" s="96" t="s">
        <v>63</v>
      </c>
      <c r="F1943" s="75">
        <f>5000*2500</f>
        <v>12500000</v>
      </c>
    </row>
    <row r="1944" spans="1:7" s="53" customFormat="1" ht="15" thickBot="1" x14ac:dyDescent="0.4">
      <c r="A1944" s="208"/>
      <c r="B1944" s="91" t="s">
        <v>64</v>
      </c>
      <c r="C1944" s="92" t="s">
        <v>65</v>
      </c>
      <c r="D1944" s="97">
        <v>30000</v>
      </c>
      <c r="E1944" s="98" t="s">
        <v>66</v>
      </c>
      <c r="F1944" s="99">
        <f>F1942-F1943</f>
        <v>0</v>
      </c>
      <c r="G1944" s="100">
        <f>F1944/2500</f>
        <v>0</v>
      </c>
    </row>
    <row r="1945" spans="1:7" s="53" customFormat="1" ht="15" thickTop="1" x14ac:dyDescent="0.35">
      <c r="A1945" s="208"/>
      <c r="B1945" s="91"/>
      <c r="C1945" s="92" t="s">
        <v>67</v>
      </c>
      <c r="D1945" s="93">
        <v>150000</v>
      </c>
      <c r="F1945" s="75"/>
    </row>
    <row r="1946" spans="1:7" s="53" customFormat="1" x14ac:dyDescent="0.35">
      <c r="A1946" s="208"/>
      <c r="B1946" s="91" t="s">
        <v>634</v>
      </c>
      <c r="C1946" s="101" t="s">
        <v>68</v>
      </c>
      <c r="D1946" s="93">
        <v>15000</v>
      </c>
      <c r="E1946" s="94" t="s">
        <v>69</v>
      </c>
      <c r="F1946" s="95"/>
    </row>
    <row r="1947" spans="1:7" s="53" customFormat="1" x14ac:dyDescent="0.35">
      <c r="A1947" s="208"/>
      <c r="B1947" s="102"/>
      <c r="C1947" s="101" t="s">
        <v>70</v>
      </c>
      <c r="D1947" s="103">
        <v>10000</v>
      </c>
      <c r="E1947" s="104"/>
      <c r="F1947" s="105"/>
    </row>
    <row r="1948" spans="1:7" s="53" customFormat="1" x14ac:dyDescent="0.35">
      <c r="A1948" s="208"/>
      <c r="B1948" s="102"/>
      <c r="C1948" s="101" t="s">
        <v>71</v>
      </c>
      <c r="D1948" s="103">
        <v>40000</v>
      </c>
      <c r="E1948" s="104" t="s">
        <v>72</v>
      </c>
      <c r="F1948" s="105"/>
    </row>
    <row r="1949" spans="1:7" s="53" customFormat="1" x14ac:dyDescent="0.35">
      <c r="A1949" s="208"/>
      <c r="B1949" s="102"/>
      <c r="C1949" s="92" t="s">
        <v>73</v>
      </c>
      <c r="D1949" s="106">
        <f>718*140</f>
        <v>100520</v>
      </c>
      <c r="E1949" s="53" t="s">
        <v>602</v>
      </c>
      <c r="F1949" s="105"/>
    </row>
    <row r="1950" spans="1:7" s="53" customFormat="1" ht="15" thickBot="1" x14ac:dyDescent="0.4">
      <c r="A1950" s="208"/>
      <c r="B1950" s="107"/>
      <c r="C1950" s="108"/>
      <c r="D1950" s="109"/>
      <c r="F1950" s="75"/>
    </row>
    <row r="1951" spans="1:7" s="53" customFormat="1" ht="15" thickBot="1" x14ac:dyDescent="0.4">
      <c r="A1951" s="208"/>
      <c r="B1951" s="110"/>
      <c r="C1951" s="111" t="s">
        <v>74</v>
      </c>
      <c r="D1951" s="112">
        <f>SUM(D1938:D1950)</f>
        <v>8292020</v>
      </c>
      <c r="F1951" s="75"/>
    </row>
    <row r="1952" spans="1:7" s="53" customFormat="1" ht="15.5" thickTop="1" thickBot="1" x14ac:dyDescent="0.4">
      <c r="A1952" s="209"/>
      <c r="B1952" s="211"/>
      <c r="C1952" s="211"/>
      <c r="D1952" s="211"/>
      <c r="F1952" s="75"/>
    </row>
    <row r="1953" spans="1:6" s="53" customFormat="1" x14ac:dyDescent="0.35">
      <c r="B1953" s="89"/>
      <c r="C1953" s="53" t="s">
        <v>75</v>
      </c>
      <c r="D1953" s="113">
        <f>D1935-D1951</f>
        <v>4207980</v>
      </c>
      <c r="F1953" s="75"/>
    </row>
    <row r="1954" spans="1:6" s="53" customFormat="1" x14ac:dyDescent="0.35">
      <c r="B1954" s="89"/>
      <c r="D1954" s="113"/>
      <c r="F1954" s="75"/>
    </row>
    <row r="1955" spans="1:6" s="53" customFormat="1" x14ac:dyDescent="0.35">
      <c r="A1955" s="114"/>
      <c r="B1955" s="115"/>
      <c r="C1955" s="114"/>
      <c r="D1955" s="116"/>
      <c r="E1955" s="114"/>
      <c r="F1955" s="117"/>
    </row>
    <row r="1957" spans="1:6" s="53" customFormat="1" ht="23.5" x14ac:dyDescent="0.55000000000000004">
      <c r="B1957" s="206" t="s">
        <v>0</v>
      </c>
      <c r="C1957" s="206"/>
      <c r="D1957" s="206"/>
      <c r="E1957" s="70"/>
      <c r="F1957" s="71"/>
    </row>
    <row r="1958" spans="1:6" s="53" customFormat="1" ht="20.5" x14ac:dyDescent="0.45">
      <c r="B1958" s="72"/>
      <c r="C1958" s="73" t="s">
        <v>645</v>
      </c>
      <c r="D1958" s="74"/>
      <c r="F1958" s="75"/>
    </row>
    <row r="1959" spans="1:6" s="53" customFormat="1" ht="21" thickBot="1" x14ac:dyDescent="0.5">
      <c r="B1959" s="72" t="s">
        <v>230</v>
      </c>
      <c r="C1959" s="76" t="s">
        <v>47</v>
      </c>
      <c r="D1959" s="74"/>
      <c r="F1959" s="75"/>
    </row>
    <row r="1960" spans="1:6" s="53" customFormat="1" ht="15" thickBot="1" x14ac:dyDescent="0.4">
      <c r="A1960" s="77" t="s">
        <v>48</v>
      </c>
      <c r="B1960" s="78" t="s">
        <v>26</v>
      </c>
      <c r="C1960" s="78" t="s">
        <v>49</v>
      </c>
      <c r="D1960" s="79" t="s">
        <v>29</v>
      </c>
      <c r="F1960" s="75"/>
    </row>
    <row r="1961" spans="1:6" s="53" customFormat="1" ht="14.5" customHeight="1" x14ac:dyDescent="0.35">
      <c r="A1961" s="207" t="s">
        <v>32</v>
      </c>
      <c r="B1961" s="80" t="s">
        <v>629</v>
      </c>
      <c r="C1961" s="81" t="s">
        <v>601</v>
      </c>
      <c r="D1961" s="82">
        <f>F1968</f>
        <v>12500000</v>
      </c>
      <c r="F1961" s="75"/>
    </row>
    <row r="1962" spans="1:6" s="53" customFormat="1" ht="21" thickBot="1" x14ac:dyDescent="0.5">
      <c r="A1962" s="208"/>
      <c r="B1962" s="72"/>
      <c r="C1962" s="72"/>
      <c r="D1962" s="74"/>
      <c r="F1962" s="75"/>
    </row>
    <row r="1963" spans="1:6" s="53" customFormat="1" ht="15" thickBot="1" x14ac:dyDescent="0.4">
      <c r="A1963" s="208"/>
      <c r="B1963" s="83" t="s">
        <v>26</v>
      </c>
      <c r="C1963" s="84" t="s">
        <v>51</v>
      </c>
      <c r="D1963" s="85" t="s">
        <v>52</v>
      </c>
      <c r="F1963" s="75"/>
    </row>
    <row r="1964" spans="1:6" s="89" customFormat="1" x14ac:dyDescent="0.35">
      <c r="A1964" s="208"/>
      <c r="B1964" s="86" t="str">
        <f>B1961</f>
        <v>27th February,2026</v>
      </c>
      <c r="C1964" s="87" t="s">
        <v>154</v>
      </c>
      <c r="D1964" s="88">
        <f>1850*2750</f>
        <v>5087500</v>
      </c>
      <c r="F1964" s="90"/>
    </row>
    <row r="1965" spans="1:6" s="53" customFormat="1" x14ac:dyDescent="0.35">
      <c r="A1965" s="208"/>
      <c r="B1965" s="91"/>
      <c r="C1965" s="92" t="s">
        <v>604</v>
      </c>
      <c r="D1965" s="93">
        <f>428*2500</f>
        <v>1070000</v>
      </c>
      <c r="F1965" s="75"/>
    </row>
    <row r="1966" spans="1:6" s="53" customFormat="1" x14ac:dyDescent="0.35">
      <c r="A1966" s="208"/>
      <c r="B1966" s="91" t="s">
        <v>54</v>
      </c>
      <c r="C1966" s="92" t="s">
        <v>55</v>
      </c>
      <c r="D1966" s="93">
        <v>1000000</v>
      </c>
      <c r="F1966" s="75"/>
    </row>
    <row r="1967" spans="1:6" s="53" customFormat="1" x14ac:dyDescent="0.35">
      <c r="A1967" s="208"/>
      <c r="B1967" s="91" t="s">
        <v>56</v>
      </c>
      <c r="C1967" s="92" t="s">
        <v>57</v>
      </c>
      <c r="D1967" s="93">
        <v>40000</v>
      </c>
      <c r="E1967" s="210" t="s">
        <v>58</v>
      </c>
      <c r="F1967" s="210"/>
    </row>
    <row r="1968" spans="1:6" s="53" customFormat="1" x14ac:dyDescent="0.35">
      <c r="A1968" s="208"/>
      <c r="B1968" s="91" t="s">
        <v>603</v>
      </c>
      <c r="C1968" s="92" t="s">
        <v>60</v>
      </c>
      <c r="D1968" s="93">
        <f>1300*140</f>
        <v>182000</v>
      </c>
      <c r="E1968" s="94" t="s">
        <v>61</v>
      </c>
      <c r="F1968" s="95">
        <f>5000*2500</f>
        <v>12500000</v>
      </c>
    </row>
    <row r="1969" spans="1:7" s="53" customFormat="1" x14ac:dyDescent="0.35">
      <c r="A1969" s="208"/>
      <c r="B1969" s="91"/>
      <c r="C1969" s="92" t="s">
        <v>62</v>
      </c>
      <c r="D1969" s="93">
        <f>4800*140</f>
        <v>672000</v>
      </c>
      <c r="E1969" s="96" t="s">
        <v>63</v>
      </c>
      <c r="F1969" s="75">
        <f>5000*2500</f>
        <v>12500000</v>
      </c>
    </row>
    <row r="1970" spans="1:7" s="53" customFormat="1" ht="15" thickBot="1" x14ac:dyDescent="0.4">
      <c r="A1970" s="208"/>
      <c r="B1970" s="91" t="s">
        <v>64</v>
      </c>
      <c r="C1970" s="92" t="s">
        <v>65</v>
      </c>
      <c r="D1970" s="97">
        <v>30000</v>
      </c>
      <c r="E1970" s="98" t="s">
        <v>66</v>
      </c>
      <c r="F1970" s="99">
        <f>F1968-F1969</f>
        <v>0</v>
      </c>
      <c r="G1970" s="100">
        <f>F1970/2500</f>
        <v>0</v>
      </c>
    </row>
    <row r="1971" spans="1:7" s="53" customFormat="1" ht="15" thickTop="1" x14ac:dyDescent="0.35">
      <c r="A1971" s="208"/>
      <c r="B1971" s="91"/>
      <c r="C1971" s="92" t="s">
        <v>67</v>
      </c>
      <c r="D1971" s="93">
        <v>150000</v>
      </c>
      <c r="F1971" s="75"/>
    </row>
    <row r="1972" spans="1:7" s="53" customFormat="1" x14ac:dyDescent="0.35">
      <c r="A1972" s="208"/>
      <c r="B1972" s="91" t="s">
        <v>644</v>
      </c>
      <c r="C1972" s="101" t="s">
        <v>68</v>
      </c>
      <c r="D1972" s="93">
        <v>15000</v>
      </c>
      <c r="E1972" s="94" t="s">
        <v>69</v>
      </c>
      <c r="F1972" s="95"/>
    </row>
    <row r="1973" spans="1:7" s="53" customFormat="1" x14ac:dyDescent="0.35">
      <c r="A1973" s="208"/>
      <c r="B1973" s="102"/>
      <c r="C1973" s="101" t="s">
        <v>70</v>
      </c>
      <c r="D1973" s="103">
        <v>10000</v>
      </c>
      <c r="E1973" s="104"/>
      <c r="F1973" s="105"/>
    </row>
    <row r="1974" spans="1:7" s="53" customFormat="1" x14ac:dyDescent="0.35">
      <c r="A1974" s="208"/>
      <c r="B1974" s="102"/>
      <c r="C1974" s="101" t="s">
        <v>71</v>
      </c>
      <c r="D1974" s="103">
        <v>30000</v>
      </c>
      <c r="E1974" s="104" t="s">
        <v>72</v>
      </c>
      <c r="F1974" s="105"/>
    </row>
    <row r="1975" spans="1:7" s="53" customFormat="1" x14ac:dyDescent="0.35">
      <c r="A1975" s="208"/>
      <c r="B1975" s="102"/>
      <c r="C1975" s="92" t="s">
        <v>73</v>
      </c>
      <c r="D1975" s="106">
        <f>728*140</f>
        <v>101920</v>
      </c>
      <c r="E1975" s="53" t="s">
        <v>602</v>
      </c>
      <c r="F1975" s="105"/>
    </row>
    <row r="1976" spans="1:7" s="53" customFormat="1" ht="15" thickBot="1" x14ac:dyDescent="0.4">
      <c r="A1976" s="208"/>
      <c r="B1976" s="107"/>
      <c r="C1976" s="108"/>
      <c r="D1976" s="109"/>
      <c r="F1976" s="75"/>
    </row>
    <row r="1977" spans="1:7" s="53" customFormat="1" ht="15" thickBot="1" x14ac:dyDescent="0.4">
      <c r="A1977" s="208"/>
      <c r="B1977" s="110"/>
      <c r="C1977" s="111" t="s">
        <v>74</v>
      </c>
      <c r="D1977" s="112">
        <f>SUM(D1964:D1976)</f>
        <v>8388420</v>
      </c>
      <c r="F1977" s="75"/>
    </row>
    <row r="1978" spans="1:7" s="53" customFormat="1" ht="15.5" thickTop="1" thickBot="1" x14ac:dyDescent="0.4">
      <c r="A1978" s="209"/>
      <c r="B1978" s="211"/>
      <c r="C1978" s="211"/>
      <c r="D1978" s="211"/>
      <c r="F1978" s="75"/>
    </row>
    <row r="1979" spans="1:7" s="53" customFormat="1" x14ac:dyDescent="0.35">
      <c r="B1979" s="89"/>
      <c r="C1979" s="53" t="s">
        <v>75</v>
      </c>
      <c r="D1979" s="113">
        <f>D1961-D1977</f>
        <v>4111580</v>
      </c>
      <c r="F1979" s="75"/>
    </row>
    <row r="1980" spans="1:7" s="53" customFormat="1" x14ac:dyDescent="0.35">
      <c r="B1980" s="89"/>
      <c r="D1980" s="113"/>
      <c r="F1980" s="75"/>
    </row>
    <row r="1981" spans="1:7" s="53" customFormat="1" x14ac:dyDescent="0.35">
      <c r="A1981" s="114"/>
      <c r="B1981" s="115"/>
      <c r="C1981" s="114"/>
      <c r="D1981" s="116"/>
      <c r="E1981" s="114"/>
      <c r="F1981" s="117"/>
    </row>
    <row r="1984" spans="1:7" s="53" customFormat="1" ht="23.5" x14ac:dyDescent="0.55000000000000004">
      <c r="B1984" s="206" t="s">
        <v>0</v>
      </c>
      <c r="C1984" s="206"/>
      <c r="D1984" s="206"/>
      <c r="E1984" s="70"/>
      <c r="F1984" s="71"/>
    </row>
    <row r="1985" spans="1:7" s="53" customFormat="1" ht="20.5" x14ac:dyDescent="0.45">
      <c r="B1985" s="72"/>
      <c r="C1985" s="73" t="s">
        <v>662</v>
      </c>
      <c r="D1985" s="74"/>
      <c r="F1985" s="75"/>
    </row>
    <row r="1986" spans="1:7" s="53" customFormat="1" ht="21" thickBot="1" x14ac:dyDescent="0.5">
      <c r="B1986" s="72" t="s">
        <v>209</v>
      </c>
      <c r="C1986" s="76" t="s">
        <v>47</v>
      </c>
      <c r="D1986" s="74"/>
      <c r="F1986" s="75"/>
    </row>
    <row r="1987" spans="1:7" s="53" customFormat="1" ht="15" thickBot="1" x14ac:dyDescent="0.4">
      <c r="A1987" s="77" t="s">
        <v>48</v>
      </c>
      <c r="B1987" s="78" t="s">
        <v>26</v>
      </c>
      <c r="C1987" s="78" t="s">
        <v>49</v>
      </c>
      <c r="D1987" s="79" t="s">
        <v>29</v>
      </c>
      <c r="F1987" s="75"/>
    </row>
    <row r="1988" spans="1:7" s="53" customFormat="1" ht="14.5" customHeight="1" x14ac:dyDescent="0.35">
      <c r="A1988" s="207" t="s">
        <v>32</v>
      </c>
      <c r="B1988" s="80" t="s">
        <v>663</v>
      </c>
      <c r="C1988" s="81" t="s">
        <v>601</v>
      </c>
      <c r="D1988" s="82">
        <f>F1995</f>
        <v>12500000</v>
      </c>
      <c r="F1988" s="75"/>
    </row>
    <row r="1989" spans="1:7" s="53" customFormat="1" ht="21" thickBot="1" x14ac:dyDescent="0.5">
      <c r="A1989" s="208"/>
      <c r="B1989" s="72"/>
      <c r="C1989" s="72"/>
      <c r="D1989" s="74"/>
      <c r="F1989" s="75"/>
    </row>
    <row r="1990" spans="1:7" s="53" customFormat="1" ht="15" thickBot="1" x14ac:dyDescent="0.4">
      <c r="A1990" s="208"/>
      <c r="B1990" s="83" t="s">
        <v>26</v>
      </c>
      <c r="C1990" s="84" t="s">
        <v>51</v>
      </c>
      <c r="D1990" s="85" t="s">
        <v>52</v>
      </c>
      <c r="F1990" s="75"/>
    </row>
    <row r="1991" spans="1:7" s="89" customFormat="1" x14ac:dyDescent="0.35">
      <c r="A1991" s="208"/>
      <c r="B1991" s="86" t="str">
        <f>B1988</f>
        <v>28th February,2026</v>
      </c>
      <c r="C1991" s="87" t="s">
        <v>154</v>
      </c>
      <c r="D1991" s="88">
        <f>1850*2750</f>
        <v>5087500</v>
      </c>
      <c r="F1991" s="90"/>
    </row>
    <row r="1992" spans="1:7" s="53" customFormat="1" x14ac:dyDescent="0.35">
      <c r="A1992" s="208"/>
      <c r="B1992" s="91"/>
      <c r="C1992" s="92" t="s">
        <v>604</v>
      </c>
      <c r="D1992" s="93">
        <f>428*2500</f>
        <v>1070000</v>
      </c>
      <c r="F1992" s="75"/>
    </row>
    <row r="1993" spans="1:7" s="53" customFormat="1" x14ac:dyDescent="0.35">
      <c r="A1993" s="208"/>
      <c r="B1993" s="91" t="s">
        <v>54</v>
      </c>
      <c r="C1993" s="92" t="s">
        <v>55</v>
      </c>
      <c r="D1993" s="93">
        <v>1000000</v>
      </c>
      <c r="F1993" s="75"/>
    </row>
    <row r="1994" spans="1:7" s="53" customFormat="1" x14ac:dyDescent="0.35">
      <c r="A1994" s="208"/>
      <c r="B1994" s="91" t="s">
        <v>56</v>
      </c>
      <c r="C1994" s="92" t="s">
        <v>57</v>
      </c>
      <c r="D1994" s="93">
        <v>40000</v>
      </c>
      <c r="E1994" s="210" t="s">
        <v>58</v>
      </c>
      <c r="F1994" s="210"/>
    </row>
    <row r="1995" spans="1:7" s="53" customFormat="1" x14ac:dyDescent="0.35">
      <c r="A1995" s="208"/>
      <c r="B1995" s="91" t="s">
        <v>603</v>
      </c>
      <c r="C1995" s="92" t="s">
        <v>60</v>
      </c>
      <c r="D1995" s="93">
        <f>1200*140</f>
        <v>168000</v>
      </c>
      <c r="E1995" s="94" t="s">
        <v>61</v>
      </c>
      <c r="F1995" s="95">
        <f>5000*2500</f>
        <v>12500000</v>
      </c>
    </row>
    <row r="1996" spans="1:7" s="53" customFormat="1" x14ac:dyDescent="0.35">
      <c r="A1996" s="208"/>
      <c r="B1996" s="91"/>
      <c r="C1996" s="92" t="s">
        <v>62</v>
      </c>
      <c r="D1996" s="93">
        <f>4800*140</f>
        <v>672000</v>
      </c>
      <c r="E1996" s="96" t="s">
        <v>63</v>
      </c>
      <c r="F1996" s="75">
        <f>5000*2500</f>
        <v>12500000</v>
      </c>
    </row>
    <row r="1997" spans="1:7" s="53" customFormat="1" ht="15" thickBot="1" x14ac:dyDescent="0.4">
      <c r="A1997" s="208"/>
      <c r="B1997" s="91" t="s">
        <v>64</v>
      </c>
      <c r="C1997" s="92" t="s">
        <v>65</v>
      </c>
      <c r="D1997" s="97">
        <v>30000</v>
      </c>
      <c r="E1997" s="98" t="s">
        <v>66</v>
      </c>
      <c r="F1997" s="99">
        <f>F1995-F1996</f>
        <v>0</v>
      </c>
      <c r="G1997" s="100">
        <f>F1997/2500</f>
        <v>0</v>
      </c>
    </row>
    <row r="1998" spans="1:7" s="53" customFormat="1" ht="15" thickTop="1" x14ac:dyDescent="0.35">
      <c r="A1998" s="208"/>
      <c r="B1998" s="91"/>
      <c r="C1998" s="92" t="s">
        <v>67</v>
      </c>
      <c r="D1998" s="93">
        <v>150000</v>
      </c>
      <c r="F1998" s="75"/>
    </row>
    <row r="1999" spans="1:7" s="53" customFormat="1" x14ac:dyDescent="0.35">
      <c r="A1999" s="208"/>
      <c r="B1999" s="91" t="s">
        <v>661</v>
      </c>
      <c r="C1999" s="101" t="s">
        <v>68</v>
      </c>
      <c r="D1999" s="93">
        <v>15000</v>
      </c>
      <c r="E1999" s="94" t="s">
        <v>69</v>
      </c>
      <c r="F1999" s="95"/>
    </row>
    <row r="2000" spans="1:7" s="53" customFormat="1" x14ac:dyDescent="0.35">
      <c r="A2000" s="208"/>
      <c r="B2000" s="102"/>
      <c r="C2000" s="101" t="s">
        <v>70</v>
      </c>
      <c r="D2000" s="103">
        <v>10000</v>
      </c>
      <c r="E2000" s="104"/>
      <c r="F2000" s="105"/>
    </row>
    <row r="2001" spans="1:6" s="53" customFormat="1" x14ac:dyDescent="0.35">
      <c r="A2001" s="208"/>
      <c r="B2001" s="102"/>
      <c r="C2001" s="101" t="s">
        <v>71</v>
      </c>
      <c r="D2001" s="103">
        <v>40000</v>
      </c>
      <c r="E2001" s="104" t="s">
        <v>72</v>
      </c>
      <c r="F2001" s="105"/>
    </row>
    <row r="2002" spans="1:6" s="53" customFormat="1" x14ac:dyDescent="0.35">
      <c r="A2002" s="208"/>
      <c r="B2002" s="102"/>
      <c r="C2002" s="92" t="s">
        <v>73</v>
      </c>
      <c r="D2002" s="106">
        <f>728*140</f>
        <v>101920</v>
      </c>
      <c r="E2002" s="53" t="s">
        <v>602</v>
      </c>
      <c r="F2002" s="105"/>
    </row>
    <row r="2003" spans="1:6" s="53" customFormat="1" ht="15" thickBot="1" x14ac:dyDescent="0.4">
      <c r="A2003" s="208"/>
      <c r="B2003" s="107"/>
      <c r="C2003" s="108"/>
      <c r="D2003" s="109"/>
      <c r="F2003" s="75"/>
    </row>
    <row r="2004" spans="1:6" s="53" customFormat="1" ht="15" thickBot="1" x14ac:dyDescent="0.4">
      <c r="A2004" s="208"/>
      <c r="B2004" s="110"/>
      <c r="C2004" s="111" t="s">
        <v>74</v>
      </c>
      <c r="D2004" s="112">
        <f>SUM(D1991:D2003)</f>
        <v>8384420</v>
      </c>
      <c r="F2004" s="75"/>
    </row>
    <row r="2005" spans="1:6" s="53" customFormat="1" ht="15.5" thickTop="1" thickBot="1" x14ac:dyDescent="0.4">
      <c r="A2005" s="209"/>
      <c r="B2005" s="211"/>
      <c r="C2005" s="211"/>
      <c r="D2005" s="211"/>
      <c r="F2005" s="75"/>
    </row>
    <row r="2006" spans="1:6" s="53" customFormat="1" x14ac:dyDescent="0.35">
      <c r="B2006" s="89"/>
      <c r="C2006" s="53" t="s">
        <v>75</v>
      </c>
      <c r="D2006" s="113">
        <f>D1988-D2004</f>
        <v>4115580</v>
      </c>
      <c r="F2006" s="75"/>
    </row>
    <row r="2007" spans="1:6" s="53" customFormat="1" x14ac:dyDescent="0.35">
      <c r="B2007" s="89"/>
      <c r="D2007" s="113"/>
      <c r="F2007" s="75"/>
    </row>
    <row r="2008" spans="1:6" s="53" customFormat="1" x14ac:dyDescent="0.35">
      <c r="A2008" s="114"/>
      <c r="B2008" s="115"/>
      <c r="C2008" s="114"/>
      <c r="D2008" s="116"/>
      <c r="E2008" s="114"/>
      <c r="F2008" s="117"/>
    </row>
    <row r="2010" spans="1:6" s="53" customFormat="1" ht="23.5" x14ac:dyDescent="0.55000000000000004">
      <c r="B2010" s="206" t="s">
        <v>0</v>
      </c>
      <c r="C2010" s="206"/>
      <c r="D2010" s="206"/>
      <c r="E2010" s="70"/>
      <c r="F2010" s="71"/>
    </row>
    <row r="2011" spans="1:6" s="53" customFormat="1" ht="20.5" x14ac:dyDescent="0.45">
      <c r="B2011" s="72"/>
      <c r="C2011" s="73" t="s">
        <v>666</v>
      </c>
      <c r="D2011" s="74"/>
      <c r="F2011" s="75"/>
    </row>
    <row r="2012" spans="1:6" s="53" customFormat="1" ht="21" thickBot="1" x14ac:dyDescent="0.5">
      <c r="B2012" s="72" t="s">
        <v>234</v>
      </c>
      <c r="C2012" s="76" t="s">
        <v>47</v>
      </c>
      <c r="D2012" s="74"/>
      <c r="F2012" s="75"/>
    </row>
    <row r="2013" spans="1:6" s="53" customFormat="1" ht="15" thickBot="1" x14ac:dyDescent="0.4">
      <c r="A2013" s="77" t="s">
        <v>48</v>
      </c>
      <c r="B2013" s="78" t="s">
        <v>26</v>
      </c>
      <c r="C2013" s="78" t="s">
        <v>49</v>
      </c>
      <c r="D2013" s="79" t="s">
        <v>29</v>
      </c>
      <c r="F2013" s="75"/>
    </row>
    <row r="2014" spans="1:6" s="53" customFormat="1" ht="14.5" customHeight="1" x14ac:dyDescent="0.35">
      <c r="A2014" s="207" t="s">
        <v>32</v>
      </c>
      <c r="B2014" s="80" t="s">
        <v>663</v>
      </c>
      <c r="C2014" s="81" t="s">
        <v>601</v>
      </c>
      <c r="D2014" s="82">
        <f>F2021</f>
        <v>12500000</v>
      </c>
      <c r="F2014" s="75"/>
    </row>
    <row r="2015" spans="1:6" s="53" customFormat="1" ht="21" thickBot="1" x14ac:dyDescent="0.5">
      <c r="A2015" s="208"/>
      <c r="B2015" s="72"/>
      <c r="C2015" s="72"/>
      <c r="D2015" s="74"/>
      <c r="F2015" s="75"/>
    </row>
    <row r="2016" spans="1:6" s="53" customFormat="1" ht="15" thickBot="1" x14ac:dyDescent="0.4">
      <c r="A2016" s="208"/>
      <c r="B2016" s="83" t="s">
        <v>26</v>
      </c>
      <c r="C2016" s="84" t="s">
        <v>51</v>
      </c>
      <c r="D2016" s="85" t="s">
        <v>52</v>
      </c>
      <c r="F2016" s="75"/>
    </row>
    <row r="2017" spans="1:7" s="89" customFormat="1" x14ac:dyDescent="0.35">
      <c r="A2017" s="208"/>
      <c r="B2017" s="86" t="str">
        <f>B2014</f>
        <v>28th February,2026</v>
      </c>
      <c r="C2017" s="87" t="s">
        <v>154</v>
      </c>
      <c r="D2017" s="88">
        <f>1850*2750</f>
        <v>5087500</v>
      </c>
      <c r="F2017" s="90"/>
    </row>
    <row r="2018" spans="1:7" s="53" customFormat="1" x14ac:dyDescent="0.35">
      <c r="A2018" s="208"/>
      <c r="B2018" s="91"/>
      <c r="C2018" s="92" t="s">
        <v>604</v>
      </c>
      <c r="D2018" s="93">
        <f>428*2500</f>
        <v>1070000</v>
      </c>
      <c r="F2018" s="75"/>
    </row>
    <row r="2019" spans="1:7" s="53" customFormat="1" x14ac:dyDescent="0.35">
      <c r="A2019" s="208"/>
      <c r="B2019" s="91" t="s">
        <v>54</v>
      </c>
      <c r="C2019" s="92" t="s">
        <v>55</v>
      </c>
      <c r="D2019" s="93">
        <v>1000000</v>
      </c>
      <c r="F2019" s="75"/>
    </row>
    <row r="2020" spans="1:7" s="53" customFormat="1" x14ac:dyDescent="0.35">
      <c r="A2020" s="208"/>
      <c r="B2020" s="91" t="s">
        <v>56</v>
      </c>
      <c r="C2020" s="92" t="s">
        <v>57</v>
      </c>
      <c r="D2020" s="93">
        <v>40000</v>
      </c>
      <c r="E2020" s="210" t="s">
        <v>58</v>
      </c>
      <c r="F2020" s="210"/>
    </row>
    <row r="2021" spans="1:7" s="53" customFormat="1" x14ac:dyDescent="0.35">
      <c r="A2021" s="208"/>
      <c r="B2021" s="91" t="s">
        <v>603</v>
      </c>
      <c r="C2021" s="92" t="s">
        <v>60</v>
      </c>
      <c r="D2021" s="93">
        <f>1300*140</f>
        <v>182000</v>
      </c>
      <c r="E2021" s="94" t="s">
        <v>61</v>
      </c>
      <c r="F2021" s="95">
        <f>5000*2500</f>
        <v>12500000</v>
      </c>
    </row>
    <row r="2022" spans="1:7" s="53" customFormat="1" x14ac:dyDescent="0.35">
      <c r="A2022" s="208"/>
      <c r="B2022" s="91"/>
      <c r="C2022" s="92" t="s">
        <v>62</v>
      </c>
      <c r="D2022" s="93">
        <f>4800*140</f>
        <v>672000</v>
      </c>
      <c r="E2022" s="96" t="s">
        <v>63</v>
      </c>
      <c r="F2022" s="75">
        <f>5000*2500</f>
        <v>12500000</v>
      </c>
    </row>
    <row r="2023" spans="1:7" s="53" customFormat="1" ht="15" thickBot="1" x14ac:dyDescent="0.4">
      <c r="A2023" s="208"/>
      <c r="B2023" s="91" t="s">
        <v>64</v>
      </c>
      <c r="C2023" s="92" t="s">
        <v>65</v>
      </c>
      <c r="D2023" s="97">
        <v>30000</v>
      </c>
      <c r="E2023" s="98" t="s">
        <v>66</v>
      </c>
      <c r="F2023" s="99">
        <f>F2021-F2022</f>
        <v>0</v>
      </c>
      <c r="G2023" s="100">
        <f>F2023/2500</f>
        <v>0</v>
      </c>
    </row>
    <row r="2024" spans="1:7" s="53" customFormat="1" ht="15" thickTop="1" x14ac:dyDescent="0.35">
      <c r="A2024" s="208"/>
      <c r="B2024" s="91"/>
      <c r="C2024" s="92" t="s">
        <v>67</v>
      </c>
      <c r="D2024" s="93">
        <v>150000</v>
      </c>
      <c r="F2024" s="75"/>
    </row>
    <row r="2025" spans="1:7" s="53" customFormat="1" x14ac:dyDescent="0.35">
      <c r="A2025" s="208"/>
      <c r="B2025" s="91" t="s">
        <v>665</v>
      </c>
      <c r="C2025" s="101" t="s">
        <v>68</v>
      </c>
      <c r="D2025" s="93">
        <v>15000</v>
      </c>
      <c r="E2025" s="94" t="s">
        <v>69</v>
      </c>
      <c r="F2025" s="95"/>
    </row>
    <row r="2026" spans="1:7" s="53" customFormat="1" x14ac:dyDescent="0.35">
      <c r="A2026" s="208"/>
      <c r="B2026" s="102"/>
      <c r="C2026" s="101" t="s">
        <v>70</v>
      </c>
      <c r="D2026" s="103">
        <v>10000</v>
      </c>
      <c r="E2026" s="104"/>
      <c r="F2026" s="105"/>
    </row>
    <row r="2027" spans="1:7" s="53" customFormat="1" x14ac:dyDescent="0.35">
      <c r="A2027" s="208"/>
      <c r="B2027" s="102"/>
      <c r="C2027" s="101" t="s">
        <v>71</v>
      </c>
      <c r="D2027" s="103">
        <v>40000</v>
      </c>
      <c r="E2027" s="104" t="s">
        <v>72</v>
      </c>
      <c r="F2027" s="105"/>
    </row>
    <row r="2028" spans="1:7" s="53" customFormat="1" x14ac:dyDescent="0.35">
      <c r="A2028" s="208"/>
      <c r="B2028" s="102"/>
      <c r="C2028" s="92" t="s">
        <v>73</v>
      </c>
      <c r="D2028" s="106">
        <f>727*140</f>
        <v>101780</v>
      </c>
      <c r="E2028" s="53" t="s">
        <v>602</v>
      </c>
      <c r="F2028" s="105"/>
    </row>
    <row r="2029" spans="1:7" s="53" customFormat="1" ht="15" thickBot="1" x14ac:dyDescent="0.4">
      <c r="A2029" s="208"/>
      <c r="B2029" s="107"/>
      <c r="C2029" s="108"/>
      <c r="D2029" s="109"/>
      <c r="F2029" s="75"/>
    </row>
    <row r="2030" spans="1:7" s="53" customFormat="1" ht="15" thickBot="1" x14ac:dyDescent="0.4">
      <c r="A2030" s="208"/>
      <c r="B2030" s="110"/>
      <c r="C2030" s="111" t="s">
        <v>74</v>
      </c>
      <c r="D2030" s="112">
        <f>SUM(D2017:D2029)</f>
        <v>8398280</v>
      </c>
      <c r="F2030" s="75"/>
    </row>
    <row r="2031" spans="1:7" s="53" customFormat="1" ht="15.5" thickTop="1" thickBot="1" x14ac:dyDescent="0.4">
      <c r="A2031" s="209"/>
      <c r="B2031" s="211"/>
      <c r="C2031" s="211"/>
      <c r="D2031" s="211"/>
      <c r="F2031" s="75"/>
    </row>
    <row r="2032" spans="1:7" s="53" customFormat="1" x14ac:dyDescent="0.35">
      <c r="B2032" s="89"/>
      <c r="C2032" s="53" t="s">
        <v>75</v>
      </c>
      <c r="D2032" s="113">
        <f>D2014-D2030</f>
        <v>4101720</v>
      </c>
      <c r="F2032" s="75"/>
    </row>
    <row r="2033" spans="1:6" s="53" customFormat="1" x14ac:dyDescent="0.35">
      <c r="B2033" s="89"/>
      <c r="D2033" s="113"/>
      <c r="F2033" s="75"/>
    </row>
    <row r="2034" spans="1:6" s="53" customFormat="1" x14ac:dyDescent="0.35">
      <c r="A2034" s="114"/>
      <c r="B2034" s="115"/>
      <c r="C2034" s="114"/>
      <c r="D2034" s="116"/>
      <c r="E2034" s="114"/>
      <c r="F2034" s="117"/>
    </row>
    <row r="2036" spans="1:6" s="53" customFormat="1" ht="23.5" x14ac:dyDescent="0.55000000000000004">
      <c r="B2036" s="206" t="s">
        <v>0</v>
      </c>
      <c r="C2036" s="206"/>
      <c r="D2036" s="206"/>
      <c r="E2036" s="70"/>
      <c r="F2036" s="71"/>
    </row>
    <row r="2037" spans="1:6" s="53" customFormat="1" ht="20.5" x14ac:dyDescent="0.45">
      <c r="B2037" s="72"/>
      <c r="C2037" s="73" t="s">
        <v>669</v>
      </c>
      <c r="D2037" s="74"/>
      <c r="F2037" s="75"/>
    </row>
    <row r="2038" spans="1:6" s="53" customFormat="1" ht="21" thickBot="1" x14ac:dyDescent="0.5">
      <c r="B2038" s="72" t="s">
        <v>291</v>
      </c>
      <c r="C2038" s="76" t="s">
        <v>47</v>
      </c>
      <c r="D2038" s="74"/>
      <c r="F2038" s="75"/>
    </row>
    <row r="2039" spans="1:6" s="53" customFormat="1" ht="15" thickBot="1" x14ac:dyDescent="0.4">
      <c r="A2039" s="77" t="s">
        <v>48</v>
      </c>
      <c r="B2039" s="78" t="s">
        <v>26</v>
      </c>
      <c r="C2039" s="78" t="s">
        <v>49</v>
      </c>
      <c r="D2039" s="79" t="s">
        <v>29</v>
      </c>
      <c r="F2039" s="75"/>
    </row>
    <row r="2040" spans="1:6" s="53" customFormat="1" ht="14.5" customHeight="1" x14ac:dyDescent="0.35">
      <c r="A2040" s="207" t="s">
        <v>33</v>
      </c>
      <c r="B2040" s="80" t="s">
        <v>673</v>
      </c>
      <c r="C2040" s="81" t="s">
        <v>601</v>
      </c>
      <c r="D2040" s="82">
        <f>F2047</f>
        <v>12500000</v>
      </c>
      <c r="F2040" s="75"/>
    </row>
    <row r="2041" spans="1:6" s="53" customFormat="1" ht="21" thickBot="1" x14ac:dyDescent="0.5">
      <c r="A2041" s="208"/>
      <c r="B2041" s="72"/>
      <c r="C2041" s="72"/>
      <c r="D2041" s="74"/>
      <c r="F2041" s="75"/>
    </row>
    <row r="2042" spans="1:6" s="53" customFormat="1" ht="15" thickBot="1" x14ac:dyDescent="0.4">
      <c r="A2042" s="208"/>
      <c r="B2042" s="83" t="s">
        <v>26</v>
      </c>
      <c r="C2042" s="84" t="s">
        <v>51</v>
      </c>
      <c r="D2042" s="85" t="s">
        <v>52</v>
      </c>
      <c r="F2042" s="75"/>
    </row>
    <row r="2043" spans="1:6" s="89" customFormat="1" x14ac:dyDescent="0.35">
      <c r="A2043" s="208"/>
      <c r="B2043" s="86" t="str">
        <f>B2040</f>
        <v>05th March,2026</v>
      </c>
      <c r="C2043" s="87" t="s">
        <v>951</v>
      </c>
      <c r="D2043" s="88">
        <f>1850*2858</f>
        <v>5287300</v>
      </c>
      <c r="F2043" s="90"/>
    </row>
    <row r="2044" spans="1:6" s="53" customFormat="1" x14ac:dyDescent="0.35">
      <c r="A2044" s="208"/>
      <c r="B2044" s="91"/>
      <c r="C2044" s="92" t="s">
        <v>604</v>
      </c>
      <c r="D2044" s="93">
        <f>428*2500</f>
        <v>1070000</v>
      </c>
      <c r="F2044" s="75"/>
    </row>
    <row r="2045" spans="1:6" s="53" customFormat="1" x14ac:dyDescent="0.35">
      <c r="A2045" s="208"/>
      <c r="B2045" s="91" t="s">
        <v>54</v>
      </c>
      <c r="C2045" s="92" t="s">
        <v>55</v>
      </c>
      <c r="D2045" s="93">
        <v>1000000</v>
      </c>
      <c r="F2045" s="75"/>
    </row>
    <row r="2046" spans="1:6" s="53" customFormat="1" x14ac:dyDescent="0.35">
      <c r="A2046" s="208"/>
      <c r="B2046" s="91" t="s">
        <v>56</v>
      </c>
      <c r="C2046" s="92" t="s">
        <v>57</v>
      </c>
      <c r="D2046" s="93">
        <v>40000</v>
      </c>
      <c r="E2046" s="210" t="s">
        <v>58</v>
      </c>
      <c r="F2046" s="210"/>
    </row>
    <row r="2047" spans="1:6" s="53" customFormat="1" x14ac:dyDescent="0.35">
      <c r="A2047" s="208"/>
      <c r="B2047" s="91" t="s">
        <v>603</v>
      </c>
      <c r="C2047" s="92" t="s">
        <v>60</v>
      </c>
      <c r="D2047" s="93">
        <f>1300*140</f>
        <v>182000</v>
      </c>
      <c r="E2047" s="94" t="s">
        <v>61</v>
      </c>
      <c r="F2047" s="95">
        <f>5000*2500</f>
        <v>12500000</v>
      </c>
    </row>
    <row r="2048" spans="1:6" s="53" customFormat="1" x14ac:dyDescent="0.35">
      <c r="A2048" s="208"/>
      <c r="B2048" s="91"/>
      <c r="C2048" s="92" t="s">
        <v>62</v>
      </c>
      <c r="D2048" s="93">
        <f>4800*140</f>
        <v>672000</v>
      </c>
      <c r="E2048" s="96" t="s">
        <v>63</v>
      </c>
      <c r="F2048" s="75">
        <f>5000*2500</f>
        <v>12500000</v>
      </c>
    </row>
    <row r="2049" spans="1:7" s="53" customFormat="1" ht="15" thickBot="1" x14ac:dyDescent="0.4">
      <c r="A2049" s="208"/>
      <c r="B2049" s="91" t="s">
        <v>64</v>
      </c>
      <c r="C2049" s="92" t="s">
        <v>65</v>
      </c>
      <c r="D2049" s="97">
        <v>30000</v>
      </c>
      <c r="E2049" s="98" t="s">
        <v>66</v>
      </c>
      <c r="F2049" s="99">
        <f>F2047-F2048</f>
        <v>0</v>
      </c>
      <c r="G2049" s="100">
        <f>F2049/2500</f>
        <v>0</v>
      </c>
    </row>
    <row r="2050" spans="1:7" s="53" customFormat="1" ht="15" thickTop="1" x14ac:dyDescent="0.35">
      <c r="A2050" s="208"/>
      <c r="B2050" s="91"/>
      <c r="C2050" s="92" t="s">
        <v>67</v>
      </c>
      <c r="D2050" s="93">
        <v>150000</v>
      </c>
      <c r="F2050" s="75"/>
    </row>
    <row r="2051" spans="1:7" s="53" customFormat="1" x14ac:dyDescent="0.35">
      <c r="A2051" s="208"/>
      <c r="B2051" s="91" t="s">
        <v>668</v>
      </c>
      <c r="C2051" s="101" t="s">
        <v>68</v>
      </c>
      <c r="D2051" s="93">
        <v>15000</v>
      </c>
      <c r="E2051" s="94" t="s">
        <v>69</v>
      </c>
      <c r="F2051" s="95"/>
    </row>
    <row r="2052" spans="1:7" s="53" customFormat="1" x14ac:dyDescent="0.35">
      <c r="A2052" s="208"/>
      <c r="B2052" s="102"/>
      <c r="C2052" s="101" t="s">
        <v>70</v>
      </c>
      <c r="D2052" s="103">
        <v>10000</v>
      </c>
      <c r="E2052" s="104"/>
      <c r="F2052" s="105"/>
    </row>
    <row r="2053" spans="1:7" s="53" customFormat="1" x14ac:dyDescent="0.35">
      <c r="A2053" s="208"/>
      <c r="B2053" s="102"/>
      <c r="C2053" s="101" t="s">
        <v>71</v>
      </c>
      <c r="D2053" s="103">
        <v>40000</v>
      </c>
      <c r="E2053" s="104" t="s">
        <v>72</v>
      </c>
      <c r="F2053" s="105"/>
    </row>
    <row r="2054" spans="1:7" s="53" customFormat="1" x14ac:dyDescent="0.35">
      <c r="A2054" s="208"/>
      <c r="B2054" s="102"/>
      <c r="C2054" s="92" t="s">
        <v>73</v>
      </c>
      <c r="D2054" s="106">
        <f>727*140</f>
        <v>101780</v>
      </c>
      <c r="E2054" s="53" t="s">
        <v>602</v>
      </c>
      <c r="F2054" s="105"/>
    </row>
    <row r="2055" spans="1:7" s="53" customFormat="1" ht="15" thickBot="1" x14ac:dyDescent="0.4">
      <c r="A2055" s="208"/>
      <c r="B2055" s="107"/>
      <c r="C2055" s="108"/>
      <c r="D2055" s="109"/>
      <c r="F2055" s="75"/>
    </row>
    <row r="2056" spans="1:7" s="53" customFormat="1" ht="15" thickBot="1" x14ac:dyDescent="0.4">
      <c r="A2056" s="208"/>
      <c r="B2056" s="110"/>
      <c r="C2056" s="111" t="s">
        <v>74</v>
      </c>
      <c r="D2056" s="112">
        <f>SUM(D2043:D2055)</f>
        <v>8598080</v>
      </c>
      <c r="F2056" s="75"/>
    </row>
    <row r="2057" spans="1:7" s="53" customFormat="1" ht="15.5" thickTop="1" thickBot="1" x14ac:dyDescent="0.4">
      <c r="A2057" s="209"/>
      <c r="B2057" s="211"/>
      <c r="C2057" s="211"/>
      <c r="D2057" s="211"/>
      <c r="F2057" s="75"/>
    </row>
    <row r="2058" spans="1:7" s="53" customFormat="1" x14ac:dyDescent="0.35">
      <c r="B2058" s="89"/>
      <c r="C2058" s="53" t="s">
        <v>75</v>
      </c>
      <c r="D2058" s="113">
        <f>D2040-D2056</f>
        <v>3901920</v>
      </c>
      <c r="F2058" s="75"/>
    </row>
    <row r="2059" spans="1:7" s="53" customFormat="1" x14ac:dyDescent="0.35">
      <c r="B2059" s="89"/>
      <c r="D2059" s="113"/>
      <c r="F2059" s="75"/>
    </row>
    <row r="2060" spans="1:7" s="53" customFormat="1" x14ac:dyDescent="0.35">
      <c r="A2060" s="114"/>
      <c r="B2060" s="115"/>
      <c r="C2060" s="114"/>
      <c r="D2060" s="116"/>
      <c r="E2060" s="114"/>
      <c r="F2060" s="117"/>
    </row>
    <row r="2062" spans="1:7" s="53" customFormat="1" ht="23.5" x14ac:dyDescent="0.55000000000000004">
      <c r="B2062" s="206" t="s">
        <v>0</v>
      </c>
      <c r="C2062" s="206"/>
      <c r="D2062" s="206"/>
      <c r="E2062" s="70"/>
      <c r="F2062" s="71"/>
    </row>
    <row r="2063" spans="1:7" s="53" customFormat="1" ht="20.5" x14ac:dyDescent="0.45">
      <c r="B2063" s="72"/>
      <c r="C2063" s="73" t="s">
        <v>672</v>
      </c>
      <c r="D2063" s="74"/>
      <c r="F2063" s="75"/>
    </row>
    <row r="2064" spans="1:7" s="53" customFormat="1" ht="21" thickBot="1" x14ac:dyDescent="0.5">
      <c r="B2064" s="72" t="s">
        <v>286</v>
      </c>
      <c r="C2064" s="76" t="s">
        <v>47</v>
      </c>
      <c r="D2064" s="74"/>
      <c r="F2064" s="75"/>
    </row>
    <row r="2065" spans="1:7" s="53" customFormat="1" ht="15" thickBot="1" x14ac:dyDescent="0.4">
      <c r="A2065" s="77" t="s">
        <v>48</v>
      </c>
      <c r="B2065" s="78" t="s">
        <v>26</v>
      </c>
      <c r="C2065" s="78" t="s">
        <v>49</v>
      </c>
      <c r="D2065" s="79" t="s">
        <v>29</v>
      </c>
      <c r="F2065" s="75"/>
    </row>
    <row r="2066" spans="1:7" s="53" customFormat="1" ht="14.5" customHeight="1" x14ac:dyDescent="0.35">
      <c r="A2066" s="207" t="s">
        <v>33</v>
      </c>
      <c r="B2066" s="80" t="s">
        <v>673</v>
      </c>
      <c r="C2066" s="81" t="s">
        <v>601</v>
      </c>
      <c r="D2066" s="82">
        <f>F2073</f>
        <v>12500000</v>
      </c>
      <c r="F2066" s="75"/>
    </row>
    <row r="2067" spans="1:7" s="53" customFormat="1" ht="21" thickBot="1" x14ac:dyDescent="0.5">
      <c r="A2067" s="208"/>
      <c r="B2067" s="72"/>
      <c r="C2067" s="72"/>
      <c r="D2067" s="74"/>
      <c r="F2067" s="75"/>
    </row>
    <row r="2068" spans="1:7" s="53" customFormat="1" ht="15" thickBot="1" x14ac:dyDescent="0.4">
      <c r="A2068" s="208"/>
      <c r="B2068" s="83" t="s">
        <v>26</v>
      </c>
      <c r="C2068" s="84" t="s">
        <v>51</v>
      </c>
      <c r="D2068" s="85" t="s">
        <v>52</v>
      </c>
      <c r="F2068" s="75"/>
    </row>
    <row r="2069" spans="1:7" s="89" customFormat="1" x14ac:dyDescent="0.35">
      <c r="A2069" s="208"/>
      <c r="B2069" s="86" t="str">
        <f>B2066</f>
        <v>05th March,2026</v>
      </c>
      <c r="C2069" s="87" t="s">
        <v>951</v>
      </c>
      <c r="D2069" s="88">
        <f>1850*2858</f>
        <v>5287300</v>
      </c>
      <c r="F2069" s="90"/>
    </row>
    <row r="2070" spans="1:7" s="53" customFormat="1" x14ac:dyDescent="0.35">
      <c r="A2070" s="208"/>
      <c r="B2070" s="91"/>
      <c r="C2070" s="92" t="s">
        <v>604</v>
      </c>
      <c r="D2070" s="93">
        <f>428*2500</f>
        <v>1070000</v>
      </c>
      <c r="F2070" s="75"/>
    </row>
    <row r="2071" spans="1:7" s="53" customFormat="1" x14ac:dyDescent="0.35">
      <c r="A2071" s="208"/>
      <c r="B2071" s="91" t="s">
        <v>54</v>
      </c>
      <c r="C2071" s="92" t="s">
        <v>55</v>
      </c>
      <c r="D2071" s="93">
        <v>1000000</v>
      </c>
      <c r="F2071" s="75"/>
    </row>
    <row r="2072" spans="1:7" s="53" customFormat="1" x14ac:dyDescent="0.35">
      <c r="A2072" s="208"/>
      <c r="B2072" s="91" t="s">
        <v>56</v>
      </c>
      <c r="C2072" s="92" t="s">
        <v>57</v>
      </c>
      <c r="D2072" s="93">
        <v>40000</v>
      </c>
      <c r="E2072" s="210" t="s">
        <v>58</v>
      </c>
      <c r="F2072" s="210"/>
    </row>
    <row r="2073" spans="1:7" s="53" customFormat="1" x14ac:dyDescent="0.35">
      <c r="A2073" s="208"/>
      <c r="B2073" s="91" t="s">
        <v>603</v>
      </c>
      <c r="C2073" s="92" t="s">
        <v>60</v>
      </c>
      <c r="D2073" s="93">
        <f>1300*140</f>
        <v>182000</v>
      </c>
      <c r="E2073" s="94" t="s">
        <v>61</v>
      </c>
      <c r="F2073" s="95">
        <f>5000*2500</f>
        <v>12500000</v>
      </c>
    </row>
    <row r="2074" spans="1:7" s="53" customFormat="1" x14ac:dyDescent="0.35">
      <c r="A2074" s="208"/>
      <c r="B2074" s="91"/>
      <c r="C2074" s="92" t="s">
        <v>62</v>
      </c>
      <c r="D2074" s="93">
        <f>4800*140</f>
        <v>672000</v>
      </c>
      <c r="E2074" s="96" t="s">
        <v>63</v>
      </c>
      <c r="F2074" s="75">
        <f>5000*2500</f>
        <v>12500000</v>
      </c>
    </row>
    <row r="2075" spans="1:7" s="53" customFormat="1" ht="15" thickBot="1" x14ac:dyDescent="0.4">
      <c r="A2075" s="208"/>
      <c r="B2075" s="91" t="s">
        <v>64</v>
      </c>
      <c r="C2075" s="92" t="s">
        <v>65</v>
      </c>
      <c r="D2075" s="97">
        <v>30000</v>
      </c>
      <c r="E2075" s="98" t="s">
        <v>66</v>
      </c>
      <c r="F2075" s="99">
        <f>F2073-F2074</f>
        <v>0</v>
      </c>
      <c r="G2075" s="100">
        <f>F2075/2500</f>
        <v>0</v>
      </c>
    </row>
    <row r="2076" spans="1:7" s="53" customFormat="1" ht="15" thickTop="1" x14ac:dyDescent="0.35">
      <c r="A2076" s="208"/>
      <c r="B2076" s="91"/>
      <c r="C2076" s="92" t="s">
        <v>67</v>
      </c>
      <c r="D2076" s="93">
        <v>150000</v>
      </c>
      <c r="F2076" s="75"/>
    </row>
    <row r="2077" spans="1:7" s="53" customFormat="1" x14ac:dyDescent="0.35">
      <c r="A2077" s="208"/>
      <c r="B2077" s="91" t="s">
        <v>671</v>
      </c>
      <c r="C2077" s="101" t="s">
        <v>68</v>
      </c>
      <c r="D2077" s="93">
        <v>15000</v>
      </c>
      <c r="E2077" s="94" t="s">
        <v>69</v>
      </c>
      <c r="F2077" s="95"/>
    </row>
    <row r="2078" spans="1:7" s="53" customFormat="1" x14ac:dyDescent="0.35">
      <c r="A2078" s="208"/>
      <c r="B2078" s="102"/>
      <c r="C2078" s="101" t="s">
        <v>70</v>
      </c>
      <c r="D2078" s="103">
        <v>10000</v>
      </c>
      <c r="E2078" s="104"/>
      <c r="F2078" s="105"/>
    </row>
    <row r="2079" spans="1:7" s="53" customFormat="1" x14ac:dyDescent="0.35">
      <c r="A2079" s="208"/>
      <c r="B2079" s="102"/>
      <c r="C2079" s="101" t="s">
        <v>71</v>
      </c>
      <c r="D2079" s="103">
        <v>30000</v>
      </c>
      <c r="E2079" s="104" t="s">
        <v>72</v>
      </c>
      <c r="F2079" s="105"/>
    </row>
    <row r="2080" spans="1:7" s="53" customFormat="1" x14ac:dyDescent="0.35">
      <c r="A2080" s="208"/>
      <c r="B2080" s="102"/>
      <c r="C2080" s="92" t="s">
        <v>73</v>
      </c>
      <c r="D2080" s="106">
        <f>728*140</f>
        <v>101920</v>
      </c>
      <c r="E2080" s="53" t="s">
        <v>602</v>
      </c>
      <c r="F2080" s="105"/>
    </row>
    <row r="2081" spans="1:6" s="53" customFormat="1" ht="15" thickBot="1" x14ac:dyDescent="0.4">
      <c r="A2081" s="208"/>
      <c r="B2081" s="107"/>
      <c r="C2081" s="108"/>
      <c r="D2081" s="109"/>
      <c r="F2081" s="75"/>
    </row>
    <row r="2082" spans="1:6" s="53" customFormat="1" ht="15" thickBot="1" x14ac:dyDescent="0.4">
      <c r="A2082" s="208"/>
      <c r="B2082" s="110"/>
      <c r="C2082" s="111" t="s">
        <v>74</v>
      </c>
      <c r="D2082" s="112">
        <f>SUM(D2069:D2081)</f>
        <v>8588220</v>
      </c>
      <c r="F2082" s="75"/>
    </row>
    <row r="2083" spans="1:6" s="53" customFormat="1" ht="15.5" thickTop="1" thickBot="1" x14ac:dyDescent="0.4">
      <c r="A2083" s="209"/>
      <c r="B2083" s="211"/>
      <c r="C2083" s="211"/>
      <c r="D2083" s="211"/>
      <c r="F2083" s="75"/>
    </row>
    <row r="2084" spans="1:6" s="53" customFormat="1" x14ac:dyDescent="0.35">
      <c r="B2084" s="89"/>
      <c r="C2084" s="53" t="s">
        <v>75</v>
      </c>
      <c r="D2084" s="113">
        <f>D2066-D2082</f>
        <v>3911780</v>
      </c>
      <c r="F2084" s="75"/>
    </row>
    <row r="2085" spans="1:6" s="53" customFormat="1" x14ac:dyDescent="0.35">
      <c r="B2085" s="89"/>
      <c r="D2085" s="113"/>
      <c r="F2085" s="75"/>
    </row>
    <row r="2086" spans="1:6" s="53" customFormat="1" x14ac:dyDescent="0.35">
      <c r="A2086" s="114"/>
      <c r="B2086" s="115"/>
      <c r="C2086" s="114"/>
      <c r="D2086" s="116"/>
      <c r="E2086" s="114"/>
      <c r="F2086" s="117"/>
    </row>
    <row r="2088" spans="1:6" s="53" customFormat="1" ht="23.5" x14ac:dyDescent="0.55000000000000004">
      <c r="B2088" s="206" t="s">
        <v>0</v>
      </c>
      <c r="C2088" s="206"/>
      <c r="D2088" s="206"/>
      <c r="E2088" s="70"/>
      <c r="F2088" s="71"/>
    </row>
    <row r="2089" spans="1:6" s="53" customFormat="1" ht="20.5" x14ac:dyDescent="0.45">
      <c r="B2089" s="72"/>
      <c r="C2089" s="73" t="s">
        <v>676</v>
      </c>
      <c r="D2089" s="74"/>
      <c r="F2089" s="75"/>
    </row>
    <row r="2090" spans="1:6" s="53" customFormat="1" ht="21" thickBot="1" x14ac:dyDescent="0.5">
      <c r="B2090" s="72" t="s">
        <v>375</v>
      </c>
      <c r="C2090" s="76" t="s">
        <v>47</v>
      </c>
      <c r="D2090" s="74"/>
      <c r="F2090" s="75"/>
    </row>
    <row r="2091" spans="1:6" s="53" customFormat="1" ht="15" thickBot="1" x14ac:dyDescent="0.4">
      <c r="A2091" s="77" t="s">
        <v>48</v>
      </c>
      <c r="B2091" s="78" t="s">
        <v>26</v>
      </c>
      <c r="C2091" s="78" t="s">
        <v>49</v>
      </c>
      <c r="D2091" s="79" t="s">
        <v>29</v>
      </c>
      <c r="F2091" s="75"/>
    </row>
    <row r="2092" spans="1:6" s="53" customFormat="1" ht="14.5" customHeight="1" x14ac:dyDescent="0.35">
      <c r="A2092" s="207" t="s">
        <v>33</v>
      </c>
      <c r="B2092" s="80" t="s">
        <v>673</v>
      </c>
      <c r="C2092" s="81" t="s">
        <v>601</v>
      </c>
      <c r="D2092" s="82">
        <f>F2099</f>
        <v>12500000</v>
      </c>
      <c r="F2092" s="75"/>
    </row>
    <row r="2093" spans="1:6" s="53" customFormat="1" ht="21" thickBot="1" x14ac:dyDescent="0.5">
      <c r="A2093" s="208"/>
      <c r="B2093" s="72"/>
      <c r="C2093" s="72"/>
      <c r="D2093" s="74"/>
      <c r="F2093" s="75"/>
    </row>
    <row r="2094" spans="1:6" s="53" customFormat="1" ht="15" thickBot="1" x14ac:dyDescent="0.4">
      <c r="A2094" s="208"/>
      <c r="B2094" s="83" t="s">
        <v>26</v>
      </c>
      <c r="C2094" s="84" t="s">
        <v>51</v>
      </c>
      <c r="D2094" s="85" t="s">
        <v>52</v>
      </c>
      <c r="F2094" s="75"/>
    </row>
    <row r="2095" spans="1:6" s="89" customFormat="1" x14ac:dyDescent="0.35">
      <c r="A2095" s="208"/>
      <c r="B2095" s="86" t="str">
        <f>B2092</f>
        <v>05th March,2026</v>
      </c>
      <c r="C2095" s="87" t="s">
        <v>951</v>
      </c>
      <c r="D2095" s="88">
        <f>1850*2858</f>
        <v>5287300</v>
      </c>
      <c r="F2095" s="90"/>
    </row>
    <row r="2096" spans="1:6" s="53" customFormat="1" x14ac:dyDescent="0.35">
      <c r="A2096" s="208"/>
      <c r="B2096" s="91"/>
      <c r="C2096" s="92" t="s">
        <v>604</v>
      </c>
      <c r="D2096" s="93">
        <f>428*2500</f>
        <v>1070000</v>
      </c>
      <c r="F2096" s="75"/>
    </row>
    <row r="2097" spans="1:7" s="53" customFormat="1" x14ac:dyDescent="0.35">
      <c r="A2097" s="208"/>
      <c r="B2097" s="91" t="s">
        <v>54</v>
      </c>
      <c r="C2097" s="92" t="s">
        <v>55</v>
      </c>
      <c r="D2097" s="93">
        <v>1000000</v>
      </c>
      <c r="F2097" s="75"/>
    </row>
    <row r="2098" spans="1:7" s="53" customFormat="1" x14ac:dyDescent="0.35">
      <c r="A2098" s="208"/>
      <c r="B2098" s="91" t="s">
        <v>56</v>
      </c>
      <c r="C2098" s="92" t="s">
        <v>57</v>
      </c>
      <c r="D2098" s="93">
        <v>40000</v>
      </c>
      <c r="E2098" s="210" t="s">
        <v>58</v>
      </c>
      <c r="F2098" s="210"/>
    </row>
    <row r="2099" spans="1:7" s="53" customFormat="1" x14ac:dyDescent="0.35">
      <c r="A2099" s="208"/>
      <c r="B2099" s="91" t="s">
        <v>603</v>
      </c>
      <c r="C2099" s="92" t="s">
        <v>60</v>
      </c>
      <c r="D2099" s="93">
        <f>1300*140</f>
        <v>182000</v>
      </c>
      <c r="E2099" s="94" t="s">
        <v>61</v>
      </c>
      <c r="F2099" s="95">
        <f>5000*2500</f>
        <v>12500000</v>
      </c>
    </row>
    <row r="2100" spans="1:7" s="53" customFormat="1" x14ac:dyDescent="0.35">
      <c r="A2100" s="208"/>
      <c r="B2100" s="91"/>
      <c r="C2100" s="92" t="s">
        <v>62</v>
      </c>
      <c r="D2100" s="93">
        <f>4800*140</f>
        <v>672000</v>
      </c>
      <c r="E2100" s="96" t="s">
        <v>63</v>
      </c>
      <c r="F2100" s="75">
        <f>5000*2500</f>
        <v>12500000</v>
      </c>
    </row>
    <row r="2101" spans="1:7" s="53" customFormat="1" ht="15" thickBot="1" x14ac:dyDescent="0.4">
      <c r="A2101" s="208"/>
      <c r="B2101" s="91" t="s">
        <v>64</v>
      </c>
      <c r="C2101" s="92" t="s">
        <v>65</v>
      </c>
      <c r="D2101" s="97">
        <v>30000</v>
      </c>
      <c r="E2101" s="98" t="s">
        <v>66</v>
      </c>
      <c r="F2101" s="99">
        <f>F2099-F2100</f>
        <v>0</v>
      </c>
      <c r="G2101" s="100">
        <f>F2101/2500</f>
        <v>0</v>
      </c>
    </row>
    <row r="2102" spans="1:7" s="53" customFormat="1" ht="15" thickTop="1" x14ac:dyDescent="0.35">
      <c r="A2102" s="208"/>
      <c r="B2102" s="91"/>
      <c r="C2102" s="92" t="s">
        <v>67</v>
      </c>
      <c r="D2102" s="93">
        <v>150000</v>
      </c>
      <c r="F2102" s="75"/>
    </row>
    <row r="2103" spans="1:7" s="53" customFormat="1" x14ac:dyDescent="0.35">
      <c r="A2103" s="208"/>
      <c r="B2103" s="91" t="s">
        <v>675</v>
      </c>
      <c r="C2103" s="101" t="s">
        <v>68</v>
      </c>
      <c r="D2103" s="93">
        <v>15000</v>
      </c>
      <c r="E2103" s="94" t="s">
        <v>69</v>
      </c>
      <c r="F2103" s="95"/>
    </row>
    <row r="2104" spans="1:7" s="53" customFormat="1" x14ac:dyDescent="0.35">
      <c r="A2104" s="208"/>
      <c r="B2104" s="102"/>
      <c r="C2104" s="101" t="s">
        <v>70</v>
      </c>
      <c r="D2104" s="103">
        <v>10000</v>
      </c>
      <c r="E2104" s="104"/>
      <c r="F2104" s="105"/>
    </row>
    <row r="2105" spans="1:7" s="53" customFormat="1" x14ac:dyDescent="0.35">
      <c r="A2105" s="208"/>
      <c r="B2105" s="102"/>
      <c r="C2105" s="101" t="s">
        <v>71</v>
      </c>
      <c r="D2105" s="103">
        <v>40000</v>
      </c>
      <c r="E2105" s="104" t="s">
        <v>72</v>
      </c>
      <c r="F2105" s="105"/>
    </row>
    <row r="2106" spans="1:7" s="53" customFormat="1" x14ac:dyDescent="0.35">
      <c r="A2106" s="208"/>
      <c r="B2106" s="102"/>
      <c r="C2106" s="92" t="s">
        <v>73</v>
      </c>
      <c r="D2106" s="106">
        <f>727*140</f>
        <v>101780</v>
      </c>
      <c r="E2106" s="53" t="s">
        <v>602</v>
      </c>
      <c r="F2106" s="105"/>
    </row>
    <row r="2107" spans="1:7" s="53" customFormat="1" ht="15" thickBot="1" x14ac:dyDescent="0.4">
      <c r="A2107" s="208"/>
      <c r="B2107" s="107"/>
      <c r="C2107" s="108"/>
      <c r="D2107" s="109"/>
      <c r="F2107" s="75"/>
    </row>
    <row r="2108" spans="1:7" s="53" customFormat="1" ht="15" thickBot="1" x14ac:dyDescent="0.4">
      <c r="A2108" s="208"/>
      <c r="B2108" s="110"/>
      <c r="C2108" s="111" t="s">
        <v>74</v>
      </c>
      <c r="D2108" s="112">
        <f>SUM(D2095:D2107)</f>
        <v>8598080</v>
      </c>
      <c r="F2108" s="75"/>
    </row>
    <row r="2109" spans="1:7" s="53" customFormat="1" ht="15.5" thickTop="1" thickBot="1" x14ac:dyDescent="0.4">
      <c r="A2109" s="209"/>
      <c r="B2109" s="211"/>
      <c r="C2109" s="211"/>
      <c r="D2109" s="211"/>
      <c r="F2109" s="75"/>
    </row>
    <row r="2110" spans="1:7" s="53" customFormat="1" x14ac:dyDescent="0.35">
      <c r="B2110" s="89"/>
      <c r="C2110" s="53" t="s">
        <v>75</v>
      </c>
      <c r="D2110" s="113">
        <f>D2092-D2108</f>
        <v>3901920</v>
      </c>
      <c r="F2110" s="75"/>
    </row>
    <row r="2111" spans="1:7" s="53" customFormat="1" x14ac:dyDescent="0.35">
      <c r="B2111" s="89"/>
      <c r="D2111" s="113"/>
      <c r="F2111" s="75"/>
    </row>
    <row r="2112" spans="1:7" s="53" customFormat="1" x14ac:dyDescent="0.35">
      <c r="A2112" s="114"/>
      <c r="B2112" s="115"/>
      <c r="C2112" s="114"/>
      <c r="D2112" s="116"/>
      <c r="E2112" s="114"/>
      <c r="F2112" s="117"/>
    </row>
    <row r="2114" spans="1:7" s="53" customFormat="1" ht="23.5" x14ac:dyDescent="0.55000000000000004">
      <c r="B2114" s="206" t="s">
        <v>0</v>
      </c>
      <c r="C2114" s="206"/>
      <c r="D2114" s="206"/>
      <c r="E2114" s="70"/>
      <c r="F2114" s="71"/>
    </row>
    <row r="2115" spans="1:7" s="53" customFormat="1" ht="20.5" x14ac:dyDescent="0.45">
      <c r="B2115" s="72"/>
      <c r="C2115" s="73" t="s">
        <v>679</v>
      </c>
      <c r="D2115" s="74"/>
      <c r="F2115" s="75"/>
    </row>
    <row r="2116" spans="1:7" s="53" customFormat="1" ht="21" thickBot="1" x14ac:dyDescent="0.5">
      <c r="B2116" s="72" t="s">
        <v>211</v>
      </c>
      <c r="C2116" s="76" t="s">
        <v>47</v>
      </c>
      <c r="D2116" s="74"/>
      <c r="F2116" s="75"/>
    </row>
    <row r="2117" spans="1:7" s="53" customFormat="1" ht="15" thickBot="1" x14ac:dyDescent="0.4">
      <c r="A2117" s="77" t="s">
        <v>48</v>
      </c>
      <c r="B2117" s="78" t="s">
        <v>26</v>
      </c>
      <c r="C2117" s="78" t="s">
        <v>49</v>
      </c>
      <c r="D2117" s="79" t="s">
        <v>29</v>
      </c>
      <c r="F2117" s="75"/>
    </row>
    <row r="2118" spans="1:7" s="53" customFormat="1" ht="14.5" customHeight="1" x14ac:dyDescent="0.35">
      <c r="A2118" s="207" t="s">
        <v>33</v>
      </c>
      <c r="B2118" s="80" t="s">
        <v>673</v>
      </c>
      <c r="C2118" s="81" t="s">
        <v>601</v>
      </c>
      <c r="D2118" s="82">
        <f>F2125</f>
        <v>12500000</v>
      </c>
      <c r="F2118" s="75"/>
    </row>
    <row r="2119" spans="1:7" s="53" customFormat="1" ht="21" thickBot="1" x14ac:dyDescent="0.5">
      <c r="A2119" s="208"/>
      <c r="B2119" s="72"/>
      <c r="C2119" s="72"/>
      <c r="D2119" s="74"/>
      <c r="F2119" s="75"/>
    </row>
    <row r="2120" spans="1:7" s="53" customFormat="1" ht="15" thickBot="1" x14ac:dyDescent="0.4">
      <c r="A2120" s="208"/>
      <c r="B2120" s="83" t="s">
        <v>26</v>
      </c>
      <c r="C2120" s="84" t="s">
        <v>51</v>
      </c>
      <c r="D2120" s="85" t="s">
        <v>52</v>
      </c>
      <c r="F2120" s="75"/>
    </row>
    <row r="2121" spans="1:7" s="89" customFormat="1" x14ac:dyDescent="0.35">
      <c r="A2121" s="208"/>
      <c r="B2121" s="86" t="str">
        <f>B2118</f>
        <v>05th March,2026</v>
      </c>
      <c r="C2121" s="87" t="s">
        <v>951</v>
      </c>
      <c r="D2121" s="88">
        <f>1850*2858</f>
        <v>5287300</v>
      </c>
      <c r="F2121" s="90"/>
    </row>
    <row r="2122" spans="1:7" s="53" customFormat="1" x14ac:dyDescent="0.35">
      <c r="A2122" s="208"/>
      <c r="B2122" s="91"/>
      <c r="C2122" s="92" t="s">
        <v>604</v>
      </c>
      <c r="D2122" s="93">
        <f>428*2500</f>
        <v>1070000</v>
      </c>
      <c r="F2122" s="75"/>
    </row>
    <row r="2123" spans="1:7" s="53" customFormat="1" x14ac:dyDescent="0.35">
      <c r="A2123" s="208"/>
      <c r="B2123" s="91" t="s">
        <v>54</v>
      </c>
      <c r="C2123" s="92" t="s">
        <v>55</v>
      </c>
      <c r="D2123" s="93">
        <v>1000000</v>
      </c>
      <c r="F2123" s="75"/>
    </row>
    <row r="2124" spans="1:7" s="53" customFormat="1" x14ac:dyDescent="0.35">
      <c r="A2124" s="208"/>
      <c r="B2124" s="91" t="s">
        <v>56</v>
      </c>
      <c r="C2124" s="92" t="s">
        <v>57</v>
      </c>
      <c r="D2124" s="93">
        <v>40000</v>
      </c>
      <c r="E2124" s="210" t="s">
        <v>58</v>
      </c>
      <c r="F2124" s="210"/>
    </row>
    <row r="2125" spans="1:7" s="53" customFormat="1" x14ac:dyDescent="0.35">
      <c r="A2125" s="208"/>
      <c r="B2125" s="91" t="s">
        <v>603</v>
      </c>
      <c r="C2125" s="92" t="s">
        <v>60</v>
      </c>
      <c r="D2125" s="93">
        <f>1300*140</f>
        <v>182000</v>
      </c>
      <c r="E2125" s="94" t="s">
        <v>61</v>
      </c>
      <c r="F2125" s="95">
        <f>5000*2500</f>
        <v>12500000</v>
      </c>
    </row>
    <row r="2126" spans="1:7" s="53" customFormat="1" x14ac:dyDescent="0.35">
      <c r="A2126" s="208"/>
      <c r="B2126" s="91"/>
      <c r="C2126" s="92" t="s">
        <v>62</v>
      </c>
      <c r="D2126" s="93">
        <f>4800*140</f>
        <v>672000</v>
      </c>
      <c r="E2126" s="96" t="s">
        <v>63</v>
      </c>
      <c r="F2126" s="75">
        <f>5000*2500</f>
        <v>12500000</v>
      </c>
    </row>
    <row r="2127" spans="1:7" s="53" customFormat="1" ht="15" thickBot="1" x14ac:dyDescent="0.4">
      <c r="A2127" s="208"/>
      <c r="B2127" s="91" t="s">
        <v>64</v>
      </c>
      <c r="C2127" s="92" t="s">
        <v>65</v>
      </c>
      <c r="D2127" s="97">
        <v>30000</v>
      </c>
      <c r="E2127" s="98" t="s">
        <v>66</v>
      </c>
      <c r="F2127" s="99">
        <f>F2125-F2126</f>
        <v>0</v>
      </c>
      <c r="G2127" s="100">
        <f>F2127/2500</f>
        <v>0</v>
      </c>
    </row>
    <row r="2128" spans="1:7" s="53" customFormat="1" ht="15" thickTop="1" x14ac:dyDescent="0.35">
      <c r="A2128" s="208"/>
      <c r="B2128" s="91"/>
      <c r="C2128" s="92" t="s">
        <v>67</v>
      </c>
      <c r="D2128" s="93">
        <v>150000</v>
      </c>
      <c r="F2128" s="75"/>
    </row>
    <row r="2129" spans="1:6" s="53" customFormat="1" x14ac:dyDescent="0.35">
      <c r="A2129" s="208"/>
      <c r="B2129" s="91" t="s">
        <v>675</v>
      </c>
      <c r="C2129" s="101" t="s">
        <v>68</v>
      </c>
      <c r="D2129" s="93">
        <v>15000</v>
      </c>
      <c r="E2129" s="94" t="s">
        <v>69</v>
      </c>
      <c r="F2129" s="95"/>
    </row>
    <row r="2130" spans="1:6" s="53" customFormat="1" x14ac:dyDescent="0.35">
      <c r="A2130" s="208"/>
      <c r="B2130" s="102"/>
      <c r="C2130" s="101" t="s">
        <v>70</v>
      </c>
      <c r="D2130" s="103">
        <v>10000</v>
      </c>
      <c r="E2130" s="104"/>
      <c r="F2130" s="105"/>
    </row>
    <row r="2131" spans="1:6" s="53" customFormat="1" x14ac:dyDescent="0.35">
      <c r="A2131" s="208"/>
      <c r="B2131" s="102"/>
      <c r="C2131" s="101" t="s">
        <v>71</v>
      </c>
      <c r="D2131" s="103">
        <v>40000</v>
      </c>
      <c r="E2131" s="104" t="s">
        <v>72</v>
      </c>
      <c r="F2131" s="105"/>
    </row>
    <row r="2132" spans="1:6" s="53" customFormat="1" x14ac:dyDescent="0.35">
      <c r="A2132" s="208"/>
      <c r="B2132" s="102"/>
      <c r="C2132" s="92" t="s">
        <v>73</v>
      </c>
      <c r="D2132" s="106">
        <f>727*140</f>
        <v>101780</v>
      </c>
      <c r="E2132" s="53" t="s">
        <v>602</v>
      </c>
      <c r="F2132" s="105"/>
    </row>
    <row r="2133" spans="1:6" s="53" customFormat="1" ht="15" thickBot="1" x14ac:dyDescent="0.4">
      <c r="A2133" s="208"/>
      <c r="B2133" s="107"/>
      <c r="C2133" s="108"/>
      <c r="D2133" s="109"/>
      <c r="F2133" s="75"/>
    </row>
    <row r="2134" spans="1:6" s="53" customFormat="1" ht="15" thickBot="1" x14ac:dyDescent="0.4">
      <c r="A2134" s="208"/>
      <c r="B2134" s="110"/>
      <c r="C2134" s="111" t="s">
        <v>74</v>
      </c>
      <c r="D2134" s="112">
        <f>SUM(D2121:D2133)</f>
        <v>8598080</v>
      </c>
      <c r="F2134" s="75"/>
    </row>
    <row r="2135" spans="1:6" s="53" customFormat="1" ht="15.5" thickTop="1" thickBot="1" x14ac:dyDescent="0.4">
      <c r="A2135" s="209"/>
      <c r="B2135" s="211"/>
      <c r="C2135" s="211"/>
      <c r="D2135" s="211"/>
      <c r="F2135" s="75"/>
    </row>
    <row r="2136" spans="1:6" s="53" customFormat="1" x14ac:dyDescent="0.35">
      <c r="B2136" s="89"/>
      <c r="C2136" s="53" t="s">
        <v>75</v>
      </c>
      <c r="D2136" s="113">
        <f>D2118-D2134</f>
        <v>3901920</v>
      </c>
      <c r="F2136" s="75"/>
    </row>
    <row r="2137" spans="1:6" s="53" customFormat="1" x14ac:dyDescent="0.35">
      <c r="B2137" s="89"/>
      <c r="D2137" s="113"/>
      <c r="F2137" s="75"/>
    </row>
    <row r="2138" spans="1:6" s="53" customFormat="1" x14ac:dyDescent="0.35">
      <c r="A2138" s="114"/>
      <c r="B2138" s="115"/>
      <c r="C2138" s="114"/>
      <c r="D2138" s="116"/>
      <c r="E2138" s="114"/>
      <c r="F2138" s="117"/>
    </row>
    <row r="2140" spans="1:6" s="53" customFormat="1" ht="23.5" x14ac:dyDescent="0.55000000000000004">
      <c r="B2140" s="206" t="s">
        <v>0</v>
      </c>
      <c r="C2140" s="206"/>
      <c r="D2140" s="206"/>
      <c r="E2140" s="70"/>
      <c r="F2140" s="71"/>
    </row>
    <row r="2141" spans="1:6" s="53" customFormat="1" ht="20.5" x14ac:dyDescent="0.45">
      <c r="B2141" s="72"/>
      <c r="C2141" s="73" t="s">
        <v>683</v>
      </c>
      <c r="D2141" s="74"/>
      <c r="F2141" s="75"/>
    </row>
    <row r="2142" spans="1:6" s="53" customFormat="1" ht="21" thickBot="1" x14ac:dyDescent="0.5">
      <c r="B2142" s="72" t="s">
        <v>270</v>
      </c>
      <c r="C2142" s="76" t="s">
        <v>47</v>
      </c>
      <c r="D2142" s="74"/>
      <c r="F2142" s="75"/>
    </row>
    <row r="2143" spans="1:6" s="53" customFormat="1" ht="15" thickBot="1" x14ac:dyDescent="0.4">
      <c r="A2143" s="77" t="s">
        <v>48</v>
      </c>
      <c r="B2143" s="78" t="s">
        <v>26</v>
      </c>
      <c r="C2143" s="78" t="s">
        <v>49</v>
      </c>
      <c r="D2143" s="79" t="s">
        <v>29</v>
      </c>
      <c r="F2143" s="75"/>
    </row>
    <row r="2144" spans="1:6" s="53" customFormat="1" ht="14.5" customHeight="1" x14ac:dyDescent="0.35">
      <c r="A2144" s="207" t="s">
        <v>33</v>
      </c>
      <c r="B2144" s="80" t="s">
        <v>684</v>
      </c>
      <c r="C2144" s="81" t="s">
        <v>601</v>
      </c>
      <c r="D2144" s="82">
        <f>F2151</f>
        <v>12500000</v>
      </c>
      <c r="F2144" s="75"/>
    </row>
    <row r="2145" spans="1:7" s="53" customFormat="1" ht="21" thickBot="1" x14ac:dyDescent="0.5">
      <c r="A2145" s="208"/>
      <c r="B2145" s="72"/>
      <c r="C2145" s="72"/>
      <c r="D2145" s="74"/>
      <c r="F2145" s="75"/>
    </row>
    <row r="2146" spans="1:7" s="53" customFormat="1" ht="15" thickBot="1" x14ac:dyDescent="0.4">
      <c r="A2146" s="208"/>
      <c r="B2146" s="83" t="s">
        <v>26</v>
      </c>
      <c r="C2146" s="84" t="s">
        <v>51</v>
      </c>
      <c r="D2146" s="85" t="s">
        <v>52</v>
      </c>
      <c r="F2146" s="75"/>
    </row>
    <row r="2147" spans="1:7" s="89" customFormat="1" x14ac:dyDescent="0.35">
      <c r="A2147" s="208"/>
      <c r="B2147" s="86" t="str">
        <f>B2144</f>
        <v>07th March,2026</v>
      </c>
      <c r="C2147" s="87" t="s">
        <v>951</v>
      </c>
      <c r="D2147" s="88">
        <f>1850*2858</f>
        <v>5287300</v>
      </c>
      <c r="F2147" s="90"/>
    </row>
    <row r="2148" spans="1:7" s="53" customFormat="1" x14ac:dyDescent="0.35">
      <c r="A2148" s="208"/>
      <c r="B2148" s="91"/>
      <c r="C2148" s="92" t="s">
        <v>604</v>
      </c>
      <c r="D2148" s="93">
        <f>428*2500</f>
        <v>1070000</v>
      </c>
      <c r="F2148" s="75"/>
    </row>
    <row r="2149" spans="1:7" s="53" customFormat="1" x14ac:dyDescent="0.35">
      <c r="A2149" s="208"/>
      <c r="B2149" s="91" t="s">
        <v>54</v>
      </c>
      <c r="C2149" s="92" t="s">
        <v>55</v>
      </c>
      <c r="D2149" s="93">
        <v>1000000</v>
      </c>
      <c r="F2149" s="75"/>
    </row>
    <row r="2150" spans="1:7" s="53" customFormat="1" x14ac:dyDescent="0.35">
      <c r="A2150" s="208"/>
      <c r="B2150" s="91" t="s">
        <v>56</v>
      </c>
      <c r="C2150" s="92" t="s">
        <v>57</v>
      </c>
      <c r="D2150" s="93">
        <v>40000</v>
      </c>
      <c r="E2150" s="210" t="s">
        <v>58</v>
      </c>
      <c r="F2150" s="210"/>
    </row>
    <row r="2151" spans="1:7" s="53" customFormat="1" x14ac:dyDescent="0.35">
      <c r="A2151" s="208"/>
      <c r="B2151" s="91" t="s">
        <v>603</v>
      </c>
      <c r="C2151" s="92" t="s">
        <v>60</v>
      </c>
      <c r="D2151" s="93">
        <f>1300*140</f>
        <v>182000</v>
      </c>
      <c r="E2151" s="94" t="s">
        <v>61</v>
      </c>
      <c r="F2151" s="95">
        <f>5000*2500</f>
        <v>12500000</v>
      </c>
    </row>
    <row r="2152" spans="1:7" s="53" customFormat="1" x14ac:dyDescent="0.35">
      <c r="A2152" s="208"/>
      <c r="B2152" s="91"/>
      <c r="C2152" s="92" t="s">
        <v>62</v>
      </c>
      <c r="D2152" s="93">
        <f>4800*140</f>
        <v>672000</v>
      </c>
      <c r="E2152" s="96" t="s">
        <v>63</v>
      </c>
      <c r="F2152" s="75">
        <f>5000*2500</f>
        <v>12500000</v>
      </c>
    </row>
    <row r="2153" spans="1:7" s="53" customFormat="1" ht="15" thickBot="1" x14ac:dyDescent="0.4">
      <c r="A2153" s="208"/>
      <c r="B2153" s="91" t="s">
        <v>64</v>
      </c>
      <c r="C2153" s="92" t="s">
        <v>65</v>
      </c>
      <c r="D2153" s="97">
        <v>30000</v>
      </c>
      <c r="E2153" s="98" t="s">
        <v>66</v>
      </c>
      <c r="F2153" s="99">
        <f>F2151-F2152</f>
        <v>0</v>
      </c>
      <c r="G2153" s="100">
        <f>F2153/2500</f>
        <v>0</v>
      </c>
    </row>
    <row r="2154" spans="1:7" s="53" customFormat="1" ht="15" thickTop="1" x14ac:dyDescent="0.35">
      <c r="A2154" s="208"/>
      <c r="B2154" s="91"/>
      <c r="C2154" s="92" t="s">
        <v>67</v>
      </c>
      <c r="D2154" s="93">
        <v>150000</v>
      </c>
      <c r="F2154" s="75"/>
    </row>
    <row r="2155" spans="1:7" s="53" customFormat="1" x14ac:dyDescent="0.35">
      <c r="A2155" s="208"/>
      <c r="B2155" s="91" t="s">
        <v>675</v>
      </c>
      <c r="C2155" s="101" t="s">
        <v>68</v>
      </c>
      <c r="D2155" s="93">
        <v>15000</v>
      </c>
      <c r="E2155" s="94" t="s">
        <v>69</v>
      </c>
      <c r="F2155" s="95"/>
    </row>
    <row r="2156" spans="1:7" s="53" customFormat="1" x14ac:dyDescent="0.35">
      <c r="A2156" s="208"/>
      <c r="B2156" s="102"/>
      <c r="C2156" s="101" t="s">
        <v>70</v>
      </c>
      <c r="D2156" s="103">
        <v>10000</v>
      </c>
      <c r="E2156" s="104"/>
      <c r="F2156" s="105"/>
    </row>
    <row r="2157" spans="1:7" s="53" customFormat="1" x14ac:dyDescent="0.35">
      <c r="A2157" s="208"/>
      <c r="B2157" s="102"/>
      <c r="C2157" s="101" t="s">
        <v>71</v>
      </c>
      <c r="D2157" s="103">
        <v>40000</v>
      </c>
      <c r="E2157" s="104" t="s">
        <v>72</v>
      </c>
      <c r="F2157" s="105"/>
    </row>
    <row r="2158" spans="1:7" s="53" customFormat="1" x14ac:dyDescent="0.35">
      <c r="A2158" s="208"/>
      <c r="B2158" s="102"/>
      <c r="C2158" s="92" t="s">
        <v>73</v>
      </c>
      <c r="D2158" s="106">
        <f>727*140</f>
        <v>101780</v>
      </c>
      <c r="E2158" s="53" t="s">
        <v>602</v>
      </c>
      <c r="F2158" s="105"/>
    </row>
    <row r="2159" spans="1:7" s="53" customFormat="1" ht="15" thickBot="1" x14ac:dyDescent="0.4">
      <c r="A2159" s="208"/>
      <c r="B2159" s="107"/>
      <c r="C2159" s="108"/>
      <c r="D2159" s="109"/>
      <c r="F2159" s="75"/>
    </row>
    <row r="2160" spans="1:7" s="53" customFormat="1" ht="15" thickBot="1" x14ac:dyDescent="0.4">
      <c r="A2160" s="208"/>
      <c r="B2160" s="110"/>
      <c r="C2160" s="111" t="s">
        <v>74</v>
      </c>
      <c r="D2160" s="112">
        <f>SUM(D2147:D2159)</f>
        <v>8598080</v>
      </c>
      <c r="F2160" s="75"/>
    </row>
    <row r="2161" spans="1:6" s="53" customFormat="1" ht="15.5" thickTop="1" thickBot="1" x14ac:dyDescent="0.4">
      <c r="A2161" s="209"/>
      <c r="B2161" s="211"/>
      <c r="C2161" s="211"/>
      <c r="D2161" s="211"/>
      <c r="F2161" s="75"/>
    </row>
    <row r="2162" spans="1:6" s="53" customFormat="1" x14ac:dyDescent="0.35">
      <c r="B2162" s="89"/>
      <c r="C2162" s="53" t="s">
        <v>75</v>
      </c>
      <c r="D2162" s="113">
        <f>D2144-D2160</f>
        <v>3901920</v>
      </c>
      <c r="F2162" s="75"/>
    </row>
    <row r="2163" spans="1:6" s="53" customFormat="1" x14ac:dyDescent="0.35">
      <c r="B2163" s="89"/>
      <c r="D2163" s="113"/>
      <c r="F2163" s="75"/>
    </row>
    <row r="2164" spans="1:6" s="53" customFormat="1" x14ac:dyDescent="0.35">
      <c r="A2164" s="114"/>
      <c r="B2164" s="115"/>
      <c r="C2164" s="114"/>
      <c r="D2164" s="116"/>
      <c r="E2164" s="114"/>
      <c r="F2164" s="117"/>
    </row>
    <row r="2166" spans="1:6" s="53" customFormat="1" ht="23.5" x14ac:dyDescent="0.55000000000000004">
      <c r="B2166" s="206" t="s">
        <v>0</v>
      </c>
      <c r="C2166" s="206"/>
      <c r="D2166" s="206"/>
      <c r="E2166" s="70"/>
      <c r="F2166" s="71"/>
    </row>
    <row r="2167" spans="1:6" s="53" customFormat="1" ht="20.5" x14ac:dyDescent="0.45">
      <c r="B2167" s="72"/>
      <c r="C2167" s="73" t="s">
        <v>687</v>
      </c>
      <c r="D2167" s="74"/>
      <c r="F2167" s="75"/>
    </row>
    <row r="2168" spans="1:6" s="53" customFormat="1" ht="21" thickBot="1" x14ac:dyDescent="0.5">
      <c r="B2168" s="72" t="s">
        <v>264</v>
      </c>
      <c r="C2168" s="76" t="s">
        <v>47</v>
      </c>
      <c r="D2168" s="74"/>
      <c r="F2168" s="75"/>
    </row>
    <row r="2169" spans="1:6" s="53" customFormat="1" ht="15" thickBot="1" x14ac:dyDescent="0.4">
      <c r="A2169" s="77" t="s">
        <v>48</v>
      </c>
      <c r="B2169" s="78" t="s">
        <v>26</v>
      </c>
      <c r="C2169" s="78" t="s">
        <v>49</v>
      </c>
      <c r="D2169" s="79" t="s">
        <v>29</v>
      </c>
      <c r="F2169" s="75"/>
    </row>
    <row r="2170" spans="1:6" s="53" customFormat="1" ht="14.5" customHeight="1" x14ac:dyDescent="0.35">
      <c r="A2170" s="207" t="s">
        <v>33</v>
      </c>
      <c r="B2170" s="80" t="s">
        <v>684</v>
      </c>
      <c r="C2170" s="81" t="s">
        <v>601</v>
      </c>
      <c r="D2170" s="82">
        <f>F2177</f>
        <v>12500000</v>
      </c>
      <c r="F2170" s="75"/>
    </row>
    <row r="2171" spans="1:6" s="53" customFormat="1" ht="21" thickBot="1" x14ac:dyDescent="0.5">
      <c r="A2171" s="208"/>
      <c r="B2171" s="72"/>
      <c r="C2171" s="72"/>
      <c r="D2171" s="74"/>
      <c r="F2171" s="75"/>
    </row>
    <row r="2172" spans="1:6" s="53" customFormat="1" ht="15" thickBot="1" x14ac:dyDescent="0.4">
      <c r="A2172" s="208"/>
      <c r="B2172" s="83" t="s">
        <v>26</v>
      </c>
      <c r="C2172" s="84" t="s">
        <v>51</v>
      </c>
      <c r="D2172" s="85" t="s">
        <v>52</v>
      </c>
      <c r="F2172" s="75"/>
    </row>
    <row r="2173" spans="1:6" s="89" customFormat="1" x14ac:dyDescent="0.35">
      <c r="A2173" s="208"/>
      <c r="B2173" s="86" t="str">
        <f>B2170</f>
        <v>07th March,2026</v>
      </c>
      <c r="C2173" s="87" t="s">
        <v>951</v>
      </c>
      <c r="D2173" s="88">
        <f>1850*2858</f>
        <v>5287300</v>
      </c>
      <c r="F2173" s="90"/>
    </row>
    <row r="2174" spans="1:6" s="53" customFormat="1" x14ac:dyDescent="0.35">
      <c r="A2174" s="208"/>
      <c r="B2174" s="91"/>
      <c r="C2174" s="92" t="s">
        <v>604</v>
      </c>
      <c r="D2174" s="93">
        <f>428*2500</f>
        <v>1070000</v>
      </c>
      <c r="F2174" s="75"/>
    </row>
    <row r="2175" spans="1:6" s="53" customFormat="1" x14ac:dyDescent="0.35">
      <c r="A2175" s="208"/>
      <c r="B2175" s="91" t="s">
        <v>54</v>
      </c>
      <c r="C2175" s="92" t="s">
        <v>55</v>
      </c>
      <c r="D2175" s="93">
        <v>1000000</v>
      </c>
      <c r="F2175" s="75"/>
    </row>
    <row r="2176" spans="1:6" s="53" customFormat="1" x14ac:dyDescent="0.35">
      <c r="A2176" s="208"/>
      <c r="B2176" s="91" t="s">
        <v>56</v>
      </c>
      <c r="C2176" s="92" t="s">
        <v>57</v>
      </c>
      <c r="D2176" s="93">
        <v>40000</v>
      </c>
      <c r="E2176" s="210" t="s">
        <v>58</v>
      </c>
      <c r="F2176" s="210"/>
    </row>
    <row r="2177" spans="1:7" s="53" customFormat="1" x14ac:dyDescent="0.35">
      <c r="A2177" s="208"/>
      <c r="B2177" s="91" t="s">
        <v>603</v>
      </c>
      <c r="C2177" s="92" t="s">
        <v>60</v>
      </c>
      <c r="D2177" s="93">
        <f>1300*140</f>
        <v>182000</v>
      </c>
      <c r="E2177" s="94" t="s">
        <v>61</v>
      </c>
      <c r="F2177" s="95">
        <f>5000*2500</f>
        <v>12500000</v>
      </c>
    </row>
    <row r="2178" spans="1:7" s="53" customFormat="1" x14ac:dyDescent="0.35">
      <c r="A2178" s="208"/>
      <c r="B2178" s="91"/>
      <c r="C2178" s="92" t="s">
        <v>62</v>
      </c>
      <c r="D2178" s="93">
        <f>4800*140</f>
        <v>672000</v>
      </c>
      <c r="E2178" s="96" t="s">
        <v>63</v>
      </c>
      <c r="F2178" s="75">
        <f>5000*2500</f>
        <v>12500000</v>
      </c>
    </row>
    <row r="2179" spans="1:7" s="53" customFormat="1" ht="15" thickBot="1" x14ac:dyDescent="0.4">
      <c r="A2179" s="208"/>
      <c r="B2179" s="91" t="s">
        <v>64</v>
      </c>
      <c r="C2179" s="92" t="s">
        <v>65</v>
      </c>
      <c r="D2179" s="97">
        <v>30000</v>
      </c>
      <c r="E2179" s="98" t="s">
        <v>66</v>
      </c>
      <c r="F2179" s="99">
        <f>F2177-F2178</f>
        <v>0</v>
      </c>
      <c r="G2179" s="100">
        <f>F2179/2500</f>
        <v>0</v>
      </c>
    </row>
    <row r="2180" spans="1:7" s="53" customFormat="1" ht="15" thickTop="1" x14ac:dyDescent="0.35">
      <c r="A2180" s="208"/>
      <c r="B2180" s="91"/>
      <c r="C2180" s="92" t="s">
        <v>67</v>
      </c>
      <c r="D2180" s="93">
        <v>150000</v>
      </c>
      <c r="F2180" s="75"/>
    </row>
    <row r="2181" spans="1:7" s="53" customFormat="1" x14ac:dyDescent="0.35">
      <c r="A2181" s="208"/>
      <c r="B2181" s="91" t="s">
        <v>686</v>
      </c>
      <c r="C2181" s="101" t="s">
        <v>68</v>
      </c>
      <c r="D2181" s="93">
        <v>15000</v>
      </c>
      <c r="E2181" s="94" t="s">
        <v>69</v>
      </c>
      <c r="F2181" s="95"/>
    </row>
    <row r="2182" spans="1:7" s="53" customFormat="1" x14ac:dyDescent="0.35">
      <c r="A2182" s="208"/>
      <c r="B2182" s="102"/>
      <c r="C2182" s="101" t="s">
        <v>70</v>
      </c>
      <c r="D2182" s="103">
        <v>10000</v>
      </c>
      <c r="E2182" s="104"/>
      <c r="F2182" s="105"/>
    </row>
    <row r="2183" spans="1:7" s="53" customFormat="1" x14ac:dyDescent="0.35">
      <c r="A2183" s="208"/>
      <c r="B2183" s="102"/>
      <c r="C2183" s="101" t="s">
        <v>71</v>
      </c>
      <c r="D2183" s="103">
        <v>40000</v>
      </c>
      <c r="E2183" s="104" t="s">
        <v>72</v>
      </c>
      <c r="F2183" s="105"/>
    </row>
    <row r="2184" spans="1:7" s="53" customFormat="1" x14ac:dyDescent="0.35">
      <c r="A2184" s="208"/>
      <c r="B2184" s="102"/>
      <c r="C2184" s="92" t="s">
        <v>73</v>
      </c>
      <c r="D2184" s="106">
        <f>727*140</f>
        <v>101780</v>
      </c>
      <c r="E2184" s="53" t="s">
        <v>602</v>
      </c>
      <c r="F2184" s="105"/>
    </row>
    <row r="2185" spans="1:7" s="53" customFormat="1" ht="15" thickBot="1" x14ac:dyDescent="0.4">
      <c r="A2185" s="208"/>
      <c r="B2185" s="107"/>
      <c r="C2185" s="108"/>
      <c r="D2185" s="109"/>
      <c r="F2185" s="75"/>
    </row>
    <row r="2186" spans="1:7" s="53" customFormat="1" ht="15" thickBot="1" x14ac:dyDescent="0.4">
      <c r="A2186" s="208"/>
      <c r="B2186" s="110"/>
      <c r="C2186" s="111" t="s">
        <v>74</v>
      </c>
      <c r="D2186" s="112">
        <f>SUM(D2173:D2185)</f>
        <v>8598080</v>
      </c>
      <c r="F2186" s="75"/>
    </row>
    <row r="2187" spans="1:7" s="53" customFormat="1" ht="15.5" thickTop="1" thickBot="1" x14ac:dyDescent="0.4">
      <c r="A2187" s="209"/>
      <c r="B2187" s="211"/>
      <c r="C2187" s="211"/>
      <c r="D2187" s="211"/>
      <c r="F2187" s="75"/>
    </row>
    <row r="2188" spans="1:7" s="53" customFormat="1" x14ac:dyDescent="0.35">
      <c r="B2188" s="89"/>
      <c r="C2188" s="53" t="s">
        <v>75</v>
      </c>
      <c r="D2188" s="113">
        <f>D2170-D2186</f>
        <v>3901920</v>
      </c>
      <c r="F2188" s="75"/>
    </row>
    <row r="2189" spans="1:7" s="53" customFormat="1" x14ac:dyDescent="0.35">
      <c r="B2189" s="89"/>
      <c r="D2189" s="113"/>
      <c r="F2189" s="75"/>
    </row>
    <row r="2190" spans="1:7" s="53" customFormat="1" x14ac:dyDescent="0.35">
      <c r="A2190" s="114"/>
      <c r="B2190" s="115"/>
      <c r="C2190" s="114"/>
      <c r="D2190" s="116"/>
      <c r="E2190" s="114"/>
      <c r="F2190" s="117"/>
    </row>
    <row r="2192" spans="1:7" s="53" customFormat="1" ht="23.5" x14ac:dyDescent="0.55000000000000004">
      <c r="B2192" s="206" t="s">
        <v>0</v>
      </c>
      <c r="C2192" s="206"/>
      <c r="D2192" s="206"/>
      <c r="E2192" s="70"/>
      <c r="F2192" s="71"/>
    </row>
    <row r="2193" spans="1:7" s="53" customFormat="1" ht="20.5" x14ac:dyDescent="0.45">
      <c r="B2193" s="72"/>
      <c r="C2193" s="73" t="s">
        <v>700</v>
      </c>
      <c r="D2193" s="74"/>
      <c r="F2193" s="75"/>
    </row>
    <row r="2194" spans="1:7" s="53" customFormat="1" ht="21" thickBot="1" x14ac:dyDescent="0.5">
      <c r="B2194" s="72" t="s">
        <v>312</v>
      </c>
      <c r="C2194" s="76" t="s">
        <v>47</v>
      </c>
      <c r="D2194" s="74"/>
      <c r="F2194" s="75"/>
    </row>
    <row r="2195" spans="1:7" s="53" customFormat="1" ht="15" thickBot="1" x14ac:dyDescent="0.4">
      <c r="A2195" s="77" t="s">
        <v>48</v>
      </c>
      <c r="B2195" s="78" t="s">
        <v>26</v>
      </c>
      <c r="C2195" s="78" t="s">
        <v>49</v>
      </c>
      <c r="D2195" s="79" t="s">
        <v>29</v>
      </c>
      <c r="F2195" s="75"/>
    </row>
    <row r="2196" spans="1:7" s="53" customFormat="1" ht="14.5" customHeight="1" x14ac:dyDescent="0.35">
      <c r="A2196" s="207" t="s">
        <v>33</v>
      </c>
      <c r="B2196" s="80" t="s">
        <v>701</v>
      </c>
      <c r="C2196" s="81" t="s">
        <v>601</v>
      </c>
      <c r="D2196" s="82">
        <f>F2203</f>
        <v>12500000</v>
      </c>
      <c r="F2196" s="75"/>
    </row>
    <row r="2197" spans="1:7" s="53" customFormat="1" ht="21" thickBot="1" x14ac:dyDescent="0.5">
      <c r="A2197" s="208"/>
      <c r="B2197" s="72"/>
      <c r="C2197" s="72"/>
      <c r="D2197" s="74"/>
      <c r="F2197" s="75"/>
    </row>
    <row r="2198" spans="1:7" s="53" customFormat="1" ht="15" thickBot="1" x14ac:dyDescent="0.4">
      <c r="A2198" s="208"/>
      <c r="B2198" s="83" t="s">
        <v>26</v>
      </c>
      <c r="C2198" s="84" t="s">
        <v>51</v>
      </c>
      <c r="D2198" s="85" t="s">
        <v>52</v>
      </c>
      <c r="F2198" s="75"/>
    </row>
    <row r="2199" spans="1:7" s="89" customFormat="1" x14ac:dyDescent="0.35">
      <c r="A2199" s="208"/>
      <c r="B2199" s="86" t="str">
        <f>B2196</f>
        <v>10th March,2026</v>
      </c>
      <c r="C2199" s="87" t="s">
        <v>951</v>
      </c>
      <c r="D2199" s="88">
        <f>1850*2858</f>
        <v>5287300</v>
      </c>
      <c r="F2199" s="90"/>
    </row>
    <row r="2200" spans="1:7" s="53" customFormat="1" x14ac:dyDescent="0.35">
      <c r="A2200" s="208"/>
      <c r="B2200" s="91"/>
      <c r="C2200" s="92" t="s">
        <v>604</v>
      </c>
      <c r="D2200" s="93">
        <f>428*2500</f>
        <v>1070000</v>
      </c>
      <c r="F2200" s="75"/>
    </row>
    <row r="2201" spans="1:7" s="53" customFormat="1" x14ac:dyDescent="0.35">
      <c r="A2201" s="208"/>
      <c r="B2201" s="91" t="s">
        <v>54</v>
      </c>
      <c r="C2201" s="92" t="s">
        <v>55</v>
      </c>
      <c r="D2201" s="93">
        <v>1000000</v>
      </c>
      <c r="F2201" s="75"/>
    </row>
    <row r="2202" spans="1:7" s="53" customFormat="1" x14ac:dyDescent="0.35">
      <c r="A2202" s="208"/>
      <c r="B2202" s="91" t="s">
        <v>56</v>
      </c>
      <c r="C2202" s="92" t="s">
        <v>57</v>
      </c>
      <c r="D2202" s="93">
        <v>40000</v>
      </c>
      <c r="E2202" s="210" t="s">
        <v>58</v>
      </c>
      <c r="F2202" s="210"/>
    </row>
    <row r="2203" spans="1:7" s="53" customFormat="1" x14ac:dyDescent="0.35">
      <c r="A2203" s="208"/>
      <c r="B2203" s="91" t="s">
        <v>603</v>
      </c>
      <c r="C2203" s="92" t="s">
        <v>60</v>
      </c>
      <c r="D2203" s="93">
        <f>1300*140</f>
        <v>182000</v>
      </c>
      <c r="E2203" s="94" t="s">
        <v>61</v>
      </c>
      <c r="F2203" s="95">
        <f>5000*2500</f>
        <v>12500000</v>
      </c>
    </row>
    <row r="2204" spans="1:7" s="53" customFormat="1" x14ac:dyDescent="0.35">
      <c r="A2204" s="208"/>
      <c r="B2204" s="91"/>
      <c r="C2204" s="92" t="s">
        <v>62</v>
      </c>
      <c r="D2204" s="93">
        <f>4800*140</f>
        <v>672000</v>
      </c>
      <c r="E2204" s="96" t="s">
        <v>63</v>
      </c>
      <c r="F2204" s="75">
        <f>5000*2500</f>
        <v>12500000</v>
      </c>
    </row>
    <row r="2205" spans="1:7" s="53" customFormat="1" ht="15" thickBot="1" x14ac:dyDescent="0.4">
      <c r="A2205" s="208"/>
      <c r="B2205" s="91" t="s">
        <v>64</v>
      </c>
      <c r="C2205" s="92" t="s">
        <v>65</v>
      </c>
      <c r="D2205" s="97">
        <v>30000</v>
      </c>
      <c r="E2205" s="98" t="s">
        <v>66</v>
      </c>
      <c r="F2205" s="99">
        <f>F2203-F2204</f>
        <v>0</v>
      </c>
      <c r="G2205" s="100">
        <f>F2205/2500</f>
        <v>0</v>
      </c>
    </row>
    <row r="2206" spans="1:7" s="53" customFormat="1" ht="15" thickTop="1" x14ac:dyDescent="0.35">
      <c r="A2206" s="208"/>
      <c r="B2206" s="91"/>
      <c r="C2206" s="92" t="s">
        <v>67</v>
      </c>
      <c r="D2206" s="93">
        <v>150000</v>
      </c>
      <c r="F2206" s="75"/>
    </row>
    <row r="2207" spans="1:7" s="53" customFormat="1" x14ac:dyDescent="0.35">
      <c r="A2207" s="208"/>
      <c r="B2207" s="91" t="s">
        <v>699</v>
      </c>
      <c r="C2207" s="101" t="s">
        <v>68</v>
      </c>
      <c r="D2207" s="93">
        <v>15000</v>
      </c>
      <c r="E2207" s="94" t="s">
        <v>69</v>
      </c>
      <c r="F2207" s="95"/>
    </row>
    <row r="2208" spans="1:7" s="53" customFormat="1" x14ac:dyDescent="0.35">
      <c r="A2208" s="208"/>
      <c r="B2208" s="102"/>
      <c r="C2208" s="101" t="s">
        <v>70</v>
      </c>
      <c r="D2208" s="103">
        <v>10000</v>
      </c>
      <c r="E2208" s="104"/>
      <c r="F2208" s="105"/>
    </row>
    <row r="2209" spans="1:6" s="53" customFormat="1" x14ac:dyDescent="0.35">
      <c r="A2209" s="208"/>
      <c r="B2209" s="102"/>
      <c r="C2209" s="101" t="s">
        <v>71</v>
      </c>
      <c r="D2209" s="103">
        <v>40000</v>
      </c>
      <c r="E2209" s="104" t="s">
        <v>72</v>
      </c>
      <c r="F2209" s="105"/>
    </row>
    <row r="2210" spans="1:6" s="53" customFormat="1" x14ac:dyDescent="0.35">
      <c r="A2210" s="208"/>
      <c r="B2210" s="102"/>
      <c r="C2210" s="92" t="s">
        <v>73</v>
      </c>
      <c r="D2210" s="106">
        <f>727*140</f>
        <v>101780</v>
      </c>
      <c r="E2210" s="53" t="s">
        <v>602</v>
      </c>
      <c r="F2210" s="105"/>
    </row>
    <row r="2211" spans="1:6" s="53" customFormat="1" ht="15" thickBot="1" x14ac:dyDescent="0.4">
      <c r="A2211" s="208"/>
      <c r="B2211" s="107"/>
      <c r="C2211" s="108"/>
      <c r="D2211" s="109"/>
      <c r="F2211" s="75"/>
    </row>
    <row r="2212" spans="1:6" s="53" customFormat="1" ht="15" thickBot="1" x14ac:dyDescent="0.4">
      <c r="A2212" s="208"/>
      <c r="B2212" s="110"/>
      <c r="C2212" s="111" t="s">
        <v>74</v>
      </c>
      <c r="D2212" s="112">
        <f>SUM(D2199:D2211)</f>
        <v>8598080</v>
      </c>
      <c r="F2212" s="75"/>
    </row>
    <row r="2213" spans="1:6" s="53" customFormat="1" ht="15.5" thickTop="1" thickBot="1" x14ac:dyDescent="0.4">
      <c r="A2213" s="209"/>
      <c r="B2213" s="211"/>
      <c r="C2213" s="211"/>
      <c r="D2213" s="211"/>
      <c r="F2213" s="75"/>
    </row>
    <row r="2214" spans="1:6" s="53" customFormat="1" x14ac:dyDescent="0.35">
      <c r="B2214" s="89"/>
      <c r="C2214" s="53" t="s">
        <v>75</v>
      </c>
      <c r="D2214" s="113">
        <f>D2196-D2212</f>
        <v>3901920</v>
      </c>
      <c r="F2214" s="75"/>
    </row>
    <row r="2215" spans="1:6" s="53" customFormat="1" x14ac:dyDescent="0.35">
      <c r="B2215" s="89"/>
      <c r="D2215" s="113"/>
      <c r="F2215" s="75"/>
    </row>
    <row r="2216" spans="1:6" s="53" customFormat="1" x14ac:dyDescent="0.35">
      <c r="A2216" s="114"/>
      <c r="B2216" s="115"/>
      <c r="C2216" s="114"/>
      <c r="D2216" s="116"/>
      <c r="E2216" s="114"/>
      <c r="F2216" s="117"/>
    </row>
    <row r="2218" spans="1:6" s="53" customFormat="1" ht="23.5" x14ac:dyDescent="0.55000000000000004">
      <c r="B2218" s="206" t="s">
        <v>0</v>
      </c>
      <c r="C2218" s="206"/>
      <c r="D2218" s="206"/>
      <c r="E2218" s="70"/>
      <c r="F2218" s="71"/>
    </row>
    <row r="2219" spans="1:6" s="53" customFormat="1" ht="20.5" x14ac:dyDescent="0.45">
      <c r="B2219" s="72"/>
      <c r="C2219" s="73" t="s">
        <v>706</v>
      </c>
      <c r="D2219" s="74"/>
      <c r="F2219" s="75"/>
    </row>
    <row r="2220" spans="1:6" s="53" customFormat="1" ht="21" thickBot="1" x14ac:dyDescent="0.5">
      <c r="B2220" s="72" t="s">
        <v>165</v>
      </c>
      <c r="C2220" s="76" t="s">
        <v>47</v>
      </c>
      <c r="D2220" s="74"/>
      <c r="F2220" s="75"/>
    </row>
    <row r="2221" spans="1:6" s="53" customFormat="1" ht="15" thickBot="1" x14ac:dyDescent="0.4">
      <c r="A2221" s="77" t="s">
        <v>48</v>
      </c>
      <c r="B2221" s="78" t="s">
        <v>26</v>
      </c>
      <c r="C2221" s="78" t="s">
        <v>49</v>
      </c>
      <c r="D2221" s="79" t="s">
        <v>29</v>
      </c>
      <c r="F2221" s="75"/>
    </row>
    <row r="2222" spans="1:6" s="53" customFormat="1" ht="14.5" customHeight="1" x14ac:dyDescent="0.35">
      <c r="A2222" s="207" t="s">
        <v>33</v>
      </c>
      <c r="B2222" s="80" t="s">
        <v>703</v>
      </c>
      <c r="C2222" s="81" t="s">
        <v>200</v>
      </c>
      <c r="D2222" s="82">
        <f>F2229</f>
        <v>14280000</v>
      </c>
      <c r="F2222" s="75"/>
    </row>
    <row r="2223" spans="1:6" s="53" customFormat="1" ht="21" thickBot="1" x14ac:dyDescent="0.5">
      <c r="A2223" s="208"/>
      <c r="B2223" s="72"/>
      <c r="C2223" s="72"/>
      <c r="D2223" s="74"/>
      <c r="F2223" s="75"/>
    </row>
    <row r="2224" spans="1:6" s="53" customFormat="1" ht="15" thickBot="1" x14ac:dyDescent="0.4">
      <c r="A2224" s="208"/>
      <c r="B2224" s="83" t="s">
        <v>26</v>
      </c>
      <c r="C2224" s="84" t="s">
        <v>51</v>
      </c>
      <c r="D2224" s="85" t="s">
        <v>52</v>
      </c>
      <c r="F2224" s="75"/>
    </row>
    <row r="2225" spans="1:7" s="89" customFormat="1" x14ac:dyDescent="0.35">
      <c r="A2225" s="208"/>
      <c r="B2225" s="86" t="str">
        <f>B2222</f>
        <v>11th March,2026</v>
      </c>
      <c r="C2225" s="87" t="s">
        <v>951</v>
      </c>
      <c r="D2225" s="88">
        <f>1850*2858</f>
        <v>5287300</v>
      </c>
      <c r="F2225" s="90"/>
    </row>
    <row r="2226" spans="1:7" s="53" customFormat="1" x14ac:dyDescent="0.35">
      <c r="A2226" s="208"/>
      <c r="B2226" s="91"/>
      <c r="C2226" s="92" t="s">
        <v>155</v>
      </c>
      <c r="D2226" s="93">
        <f>319*2450</f>
        <v>781550</v>
      </c>
      <c r="F2226" s="75"/>
    </row>
    <row r="2227" spans="1:7" s="53" customFormat="1" x14ac:dyDescent="0.35">
      <c r="A2227" s="208"/>
      <c r="B2227" s="91" t="s">
        <v>54</v>
      </c>
      <c r="C2227" s="92" t="s">
        <v>55</v>
      </c>
      <c r="D2227" s="93">
        <v>1000000</v>
      </c>
      <c r="F2227" s="75"/>
    </row>
    <row r="2228" spans="1:7" s="53" customFormat="1" x14ac:dyDescent="0.35">
      <c r="A2228" s="208"/>
      <c r="B2228" s="91" t="s">
        <v>56</v>
      </c>
      <c r="C2228" s="92" t="s">
        <v>57</v>
      </c>
      <c r="D2228" s="93">
        <v>40000</v>
      </c>
      <c r="E2228" s="210" t="s">
        <v>58</v>
      </c>
      <c r="F2228" s="210"/>
    </row>
    <row r="2229" spans="1:7" s="53" customFormat="1" x14ac:dyDescent="0.35">
      <c r="A2229" s="208"/>
      <c r="B2229" s="91" t="s">
        <v>59</v>
      </c>
      <c r="C2229" s="92" t="s">
        <v>60</v>
      </c>
      <c r="D2229" s="93">
        <f>950*140</f>
        <v>133000</v>
      </c>
      <c r="E2229" s="94" t="s">
        <v>61</v>
      </c>
      <c r="F2229" s="95">
        <f>5600*2550</f>
        <v>14280000</v>
      </c>
    </row>
    <row r="2230" spans="1:7" s="53" customFormat="1" x14ac:dyDescent="0.35">
      <c r="A2230" s="208"/>
      <c r="B2230" s="91"/>
      <c r="C2230" s="92" t="s">
        <v>62</v>
      </c>
      <c r="D2230" s="93">
        <f>4290*140</f>
        <v>600600</v>
      </c>
      <c r="E2230" s="96" t="s">
        <v>63</v>
      </c>
      <c r="F2230" s="75">
        <f>(2800*2550)</f>
        <v>7140000</v>
      </c>
    </row>
    <row r="2231" spans="1:7" s="53" customFormat="1" ht="15" thickBot="1" x14ac:dyDescent="0.4">
      <c r="A2231" s="208"/>
      <c r="B2231" s="91" t="s">
        <v>64</v>
      </c>
      <c r="C2231" s="92" t="s">
        <v>65</v>
      </c>
      <c r="D2231" s="97">
        <v>30000</v>
      </c>
      <c r="E2231" s="98" t="s">
        <v>66</v>
      </c>
      <c r="F2231" s="99">
        <f>F2229-F2230</f>
        <v>7140000</v>
      </c>
      <c r="G2231" s="100">
        <f>F2231/2550</f>
        <v>2800</v>
      </c>
    </row>
    <row r="2232" spans="1:7" s="53" customFormat="1" ht="15" thickTop="1" x14ac:dyDescent="0.35">
      <c r="A2232" s="208"/>
      <c r="B2232" s="91"/>
      <c r="C2232" s="92" t="s">
        <v>67</v>
      </c>
      <c r="D2232" s="93">
        <v>75000</v>
      </c>
      <c r="F2232" s="75"/>
    </row>
    <row r="2233" spans="1:7" s="53" customFormat="1" x14ac:dyDescent="0.35">
      <c r="A2233" s="208"/>
      <c r="B2233" s="91" t="s">
        <v>702</v>
      </c>
      <c r="C2233" s="101" t="s">
        <v>68</v>
      </c>
      <c r="D2233" s="93">
        <v>15000</v>
      </c>
      <c r="E2233" s="94" t="s">
        <v>69</v>
      </c>
      <c r="F2233" s="95"/>
    </row>
    <row r="2234" spans="1:7" s="53" customFormat="1" x14ac:dyDescent="0.35">
      <c r="A2234" s="208"/>
      <c r="B2234" s="102"/>
      <c r="C2234" s="101" t="s">
        <v>70</v>
      </c>
      <c r="D2234" s="103">
        <v>10000</v>
      </c>
      <c r="E2234" s="104"/>
      <c r="F2234" s="105"/>
    </row>
    <row r="2235" spans="1:7" s="53" customFormat="1" x14ac:dyDescent="0.35">
      <c r="A2235" s="208"/>
      <c r="B2235" s="102"/>
      <c r="C2235" s="101" t="s">
        <v>71</v>
      </c>
      <c r="D2235" s="103">
        <v>30000</v>
      </c>
      <c r="E2235" s="104" t="s">
        <v>72</v>
      </c>
      <c r="F2235" s="105"/>
    </row>
    <row r="2236" spans="1:7" s="53" customFormat="1" x14ac:dyDescent="0.35">
      <c r="A2236" s="208"/>
      <c r="B2236" s="102"/>
      <c r="C2236" s="92"/>
      <c r="D2236" s="106"/>
      <c r="E2236" s="53" t="s">
        <v>717</v>
      </c>
      <c r="F2236" s="105"/>
    </row>
    <row r="2237" spans="1:7" s="53" customFormat="1" ht="15" thickBot="1" x14ac:dyDescent="0.4">
      <c r="A2237" s="208"/>
      <c r="B2237" s="107"/>
      <c r="C2237" s="108"/>
      <c r="D2237" s="109"/>
      <c r="F2237" s="75"/>
    </row>
    <row r="2238" spans="1:7" s="53" customFormat="1" ht="15" thickBot="1" x14ac:dyDescent="0.4">
      <c r="A2238" s="208"/>
      <c r="B2238" s="110"/>
      <c r="C2238" s="111" t="s">
        <v>74</v>
      </c>
      <c r="D2238" s="112">
        <f>SUM(D2225:D2237)</f>
        <v>8002450</v>
      </c>
      <c r="F2238" s="75"/>
    </row>
    <row r="2239" spans="1:7" s="53" customFormat="1" ht="15.5" thickTop="1" thickBot="1" x14ac:dyDescent="0.4">
      <c r="A2239" s="209"/>
      <c r="B2239" s="211"/>
      <c r="C2239" s="211"/>
      <c r="D2239" s="211"/>
      <c r="F2239" s="75"/>
    </row>
    <row r="2240" spans="1:7" s="53" customFormat="1" x14ac:dyDescent="0.35">
      <c r="B2240" s="89"/>
      <c r="C2240" s="53" t="s">
        <v>75</v>
      </c>
      <c r="D2240" s="113">
        <f>D2222-D2238</f>
        <v>6277550</v>
      </c>
      <c r="F2240" s="75"/>
    </row>
    <row r="2241" spans="1:6" s="53" customFormat="1" x14ac:dyDescent="0.35">
      <c r="B2241" s="89"/>
      <c r="D2241" s="113"/>
      <c r="F2241" s="75"/>
    </row>
    <row r="2242" spans="1:6" s="53" customFormat="1" x14ac:dyDescent="0.35">
      <c r="A2242" s="114"/>
      <c r="B2242" s="115"/>
      <c r="C2242" s="114"/>
      <c r="D2242" s="116"/>
      <c r="E2242" s="114"/>
      <c r="F2242" s="117"/>
    </row>
    <row r="2243" spans="1:6" x14ac:dyDescent="0.35">
      <c r="F2243" s="118"/>
    </row>
    <row r="2244" spans="1:6" s="53" customFormat="1" ht="23.5" x14ac:dyDescent="0.55000000000000004">
      <c r="B2244" s="206" t="s">
        <v>0</v>
      </c>
      <c r="C2244" s="206"/>
      <c r="D2244" s="206"/>
      <c r="E2244" s="70"/>
      <c r="F2244" s="71"/>
    </row>
    <row r="2245" spans="1:6" s="53" customFormat="1" ht="20.5" x14ac:dyDescent="0.45">
      <c r="B2245" s="72"/>
      <c r="C2245" s="73" t="s">
        <v>705</v>
      </c>
      <c r="D2245" s="74"/>
      <c r="F2245" s="75"/>
    </row>
    <row r="2246" spans="1:6" s="53" customFormat="1" ht="21" thickBot="1" x14ac:dyDescent="0.5">
      <c r="B2246" s="72" t="s">
        <v>226</v>
      </c>
      <c r="C2246" s="76" t="s">
        <v>47</v>
      </c>
      <c r="D2246" s="74"/>
      <c r="F2246" s="75"/>
    </row>
    <row r="2247" spans="1:6" s="53" customFormat="1" ht="15" thickBot="1" x14ac:dyDescent="0.4">
      <c r="A2247" s="77" t="s">
        <v>48</v>
      </c>
      <c r="B2247" s="78" t="s">
        <v>26</v>
      </c>
      <c r="C2247" s="78" t="s">
        <v>49</v>
      </c>
      <c r="D2247" s="79" t="s">
        <v>29</v>
      </c>
      <c r="F2247" s="75"/>
    </row>
    <row r="2248" spans="1:6" s="53" customFormat="1" ht="14.5" customHeight="1" x14ac:dyDescent="0.35">
      <c r="A2248" s="207" t="s">
        <v>33</v>
      </c>
      <c r="B2248" s="80" t="s">
        <v>703</v>
      </c>
      <c r="C2248" s="81" t="s">
        <v>200</v>
      </c>
      <c r="D2248" s="82">
        <f>F2255</f>
        <v>14280000</v>
      </c>
      <c r="F2248" s="75"/>
    </row>
    <row r="2249" spans="1:6" s="53" customFormat="1" ht="21" thickBot="1" x14ac:dyDescent="0.5">
      <c r="A2249" s="208"/>
      <c r="B2249" s="72"/>
      <c r="C2249" s="72"/>
      <c r="D2249" s="74"/>
      <c r="F2249" s="75"/>
    </row>
    <row r="2250" spans="1:6" s="53" customFormat="1" ht="15" thickBot="1" x14ac:dyDescent="0.4">
      <c r="A2250" s="208"/>
      <c r="B2250" s="83" t="s">
        <v>26</v>
      </c>
      <c r="C2250" s="84" t="s">
        <v>51</v>
      </c>
      <c r="D2250" s="85" t="s">
        <v>52</v>
      </c>
      <c r="F2250" s="75"/>
    </row>
    <row r="2251" spans="1:6" s="89" customFormat="1" x14ac:dyDescent="0.35">
      <c r="A2251" s="208"/>
      <c r="B2251" s="86" t="str">
        <f>B2248</f>
        <v>11th March,2026</v>
      </c>
      <c r="C2251" s="87" t="s">
        <v>951</v>
      </c>
      <c r="D2251" s="88">
        <f>1850*2858</f>
        <v>5287300</v>
      </c>
      <c r="F2251" s="90"/>
    </row>
    <row r="2252" spans="1:6" s="53" customFormat="1" x14ac:dyDescent="0.35">
      <c r="A2252" s="208"/>
      <c r="B2252" s="91"/>
      <c r="C2252" s="92" t="s">
        <v>606</v>
      </c>
      <c r="D2252" s="93">
        <f>325*2500</f>
        <v>812500</v>
      </c>
      <c r="F2252" s="75"/>
    </row>
    <row r="2253" spans="1:6" s="53" customFormat="1" x14ac:dyDescent="0.35">
      <c r="A2253" s="208"/>
      <c r="B2253" s="91" t="s">
        <v>54</v>
      </c>
      <c r="C2253" s="92" t="s">
        <v>55</v>
      </c>
      <c r="D2253" s="93">
        <v>1000000</v>
      </c>
      <c r="F2253" s="75"/>
    </row>
    <row r="2254" spans="1:6" s="53" customFormat="1" x14ac:dyDescent="0.35">
      <c r="A2254" s="208"/>
      <c r="B2254" s="91" t="s">
        <v>56</v>
      </c>
      <c r="C2254" s="92" t="s">
        <v>57</v>
      </c>
      <c r="D2254" s="93">
        <v>40000</v>
      </c>
      <c r="E2254" s="212" t="s">
        <v>58</v>
      </c>
      <c r="F2254" s="210"/>
    </row>
    <row r="2255" spans="1:6" s="53" customFormat="1" x14ac:dyDescent="0.35">
      <c r="A2255" s="208"/>
      <c r="B2255" s="91" t="s">
        <v>59</v>
      </c>
      <c r="C2255" s="92" t="s">
        <v>60</v>
      </c>
      <c r="D2255" s="93">
        <f>1100*140</f>
        <v>154000</v>
      </c>
      <c r="E2255" s="94" t="s">
        <v>61</v>
      </c>
      <c r="F2255" s="95">
        <f>5600*2550</f>
        <v>14280000</v>
      </c>
    </row>
    <row r="2256" spans="1:6" s="53" customFormat="1" x14ac:dyDescent="0.35">
      <c r="A2256" s="208"/>
      <c r="B2256" s="91"/>
      <c r="C2256" s="92" t="s">
        <v>62</v>
      </c>
      <c r="D2256" s="93">
        <f>4200*140</f>
        <v>588000</v>
      </c>
      <c r="E2256" s="96" t="s">
        <v>63</v>
      </c>
      <c r="F2256" s="75"/>
    </row>
    <row r="2257" spans="1:7" s="53" customFormat="1" ht="15" thickBot="1" x14ac:dyDescent="0.4">
      <c r="A2257" s="208"/>
      <c r="B2257" s="91" t="s">
        <v>64</v>
      </c>
      <c r="C2257" s="92" t="s">
        <v>65</v>
      </c>
      <c r="D2257" s="97">
        <v>30000</v>
      </c>
      <c r="E2257" s="98" t="s">
        <v>66</v>
      </c>
      <c r="F2257" s="99">
        <f>F2255-F2256</f>
        <v>14280000</v>
      </c>
      <c r="G2257" s="100">
        <f>F2257/2550</f>
        <v>5600</v>
      </c>
    </row>
    <row r="2258" spans="1:7" s="53" customFormat="1" ht="15" thickTop="1" x14ac:dyDescent="0.35">
      <c r="A2258" s="208"/>
      <c r="B2258" s="91"/>
      <c r="C2258" s="92" t="s">
        <v>67</v>
      </c>
      <c r="D2258" s="93">
        <v>150000</v>
      </c>
      <c r="F2258" s="75"/>
    </row>
    <row r="2259" spans="1:7" s="53" customFormat="1" x14ac:dyDescent="0.35">
      <c r="A2259" s="208"/>
      <c r="B2259" s="91" t="s">
        <v>704</v>
      </c>
      <c r="C2259" s="101" t="s">
        <v>68</v>
      </c>
      <c r="D2259" s="93">
        <v>15000</v>
      </c>
      <c r="E2259" s="94" t="s">
        <v>69</v>
      </c>
      <c r="F2259" s="95"/>
    </row>
    <row r="2260" spans="1:7" s="53" customFormat="1" x14ac:dyDescent="0.35">
      <c r="A2260" s="208"/>
      <c r="B2260" s="102"/>
      <c r="C2260" s="101" t="s">
        <v>70</v>
      </c>
      <c r="D2260" s="103">
        <v>10000</v>
      </c>
      <c r="E2260" s="104"/>
      <c r="F2260" s="105"/>
    </row>
    <row r="2261" spans="1:7" s="53" customFormat="1" x14ac:dyDescent="0.35">
      <c r="A2261" s="208"/>
      <c r="B2261" s="102"/>
      <c r="C2261" s="101" t="s">
        <v>71</v>
      </c>
      <c r="D2261" s="103">
        <v>40000</v>
      </c>
      <c r="E2261" s="104" t="s">
        <v>72</v>
      </c>
      <c r="F2261" s="105"/>
    </row>
    <row r="2262" spans="1:7" s="53" customFormat="1" x14ac:dyDescent="0.35">
      <c r="A2262" s="208"/>
      <c r="B2262" s="102"/>
      <c r="C2262" s="92" t="s">
        <v>73</v>
      </c>
      <c r="D2262" s="106">
        <f>730*140</f>
        <v>102200</v>
      </c>
      <c r="F2262" s="105"/>
    </row>
    <row r="2263" spans="1:7" s="53" customFormat="1" ht="15" thickBot="1" x14ac:dyDescent="0.4">
      <c r="A2263" s="208"/>
      <c r="B2263" s="107"/>
      <c r="C2263" s="108"/>
      <c r="D2263" s="109"/>
      <c r="F2263" s="75"/>
    </row>
    <row r="2264" spans="1:7" s="53" customFormat="1" ht="15" thickBot="1" x14ac:dyDescent="0.4">
      <c r="A2264" s="208"/>
      <c r="B2264" s="110"/>
      <c r="C2264" s="111" t="s">
        <v>74</v>
      </c>
      <c r="D2264" s="112">
        <f>SUM(D2251:D2263)</f>
        <v>8229000</v>
      </c>
      <c r="F2264" s="75"/>
    </row>
    <row r="2265" spans="1:7" s="53" customFormat="1" ht="15.5" thickTop="1" thickBot="1" x14ac:dyDescent="0.4">
      <c r="A2265" s="209"/>
      <c r="B2265" s="211"/>
      <c r="C2265" s="211"/>
      <c r="D2265" s="211"/>
      <c r="F2265" s="75"/>
    </row>
    <row r="2266" spans="1:7" s="53" customFormat="1" x14ac:dyDescent="0.35">
      <c r="B2266" s="89"/>
      <c r="C2266" s="53" t="s">
        <v>75</v>
      </c>
      <c r="D2266" s="113">
        <f>D2248-D2264</f>
        <v>6051000</v>
      </c>
      <c r="F2266" s="75"/>
    </row>
    <row r="2267" spans="1:7" s="53" customFormat="1" x14ac:dyDescent="0.35">
      <c r="B2267" s="89"/>
      <c r="D2267" s="113"/>
      <c r="F2267" s="75"/>
    </row>
    <row r="2268" spans="1:7" s="53" customFormat="1" x14ac:dyDescent="0.35">
      <c r="A2268" s="114"/>
      <c r="B2268" s="115"/>
      <c r="C2268" s="114"/>
      <c r="D2268" s="116"/>
      <c r="E2268" s="114"/>
      <c r="F2268" s="117"/>
    </row>
    <row r="2269" spans="1:7" x14ac:dyDescent="0.35">
      <c r="F2269" s="118"/>
    </row>
    <row r="2270" spans="1:7" s="53" customFormat="1" ht="23.5" x14ac:dyDescent="0.55000000000000004">
      <c r="B2270" s="206" t="s">
        <v>0</v>
      </c>
      <c r="C2270" s="206"/>
      <c r="D2270" s="206"/>
      <c r="E2270" s="70"/>
      <c r="F2270" s="71"/>
    </row>
    <row r="2271" spans="1:7" s="53" customFormat="1" ht="20.5" x14ac:dyDescent="0.45">
      <c r="B2271" s="72"/>
      <c r="C2271" s="73" t="s">
        <v>708</v>
      </c>
      <c r="D2271" s="74"/>
      <c r="F2271" s="75"/>
    </row>
    <row r="2272" spans="1:7" s="53" customFormat="1" ht="21" thickBot="1" x14ac:dyDescent="0.5">
      <c r="B2272" s="72" t="s">
        <v>216</v>
      </c>
      <c r="C2272" s="76" t="s">
        <v>47</v>
      </c>
      <c r="D2272" s="74"/>
      <c r="F2272" s="75"/>
    </row>
    <row r="2273" spans="1:7" s="53" customFormat="1" ht="15" thickBot="1" x14ac:dyDescent="0.4">
      <c r="A2273" s="77" t="s">
        <v>48</v>
      </c>
      <c r="B2273" s="78" t="s">
        <v>26</v>
      </c>
      <c r="C2273" s="78" t="s">
        <v>49</v>
      </c>
      <c r="D2273" s="79" t="s">
        <v>29</v>
      </c>
      <c r="F2273" s="75"/>
    </row>
    <row r="2274" spans="1:7" s="53" customFormat="1" ht="14.5" customHeight="1" x14ac:dyDescent="0.35">
      <c r="A2274" s="207" t="s">
        <v>33</v>
      </c>
      <c r="B2274" s="80" t="s">
        <v>703</v>
      </c>
      <c r="C2274" s="81" t="s">
        <v>200</v>
      </c>
      <c r="D2274" s="82">
        <f>F2281</f>
        <v>14280000</v>
      </c>
      <c r="F2274" s="75"/>
    </row>
    <row r="2275" spans="1:7" s="53" customFormat="1" ht="21" thickBot="1" x14ac:dyDescent="0.5">
      <c r="A2275" s="208"/>
      <c r="B2275" s="72"/>
      <c r="C2275" s="72"/>
      <c r="D2275" s="74"/>
      <c r="F2275" s="75"/>
    </row>
    <row r="2276" spans="1:7" s="53" customFormat="1" ht="15" thickBot="1" x14ac:dyDescent="0.4">
      <c r="A2276" s="208"/>
      <c r="B2276" s="83" t="s">
        <v>26</v>
      </c>
      <c r="C2276" s="84" t="s">
        <v>51</v>
      </c>
      <c r="D2276" s="85" t="s">
        <v>52</v>
      </c>
      <c r="F2276" s="75"/>
    </row>
    <row r="2277" spans="1:7" s="89" customFormat="1" x14ac:dyDescent="0.35">
      <c r="A2277" s="208"/>
      <c r="B2277" s="86" t="str">
        <f>B2274</f>
        <v>11th March,2026</v>
      </c>
      <c r="C2277" s="87" t="s">
        <v>951</v>
      </c>
      <c r="D2277" s="88">
        <f>1850*2858</f>
        <v>5287300</v>
      </c>
      <c r="F2277" s="90"/>
    </row>
    <row r="2278" spans="1:7" s="53" customFormat="1" x14ac:dyDescent="0.35">
      <c r="A2278" s="208"/>
      <c r="B2278" s="91"/>
      <c r="C2278" s="92" t="s">
        <v>606</v>
      </c>
      <c r="D2278" s="93">
        <f>325*2500</f>
        <v>812500</v>
      </c>
      <c r="F2278" s="75"/>
    </row>
    <row r="2279" spans="1:7" s="53" customFormat="1" x14ac:dyDescent="0.35">
      <c r="A2279" s="208"/>
      <c r="B2279" s="91" t="s">
        <v>54</v>
      </c>
      <c r="C2279" s="92" t="s">
        <v>55</v>
      </c>
      <c r="D2279" s="93">
        <v>1000000</v>
      </c>
      <c r="F2279" s="75"/>
    </row>
    <row r="2280" spans="1:7" s="53" customFormat="1" x14ac:dyDescent="0.35">
      <c r="A2280" s="208"/>
      <c r="B2280" s="91" t="s">
        <v>56</v>
      </c>
      <c r="C2280" s="92" t="s">
        <v>57</v>
      </c>
      <c r="D2280" s="93">
        <v>40000</v>
      </c>
      <c r="E2280" s="210" t="s">
        <v>58</v>
      </c>
      <c r="F2280" s="210"/>
    </row>
    <row r="2281" spans="1:7" s="53" customFormat="1" x14ac:dyDescent="0.35">
      <c r="A2281" s="208"/>
      <c r="B2281" s="91" t="s">
        <v>59</v>
      </c>
      <c r="C2281" s="92" t="s">
        <v>60</v>
      </c>
      <c r="D2281" s="93">
        <f>1050*140</f>
        <v>147000</v>
      </c>
      <c r="E2281" s="94" t="s">
        <v>61</v>
      </c>
      <c r="F2281" s="95">
        <f>5600*2550</f>
        <v>14280000</v>
      </c>
    </row>
    <row r="2282" spans="1:7" s="53" customFormat="1" x14ac:dyDescent="0.35">
      <c r="A2282" s="208"/>
      <c r="B2282" s="91"/>
      <c r="C2282" s="92" t="s">
        <v>62</v>
      </c>
      <c r="D2282" s="93">
        <f>4800*140</f>
        <v>672000</v>
      </c>
      <c r="E2282" s="96" t="s">
        <v>63</v>
      </c>
      <c r="F2282" s="75">
        <f>(2800*2550)</f>
        <v>7140000</v>
      </c>
    </row>
    <row r="2283" spans="1:7" s="53" customFormat="1" ht="15" thickBot="1" x14ac:dyDescent="0.4">
      <c r="A2283" s="208"/>
      <c r="B2283" s="91" t="s">
        <v>64</v>
      </c>
      <c r="C2283" s="92" t="s">
        <v>65</v>
      </c>
      <c r="D2283" s="97">
        <v>30000</v>
      </c>
      <c r="E2283" s="98" t="s">
        <v>66</v>
      </c>
      <c r="F2283" s="99">
        <f>F2281-F2282</f>
        <v>7140000</v>
      </c>
      <c r="G2283" s="100">
        <f>F2283/2550</f>
        <v>2800</v>
      </c>
    </row>
    <row r="2284" spans="1:7" s="53" customFormat="1" ht="15" thickTop="1" x14ac:dyDescent="0.35">
      <c r="A2284" s="208"/>
      <c r="B2284" s="91"/>
      <c r="C2284" s="92" t="s">
        <v>67</v>
      </c>
      <c r="D2284" s="93">
        <v>150000</v>
      </c>
      <c r="F2284" s="75"/>
    </row>
    <row r="2285" spans="1:7" s="53" customFormat="1" x14ac:dyDescent="0.35">
      <c r="A2285" s="208"/>
      <c r="B2285" s="91" t="s">
        <v>707</v>
      </c>
      <c r="C2285" s="101" t="s">
        <v>68</v>
      </c>
      <c r="D2285" s="93">
        <v>15000</v>
      </c>
      <c r="E2285" s="94" t="s">
        <v>69</v>
      </c>
      <c r="F2285" s="95"/>
    </row>
    <row r="2286" spans="1:7" s="53" customFormat="1" x14ac:dyDescent="0.35">
      <c r="A2286" s="208"/>
      <c r="B2286" s="102"/>
      <c r="C2286" s="101" t="s">
        <v>70</v>
      </c>
      <c r="D2286" s="103">
        <v>10000</v>
      </c>
      <c r="E2286" s="104"/>
      <c r="F2286" s="105"/>
    </row>
    <row r="2287" spans="1:7" s="53" customFormat="1" x14ac:dyDescent="0.35">
      <c r="A2287" s="208"/>
      <c r="B2287" s="102"/>
      <c r="C2287" s="101" t="s">
        <v>71</v>
      </c>
      <c r="D2287" s="103">
        <v>30000</v>
      </c>
      <c r="E2287" s="104" t="s">
        <v>72</v>
      </c>
      <c r="F2287" s="105"/>
    </row>
    <row r="2288" spans="1:7" s="53" customFormat="1" x14ac:dyDescent="0.35">
      <c r="A2288" s="208"/>
      <c r="B2288" s="102"/>
      <c r="C2288" s="92" t="s">
        <v>823</v>
      </c>
      <c r="D2288" s="103">
        <f>727*140</f>
        <v>101780</v>
      </c>
      <c r="E2288" s="53" t="s">
        <v>717</v>
      </c>
      <c r="F2288" s="105"/>
    </row>
    <row r="2289" spans="1:6" s="53" customFormat="1" ht="15" thickBot="1" x14ac:dyDescent="0.4">
      <c r="A2289" s="208"/>
      <c r="B2289" s="107"/>
      <c r="C2289" s="108"/>
      <c r="D2289" s="109"/>
      <c r="F2289" s="75"/>
    </row>
    <row r="2290" spans="1:6" s="53" customFormat="1" ht="15" thickBot="1" x14ac:dyDescent="0.4">
      <c r="A2290" s="208"/>
      <c r="B2290" s="110"/>
      <c r="C2290" s="111" t="s">
        <v>74</v>
      </c>
      <c r="D2290" s="112">
        <f>SUM(D2277:D2289)</f>
        <v>8295580</v>
      </c>
      <c r="F2290" s="75"/>
    </row>
    <row r="2291" spans="1:6" s="53" customFormat="1" ht="15.5" thickTop="1" thickBot="1" x14ac:dyDescent="0.4">
      <c r="A2291" s="209"/>
      <c r="B2291" s="211"/>
      <c r="C2291" s="211"/>
      <c r="D2291" s="211"/>
      <c r="F2291" s="75"/>
    </row>
    <row r="2292" spans="1:6" s="53" customFormat="1" x14ac:dyDescent="0.35">
      <c r="B2292" s="89"/>
      <c r="C2292" s="53" t="s">
        <v>75</v>
      </c>
      <c r="D2292" s="113">
        <f>D2274-D2290</f>
        <v>5984420</v>
      </c>
      <c r="F2292" s="75"/>
    </row>
    <row r="2293" spans="1:6" s="53" customFormat="1" x14ac:dyDescent="0.35">
      <c r="B2293" s="89"/>
      <c r="D2293" s="113"/>
      <c r="F2293" s="75"/>
    </row>
    <row r="2294" spans="1:6" s="53" customFormat="1" x14ac:dyDescent="0.35">
      <c r="A2294" s="114"/>
      <c r="B2294" s="115"/>
      <c r="C2294" s="114"/>
      <c r="D2294" s="116"/>
      <c r="E2294" s="114"/>
      <c r="F2294" s="117"/>
    </row>
    <row r="2295" spans="1:6" x14ac:dyDescent="0.35">
      <c r="F2295" s="118"/>
    </row>
    <row r="2296" spans="1:6" s="53" customFormat="1" ht="23.5" x14ac:dyDescent="0.55000000000000004">
      <c r="B2296" s="206" t="s">
        <v>0</v>
      </c>
      <c r="C2296" s="206"/>
      <c r="D2296" s="206"/>
      <c r="E2296" s="70"/>
      <c r="F2296" s="71"/>
    </row>
    <row r="2297" spans="1:6" s="53" customFormat="1" ht="20.5" x14ac:dyDescent="0.45">
      <c r="B2297" s="72"/>
      <c r="C2297" s="73" t="s">
        <v>713</v>
      </c>
      <c r="D2297" s="74"/>
      <c r="F2297" s="75"/>
    </row>
    <row r="2298" spans="1:6" s="53" customFormat="1" ht="21" thickBot="1" x14ac:dyDescent="0.5">
      <c r="B2298" s="72" t="s">
        <v>115</v>
      </c>
      <c r="C2298" s="76" t="s">
        <v>47</v>
      </c>
      <c r="D2298" s="74"/>
      <c r="F2298" s="75"/>
    </row>
    <row r="2299" spans="1:6" s="53" customFormat="1" ht="15" thickBot="1" x14ac:dyDescent="0.4">
      <c r="A2299" s="77" t="s">
        <v>48</v>
      </c>
      <c r="B2299" s="78" t="s">
        <v>26</v>
      </c>
      <c r="C2299" s="78" t="s">
        <v>49</v>
      </c>
      <c r="D2299" s="79" t="s">
        <v>29</v>
      </c>
      <c r="F2299" s="75"/>
    </row>
    <row r="2300" spans="1:6" s="53" customFormat="1" ht="14.5" customHeight="1" x14ac:dyDescent="0.35">
      <c r="A2300" s="207" t="s">
        <v>33</v>
      </c>
      <c r="B2300" s="80" t="s">
        <v>714</v>
      </c>
      <c r="C2300" s="81" t="s">
        <v>200</v>
      </c>
      <c r="D2300" s="82">
        <f>F2307</f>
        <v>14280000</v>
      </c>
      <c r="F2300" s="75"/>
    </row>
    <row r="2301" spans="1:6" s="53" customFormat="1" ht="21" thickBot="1" x14ac:dyDescent="0.5">
      <c r="A2301" s="208"/>
      <c r="B2301" s="72"/>
      <c r="C2301" s="72"/>
      <c r="D2301" s="74"/>
      <c r="F2301" s="75"/>
    </row>
    <row r="2302" spans="1:6" s="53" customFormat="1" ht="15" thickBot="1" x14ac:dyDescent="0.4">
      <c r="A2302" s="208"/>
      <c r="B2302" s="83" t="s">
        <v>26</v>
      </c>
      <c r="C2302" s="84" t="s">
        <v>51</v>
      </c>
      <c r="D2302" s="85" t="s">
        <v>52</v>
      </c>
      <c r="F2302" s="75"/>
    </row>
    <row r="2303" spans="1:6" s="89" customFormat="1" x14ac:dyDescent="0.35">
      <c r="A2303" s="208"/>
      <c r="B2303" s="86" t="str">
        <f>B2300</f>
        <v>13th March,2026</v>
      </c>
      <c r="C2303" s="87" t="s">
        <v>951</v>
      </c>
      <c r="D2303" s="88">
        <f>1850*2858</f>
        <v>5287300</v>
      </c>
      <c r="F2303" s="90"/>
    </row>
    <row r="2304" spans="1:6" s="53" customFormat="1" x14ac:dyDescent="0.35">
      <c r="A2304" s="208"/>
      <c r="B2304" s="91"/>
      <c r="C2304" s="92" t="s">
        <v>606</v>
      </c>
      <c r="D2304" s="93">
        <f>325*2500</f>
        <v>812500</v>
      </c>
      <c r="F2304" s="75"/>
    </row>
    <row r="2305" spans="1:7" s="53" customFormat="1" x14ac:dyDescent="0.35">
      <c r="A2305" s="208"/>
      <c r="B2305" s="91" t="s">
        <v>54</v>
      </c>
      <c r="C2305" s="92" t="s">
        <v>55</v>
      </c>
      <c r="D2305" s="93">
        <v>1000000</v>
      </c>
      <c r="F2305" s="75"/>
    </row>
    <row r="2306" spans="1:7" s="53" customFormat="1" x14ac:dyDescent="0.35">
      <c r="A2306" s="208"/>
      <c r="B2306" s="91" t="s">
        <v>56</v>
      </c>
      <c r="C2306" s="92" t="s">
        <v>57</v>
      </c>
      <c r="D2306" s="93">
        <v>40000</v>
      </c>
      <c r="E2306" s="210" t="s">
        <v>58</v>
      </c>
      <c r="F2306" s="210"/>
    </row>
    <row r="2307" spans="1:7" s="53" customFormat="1" x14ac:dyDescent="0.35">
      <c r="A2307" s="208"/>
      <c r="B2307" s="91" t="s">
        <v>59</v>
      </c>
      <c r="C2307" s="92" t="s">
        <v>60</v>
      </c>
      <c r="D2307" s="93">
        <f>1200*140</f>
        <v>168000</v>
      </c>
      <c r="E2307" s="94" t="s">
        <v>61</v>
      </c>
      <c r="F2307" s="95">
        <f>5600*2550</f>
        <v>14280000</v>
      </c>
    </row>
    <row r="2308" spans="1:7" s="53" customFormat="1" x14ac:dyDescent="0.35">
      <c r="A2308" s="208"/>
      <c r="B2308" s="91"/>
      <c r="C2308" s="92" t="s">
        <v>62</v>
      </c>
      <c r="D2308" s="93">
        <f>4200*140</f>
        <v>588000</v>
      </c>
      <c r="E2308" s="96" t="s">
        <v>63</v>
      </c>
      <c r="F2308" s="75">
        <f>(2800*2550)</f>
        <v>7140000</v>
      </c>
    </row>
    <row r="2309" spans="1:7" s="53" customFormat="1" ht="15" thickBot="1" x14ac:dyDescent="0.4">
      <c r="A2309" s="208"/>
      <c r="B2309" s="91" t="s">
        <v>64</v>
      </c>
      <c r="C2309" s="92" t="s">
        <v>65</v>
      </c>
      <c r="D2309" s="97">
        <v>30000</v>
      </c>
      <c r="E2309" s="98" t="s">
        <v>66</v>
      </c>
      <c r="F2309" s="99">
        <f>F2307-F2308</f>
        <v>7140000</v>
      </c>
      <c r="G2309" s="100">
        <f>F2309/2550</f>
        <v>2800</v>
      </c>
    </row>
    <row r="2310" spans="1:7" s="53" customFormat="1" ht="15" thickTop="1" x14ac:dyDescent="0.35">
      <c r="A2310" s="208"/>
      <c r="B2310" s="91"/>
      <c r="C2310" s="92" t="s">
        <v>67</v>
      </c>
      <c r="D2310" s="93">
        <v>150000</v>
      </c>
      <c r="F2310" s="75"/>
    </row>
    <row r="2311" spans="1:7" s="53" customFormat="1" x14ac:dyDescent="0.35">
      <c r="A2311" s="208"/>
      <c r="B2311" s="91" t="s">
        <v>712</v>
      </c>
      <c r="C2311" s="101" t="s">
        <v>68</v>
      </c>
      <c r="D2311" s="93">
        <v>15000</v>
      </c>
      <c r="E2311" s="94" t="s">
        <v>69</v>
      </c>
      <c r="F2311" s="95"/>
    </row>
    <row r="2312" spans="1:7" s="53" customFormat="1" x14ac:dyDescent="0.35">
      <c r="A2312" s="208"/>
      <c r="B2312" s="102"/>
      <c r="C2312" s="101" t="s">
        <v>70</v>
      </c>
      <c r="D2312" s="103">
        <v>10000</v>
      </c>
      <c r="E2312" s="104"/>
      <c r="F2312" s="105"/>
    </row>
    <row r="2313" spans="1:7" s="53" customFormat="1" x14ac:dyDescent="0.35">
      <c r="A2313" s="208"/>
      <c r="B2313" s="102"/>
      <c r="C2313" s="101" t="s">
        <v>71</v>
      </c>
      <c r="D2313" s="103">
        <v>30000</v>
      </c>
      <c r="E2313" s="104" t="s">
        <v>72</v>
      </c>
      <c r="F2313" s="105"/>
    </row>
    <row r="2314" spans="1:7" s="53" customFormat="1" x14ac:dyDescent="0.35">
      <c r="A2314" s="208"/>
      <c r="B2314" s="102"/>
      <c r="C2314" s="92" t="s">
        <v>73</v>
      </c>
      <c r="D2314" s="106">
        <f>713*140</f>
        <v>99820</v>
      </c>
      <c r="E2314" s="53" t="s">
        <v>717</v>
      </c>
      <c r="F2314" s="105"/>
    </row>
    <row r="2315" spans="1:7" s="53" customFormat="1" ht="15" thickBot="1" x14ac:dyDescent="0.4">
      <c r="A2315" s="208"/>
      <c r="B2315" s="107"/>
      <c r="C2315" s="108"/>
      <c r="D2315" s="109"/>
      <c r="F2315" s="75"/>
    </row>
    <row r="2316" spans="1:7" s="53" customFormat="1" ht="15" thickBot="1" x14ac:dyDescent="0.4">
      <c r="A2316" s="208"/>
      <c r="B2316" s="110"/>
      <c r="C2316" s="111" t="s">
        <v>74</v>
      </c>
      <c r="D2316" s="112">
        <f>SUM(D2303:D2315)</f>
        <v>8230620</v>
      </c>
      <c r="F2316" s="75"/>
    </row>
    <row r="2317" spans="1:7" s="53" customFormat="1" ht="15.5" thickTop="1" thickBot="1" x14ac:dyDescent="0.4">
      <c r="A2317" s="209"/>
      <c r="B2317" s="211"/>
      <c r="C2317" s="211"/>
      <c r="D2317" s="211"/>
      <c r="F2317" s="75"/>
    </row>
    <row r="2318" spans="1:7" s="53" customFormat="1" x14ac:dyDescent="0.35">
      <c r="B2318" s="89"/>
      <c r="C2318" s="53" t="s">
        <v>75</v>
      </c>
      <c r="D2318" s="113">
        <f>D2300-D2316</f>
        <v>6049380</v>
      </c>
      <c r="F2318" s="75"/>
    </row>
    <row r="2319" spans="1:7" s="53" customFormat="1" x14ac:dyDescent="0.35">
      <c r="B2319" s="89"/>
      <c r="D2319" s="113"/>
      <c r="F2319" s="75"/>
    </row>
    <row r="2320" spans="1:7" s="53" customFormat="1" x14ac:dyDescent="0.35">
      <c r="A2320" s="114"/>
      <c r="B2320" s="115"/>
      <c r="C2320" s="114"/>
      <c r="D2320" s="116"/>
      <c r="E2320" s="114"/>
      <c r="F2320" s="117"/>
    </row>
    <row r="2321" spans="1:7" x14ac:dyDescent="0.35">
      <c r="F2321" s="118"/>
    </row>
    <row r="2322" spans="1:7" s="53" customFormat="1" ht="23.5" x14ac:dyDescent="0.55000000000000004">
      <c r="B2322" s="206" t="s">
        <v>0</v>
      </c>
      <c r="C2322" s="206"/>
      <c r="D2322" s="206"/>
      <c r="E2322" s="70"/>
      <c r="F2322" s="71"/>
    </row>
    <row r="2323" spans="1:7" s="53" customFormat="1" ht="20.5" x14ac:dyDescent="0.45">
      <c r="B2323" s="72"/>
      <c r="C2323" s="73" t="s">
        <v>721</v>
      </c>
      <c r="D2323" s="74"/>
      <c r="F2323" s="75"/>
    </row>
    <row r="2324" spans="1:7" s="53" customFormat="1" ht="21" thickBot="1" x14ac:dyDescent="0.5">
      <c r="B2324" s="72" t="s">
        <v>386</v>
      </c>
      <c r="C2324" s="76" t="s">
        <v>47</v>
      </c>
      <c r="D2324" s="74"/>
      <c r="F2324" s="75"/>
    </row>
    <row r="2325" spans="1:7" s="53" customFormat="1" ht="15" thickBot="1" x14ac:dyDescent="0.4">
      <c r="A2325" s="77" t="s">
        <v>48</v>
      </c>
      <c r="B2325" s="78" t="s">
        <v>26</v>
      </c>
      <c r="C2325" s="78" t="s">
        <v>49</v>
      </c>
      <c r="D2325" s="79" t="s">
        <v>29</v>
      </c>
      <c r="F2325" s="75"/>
    </row>
    <row r="2326" spans="1:7" s="53" customFormat="1" ht="14.5" customHeight="1" x14ac:dyDescent="0.35">
      <c r="A2326" s="207" t="s">
        <v>33</v>
      </c>
      <c r="B2326" s="80" t="s">
        <v>722</v>
      </c>
      <c r="C2326" s="81" t="s">
        <v>200</v>
      </c>
      <c r="D2326" s="82">
        <f>F2333</f>
        <v>14280000</v>
      </c>
      <c r="F2326" s="75"/>
    </row>
    <row r="2327" spans="1:7" s="53" customFormat="1" ht="21" thickBot="1" x14ac:dyDescent="0.5">
      <c r="A2327" s="208"/>
      <c r="B2327" s="72"/>
      <c r="C2327" s="72"/>
      <c r="D2327" s="74"/>
      <c r="F2327" s="75"/>
    </row>
    <row r="2328" spans="1:7" s="53" customFormat="1" ht="15" thickBot="1" x14ac:dyDescent="0.4">
      <c r="A2328" s="208"/>
      <c r="B2328" s="83" t="s">
        <v>26</v>
      </c>
      <c r="C2328" s="84" t="s">
        <v>51</v>
      </c>
      <c r="D2328" s="85" t="s">
        <v>52</v>
      </c>
      <c r="F2328" s="75"/>
    </row>
    <row r="2329" spans="1:7" s="89" customFormat="1" x14ac:dyDescent="0.35">
      <c r="A2329" s="208"/>
      <c r="B2329" s="86" t="str">
        <f>B2326</f>
        <v>16th March,2026</v>
      </c>
      <c r="C2329" s="87" t="s">
        <v>951</v>
      </c>
      <c r="D2329" s="88">
        <f>1850*2858</f>
        <v>5287300</v>
      </c>
      <c r="F2329" s="90"/>
    </row>
    <row r="2330" spans="1:7" s="53" customFormat="1" x14ac:dyDescent="0.35">
      <c r="A2330" s="208"/>
      <c r="B2330" s="91"/>
      <c r="C2330" s="92" t="s">
        <v>606</v>
      </c>
      <c r="D2330" s="93">
        <f>325*2500</f>
        <v>812500</v>
      </c>
      <c r="F2330" s="75"/>
    </row>
    <row r="2331" spans="1:7" s="53" customFormat="1" x14ac:dyDescent="0.35">
      <c r="A2331" s="208"/>
      <c r="B2331" s="91" t="s">
        <v>54</v>
      </c>
      <c r="C2331" s="92" t="s">
        <v>55</v>
      </c>
      <c r="D2331" s="93">
        <v>1000000</v>
      </c>
      <c r="F2331" s="75"/>
    </row>
    <row r="2332" spans="1:7" s="53" customFormat="1" x14ac:dyDescent="0.35">
      <c r="A2332" s="208"/>
      <c r="B2332" s="91" t="s">
        <v>56</v>
      </c>
      <c r="C2332" s="92" t="s">
        <v>57</v>
      </c>
      <c r="D2332" s="93">
        <v>40000</v>
      </c>
      <c r="E2332" s="210" t="s">
        <v>58</v>
      </c>
      <c r="F2332" s="210"/>
    </row>
    <row r="2333" spans="1:7" s="53" customFormat="1" x14ac:dyDescent="0.35">
      <c r="A2333" s="208"/>
      <c r="B2333" s="91" t="s">
        <v>59</v>
      </c>
      <c r="C2333" s="92" t="s">
        <v>60</v>
      </c>
      <c r="D2333" s="93">
        <f>1450*140</f>
        <v>203000</v>
      </c>
      <c r="E2333" s="94" t="s">
        <v>61</v>
      </c>
      <c r="F2333" s="95">
        <f>5600*2550</f>
        <v>14280000</v>
      </c>
    </row>
    <row r="2334" spans="1:7" s="53" customFormat="1" x14ac:dyDescent="0.35">
      <c r="A2334" s="208"/>
      <c r="B2334" s="91"/>
      <c r="C2334" s="92" t="s">
        <v>62</v>
      </c>
      <c r="D2334" s="93">
        <f>4200*140</f>
        <v>588000</v>
      </c>
      <c r="E2334" s="96" t="s">
        <v>63</v>
      </c>
      <c r="F2334" s="75">
        <f>(2800*2550)</f>
        <v>7140000</v>
      </c>
    </row>
    <row r="2335" spans="1:7" s="53" customFormat="1" ht="15" thickBot="1" x14ac:dyDescent="0.4">
      <c r="A2335" s="208"/>
      <c r="B2335" s="91" t="s">
        <v>64</v>
      </c>
      <c r="C2335" s="92" t="s">
        <v>65</v>
      </c>
      <c r="D2335" s="97">
        <v>30000</v>
      </c>
      <c r="E2335" s="98" t="s">
        <v>66</v>
      </c>
      <c r="F2335" s="99">
        <f>F2333-F2334</f>
        <v>7140000</v>
      </c>
      <c r="G2335" s="100">
        <f>F2335/2550</f>
        <v>2800</v>
      </c>
    </row>
    <row r="2336" spans="1:7" s="53" customFormat="1" ht="15" thickTop="1" x14ac:dyDescent="0.35">
      <c r="A2336" s="208"/>
      <c r="B2336" s="91"/>
      <c r="C2336" s="92" t="s">
        <v>67</v>
      </c>
      <c r="D2336" s="93">
        <v>150000</v>
      </c>
      <c r="F2336" s="75"/>
    </row>
    <row r="2337" spans="1:6" s="53" customFormat="1" x14ac:dyDescent="0.35">
      <c r="A2337" s="208"/>
      <c r="B2337" s="91" t="s">
        <v>716</v>
      </c>
      <c r="C2337" s="101" t="s">
        <v>68</v>
      </c>
      <c r="D2337" s="93">
        <v>15000</v>
      </c>
      <c r="E2337" s="94" t="s">
        <v>69</v>
      </c>
      <c r="F2337" s="95"/>
    </row>
    <row r="2338" spans="1:6" s="53" customFormat="1" x14ac:dyDescent="0.35">
      <c r="A2338" s="208"/>
      <c r="B2338" s="102"/>
      <c r="C2338" s="101" t="s">
        <v>70</v>
      </c>
      <c r="D2338" s="103">
        <v>10000</v>
      </c>
      <c r="E2338" s="104"/>
      <c r="F2338" s="105"/>
    </row>
    <row r="2339" spans="1:6" s="53" customFormat="1" x14ac:dyDescent="0.35">
      <c r="A2339" s="208"/>
      <c r="B2339" s="102"/>
      <c r="C2339" s="101" t="s">
        <v>71</v>
      </c>
      <c r="D2339" s="103">
        <v>20000</v>
      </c>
      <c r="E2339" s="104" t="s">
        <v>72</v>
      </c>
      <c r="F2339" s="105"/>
    </row>
    <row r="2340" spans="1:6" s="53" customFormat="1" x14ac:dyDescent="0.35">
      <c r="A2340" s="208"/>
      <c r="B2340" s="102"/>
      <c r="C2340" s="92" t="s">
        <v>73</v>
      </c>
      <c r="D2340" s="106">
        <f>727*160</f>
        <v>116320</v>
      </c>
      <c r="E2340" s="53" t="s">
        <v>741</v>
      </c>
      <c r="F2340" s="105"/>
    </row>
    <row r="2341" spans="1:6" s="53" customFormat="1" ht="15" thickBot="1" x14ac:dyDescent="0.4">
      <c r="A2341" s="208"/>
      <c r="B2341" s="107"/>
      <c r="C2341" s="108"/>
      <c r="D2341" s="109"/>
      <c r="F2341" s="75"/>
    </row>
    <row r="2342" spans="1:6" s="53" customFormat="1" ht="15" thickBot="1" x14ac:dyDescent="0.4">
      <c r="A2342" s="208"/>
      <c r="B2342" s="110"/>
      <c r="C2342" s="111" t="s">
        <v>74</v>
      </c>
      <c r="D2342" s="112">
        <f>SUM(D2329:D2341)</f>
        <v>8272120</v>
      </c>
      <c r="F2342" s="75"/>
    </row>
    <row r="2343" spans="1:6" s="53" customFormat="1" ht="15.5" thickTop="1" thickBot="1" x14ac:dyDescent="0.4">
      <c r="A2343" s="209"/>
      <c r="B2343" s="211"/>
      <c r="C2343" s="211"/>
      <c r="D2343" s="211"/>
      <c r="F2343" s="75"/>
    </row>
    <row r="2344" spans="1:6" s="53" customFormat="1" x14ac:dyDescent="0.35">
      <c r="B2344" s="89"/>
      <c r="C2344" s="53" t="s">
        <v>75</v>
      </c>
      <c r="D2344" s="113">
        <f>D2326-D2342</f>
        <v>6007880</v>
      </c>
      <c r="F2344" s="75"/>
    </row>
    <row r="2345" spans="1:6" s="53" customFormat="1" x14ac:dyDescent="0.35">
      <c r="B2345" s="89"/>
      <c r="D2345" s="113"/>
      <c r="F2345" s="75"/>
    </row>
    <row r="2346" spans="1:6" s="53" customFormat="1" x14ac:dyDescent="0.35">
      <c r="A2346" s="114"/>
      <c r="B2346" s="115"/>
      <c r="C2346" s="114"/>
      <c r="D2346" s="116"/>
      <c r="E2346" s="114"/>
      <c r="F2346" s="117"/>
    </row>
    <row r="2347" spans="1:6" x14ac:dyDescent="0.35">
      <c r="F2347" s="118"/>
    </row>
    <row r="2348" spans="1:6" s="53" customFormat="1" ht="23.5" x14ac:dyDescent="0.55000000000000004">
      <c r="B2348" s="206" t="s">
        <v>0</v>
      </c>
      <c r="C2348" s="206"/>
      <c r="D2348" s="206"/>
      <c r="E2348" s="70"/>
      <c r="F2348" s="71"/>
    </row>
    <row r="2349" spans="1:6" s="53" customFormat="1" ht="20.5" x14ac:dyDescent="0.45">
      <c r="B2349" s="72"/>
      <c r="C2349" s="73" t="s">
        <v>723</v>
      </c>
      <c r="D2349" s="74"/>
      <c r="F2349" s="75"/>
    </row>
    <row r="2350" spans="1:6" s="53" customFormat="1" ht="21" thickBot="1" x14ac:dyDescent="0.5">
      <c r="B2350" s="72" t="s">
        <v>724</v>
      </c>
      <c r="C2350" s="76" t="s">
        <v>47</v>
      </c>
      <c r="D2350" s="74"/>
      <c r="F2350" s="75"/>
    </row>
    <row r="2351" spans="1:6" s="53" customFormat="1" ht="15" thickBot="1" x14ac:dyDescent="0.4">
      <c r="A2351" s="77" t="s">
        <v>48</v>
      </c>
      <c r="B2351" s="78" t="s">
        <v>26</v>
      </c>
      <c r="C2351" s="78" t="s">
        <v>49</v>
      </c>
      <c r="D2351" s="79" t="s">
        <v>29</v>
      </c>
      <c r="F2351" s="75"/>
    </row>
    <row r="2352" spans="1:6" s="53" customFormat="1" ht="14.5" customHeight="1" x14ac:dyDescent="0.35">
      <c r="A2352" s="207" t="s">
        <v>33</v>
      </c>
      <c r="B2352" s="80" t="s">
        <v>722</v>
      </c>
      <c r="C2352" s="81" t="s">
        <v>200</v>
      </c>
      <c r="D2352" s="82">
        <f>F2359</f>
        <v>14280000</v>
      </c>
      <c r="F2352" s="75"/>
    </row>
    <row r="2353" spans="1:7" s="53" customFormat="1" ht="21" thickBot="1" x14ac:dyDescent="0.5">
      <c r="A2353" s="208"/>
      <c r="B2353" s="72"/>
      <c r="C2353" s="72"/>
      <c r="D2353" s="74"/>
      <c r="F2353" s="75"/>
    </row>
    <row r="2354" spans="1:7" s="53" customFormat="1" ht="15" thickBot="1" x14ac:dyDescent="0.4">
      <c r="A2354" s="208"/>
      <c r="B2354" s="83" t="s">
        <v>26</v>
      </c>
      <c r="C2354" s="84" t="s">
        <v>51</v>
      </c>
      <c r="D2354" s="85" t="s">
        <v>52</v>
      </c>
      <c r="F2354" s="75"/>
    </row>
    <row r="2355" spans="1:7" s="89" customFormat="1" x14ac:dyDescent="0.35">
      <c r="A2355" s="208"/>
      <c r="B2355" s="86" t="str">
        <f>B2352</f>
        <v>16th March,2026</v>
      </c>
      <c r="C2355" s="87" t="s">
        <v>951</v>
      </c>
      <c r="D2355" s="88">
        <f>1850*2858</f>
        <v>5287300</v>
      </c>
      <c r="F2355" s="90"/>
    </row>
    <row r="2356" spans="1:7" s="53" customFormat="1" x14ac:dyDescent="0.35">
      <c r="A2356" s="208"/>
      <c r="B2356" s="91"/>
      <c r="C2356" s="92" t="s">
        <v>606</v>
      </c>
      <c r="D2356" s="93">
        <f>325*2500</f>
        <v>812500</v>
      </c>
      <c r="F2356" s="75"/>
    </row>
    <row r="2357" spans="1:7" s="53" customFormat="1" x14ac:dyDescent="0.35">
      <c r="A2357" s="208"/>
      <c r="B2357" s="91" t="s">
        <v>54</v>
      </c>
      <c r="C2357" s="92" t="s">
        <v>55</v>
      </c>
      <c r="D2357" s="93">
        <v>1000000</v>
      </c>
      <c r="F2357" s="75"/>
    </row>
    <row r="2358" spans="1:7" s="53" customFormat="1" x14ac:dyDescent="0.35">
      <c r="A2358" s="208"/>
      <c r="B2358" s="91" t="s">
        <v>56</v>
      </c>
      <c r="C2358" s="92" t="s">
        <v>57</v>
      </c>
      <c r="D2358" s="93">
        <v>40000</v>
      </c>
      <c r="E2358" s="210" t="s">
        <v>58</v>
      </c>
      <c r="F2358" s="210"/>
    </row>
    <row r="2359" spans="1:7" s="53" customFormat="1" x14ac:dyDescent="0.35">
      <c r="A2359" s="208"/>
      <c r="B2359" s="91" t="s">
        <v>59</v>
      </c>
      <c r="C2359" s="92" t="s">
        <v>60</v>
      </c>
      <c r="D2359" s="93">
        <f>1500*140</f>
        <v>210000</v>
      </c>
      <c r="E2359" s="94" t="s">
        <v>61</v>
      </c>
      <c r="F2359" s="95">
        <f>5600*2550</f>
        <v>14280000</v>
      </c>
    </row>
    <row r="2360" spans="1:7" s="53" customFormat="1" x14ac:dyDescent="0.35">
      <c r="A2360" s="208"/>
      <c r="B2360" s="91"/>
      <c r="C2360" s="92" t="s">
        <v>62</v>
      </c>
      <c r="D2360" s="93">
        <f>4800*140</f>
        <v>672000</v>
      </c>
      <c r="E2360" s="96" t="s">
        <v>63</v>
      </c>
      <c r="F2360" s="75">
        <f>(2800*2550)</f>
        <v>7140000</v>
      </c>
    </row>
    <row r="2361" spans="1:7" s="53" customFormat="1" ht="15" thickBot="1" x14ac:dyDescent="0.4">
      <c r="A2361" s="208"/>
      <c r="B2361" s="91" t="s">
        <v>64</v>
      </c>
      <c r="C2361" s="92" t="s">
        <v>65</v>
      </c>
      <c r="D2361" s="97">
        <v>30000</v>
      </c>
      <c r="E2361" s="98" t="s">
        <v>66</v>
      </c>
      <c r="F2361" s="99">
        <f>F2359-F2360</f>
        <v>7140000</v>
      </c>
      <c r="G2361" s="100">
        <f>F2361/2550</f>
        <v>2800</v>
      </c>
    </row>
    <row r="2362" spans="1:7" s="53" customFormat="1" ht="15" thickTop="1" x14ac:dyDescent="0.35">
      <c r="A2362" s="208"/>
      <c r="B2362" s="91"/>
      <c r="C2362" s="92" t="s">
        <v>67</v>
      </c>
      <c r="D2362" s="93">
        <v>150000</v>
      </c>
      <c r="F2362" s="75"/>
    </row>
    <row r="2363" spans="1:7" s="53" customFormat="1" x14ac:dyDescent="0.35">
      <c r="A2363" s="208"/>
      <c r="B2363" s="91" t="s">
        <v>720</v>
      </c>
      <c r="C2363" s="101" t="s">
        <v>68</v>
      </c>
      <c r="D2363" s="93">
        <v>15000</v>
      </c>
      <c r="E2363" s="94" t="s">
        <v>69</v>
      </c>
      <c r="F2363" s="95"/>
    </row>
    <row r="2364" spans="1:7" s="53" customFormat="1" x14ac:dyDescent="0.35">
      <c r="A2364" s="208"/>
      <c r="B2364" s="102"/>
      <c r="C2364" s="101" t="s">
        <v>70</v>
      </c>
      <c r="D2364" s="103">
        <v>10000</v>
      </c>
      <c r="E2364" s="104"/>
      <c r="F2364" s="105"/>
    </row>
    <row r="2365" spans="1:7" s="53" customFormat="1" x14ac:dyDescent="0.35">
      <c r="A2365" s="208"/>
      <c r="B2365" s="102"/>
      <c r="C2365" s="101" t="s">
        <v>71</v>
      </c>
      <c r="D2365" s="103">
        <v>30000</v>
      </c>
      <c r="E2365" s="104" t="s">
        <v>72</v>
      </c>
      <c r="F2365" s="105"/>
    </row>
    <row r="2366" spans="1:7" s="53" customFormat="1" x14ac:dyDescent="0.35">
      <c r="A2366" s="208"/>
      <c r="B2366" s="102"/>
      <c r="C2366" s="92" t="s">
        <v>73</v>
      </c>
      <c r="D2366" s="106">
        <f>(310+727)*140</f>
        <v>145180</v>
      </c>
      <c r="E2366" s="53" t="s">
        <v>741</v>
      </c>
      <c r="F2366" s="105"/>
    </row>
    <row r="2367" spans="1:7" s="53" customFormat="1" ht="15" thickBot="1" x14ac:dyDescent="0.4">
      <c r="A2367" s="208"/>
      <c r="B2367" s="107"/>
      <c r="C2367" s="108"/>
      <c r="D2367" s="109"/>
      <c r="F2367" s="75"/>
    </row>
    <row r="2368" spans="1:7" s="53" customFormat="1" ht="15" thickBot="1" x14ac:dyDescent="0.4">
      <c r="A2368" s="208"/>
      <c r="B2368" s="110"/>
      <c r="C2368" s="111" t="s">
        <v>74</v>
      </c>
      <c r="D2368" s="112">
        <f>SUM(D2355:D2367)</f>
        <v>8401980</v>
      </c>
      <c r="F2368" s="75"/>
    </row>
    <row r="2369" spans="1:7" s="53" customFormat="1" ht="15.5" thickTop="1" thickBot="1" x14ac:dyDescent="0.4">
      <c r="A2369" s="209"/>
      <c r="B2369" s="211"/>
      <c r="C2369" s="211"/>
      <c r="D2369" s="211"/>
      <c r="F2369" s="75"/>
    </row>
    <row r="2370" spans="1:7" s="53" customFormat="1" x14ac:dyDescent="0.35">
      <c r="B2370" s="89"/>
      <c r="C2370" s="53" t="s">
        <v>75</v>
      </c>
      <c r="D2370" s="113">
        <f>D2352-D2368</f>
        <v>5878020</v>
      </c>
      <c r="F2370" s="75"/>
    </row>
    <row r="2371" spans="1:7" s="53" customFormat="1" x14ac:dyDescent="0.35">
      <c r="B2371" s="89"/>
      <c r="D2371" s="113"/>
      <c r="F2371" s="75"/>
    </row>
    <row r="2372" spans="1:7" s="53" customFormat="1" x14ac:dyDescent="0.35">
      <c r="A2372" s="114"/>
      <c r="B2372" s="115"/>
      <c r="C2372" s="114"/>
      <c r="D2372" s="116"/>
      <c r="E2372" s="114"/>
      <c r="F2372" s="117"/>
    </row>
    <row r="2373" spans="1:7" x14ac:dyDescent="0.35">
      <c r="F2373" s="118"/>
    </row>
    <row r="2374" spans="1:7" s="53" customFormat="1" ht="23.5" x14ac:dyDescent="0.55000000000000004">
      <c r="B2374" s="206" t="s">
        <v>0</v>
      </c>
      <c r="C2374" s="206"/>
      <c r="D2374" s="206"/>
      <c r="E2374" s="70"/>
      <c r="F2374" s="71"/>
    </row>
    <row r="2375" spans="1:7" s="53" customFormat="1" ht="20.5" x14ac:dyDescent="0.45">
      <c r="B2375" s="72"/>
      <c r="C2375" s="73" t="s">
        <v>749</v>
      </c>
      <c r="D2375" s="74"/>
      <c r="F2375" s="75"/>
    </row>
    <row r="2376" spans="1:7" s="53" customFormat="1" ht="21" thickBot="1" x14ac:dyDescent="0.5">
      <c r="B2376" s="72" t="s">
        <v>160</v>
      </c>
      <c r="C2376" s="76" t="s">
        <v>47</v>
      </c>
      <c r="D2376" s="74"/>
      <c r="F2376" s="75"/>
    </row>
    <row r="2377" spans="1:7" s="53" customFormat="1" ht="15" thickBot="1" x14ac:dyDescent="0.4">
      <c r="A2377" s="77" t="s">
        <v>48</v>
      </c>
      <c r="B2377" s="78" t="s">
        <v>26</v>
      </c>
      <c r="C2377" s="78" t="s">
        <v>49</v>
      </c>
      <c r="D2377" s="79" t="s">
        <v>29</v>
      </c>
      <c r="F2377" s="75"/>
    </row>
    <row r="2378" spans="1:7" s="53" customFormat="1" ht="14.5" customHeight="1" x14ac:dyDescent="0.35">
      <c r="A2378" s="207" t="s">
        <v>33</v>
      </c>
      <c r="B2378" s="80" t="s">
        <v>750</v>
      </c>
      <c r="C2378" s="81" t="s">
        <v>751</v>
      </c>
      <c r="D2378" s="82">
        <f>F2385</f>
        <v>12500000</v>
      </c>
      <c r="F2378" s="75"/>
    </row>
    <row r="2379" spans="1:7" s="53" customFormat="1" ht="21" thickBot="1" x14ac:dyDescent="0.5">
      <c r="A2379" s="208"/>
      <c r="B2379" s="72"/>
      <c r="C2379" s="72"/>
      <c r="D2379" s="74"/>
      <c r="F2379" s="75"/>
    </row>
    <row r="2380" spans="1:7" s="53" customFormat="1" ht="15" thickBot="1" x14ac:dyDescent="0.4">
      <c r="A2380" s="208"/>
      <c r="B2380" s="83" t="s">
        <v>26</v>
      </c>
      <c r="C2380" s="84" t="s">
        <v>51</v>
      </c>
      <c r="D2380" s="85" t="s">
        <v>52</v>
      </c>
      <c r="F2380" s="75"/>
    </row>
    <row r="2381" spans="1:7" s="89" customFormat="1" x14ac:dyDescent="0.35">
      <c r="A2381" s="208"/>
      <c r="B2381" s="86" t="str">
        <f>B2378</f>
        <v>19th March,2026</v>
      </c>
      <c r="C2381" s="87" t="s">
        <v>951</v>
      </c>
      <c r="D2381" s="88">
        <f>1850*2858</f>
        <v>5287300</v>
      </c>
      <c r="F2381" s="90"/>
      <c r="G2381" s="53"/>
    </row>
    <row r="2382" spans="1:7" s="53" customFormat="1" x14ac:dyDescent="0.35">
      <c r="A2382" s="208"/>
      <c r="B2382" s="91"/>
      <c r="C2382" s="92" t="s">
        <v>606</v>
      </c>
      <c r="D2382" s="93">
        <f>325*2500</f>
        <v>812500</v>
      </c>
      <c r="F2382" s="75"/>
    </row>
    <row r="2383" spans="1:7" s="53" customFormat="1" x14ac:dyDescent="0.35">
      <c r="A2383" s="208"/>
      <c r="B2383" s="91" t="s">
        <v>54</v>
      </c>
      <c r="C2383" s="92" t="s">
        <v>55</v>
      </c>
      <c r="D2383" s="93">
        <v>1000000</v>
      </c>
      <c r="F2383" s="75"/>
      <c r="G2383" s="75"/>
    </row>
    <row r="2384" spans="1:7" s="53" customFormat="1" x14ac:dyDescent="0.35">
      <c r="A2384" s="208"/>
      <c r="B2384" s="91" t="s">
        <v>56</v>
      </c>
      <c r="C2384" s="92" t="s">
        <v>57</v>
      </c>
      <c r="D2384" s="93">
        <v>40000</v>
      </c>
      <c r="E2384" s="210" t="s">
        <v>58</v>
      </c>
      <c r="F2384" s="210"/>
    </row>
    <row r="2385" spans="1:7" s="53" customFormat="1" x14ac:dyDescent="0.35">
      <c r="A2385" s="208"/>
      <c r="B2385" s="91" t="s">
        <v>59</v>
      </c>
      <c r="C2385" s="92" t="s">
        <v>60</v>
      </c>
      <c r="D2385" s="93">
        <f>400*140</f>
        <v>56000</v>
      </c>
      <c r="E2385" s="94" t="s">
        <v>61</v>
      </c>
      <c r="F2385" s="95">
        <f>5000*2500</f>
        <v>12500000</v>
      </c>
    </row>
    <row r="2386" spans="1:7" s="53" customFormat="1" x14ac:dyDescent="0.35">
      <c r="A2386" s="208"/>
      <c r="B2386" s="91"/>
      <c r="C2386" s="92" t="s">
        <v>62</v>
      </c>
      <c r="D2386" s="93">
        <f>3600*140</f>
        <v>504000</v>
      </c>
      <c r="E2386" s="96" t="s">
        <v>63</v>
      </c>
      <c r="F2386" s="75">
        <f>5000*2500</f>
        <v>12500000</v>
      </c>
    </row>
    <row r="2387" spans="1:7" s="53" customFormat="1" ht="15" thickBot="1" x14ac:dyDescent="0.4">
      <c r="A2387" s="208"/>
      <c r="B2387" s="91" t="s">
        <v>64</v>
      </c>
      <c r="C2387" s="92" t="s">
        <v>65</v>
      </c>
      <c r="D2387" s="97">
        <v>30000</v>
      </c>
      <c r="E2387" s="98" t="s">
        <v>66</v>
      </c>
      <c r="F2387" s="99">
        <f>F2385-F2386</f>
        <v>0</v>
      </c>
      <c r="G2387" s="100">
        <f>F2387/2500</f>
        <v>0</v>
      </c>
    </row>
    <row r="2388" spans="1:7" s="53" customFormat="1" ht="15" thickTop="1" x14ac:dyDescent="0.35">
      <c r="A2388" s="208"/>
      <c r="B2388" s="91"/>
      <c r="C2388" s="92" t="s">
        <v>67</v>
      </c>
      <c r="D2388" s="93">
        <v>0</v>
      </c>
      <c r="F2388" s="75"/>
    </row>
    <row r="2389" spans="1:7" s="53" customFormat="1" x14ac:dyDescent="0.35">
      <c r="A2389" s="208"/>
      <c r="B2389" s="91" t="s">
        <v>745</v>
      </c>
      <c r="C2389" s="101" t="s">
        <v>68</v>
      </c>
      <c r="D2389" s="93">
        <v>15000</v>
      </c>
      <c r="E2389" s="94" t="s">
        <v>69</v>
      </c>
      <c r="F2389" s="95"/>
    </row>
    <row r="2390" spans="1:7" s="53" customFormat="1" x14ac:dyDescent="0.35">
      <c r="A2390" s="208"/>
      <c r="B2390" s="102"/>
      <c r="C2390" s="101" t="s">
        <v>70</v>
      </c>
      <c r="D2390" s="103">
        <v>0</v>
      </c>
      <c r="E2390" s="104"/>
      <c r="F2390" s="105"/>
    </row>
    <row r="2391" spans="1:7" s="53" customFormat="1" x14ac:dyDescent="0.35">
      <c r="A2391" s="208"/>
      <c r="B2391" s="102"/>
      <c r="C2391" s="101" t="s">
        <v>71</v>
      </c>
      <c r="D2391" s="103">
        <v>0</v>
      </c>
      <c r="E2391" s="104" t="s">
        <v>72</v>
      </c>
      <c r="F2391" s="105"/>
    </row>
    <row r="2392" spans="1:7" s="53" customFormat="1" x14ac:dyDescent="0.35">
      <c r="A2392" s="208"/>
      <c r="B2392" s="102"/>
      <c r="C2392" s="92"/>
      <c r="D2392" s="106"/>
      <c r="E2392" s="53" t="s">
        <v>748</v>
      </c>
      <c r="F2392" s="105"/>
    </row>
    <row r="2393" spans="1:7" s="53" customFormat="1" ht="15" thickBot="1" x14ac:dyDescent="0.4">
      <c r="A2393" s="208"/>
      <c r="B2393" s="107"/>
      <c r="C2393" s="108"/>
      <c r="D2393" s="109"/>
      <c r="F2393" s="75"/>
    </row>
    <row r="2394" spans="1:7" s="53" customFormat="1" ht="15" thickBot="1" x14ac:dyDescent="0.4">
      <c r="A2394" s="208"/>
      <c r="B2394" s="110"/>
      <c r="C2394" s="111" t="s">
        <v>74</v>
      </c>
      <c r="D2394" s="112">
        <f>SUM(D2381:D2393)</f>
        <v>7744800</v>
      </c>
      <c r="F2394" s="75"/>
    </row>
    <row r="2395" spans="1:7" s="53" customFormat="1" ht="15.5" thickTop="1" thickBot="1" x14ac:dyDescent="0.4">
      <c r="A2395" s="209"/>
      <c r="B2395" s="211"/>
      <c r="C2395" s="211"/>
      <c r="D2395" s="211"/>
      <c r="F2395" s="75"/>
    </row>
    <row r="2396" spans="1:7" s="53" customFormat="1" x14ac:dyDescent="0.35">
      <c r="B2396" s="89"/>
      <c r="C2396" s="53" t="s">
        <v>75</v>
      </c>
      <c r="D2396" s="113">
        <f>D2378-D2394</f>
        <v>4755200</v>
      </c>
      <c r="F2396" s="75"/>
    </row>
    <row r="2397" spans="1:7" s="53" customFormat="1" x14ac:dyDescent="0.35">
      <c r="B2397" s="89"/>
      <c r="D2397" s="113"/>
      <c r="F2397" s="75"/>
    </row>
    <row r="2398" spans="1:7" s="53" customFormat="1" x14ac:dyDescent="0.35">
      <c r="A2398" s="114"/>
      <c r="B2398" s="115"/>
      <c r="C2398" s="114"/>
      <c r="D2398" s="116"/>
      <c r="E2398" s="114"/>
      <c r="F2398" s="117"/>
    </row>
    <row r="2399" spans="1:7" x14ac:dyDescent="0.35">
      <c r="F2399" s="118"/>
    </row>
    <row r="2400" spans="1:7" s="53" customFormat="1" ht="23.5" x14ac:dyDescent="0.55000000000000004">
      <c r="B2400" s="206" t="s">
        <v>0</v>
      </c>
      <c r="C2400" s="206"/>
      <c r="D2400" s="206"/>
      <c r="E2400" s="70"/>
      <c r="F2400" s="71"/>
    </row>
    <row r="2401" spans="1:7" s="53" customFormat="1" ht="20.5" x14ac:dyDescent="0.45">
      <c r="B2401" s="72"/>
      <c r="C2401" s="73" t="s">
        <v>752</v>
      </c>
      <c r="D2401" s="74"/>
      <c r="F2401" s="75"/>
    </row>
    <row r="2402" spans="1:7" s="53" customFormat="1" ht="21" thickBot="1" x14ac:dyDescent="0.5">
      <c r="B2402" s="72" t="s">
        <v>170</v>
      </c>
      <c r="C2402" s="76" t="s">
        <v>47</v>
      </c>
      <c r="D2402" s="74"/>
      <c r="F2402" s="75"/>
    </row>
    <row r="2403" spans="1:7" s="53" customFormat="1" ht="15" thickBot="1" x14ac:dyDescent="0.4">
      <c r="A2403" s="77" t="s">
        <v>48</v>
      </c>
      <c r="B2403" s="78" t="s">
        <v>26</v>
      </c>
      <c r="C2403" s="78" t="s">
        <v>49</v>
      </c>
      <c r="D2403" s="79" t="s">
        <v>29</v>
      </c>
      <c r="F2403" s="75"/>
    </row>
    <row r="2404" spans="1:7" s="53" customFormat="1" ht="14.5" customHeight="1" x14ac:dyDescent="0.35">
      <c r="A2404" s="207" t="s">
        <v>33</v>
      </c>
      <c r="B2404" s="80" t="s">
        <v>750</v>
      </c>
      <c r="C2404" s="81" t="s">
        <v>751</v>
      </c>
      <c r="D2404" s="82">
        <f>F2411</f>
        <v>12500000</v>
      </c>
      <c r="F2404" s="75"/>
    </row>
    <row r="2405" spans="1:7" s="53" customFormat="1" ht="21" thickBot="1" x14ac:dyDescent="0.5">
      <c r="A2405" s="208"/>
      <c r="B2405" s="72"/>
      <c r="C2405" s="72"/>
      <c r="D2405" s="74"/>
      <c r="F2405" s="75"/>
    </row>
    <row r="2406" spans="1:7" s="53" customFormat="1" ht="15" thickBot="1" x14ac:dyDescent="0.4">
      <c r="A2406" s="208"/>
      <c r="B2406" s="83" t="s">
        <v>26</v>
      </c>
      <c r="C2406" s="84" t="s">
        <v>51</v>
      </c>
      <c r="D2406" s="85" t="s">
        <v>52</v>
      </c>
      <c r="F2406" s="75"/>
    </row>
    <row r="2407" spans="1:7" s="89" customFormat="1" x14ac:dyDescent="0.35">
      <c r="A2407" s="208"/>
      <c r="B2407" s="86" t="str">
        <f>B2404</f>
        <v>19th March,2026</v>
      </c>
      <c r="C2407" s="87" t="s">
        <v>951</v>
      </c>
      <c r="D2407" s="88">
        <f>1850*2858</f>
        <v>5287300</v>
      </c>
      <c r="F2407" s="90"/>
    </row>
    <row r="2408" spans="1:7" s="53" customFormat="1" x14ac:dyDescent="0.35">
      <c r="A2408" s="208"/>
      <c r="B2408" s="91"/>
      <c r="C2408" s="92" t="s">
        <v>606</v>
      </c>
      <c r="D2408" s="93">
        <f>325*2500</f>
        <v>812500</v>
      </c>
      <c r="F2408" s="75"/>
    </row>
    <row r="2409" spans="1:7" s="53" customFormat="1" x14ac:dyDescent="0.35">
      <c r="A2409" s="208"/>
      <c r="B2409" s="91" t="s">
        <v>54</v>
      </c>
      <c r="C2409" s="92" t="s">
        <v>55</v>
      </c>
      <c r="D2409" s="93">
        <v>1000000</v>
      </c>
      <c r="F2409" s="75"/>
    </row>
    <row r="2410" spans="1:7" s="53" customFormat="1" x14ac:dyDescent="0.35">
      <c r="A2410" s="208"/>
      <c r="B2410" s="91" t="s">
        <v>56</v>
      </c>
      <c r="C2410" s="92" t="s">
        <v>57</v>
      </c>
      <c r="D2410" s="93">
        <v>40000</v>
      </c>
      <c r="E2410" s="210" t="s">
        <v>58</v>
      </c>
      <c r="F2410" s="210"/>
    </row>
    <row r="2411" spans="1:7" s="53" customFormat="1" x14ac:dyDescent="0.35">
      <c r="A2411" s="208"/>
      <c r="B2411" s="91" t="s">
        <v>59</v>
      </c>
      <c r="C2411" s="92" t="s">
        <v>60</v>
      </c>
      <c r="D2411" s="93">
        <f>400*140</f>
        <v>56000</v>
      </c>
      <c r="E2411" s="94" t="s">
        <v>61</v>
      </c>
      <c r="F2411" s="95">
        <f>5000*2500</f>
        <v>12500000</v>
      </c>
    </row>
    <row r="2412" spans="1:7" s="53" customFormat="1" x14ac:dyDescent="0.35">
      <c r="A2412" s="208"/>
      <c r="B2412" s="91"/>
      <c r="C2412" s="92" t="s">
        <v>62</v>
      </c>
      <c r="D2412" s="93">
        <f>3600*140</f>
        <v>504000</v>
      </c>
      <c r="E2412" s="96" t="s">
        <v>63</v>
      </c>
      <c r="F2412" s="75">
        <f>5000*2500</f>
        <v>12500000</v>
      </c>
    </row>
    <row r="2413" spans="1:7" s="53" customFormat="1" ht="15" thickBot="1" x14ac:dyDescent="0.4">
      <c r="A2413" s="208"/>
      <c r="B2413" s="91" t="s">
        <v>64</v>
      </c>
      <c r="C2413" s="92" t="s">
        <v>65</v>
      </c>
      <c r="D2413" s="97">
        <v>30000</v>
      </c>
      <c r="E2413" s="98" t="s">
        <v>66</v>
      </c>
      <c r="F2413" s="99">
        <f>F2411-F2412</f>
        <v>0</v>
      </c>
      <c r="G2413" s="100">
        <f>F2413/2500</f>
        <v>0</v>
      </c>
    </row>
    <row r="2414" spans="1:7" s="53" customFormat="1" ht="15" thickTop="1" x14ac:dyDescent="0.35">
      <c r="A2414" s="208"/>
      <c r="B2414" s="91"/>
      <c r="C2414" s="92" t="s">
        <v>67</v>
      </c>
      <c r="D2414" s="93">
        <v>0</v>
      </c>
      <c r="F2414" s="75"/>
    </row>
    <row r="2415" spans="1:7" s="53" customFormat="1" x14ac:dyDescent="0.35">
      <c r="A2415" s="208"/>
      <c r="B2415" s="91" t="s">
        <v>747</v>
      </c>
      <c r="C2415" s="101" t="s">
        <v>68</v>
      </c>
      <c r="D2415" s="93">
        <v>15000</v>
      </c>
      <c r="E2415" s="94" t="s">
        <v>69</v>
      </c>
      <c r="F2415" s="95"/>
    </row>
    <row r="2416" spans="1:7" s="53" customFormat="1" x14ac:dyDescent="0.35">
      <c r="A2416" s="208"/>
      <c r="B2416" s="102"/>
      <c r="C2416" s="101" t="s">
        <v>70</v>
      </c>
      <c r="D2416" s="103">
        <v>0</v>
      </c>
      <c r="E2416" s="104"/>
      <c r="F2416" s="105"/>
    </row>
    <row r="2417" spans="1:6" s="53" customFormat="1" x14ac:dyDescent="0.35">
      <c r="A2417" s="208"/>
      <c r="B2417" s="102"/>
      <c r="C2417" s="101" t="s">
        <v>71</v>
      </c>
      <c r="D2417" s="103">
        <v>0</v>
      </c>
      <c r="E2417" s="104" t="s">
        <v>72</v>
      </c>
      <c r="F2417" s="105"/>
    </row>
    <row r="2418" spans="1:6" s="53" customFormat="1" x14ac:dyDescent="0.35">
      <c r="A2418" s="208"/>
      <c r="B2418" s="102"/>
      <c r="C2418" s="92"/>
      <c r="D2418" s="106"/>
      <c r="E2418" s="53" t="s">
        <v>748</v>
      </c>
      <c r="F2418" s="105"/>
    </row>
    <row r="2419" spans="1:6" s="53" customFormat="1" ht="15" thickBot="1" x14ac:dyDescent="0.4">
      <c r="A2419" s="208"/>
      <c r="B2419" s="107"/>
      <c r="C2419" s="108"/>
      <c r="D2419" s="109"/>
      <c r="F2419" s="75"/>
    </row>
    <row r="2420" spans="1:6" s="53" customFormat="1" ht="15" thickBot="1" x14ac:dyDescent="0.4">
      <c r="A2420" s="208"/>
      <c r="B2420" s="110"/>
      <c r="C2420" s="111" t="s">
        <v>74</v>
      </c>
      <c r="D2420" s="112">
        <f>SUM(D2407:D2419)</f>
        <v>7744800</v>
      </c>
      <c r="F2420" s="75"/>
    </row>
    <row r="2421" spans="1:6" s="53" customFormat="1" ht="15.5" thickTop="1" thickBot="1" x14ac:dyDescent="0.4">
      <c r="A2421" s="209"/>
      <c r="B2421" s="211"/>
      <c r="C2421" s="211"/>
      <c r="D2421" s="211"/>
      <c r="F2421" s="75"/>
    </row>
    <row r="2422" spans="1:6" s="53" customFormat="1" x14ac:dyDescent="0.35">
      <c r="B2422" s="89"/>
      <c r="C2422" s="53" t="s">
        <v>75</v>
      </c>
      <c r="D2422" s="113">
        <f>D2404-D2420</f>
        <v>4755200</v>
      </c>
      <c r="F2422" s="75"/>
    </row>
    <row r="2423" spans="1:6" s="53" customFormat="1" x14ac:dyDescent="0.35">
      <c r="B2423" s="89"/>
      <c r="D2423" s="113"/>
      <c r="F2423" s="75"/>
    </row>
    <row r="2424" spans="1:6" s="53" customFormat="1" x14ac:dyDescent="0.35">
      <c r="A2424" s="114"/>
      <c r="B2424" s="115"/>
      <c r="C2424" s="114"/>
      <c r="D2424" s="116"/>
      <c r="E2424" s="114"/>
      <c r="F2424" s="117"/>
    </row>
    <row r="2425" spans="1:6" x14ac:dyDescent="0.35">
      <c r="F2425" s="118"/>
    </row>
    <row r="2426" spans="1:6" s="53" customFormat="1" ht="23.5" x14ac:dyDescent="0.55000000000000004">
      <c r="B2426" s="206" t="s">
        <v>0</v>
      </c>
      <c r="C2426" s="206"/>
      <c r="D2426" s="206"/>
      <c r="E2426" s="70"/>
      <c r="F2426" s="71"/>
    </row>
    <row r="2427" spans="1:6" s="53" customFormat="1" ht="20.5" x14ac:dyDescent="0.45">
      <c r="B2427" s="72"/>
      <c r="C2427" s="73" t="s">
        <v>761</v>
      </c>
      <c r="D2427" s="74"/>
      <c r="F2427" s="75"/>
    </row>
    <row r="2428" spans="1:6" s="53" customFormat="1" ht="21" thickBot="1" x14ac:dyDescent="0.5">
      <c r="B2428" s="72" t="s">
        <v>109</v>
      </c>
      <c r="C2428" s="76" t="s">
        <v>47</v>
      </c>
      <c r="D2428" s="74"/>
      <c r="F2428" s="75"/>
    </row>
    <row r="2429" spans="1:6" s="53" customFormat="1" ht="15" thickBot="1" x14ac:dyDescent="0.4">
      <c r="A2429" s="77" t="s">
        <v>48</v>
      </c>
      <c r="B2429" s="78" t="s">
        <v>26</v>
      </c>
      <c r="C2429" s="78" t="s">
        <v>49</v>
      </c>
      <c r="D2429" s="79" t="s">
        <v>29</v>
      </c>
      <c r="F2429" s="75"/>
    </row>
    <row r="2430" spans="1:6" s="53" customFormat="1" ht="14.5" customHeight="1" x14ac:dyDescent="0.35">
      <c r="A2430" s="207" t="s">
        <v>33</v>
      </c>
      <c r="B2430" s="80" t="s">
        <v>750</v>
      </c>
      <c r="C2430" s="81" t="s">
        <v>200</v>
      </c>
      <c r="D2430" s="82">
        <f>F2437</f>
        <v>14280000</v>
      </c>
      <c r="F2430" s="75"/>
    </row>
    <row r="2431" spans="1:6" s="53" customFormat="1" ht="21" thickBot="1" x14ac:dyDescent="0.5">
      <c r="A2431" s="208"/>
      <c r="B2431" s="72"/>
      <c r="C2431" s="72"/>
      <c r="D2431" s="74"/>
      <c r="F2431" s="75"/>
    </row>
    <row r="2432" spans="1:6" s="53" customFormat="1" ht="15" thickBot="1" x14ac:dyDescent="0.4">
      <c r="A2432" s="208"/>
      <c r="B2432" s="83" t="s">
        <v>26</v>
      </c>
      <c r="C2432" s="84" t="s">
        <v>51</v>
      </c>
      <c r="D2432" s="85" t="s">
        <v>52</v>
      </c>
      <c r="F2432" s="75"/>
    </row>
    <row r="2433" spans="1:7" s="89" customFormat="1" x14ac:dyDescent="0.35">
      <c r="A2433" s="208"/>
      <c r="B2433" s="86" t="str">
        <f>B2430</f>
        <v>19th March,2026</v>
      </c>
      <c r="C2433" s="87" t="s">
        <v>951</v>
      </c>
      <c r="D2433" s="88">
        <f>1850*2858</f>
        <v>5287300</v>
      </c>
      <c r="F2433" s="90"/>
    </row>
    <row r="2434" spans="1:7" s="53" customFormat="1" x14ac:dyDescent="0.35">
      <c r="A2434" s="208"/>
      <c r="B2434" s="91"/>
      <c r="C2434" s="92" t="s">
        <v>606</v>
      </c>
      <c r="D2434" s="93">
        <f>325*2500</f>
        <v>812500</v>
      </c>
      <c r="F2434" s="75"/>
    </row>
    <row r="2435" spans="1:7" s="53" customFormat="1" x14ac:dyDescent="0.35">
      <c r="A2435" s="208"/>
      <c r="B2435" s="91" t="s">
        <v>54</v>
      </c>
      <c r="C2435" s="92" t="s">
        <v>55</v>
      </c>
      <c r="D2435" s="93">
        <v>1000000</v>
      </c>
      <c r="F2435" s="75"/>
    </row>
    <row r="2436" spans="1:7" s="53" customFormat="1" x14ac:dyDescent="0.35">
      <c r="A2436" s="208"/>
      <c r="B2436" s="91" t="s">
        <v>56</v>
      </c>
      <c r="C2436" s="92" t="s">
        <v>57</v>
      </c>
      <c r="D2436" s="93">
        <v>40000</v>
      </c>
      <c r="E2436" s="210" t="s">
        <v>58</v>
      </c>
      <c r="F2436" s="210"/>
    </row>
    <row r="2437" spans="1:7" s="53" customFormat="1" x14ac:dyDescent="0.35">
      <c r="A2437" s="208"/>
      <c r="B2437" s="91" t="s">
        <v>59</v>
      </c>
      <c r="C2437" s="92" t="s">
        <v>60</v>
      </c>
      <c r="D2437" s="93">
        <f>700*140</f>
        <v>98000</v>
      </c>
      <c r="E2437" s="94" t="s">
        <v>61</v>
      </c>
      <c r="F2437" s="95">
        <f>5600*2550</f>
        <v>14280000</v>
      </c>
    </row>
    <row r="2438" spans="1:7" s="53" customFormat="1" x14ac:dyDescent="0.35">
      <c r="A2438" s="208"/>
      <c r="B2438" s="91"/>
      <c r="C2438" s="92" t="s">
        <v>62</v>
      </c>
      <c r="D2438" s="93">
        <f>4200*140</f>
        <v>588000</v>
      </c>
      <c r="E2438" s="96" t="s">
        <v>63</v>
      </c>
      <c r="F2438" s="75">
        <f>(2800*2550)</f>
        <v>7140000</v>
      </c>
    </row>
    <row r="2439" spans="1:7" s="53" customFormat="1" ht="15" thickBot="1" x14ac:dyDescent="0.4">
      <c r="A2439" s="208"/>
      <c r="B2439" s="91" t="s">
        <v>64</v>
      </c>
      <c r="C2439" s="92" t="s">
        <v>65</v>
      </c>
      <c r="D2439" s="97">
        <v>30000</v>
      </c>
      <c r="E2439" s="98" t="s">
        <v>66</v>
      </c>
      <c r="F2439" s="99">
        <f>F2437-F2438</f>
        <v>7140000</v>
      </c>
      <c r="G2439" s="100">
        <f>F2439/2550</f>
        <v>2800</v>
      </c>
    </row>
    <row r="2440" spans="1:7" s="53" customFormat="1" ht="15" thickTop="1" x14ac:dyDescent="0.35">
      <c r="A2440" s="208"/>
      <c r="B2440" s="91"/>
      <c r="C2440" s="92" t="s">
        <v>67</v>
      </c>
      <c r="D2440" s="93">
        <v>150000</v>
      </c>
      <c r="F2440" s="75"/>
    </row>
    <row r="2441" spans="1:7" s="53" customFormat="1" x14ac:dyDescent="0.35">
      <c r="A2441" s="208"/>
      <c r="B2441" s="91" t="s">
        <v>757</v>
      </c>
      <c r="C2441" s="101" t="s">
        <v>68</v>
      </c>
      <c r="D2441" s="93">
        <v>15000</v>
      </c>
      <c r="E2441" s="94" t="s">
        <v>69</v>
      </c>
      <c r="F2441" s="95"/>
    </row>
    <row r="2442" spans="1:7" s="53" customFormat="1" x14ac:dyDescent="0.35">
      <c r="A2442" s="208"/>
      <c r="B2442" s="102"/>
      <c r="C2442" s="101" t="s">
        <v>70</v>
      </c>
      <c r="D2442" s="103">
        <v>10000</v>
      </c>
      <c r="E2442" s="104"/>
      <c r="F2442" s="105"/>
    </row>
    <row r="2443" spans="1:7" s="53" customFormat="1" x14ac:dyDescent="0.35">
      <c r="A2443" s="208"/>
      <c r="B2443" s="102"/>
      <c r="C2443" s="101" t="s">
        <v>71</v>
      </c>
      <c r="D2443" s="103">
        <v>20000</v>
      </c>
      <c r="E2443" s="104" t="s">
        <v>72</v>
      </c>
      <c r="F2443" s="105"/>
    </row>
    <row r="2444" spans="1:7" s="53" customFormat="1" x14ac:dyDescent="0.35">
      <c r="A2444" s="208"/>
      <c r="B2444" s="102"/>
      <c r="C2444" s="92" t="s">
        <v>73</v>
      </c>
      <c r="D2444" s="106">
        <f>717*140</f>
        <v>100380</v>
      </c>
      <c r="E2444" s="53" t="s">
        <v>791</v>
      </c>
      <c r="F2444" s="105"/>
    </row>
    <row r="2445" spans="1:7" s="53" customFormat="1" ht="15" thickBot="1" x14ac:dyDescent="0.4">
      <c r="A2445" s="208"/>
      <c r="B2445" s="107"/>
      <c r="C2445" s="108"/>
      <c r="D2445" s="109"/>
      <c r="F2445" s="75"/>
    </row>
    <row r="2446" spans="1:7" s="53" customFormat="1" ht="15" thickBot="1" x14ac:dyDescent="0.4">
      <c r="A2446" s="208"/>
      <c r="B2446" s="110"/>
      <c r="C2446" s="111" t="s">
        <v>74</v>
      </c>
      <c r="D2446" s="112">
        <f>SUM(D2433:D2445)</f>
        <v>8151180</v>
      </c>
      <c r="F2446" s="75"/>
    </row>
    <row r="2447" spans="1:7" s="53" customFormat="1" ht="15.5" thickTop="1" thickBot="1" x14ac:dyDescent="0.4">
      <c r="A2447" s="209"/>
      <c r="B2447" s="211"/>
      <c r="C2447" s="211"/>
      <c r="D2447" s="211"/>
      <c r="F2447" s="75"/>
    </row>
    <row r="2448" spans="1:7" s="53" customFormat="1" x14ac:dyDescent="0.35">
      <c r="B2448" s="89"/>
      <c r="C2448" s="53" t="s">
        <v>75</v>
      </c>
      <c r="D2448" s="113">
        <f>D2430-D2446</f>
        <v>6128820</v>
      </c>
      <c r="F2448" s="75"/>
    </row>
    <row r="2449" spans="1:6" s="53" customFormat="1" x14ac:dyDescent="0.35">
      <c r="B2449" s="89"/>
      <c r="D2449" s="113"/>
      <c r="F2449" s="75"/>
    </row>
    <row r="2450" spans="1:6" s="53" customFormat="1" x14ac:dyDescent="0.35">
      <c r="A2450" s="114"/>
      <c r="B2450" s="115"/>
      <c r="C2450" s="114"/>
      <c r="D2450" s="116"/>
      <c r="E2450" s="114"/>
      <c r="F2450" s="117"/>
    </row>
    <row r="2451" spans="1:6" x14ac:dyDescent="0.35">
      <c r="F2451" s="118"/>
    </row>
    <row r="2452" spans="1:6" s="53" customFormat="1" ht="23.5" x14ac:dyDescent="0.55000000000000004">
      <c r="B2452" s="206" t="s">
        <v>0</v>
      </c>
      <c r="C2452" s="206"/>
      <c r="D2452" s="206"/>
      <c r="E2452" s="70"/>
      <c r="F2452" s="71"/>
    </row>
    <row r="2453" spans="1:6" s="53" customFormat="1" ht="20.5" x14ac:dyDescent="0.45">
      <c r="B2453" s="72"/>
      <c r="C2453" s="73" t="s">
        <v>762</v>
      </c>
      <c r="D2453" s="74"/>
      <c r="F2453" s="75"/>
    </row>
    <row r="2454" spans="1:6" s="53" customFormat="1" ht="21" thickBot="1" x14ac:dyDescent="0.5">
      <c r="B2454" s="72" t="s">
        <v>392</v>
      </c>
      <c r="C2454" s="76" t="s">
        <v>47</v>
      </c>
      <c r="D2454" s="74"/>
      <c r="F2454" s="75"/>
    </row>
    <row r="2455" spans="1:6" s="53" customFormat="1" ht="15" thickBot="1" x14ac:dyDescent="0.4">
      <c r="A2455" s="77" t="s">
        <v>48</v>
      </c>
      <c r="B2455" s="78" t="s">
        <v>26</v>
      </c>
      <c r="C2455" s="78" t="s">
        <v>49</v>
      </c>
      <c r="D2455" s="79" t="s">
        <v>29</v>
      </c>
      <c r="F2455" s="75"/>
    </row>
    <row r="2456" spans="1:6" s="53" customFormat="1" ht="14.5" customHeight="1" x14ac:dyDescent="0.35">
      <c r="A2456" s="207" t="s">
        <v>33</v>
      </c>
      <c r="B2456" s="80" t="s">
        <v>750</v>
      </c>
      <c r="C2456" s="81" t="s">
        <v>200</v>
      </c>
      <c r="D2456" s="82">
        <f>F2463</f>
        <v>14280000</v>
      </c>
      <c r="F2456" s="75"/>
    </row>
    <row r="2457" spans="1:6" s="53" customFormat="1" ht="21" thickBot="1" x14ac:dyDescent="0.5">
      <c r="A2457" s="208"/>
      <c r="B2457" s="72"/>
      <c r="C2457" s="72"/>
      <c r="D2457" s="74"/>
      <c r="F2457" s="75"/>
    </row>
    <row r="2458" spans="1:6" s="53" customFormat="1" ht="15" thickBot="1" x14ac:dyDescent="0.4">
      <c r="A2458" s="208"/>
      <c r="B2458" s="83" t="s">
        <v>26</v>
      </c>
      <c r="C2458" s="84" t="s">
        <v>51</v>
      </c>
      <c r="D2458" s="85" t="s">
        <v>52</v>
      </c>
      <c r="F2458" s="75"/>
    </row>
    <row r="2459" spans="1:6" s="89" customFormat="1" x14ac:dyDescent="0.35">
      <c r="A2459" s="208"/>
      <c r="B2459" s="86" t="str">
        <f>B2456</f>
        <v>19th March,2026</v>
      </c>
      <c r="C2459" s="87" t="s">
        <v>951</v>
      </c>
      <c r="D2459" s="88">
        <f>1850*2858</f>
        <v>5287300</v>
      </c>
      <c r="F2459" s="90"/>
    </row>
    <row r="2460" spans="1:6" s="53" customFormat="1" x14ac:dyDescent="0.35">
      <c r="A2460" s="208"/>
      <c r="B2460" s="91"/>
      <c r="C2460" s="92" t="s">
        <v>606</v>
      </c>
      <c r="D2460" s="93">
        <f>325*2500</f>
        <v>812500</v>
      </c>
      <c r="F2460" s="75"/>
    </row>
    <row r="2461" spans="1:6" s="53" customFormat="1" x14ac:dyDescent="0.35">
      <c r="A2461" s="208"/>
      <c r="B2461" s="91" t="s">
        <v>54</v>
      </c>
      <c r="C2461" s="92" t="s">
        <v>55</v>
      </c>
      <c r="D2461" s="93">
        <v>1000000</v>
      </c>
      <c r="F2461" s="75"/>
    </row>
    <row r="2462" spans="1:6" s="53" customFormat="1" x14ac:dyDescent="0.35">
      <c r="A2462" s="208"/>
      <c r="B2462" s="91" t="s">
        <v>56</v>
      </c>
      <c r="C2462" s="92" t="s">
        <v>57</v>
      </c>
      <c r="D2462" s="93">
        <v>40000</v>
      </c>
      <c r="E2462" s="210" t="s">
        <v>58</v>
      </c>
      <c r="F2462" s="210"/>
    </row>
    <row r="2463" spans="1:6" s="53" customFormat="1" x14ac:dyDescent="0.35">
      <c r="A2463" s="208"/>
      <c r="B2463" s="91" t="s">
        <v>59</v>
      </c>
      <c r="C2463" s="92" t="s">
        <v>60</v>
      </c>
      <c r="D2463" s="93">
        <f>900*140</f>
        <v>126000</v>
      </c>
      <c r="E2463" s="94" t="s">
        <v>61</v>
      </c>
      <c r="F2463" s="95">
        <f>5600*2550</f>
        <v>14280000</v>
      </c>
    </row>
    <row r="2464" spans="1:6" s="53" customFormat="1" x14ac:dyDescent="0.35">
      <c r="A2464" s="208"/>
      <c r="B2464" s="91"/>
      <c r="C2464" s="92" t="s">
        <v>62</v>
      </c>
      <c r="D2464" s="93">
        <f>4200*140</f>
        <v>588000</v>
      </c>
      <c r="E2464" s="96" t="s">
        <v>63</v>
      </c>
      <c r="F2464" s="75">
        <f>(2800*2550)</f>
        <v>7140000</v>
      </c>
    </row>
    <row r="2465" spans="1:7" s="53" customFormat="1" ht="15" thickBot="1" x14ac:dyDescent="0.4">
      <c r="A2465" s="208"/>
      <c r="B2465" s="91" t="s">
        <v>64</v>
      </c>
      <c r="C2465" s="92" t="s">
        <v>65</v>
      </c>
      <c r="D2465" s="97">
        <v>30000</v>
      </c>
      <c r="E2465" s="98" t="s">
        <v>66</v>
      </c>
      <c r="F2465" s="99">
        <f>F2463-F2464</f>
        <v>7140000</v>
      </c>
      <c r="G2465" s="100">
        <f>F2465/2550</f>
        <v>2800</v>
      </c>
    </row>
    <row r="2466" spans="1:7" s="53" customFormat="1" ht="15" thickTop="1" x14ac:dyDescent="0.35">
      <c r="A2466" s="208"/>
      <c r="B2466" s="91"/>
      <c r="C2466" s="92" t="s">
        <v>67</v>
      </c>
      <c r="D2466" s="93">
        <v>150000</v>
      </c>
      <c r="F2466" s="75"/>
    </row>
    <row r="2467" spans="1:7" s="53" customFormat="1" x14ac:dyDescent="0.35">
      <c r="A2467" s="208"/>
      <c r="B2467" s="91" t="s">
        <v>758</v>
      </c>
      <c r="C2467" s="101" t="s">
        <v>68</v>
      </c>
      <c r="D2467" s="93">
        <v>15000</v>
      </c>
      <c r="E2467" s="94" t="s">
        <v>69</v>
      </c>
      <c r="F2467" s="95"/>
    </row>
    <row r="2468" spans="1:7" s="53" customFormat="1" x14ac:dyDescent="0.35">
      <c r="A2468" s="208"/>
      <c r="B2468" s="102"/>
      <c r="C2468" s="101" t="s">
        <v>70</v>
      </c>
      <c r="D2468" s="103">
        <v>10000</v>
      </c>
      <c r="E2468" s="104"/>
      <c r="F2468" s="105"/>
    </row>
    <row r="2469" spans="1:7" s="53" customFormat="1" x14ac:dyDescent="0.35">
      <c r="A2469" s="208"/>
      <c r="B2469" s="102"/>
      <c r="C2469" s="101" t="s">
        <v>71</v>
      </c>
      <c r="D2469" s="103">
        <v>30000</v>
      </c>
      <c r="E2469" s="104" t="s">
        <v>72</v>
      </c>
      <c r="F2469" s="105"/>
    </row>
    <row r="2470" spans="1:7" s="53" customFormat="1" x14ac:dyDescent="0.35">
      <c r="A2470" s="208"/>
      <c r="B2470" s="102"/>
      <c r="C2470" s="92" t="s">
        <v>73</v>
      </c>
      <c r="D2470" s="106">
        <f>717*140</f>
        <v>100380</v>
      </c>
      <c r="E2470" s="53" t="s">
        <v>791</v>
      </c>
      <c r="F2470" s="105"/>
    </row>
    <row r="2471" spans="1:7" s="53" customFormat="1" ht="15" thickBot="1" x14ac:dyDescent="0.4">
      <c r="A2471" s="208"/>
      <c r="B2471" s="107"/>
      <c r="C2471" s="108"/>
      <c r="D2471" s="109"/>
      <c r="F2471" s="75"/>
    </row>
    <row r="2472" spans="1:7" s="53" customFormat="1" ht="15" thickBot="1" x14ac:dyDescent="0.4">
      <c r="A2472" s="208"/>
      <c r="B2472" s="110"/>
      <c r="C2472" s="111" t="s">
        <v>74</v>
      </c>
      <c r="D2472" s="112">
        <f>SUM(D2459:D2471)</f>
        <v>8189180</v>
      </c>
      <c r="F2472" s="75"/>
    </row>
    <row r="2473" spans="1:7" s="53" customFormat="1" ht="15.5" thickTop="1" thickBot="1" x14ac:dyDescent="0.4">
      <c r="A2473" s="209"/>
      <c r="B2473" s="211"/>
      <c r="C2473" s="211"/>
      <c r="D2473" s="211"/>
      <c r="F2473" s="75"/>
    </row>
    <row r="2474" spans="1:7" s="53" customFormat="1" x14ac:dyDescent="0.35">
      <c r="B2474" s="89"/>
      <c r="C2474" s="53" t="s">
        <v>75</v>
      </c>
      <c r="D2474" s="113">
        <f>D2456-D2472</f>
        <v>6090820</v>
      </c>
      <c r="F2474" s="75"/>
    </row>
    <row r="2475" spans="1:7" s="53" customFormat="1" x14ac:dyDescent="0.35">
      <c r="B2475" s="89"/>
      <c r="D2475" s="113"/>
      <c r="F2475" s="75"/>
    </row>
    <row r="2476" spans="1:7" s="53" customFormat="1" x14ac:dyDescent="0.35">
      <c r="A2476" s="114"/>
      <c r="B2476" s="115"/>
      <c r="C2476" s="114"/>
      <c r="D2476" s="116"/>
      <c r="E2476" s="114"/>
      <c r="F2476" s="117"/>
    </row>
    <row r="2477" spans="1:7" x14ac:dyDescent="0.35">
      <c r="F2477" s="118"/>
    </row>
    <row r="2478" spans="1:7" s="53" customFormat="1" ht="23.5" x14ac:dyDescent="0.55000000000000004">
      <c r="B2478" s="206" t="s">
        <v>0</v>
      </c>
      <c r="C2478" s="206"/>
      <c r="D2478" s="206"/>
      <c r="E2478" s="70"/>
      <c r="F2478" s="71"/>
    </row>
    <row r="2479" spans="1:7" s="53" customFormat="1" ht="20.5" x14ac:dyDescent="0.45">
      <c r="B2479" s="72"/>
      <c r="C2479" s="73" t="s">
        <v>763</v>
      </c>
      <c r="D2479" s="74"/>
      <c r="F2479" s="75"/>
    </row>
    <row r="2480" spans="1:7" s="53" customFormat="1" ht="21" thickBot="1" x14ac:dyDescent="0.5">
      <c r="B2480" s="72" t="s">
        <v>764</v>
      </c>
      <c r="C2480" s="76" t="s">
        <v>47</v>
      </c>
      <c r="D2480" s="74"/>
      <c r="F2480" s="75"/>
    </row>
    <row r="2481" spans="1:7" s="53" customFormat="1" ht="15" thickBot="1" x14ac:dyDescent="0.4">
      <c r="A2481" s="77" t="s">
        <v>48</v>
      </c>
      <c r="B2481" s="78" t="s">
        <v>26</v>
      </c>
      <c r="C2481" s="78" t="s">
        <v>49</v>
      </c>
      <c r="D2481" s="79" t="s">
        <v>29</v>
      </c>
      <c r="F2481" s="75"/>
    </row>
    <row r="2482" spans="1:7" s="53" customFormat="1" ht="14.5" customHeight="1" x14ac:dyDescent="0.35">
      <c r="A2482" s="207" t="s">
        <v>33</v>
      </c>
      <c r="B2482" s="80" t="s">
        <v>750</v>
      </c>
      <c r="C2482" s="81" t="s">
        <v>200</v>
      </c>
      <c r="D2482" s="82">
        <f>F2489</f>
        <v>14280000</v>
      </c>
      <c r="F2482" s="75"/>
    </row>
    <row r="2483" spans="1:7" s="53" customFormat="1" ht="21" thickBot="1" x14ac:dyDescent="0.5">
      <c r="A2483" s="208"/>
      <c r="B2483" s="72"/>
      <c r="C2483" s="72"/>
      <c r="D2483" s="74"/>
      <c r="F2483" s="75"/>
    </row>
    <row r="2484" spans="1:7" s="53" customFormat="1" ht="15" thickBot="1" x14ac:dyDescent="0.4">
      <c r="A2484" s="208"/>
      <c r="B2484" s="83" t="s">
        <v>26</v>
      </c>
      <c r="C2484" s="84" t="s">
        <v>51</v>
      </c>
      <c r="D2484" s="85" t="s">
        <v>52</v>
      </c>
      <c r="F2484" s="75"/>
    </row>
    <row r="2485" spans="1:7" s="89" customFormat="1" x14ac:dyDescent="0.35">
      <c r="A2485" s="208"/>
      <c r="B2485" s="86" t="str">
        <f>B2482</f>
        <v>19th March,2026</v>
      </c>
      <c r="C2485" s="87" t="s">
        <v>951</v>
      </c>
      <c r="D2485" s="88">
        <f>1850*2858</f>
        <v>5287300</v>
      </c>
      <c r="F2485" s="90"/>
    </row>
    <row r="2486" spans="1:7" s="53" customFormat="1" x14ac:dyDescent="0.35">
      <c r="A2486" s="208"/>
      <c r="B2486" s="91"/>
      <c r="C2486" s="92" t="s">
        <v>606</v>
      </c>
      <c r="D2486" s="93">
        <f>325*2500</f>
        <v>812500</v>
      </c>
      <c r="F2486" s="75"/>
    </row>
    <row r="2487" spans="1:7" s="53" customFormat="1" x14ac:dyDescent="0.35">
      <c r="A2487" s="208"/>
      <c r="B2487" s="91" t="s">
        <v>54</v>
      </c>
      <c r="C2487" s="92" t="s">
        <v>55</v>
      </c>
      <c r="D2487" s="93">
        <v>1000000</v>
      </c>
      <c r="F2487" s="75"/>
    </row>
    <row r="2488" spans="1:7" s="53" customFormat="1" x14ac:dyDescent="0.35">
      <c r="A2488" s="208"/>
      <c r="B2488" s="91" t="s">
        <v>56</v>
      </c>
      <c r="C2488" s="92" t="s">
        <v>57</v>
      </c>
      <c r="D2488" s="93">
        <v>40000</v>
      </c>
      <c r="E2488" s="210" t="s">
        <v>58</v>
      </c>
      <c r="F2488" s="210"/>
    </row>
    <row r="2489" spans="1:7" s="53" customFormat="1" x14ac:dyDescent="0.35">
      <c r="A2489" s="208"/>
      <c r="B2489" s="91" t="s">
        <v>59</v>
      </c>
      <c r="C2489" s="92" t="s">
        <v>60</v>
      </c>
      <c r="D2489" s="93">
        <f>700*140</f>
        <v>98000</v>
      </c>
      <c r="E2489" s="94" t="s">
        <v>61</v>
      </c>
      <c r="F2489" s="95">
        <f>5600*2550</f>
        <v>14280000</v>
      </c>
    </row>
    <row r="2490" spans="1:7" s="53" customFormat="1" x14ac:dyDescent="0.35">
      <c r="A2490" s="208"/>
      <c r="B2490" s="91"/>
      <c r="C2490" s="92" t="s">
        <v>62</v>
      </c>
      <c r="D2490" s="93">
        <f>4200*140</f>
        <v>588000</v>
      </c>
      <c r="E2490" s="96" t="s">
        <v>63</v>
      </c>
      <c r="F2490" s="75">
        <f>(2800*2550)</f>
        <v>7140000</v>
      </c>
    </row>
    <row r="2491" spans="1:7" s="53" customFormat="1" ht="15" thickBot="1" x14ac:dyDescent="0.4">
      <c r="A2491" s="208"/>
      <c r="B2491" s="91" t="s">
        <v>64</v>
      </c>
      <c r="C2491" s="92" t="s">
        <v>65</v>
      </c>
      <c r="D2491" s="97">
        <v>30000</v>
      </c>
      <c r="E2491" s="98" t="s">
        <v>66</v>
      </c>
      <c r="F2491" s="99">
        <f>F2489-F2490</f>
        <v>7140000</v>
      </c>
      <c r="G2491" s="100">
        <f>F2491/2550</f>
        <v>2800</v>
      </c>
    </row>
    <row r="2492" spans="1:7" s="53" customFormat="1" ht="15" thickTop="1" x14ac:dyDescent="0.35">
      <c r="A2492" s="208"/>
      <c r="B2492" s="91"/>
      <c r="C2492" s="92" t="s">
        <v>67</v>
      </c>
      <c r="D2492" s="93">
        <v>150000</v>
      </c>
      <c r="F2492" s="75"/>
    </row>
    <row r="2493" spans="1:7" s="53" customFormat="1" x14ac:dyDescent="0.35">
      <c r="A2493" s="208"/>
      <c r="B2493" s="91" t="s">
        <v>759</v>
      </c>
      <c r="C2493" s="101" t="s">
        <v>68</v>
      </c>
      <c r="D2493" s="93">
        <v>15000</v>
      </c>
      <c r="E2493" s="94" t="s">
        <v>69</v>
      </c>
      <c r="F2493" s="95"/>
    </row>
    <row r="2494" spans="1:7" s="53" customFormat="1" x14ac:dyDescent="0.35">
      <c r="A2494" s="208"/>
      <c r="B2494" s="102"/>
      <c r="C2494" s="101" t="s">
        <v>70</v>
      </c>
      <c r="D2494" s="103">
        <v>10000</v>
      </c>
      <c r="E2494" s="104"/>
      <c r="F2494" s="105"/>
    </row>
    <row r="2495" spans="1:7" s="53" customFormat="1" x14ac:dyDescent="0.35">
      <c r="A2495" s="208"/>
      <c r="B2495" s="102"/>
      <c r="C2495" s="101" t="s">
        <v>71</v>
      </c>
      <c r="D2495" s="103">
        <v>20000</v>
      </c>
      <c r="E2495" s="104" t="s">
        <v>72</v>
      </c>
      <c r="F2495" s="105"/>
    </row>
    <row r="2496" spans="1:7" s="53" customFormat="1" x14ac:dyDescent="0.35">
      <c r="A2496" s="208"/>
      <c r="B2496" s="102"/>
      <c r="C2496" s="92" t="s">
        <v>73</v>
      </c>
      <c r="D2496" s="106">
        <f>717*140</f>
        <v>100380</v>
      </c>
      <c r="E2496" s="53" t="s">
        <v>789</v>
      </c>
      <c r="F2496" s="105"/>
    </row>
    <row r="2497" spans="1:6" s="53" customFormat="1" ht="15" thickBot="1" x14ac:dyDescent="0.4">
      <c r="A2497" s="208"/>
      <c r="B2497" s="107"/>
      <c r="C2497" s="108"/>
      <c r="D2497" s="109"/>
      <c r="F2497" s="75"/>
    </row>
    <row r="2498" spans="1:6" s="53" customFormat="1" ht="15" thickBot="1" x14ac:dyDescent="0.4">
      <c r="A2498" s="208"/>
      <c r="B2498" s="110"/>
      <c r="C2498" s="111" t="s">
        <v>74</v>
      </c>
      <c r="D2498" s="112">
        <f>SUM(D2485:D2497)</f>
        <v>8151180</v>
      </c>
      <c r="F2498" s="75"/>
    </row>
    <row r="2499" spans="1:6" s="53" customFormat="1" ht="15.5" thickTop="1" thickBot="1" x14ac:dyDescent="0.4">
      <c r="A2499" s="209"/>
      <c r="B2499" s="211"/>
      <c r="C2499" s="211"/>
      <c r="D2499" s="211"/>
      <c r="F2499" s="75"/>
    </row>
    <row r="2500" spans="1:6" s="53" customFormat="1" x14ac:dyDescent="0.35">
      <c r="B2500" s="89"/>
      <c r="C2500" s="53" t="s">
        <v>75</v>
      </c>
      <c r="D2500" s="113">
        <f>D2482-D2498</f>
        <v>6128820</v>
      </c>
      <c r="F2500" s="75"/>
    </row>
    <row r="2501" spans="1:6" s="53" customFormat="1" x14ac:dyDescent="0.35">
      <c r="B2501" s="89"/>
      <c r="D2501" s="113"/>
      <c r="F2501" s="75"/>
    </row>
    <row r="2502" spans="1:6" s="53" customFormat="1" x14ac:dyDescent="0.35">
      <c r="A2502" s="114"/>
      <c r="B2502" s="115"/>
      <c r="C2502" s="114"/>
      <c r="D2502" s="116"/>
      <c r="E2502" s="114"/>
      <c r="F2502" s="117"/>
    </row>
    <row r="2504" spans="1:6" s="53" customFormat="1" ht="23.5" x14ac:dyDescent="0.55000000000000004">
      <c r="B2504" s="206" t="s">
        <v>0</v>
      </c>
      <c r="C2504" s="206"/>
      <c r="D2504" s="206"/>
      <c r="E2504" s="70"/>
      <c r="F2504" s="71"/>
    </row>
    <row r="2505" spans="1:6" s="53" customFormat="1" ht="20.5" x14ac:dyDescent="0.45">
      <c r="B2505" s="72"/>
      <c r="C2505" s="73" t="s">
        <v>765</v>
      </c>
      <c r="D2505" s="74"/>
      <c r="F2505" s="75"/>
    </row>
    <row r="2506" spans="1:6" s="53" customFormat="1" ht="21" thickBot="1" x14ac:dyDescent="0.5">
      <c r="B2506" s="72" t="s">
        <v>525</v>
      </c>
      <c r="C2506" s="76" t="s">
        <v>47</v>
      </c>
      <c r="D2506" s="74"/>
      <c r="F2506" s="75"/>
    </row>
    <row r="2507" spans="1:6" s="53" customFormat="1" ht="15" thickBot="1" x14ac:dyDescent="0.4">
      <c r="A2507" s="77" t="s">
        <v>48</v>
      </c>
      <c r="B2507" s="78" t="s">
        <v>26</v>
      </c>
      <c r="C2507" s="78" t="s">
        <v>49</v>
      </c>
      <c r="D2507" s="79" t="s">
        <v>29</v>
      </c>
      <c r="F2507" s="75"/>
    </row>
    <row r="2508" spans="1:6" s="53" customFormat="1" ht="14.5" customHeight="1" x14ac:dyDescent="0.35">
      <c r="A2508" s="207" t="s">
        <v>33</v>
      </c>
      <c r="B2508" s="80" t="s">
        <v>750</v>
      </c>
      <c r="C2508" s="81" t="s">
        <v>200</v>
      </c>
      <c r="D2508" s="82">
        <f>F2515</f>
        <v>14280000</v>
      </c>
      <c r="F2508" s="75"/>
    </row>
    <row r="2509" spans="1:6" s="53" customFormat="1" ht="21" thickBot="1" x14ac:dyDescent="0.5">
      <c r="A2509" s="208"/>
      <c r="B2509" s="72"/>
      <c r="C2509" s="72"/>
      <c r="D2509" s="74"/>
      <c r="F2509" s="75"/>
    </row>
    <row r="2510" spans="1:6" s="53" customFormat="1" ht="15" thickBot="1" x14ac:dyDescent="0.4">
      <c r="A2510" s="208"/>
      <c r="B2510" s="83" t="s">
        <v>26</v>
      </c>
      <c r="C2510" s="84" t="s">
        <v>51</v>
      </c>
      <c r="D2510" s="85" t="s">
        <v>52</v>
      </c>
      <c r="F2510" s="75"/>
    </row>
    <row r="2511" spans="1:6" s="89" customFormat="1" x14ac:dyDescent="0.35">
      <c r="A2511" s="208"/>
      <c r="B2511" s="86" t="str">
        <f>B2508</f>
        <v>19th March,2026</v>
      </c>
      <c r="C2511" s="87" t="s">
        <v>951</v>
      </c>
      <c r="D2511" s="88">
        <f>1850*2858</f>
        <v>5287300</v>
      </c>
      <c r="F2511" s="90"/>
    </row>
    <row r="2512" spans="1:6" s="53" customFormat="1" x14ac:dyDescent="0.35">
      <c r="A2512" s="208"/>
      <c r="B2512" s="91"/>
      <c r="C2512" s="92" t="s">
        <v>606</v>
      </c>
      <c r="D2512" s="93">
        <f>325*2500</f>
        <v>812500</v>
      </c>
      <c r="F2512" s="75"/>
    </row>
    <row r="2513" spans="1:7" s="53" customFormat="1" x14ac:dyDescent="0.35">
      <c r="A2513" s="208"/>
      <c r="B2513" s="91" t="s">
        <v>54</v>
      </c>
      <c r="C2513" s="92" t="s">
        <v>55</v>
      </c>
      <c r="D2513" s="93">
        <v>1000000</v>
      </c>
      <c r="F2513" s="75"/>
    </row>
    <row r="2514" spans="1:7" s="53" customFormat="1" x14ac:dyDescent="0.35">
      <c r="A2514" s="208"/>
      <c r="B2514" s="91" t="s">
        <v>56</v>
      </c>
      <c r="C2514" s="92" t="s">
        <v>57</v>
      </c>
      <c r="D2514" s="93">
        <v>40000</v>
      </c>
      <c r="E2514" s="210" t="s">
        <v>58</v>
      </c>
      <c r="F2514" s="210"/>
    </row>
    <row r="2515" spans="1:7" s="53" customFormat="1" x14ac:dyDescent="0.35">
      <c r="A2515" s="208"/>
      <c r="B2515" s="91" t="s">
        <v>59</v>
      </c>
      <c r="C2515" s="92" t="s">
        <v>60</v>
      </c>
      <c r="D2515" s="93">
        <f>900*140</f>
        <v>126000</v>
      </c>
      <c r="E2515" s="94" t="s">
        <v>61</v>
      </c>
      <c r="F2515" s="95">
        <f>5600*2550</f>
        <v>14280000</v>
      </c>
    </row>
    <row r="2516" spans="1:7" s="53" customFormat="1" x14ac:dyDescent="0.35">
      <c r="A2516" s="208"/>
      <c r="B2516" s="91"/>
      <c r="C2516" s="92" t="s">
        <v>62</v>
      </c>
      <c r="D2516" s="93">
        <f>4200*140</f>
        <v>588000</v>
      </c>
      <c r="E2516" s="96" t="s">
        <v>63</v>
      </c>
      <c r="F2516" s="75">
        <f>(2800*2550)</f>
        <v>7140000</v>
      </c>
    </row>
    <row r="2517" spans="1:7" s="53" customFormat="1" ht="15" thickBot="1" x14ac:dyDescent="0.4">
      <c r="A2517" s="208"/>
      <c r="B2517" s="91" t="s">
        <v>64</v>
      </c>
      <c r="C2517" s="92" t="s">
        <v>65</v>
      </c>
      <c r="D2517" s="97">
        <v>30000</v>
      </c>
      <c r="E2517" s="98" t="s">
        <v>66</v>
      </c>
      <c r="F2517" s="99">
        <f>F2515-F2516</f>
        <v>7140000</v>
      </c>
      <c r="G2517" s="100">
        <f>F2517/2550</f>
        <v>2800</v>
      </c>
    </row>
    <row r="2518" spans="1:7" s="53" customFormat="1" ht="15" thickTop="1" x14ac:dyDescent="0.35">
      <c r="A2518" s="208"/>
      <c r="B2518" s="91"/>
      <c r="C2518" s="92" t="s">
        <v>67</v>
      </c>
      <c r="D2518" s="93">
        <v>150000</v>
      </c>
      <c r="F2518" s="75"/>
    </row>
    <row r="2519" spans="1:7" s="53" customFormat="1" x14ac:dyDescent="0.35">
      <c r="A2519" s="208"/>
      <c r="B2519" s="91" t="s">
        <v>760</v>
      </c>
      <c r="C2519" s="101" t="s">
        <v>68</v>
      </c>
      <c r="D2519" s="93">
        <v>15000</v>
      </c>
      <c r="E2519" s="94" t="s">
        <v>69</v>
      </c>
      <c r="F2519" s="95"/>
    </row>
    <row r="2520" spans="1:7" s="53" customFormat="1" x14ac:dyDescent="0.35">
      <c r="A2520" s="208"/>
      <c r="B2520" s="102"/>
      <c r="C2520" s="101" t="s">
        <v>70</v>
      </c>
      <c r="D2520" s="103">
        <v>10000</v>
      </c>
      <c r="E2520" s="104"/>
      <c r="F2520" s="105"/>
    </row>
    <row r="2521" spans="1:7" s="53" customFormat="1" x14ac:dyDescent="0.35">
      <c r="A2521" s="208"/>
      <c r="B2521" s="102"/>
      <c r="C2521" s="101" t="s">
        <v>71</v>
      </c>
      <c r="D2521" s="103">
        <v>30000</v>
      </c>
      <c r="E2521" s="104" t="s">
        <v>72</v>
      </c>
      <c r="F2521" s="105"/>
    </row>
    <row r="2522" spans="1:7" s="53" customFormat="1" x14ac:dyDescent="0.35">
      <c r="A2522" s="208"/>
      <c r="B2522" s="102"/>
      <c r="C2522" s="92" t="s">
        <v>73</v>
      </c>
      <c r="D2522" s="106">
        <f>717*140</f>
        <v>100380</v>
      </c>
      <c r="E2522" s="53" t="s">
        <v>791</v>
      </c>
      <c r="F2522" s="105"/>
    </row>
    <row r="2523" spans="1:7" s="53" customFormat="1" ht="15" thickBot="1" x14ac:dyDescent="0.4">
      <c r="A2523" s="208"/>
      <c r="B2523" s="107"/>
      <c r="C2523" s="108"/>
      <c r="D2523" s="109"/>
      <c r="F2523" s="75"/>
    </row>
    <row r="2524" spans="1:7" s="53" customFormat="1" ht="15" thickBot="1" x14ac:dyDescent="0.4">
      <c r="A2524" s="208"/>
      <c r="B2524" s="110"/>
      <c r="C2524" s="111" t="s">
        <v>74</v>
      </c>
      <c r="D2524" s="112">
        <f>SUM(D2511:D2523)</f>
        <v>8189180</v>
      </c>
      <c r="F2524" s="75"/>
    </row>
    <row r="2525" spans="1:7" s="53" customFormat="1" ht="15.5" thickTop="1" thickBot="1" x14ac:dyDescent="0.4">
      <c r="A2525" s="209"/>
      <c r="B2525" s="211"/>
      <c r="C2525" s="211"/>
      <c r="D2525" s="211"/>
      <c r="F2525" s="75"/>
    </row>
    <row r="2526" spans="1:7" s="53" customFormat="1" x14ac:dyDescent="0.35">
      <c r="B2526" s="89"/>
      <c r="C2526" s="53" t="s">
        <v>75</v>
      </c>
      <c r="D2526" s="113">
        <f>D2508-D2524</f>
        <v>6090820</v>
      </c>
      <c r="F2526" s="75"/>
    </row>
    <row r="2527" spans="1:7" s="53" customFormat="1" x14ac:dyDescent="0.35">
      <c r="B2527" s="89"/>
      <c r="D2527" s="113"/>
      <c r="F2527" s="75"/>
    </row>
    <row r="2528" spans="1:7" s="53" customFormat="1" x14ac:dyDescent="0.35">
      <c r="A2528" s="114"/>
      <c r="B2528" s="115"/>
      <c r="C2528" s="114"/>
      <c r="D2528" s="116"/>
      <c r="E2528" s="114"/>
      <c r="F2528" s="117"/>
    </row>
    <row r="2530" spans="1:7" s="53" customFormat="1" ht="23.5" x14ac:dyDescent="0.55000000000000004">
      <c r="B2530" s="206" t="s">
        <v>0</v>
      </c>
      <c r="C2530" s="206"/>
      <c r="D2530" s="206"/>
      <c r="E2530" s="70"/>
      <c r="F2530" s="71"/>
    </row>
    <row r="2531" spans="1:7" s="53" customFormat="1" ht="20.5" x14ac:dyDescent="0.45">
      <c r="B2531" s="72"/>
      <c r="C2531" s="73" t="s">
        <v>768</v>
      </c>
      <c r="D2531" s="74"/>
      <c r="F2531" s="75"/>
    </row>
    <row r="2532" spans="1:7" s="53" customFormat="1" ht="21" thickBot="1" x14ac:dyDescent="0.5">
      <c r="B2532" s="72" t="s">
        <v>496</v>
      </c>
      <c r="C2532" s="76" t="s">
        <v>47</v>
      </c>
      <c r="D2532" s="74"/>
      <c r="F2532" s="75"/>
    </row>
    <row r="2533" spans="1:7" s="53" customFormat="1" ht="15" thickBot="1" x14ac:dyDescent="0.4">
      <c r="A2533" s="77" t="s">
        <v>48</v>
      </c>
      <c r="B2533" s="78" t="s">
        <v>26</v>
      </c>
      <c r="C2533" s="78" t="s">
        <v>49</v>
      </c>
      <c r="D2533" s="79" t="s">
        <v>29</v>
      </c>
      <c r="F2533" s="75"/>
    </row>
    <row r="2534" spans="1:7" s="53" customFormat="1" ht="14.5" customHeight="1" x14ac:dyDescent="0.35">
      <c r="A2534" s="207" t="s">
        <v>33</v>
      </c>
      <c r="B2534" s="80" t="s">
        <v>750</v>
      </c>
      <c r="C2534" s="81" t="s">
        <v>200</v>
      </c>
      <c r="D2534" s="82">
        <f>F2541</f>
        <v>14280000</v>
      </c>
      <c r="F2534" s="75"/>
    </row>
    <row r="2535" spans="1:7" s="53" customFormat="1" ht="21" thickBot="1" x14ac:dyDescent="0.5">
      <c r="A2535" s="208"/>
      <c r="B2535" s="72"/>
      <c r="C2535" s="72"/>
      <c r="D2535" s="74"/>
      <c r="F2535" s="75"/>
    </row>
    <row r="2536" spans="1:7" s="53" customFormat="1" ht="15" thickBot="1" x14ac:dyDescent="0.4">
      <c r="A2536" s="208"/>
      <c r="B2536" s="83" t="s">
        <v>26</v>
      </c>
      <c r="C2536" s="84" t="s">
        <v>51</v>
      </c>
      <c r="D2536" s="85" t="s">
        <v>52</v>
      </c>
      <c r="F2536" s="75"/>
    </row>
    <row r="2537" spans="1:7" s="89" customFormat="1" x14ac:dyDescent="0.35">
      <c r="A2537" s="208"/>
      <c r="B2537" s="86" t="str">
        <f>B2534</f>
        <v>19th March,2026</v>
      </c>
      <c r="C2537" s="87" t="s">
        <v>951</v>
      </c>
      <c r="D2537" s="88">
        <f>1850*2858</f>
        <v>5287300</v>
      </c>
      <c r="F2537" s="90"/>
    </row>
    <row r="2538" spans="1:7" s="53" customFormat="1" x14ac:dyDescent="0.35">
      <c r="A2538" s="208"/>
      <c r="B2538" s="91"/>
      <c r="C2538" s="92" t="s">
        <v>606</v>
      </c>
      <c r="D2538" s="93">
        <f>325*2500</f>
        <v>812500</v>
      </c>
      <c r="F2538" s="75"/>
    </row>
    <row r="2539" spans="1:7" s="53" customFormat="1" x14ac:dyDescent="0.35">
      <c r="A2539" s="208"/>
      <c r="B2539" s="91" t="s">
        <v>54</v>
      </c>
      <c r="C2539" s="92" t="s">
        <v>55</v>
      </c>
      <c r="D2539" s="93">
        <v>1000000</v>
      </c>
      <c r="F2539" s="75"/>
    </row>
    <row r="2540" spans="1:7" s="53" customFormat="1" x14ac:dyDescent="0.35">
      <c r="A2540" s="208"/>
      <c r="B2540" s="91" t="s">
        <v>56</v>
      </c>
      <c r="C2540" s="92" t="s">
        <v>57</v>
      </c>
      <c r="D2540" s="93">
        <v>40000</v>
      </c>
      <c r="E2540" s="210" t="s">
        <v>58</v>
      </c>
      <c r="F2540" s="210"/>
    </row>
    <row r="2541" spans="1:7" s="53" customFormat="1" x14ac:dyDescent="0.35">
      <c r="A2541" s="208"/>
      <c r="B2541" s="91" t="s">
        <v>59</v>
      </c>
      <c r="C2541" s="92" t="s">
        <v>60</v>
      </c>
      <c r="D2541" s="93">
        <f>700*140</f>
        <v>98000</v>
      </c>
      <c r="E2541" s="94" t="s">
        <v>61</v>
      </c>
      <c r="F2541" s="95">
        <f>5600*2550</f>
        <v>14280000</v>
      </c>
    </row>
    <row r="2542" spans="1:7" s="53" customFormat="1" x14ac:dyDescent="0.35">
      <c r="A2542" s="208"/>
      <c r="B2542" s="91"/>
      <c r="C2542" s="92" t="s">
        <v>62</v>
      </c>
      <c r="D2542" s="93">
        <f>4200*140</f>
        <v>588000</v>
      </c>
      <c r="E2542" s="96" t="s">
        <v>63</v>
      </c>
      <c r="F2542" s="75">
        <f>(2800*2550)</f>
        <v>7140000</v>
      </c>
    </row>
    <row r="2543" spans="1:7" s="53" customFormat="1" ht="15" thickBot="1" x14ac:dyDescent="0.4">
      <c r="A2543" s="208"/>
      <c r="B2543" s="91" t="s">
        <v>64</v>
      </c>
      <c r="C2543" s="92" t="s">
        <v>65</v>
      </c>
      <c r="D2543" s="97">
        <v>30000</v>
      </c>
      <c r="E2543" s="98" t="s">
        <v>66</v>
      </c>
      <c r="F2543" s="99">
        <f>F2541-F2542</f>
        <v>7140000</v>
      </c>
      <c r="G2543" s="100">
        <f>F2543/2550</f>
        <v>2800</v>
      </c>
    </row>
    <row r="2544" spans="1:7" s="53" customFormat="1" ht="15" thickTop="1" x14ac:dyDescent="0.35">
      <c r="A2544" s="208"/>
      <c r="B2544" s="91"/>
      <c r="C2544" s="92" t="s">
        <v>67</v>
      </c>
      <c r="D2544" s="93">
        <v>150000</v>
      </c>
      <c r="F2544" s="75"/>
    </row>
    <row r="2545" spans="1:6" s="53" customFormat="1" x14ac:dyDescent="0.35">
      <c r="A2545" s="208"/>
      <c r="B2545" s="91" t="s">
        <v>767</v>
      </c>
      <c r="C2545" s="101" t="s">
        <v>68</v>
      </c>
      <c r="D2545" s="93">
        <v>15000</v>
      </c>
      <c r="E2545" s="94" t="s">
        <v>69</v>
      </c>
      <c r="F2545" s="95"/>
    </row>
    <row r="2546" spans="1:6" s="53" customFormat="1" x14ac:dyDescent="0.35">
      <c r="A2546" s="208"/>
      <c r="B2546" s="102"/>
      <c r="C2546" s="101" t="s">
        <v>70</v>
      </c>
      <c r="D2546" s="103">
        <v>10000</v>
      </c>
      <c r="E2546" s="104"/>
      <c r="F2546" s="105"/>
    </row>
    <row r="2547" spans="1:6" s="53" customFormat="1" x14ac:dyDescent="0.35">
      <c r="A2547" s="208"/>
      <c r="B2547" s="102"/>
      <c r="C2547" s="101" t="s">
        <v>71</v>
      </c>
      <c r="D2547" s="103">
        <v>20000</v>
      </c>
      <c r="E2547" s="104" t="s">
        <v>72</v>
      </c>
      <c r="F2547" s="105"/>
    </row>
    <row r="2548" spans="1:6" s="53" customFormat="1" x14ac:dyDescent="0.35">
      <c r="A2548" s="208"/>
      <c r="B2548" s="102"/>
      <c r="C2548" s="92" t="s">
        <v>73</v>
      </c>
      <c r="D2548" s="106">
        <f>717*140</f>
        <v>100380</v>
      </c>
      <c r="E2548" s="53" t="s">
        <v>789</v>
      </c>
      <c r="F2548" s="105"/>
    </row>
    <row r="2549" spans="1:6" s="53" customFormat="1" ht="15" thickBot="1" x14ac:dyDescent="0.4">
      <c r="A2549" s="208"/>
      <c r="B2549" s="107"/>
      <c r="C2549" s="108"/>
      <c r="D2549" s="109"/>
      <c r="F2549" s="75"/>
    </row>
    <row r="2550" spans="1:6" s="53" customFormat="1" ht="15" thickBot="1" x14ac:dyDescent="0.4">
      <c r="A2550" s="208"/>
      <c r="B2550" s="110"/>
      <c r="C2550" s="111" t="s">
        <v>74</v>
      </c>
      <c r="D2550" s="112">
        <f>SUM(D2537:D2549)</f>
        <v>8151180</v>
      </c>
      <c r="F2550" s="75"/>
    </row>
    <row r="2551" spans="1:6" s="53" customFormat="1" ht="15.5" thickTop="1" thickBot="1" x14ac:dyDescent="0.4">
      <c r="A2551" s="209"/>
      <c r="B2551" s="211"/>
      <c r="C2551" s="211"/>
      <c r="D2551" s="211"/>
      <c r="F2551" s="75"/>
    </row>
    <row r="2552" spans="1:6" s="53" customFormat="1" x14ac:dyDescent="0.35">
      <c r="B2552" s="89"/>
      <c r="C2552" s="53" t="s">
        <v>75</v>
      </c>
      <c r="D2552" s="113">
        <f>D2534-D2550</f>
        <v>6128820</v>
      </c>
      <c r="F2552" s="75"/>
    </row>
    <row r="2553" spans="1:6" s="53" customFormat="1" x14ac:dyDescent="0.35">
      <c r="B2553" s="89"/>
      <c r="D2553" s="113"/>
      <c r="F2553" s="75"/>
    </row>
    <row r="2554" spans="1:6" s="53" customFormat="1" x14ac:dyDescent="0.35">
      <c r="A2554" s="114"/>
      <c r="B2554" s="115"/>
      <c r="C2554" s="114"/>
      <c r="D2554" s="116"/>
      <c r="E2554" s="114"/>
      <c r="F2554" s="117"/>
    </row>
    <row r="2556" spans="1:6" s="53" customFormat="1" ht="23.5" x14ac:dyDescent="0.55000000000000004">
      <c r="B2556" s="206" t="s">
        <v>0</v>
      </c>
      <c r="C2556" s="206"/>
      <c r="D2556" s="206"/>
      <c r="E2556" s="70"/>
      <c r="F2556" s="71"/>
    </row>
    <row r="2557" spans="1:6" s="53" customFormat="1" ht="20.5" x14ac:dyDescent="0.45">
      <c r="B2557" s="72"/>
      <c r="C2557" s="73" t="s">
        <v>793</v>
      </c>
      <c r="D2557" s="74"/>
      <c r="F2557" s="75"/>
    </row>
    <row r="2558" spans="1:6" s="53" customFormat="1" ht="21" thickBot="1" x14ac:dyDescent="0.5">
      <c r="B2558" s="72" t="s">
        <v>794</v>
      </c>
      <c r="C2558" s="76" t="s">
        <v>47</v>
      </c>
      <c r="D2558" s="74"/>
      <c r="F2558" s="75"/>
    </row>
    <row r="2559" spans="1:6" s="53" customFormat="1" ht="15" thickBot="1" x14ac:dyDescent="0.4">
      <c r="A2559" s="77" t="s">
        <v>48</v>
      </c>
      <c r="B2559" s="78" t="s">
        <v>26</v>
      </c>
      <c r="C2559" s="78" t="s">
        <v>49</v>
      </c>
      <c r="D2559" s="79" t="s">
        <v>29</v>
      </c>
      <c r="F2559" s="75"/>
    </row>
    <row r="2560" spans="1:6" s="53" customFormat="1" ht="14.5" customHeight="1" x14ac:dyDescent="0.35">
      <c r="A2560" s="207" t="s">
        <v>33</v>
      </c>
      <c r="B2560" s="80" t="s">
        <v>795</v>
      </c>
      <c r="C2560" s="81" t="s">
        <v>200</v>
      </c>
      <c r="D2560" s="82">
        <f>F2567</f>
        <v>14280000</v>
      </c>
      <c r="F2560" s="75"/>
    </row>
    <row r="2561" spans="1:7" s="53" customFormat="1" ht="21" thickBot="1" x14ac:dyDescent="0.5">
      <c r="A2561" s="208"/>
      <c r="B2561" s="72"/>
      <c r="C2561" s="72"/>
      <c r="D2561" s="74"/>
      <c r="F2561" s="75"/>
    </row>
    <row r="2562" spans="1:7" s="53" customFormat="1" ht="15" thickBot="1" x14ac:dyDescent="0.4">
      <c r="A2562" s="208"/>
      <c r="B2562" s="83" t="s">
        <v>26</v>
      </c>
      <c r="C2562" s="84" t="s">
        <v>51</v>
      </c>
      <c r="D2562" s="85" t="s">
        <v>52</v>
      </c>
      <c r="F2562" s="75"/>
    </row>
    <row r="2563" spans="1:7" s="89" customFormat="1" x14ac:dyDescent="0.35">
      <c r="A2563" s="208"/>
      <c r="B2563" s="86" t="str">
        <f>B2560</f>
        <v>30th March,2026</v>
      </c>
      <c r="C2563" s="87" t="s">
        <v>154</v>
      </c>
      <c r="D2563" s="88"/>
      <c r="F2563" s="90"/>
    </row>
    <row r="2564" spans="1:7" s="53" customFormat="1" x14ac:dyDescent="0.35">
      <c r="A2564" s="208"/>
      <c r="B2564" s="91"/>
      <c r="C2564" s="92" t="s">
        <v>606</v>
      </c>
      <c r="D2564" s="93">
        <f>325*2500</f>
        <v>812500</v>
      </c>
      <c r="F2564" s="75"/>
    </row>
    <row r="2565" spans="1:7" s="53" customFormat="1" x14ac:dyDescent="0.35">
      <c r="A2565" s="208"/>
      <c r="B2565" s="91" t="s">
        <v>54</v>
      </c>
      <c r="C2565" s="92" t="s">
        <v>55</v>
      </c>
      <c r="D2565" s="93">
        <v>1000000</v>
      </c>
      <c r="F2565" s="75"/>
    </row>
    <row r="2566" spans="1:7" s="53" customFormat="1" x14ac:dyDescent="0.35">
      <c r="A2566" s="208"/>
      <c r="B2566" s="91" t="s">
        <v>56</v>
      </c>
      <c r="C2566" s="92" t="s">
        <v>57</v>
      </c>
      <c r="D2566" s="93">
        <v>40000</v>
      </c>
      <c r="E2566" s="210" t="s">
        <v>58</v>
      </c>
      <c r="F2566" s="210"/>
    </row>
    <row r="2567" spans="1:7" s="53" customFormat="1" x14ac:dyDescent="0.35">
      <c r="A2567" s="208"/>
      <c r="B2567" s="91" t="s">
        <v>59</v>
      </c>
      <c r="C2567" s="92" t="s">
        <v>60</v>
      </c>
      <c r="D2567" s="93">
        <f>400*140</f>
        <v>56000</v>
      </c>
      <c r="E2567" s="94" t="s">
        <v>61</v>
      </c>
      <c r="F2567" s="95">
        <f>5600*2550</f>
        <v>14280000</v>
      </c>
    </row>
    <row r="2568" spans="1:7" s="53" customFormat="1" x14ac:dyDescent="0.35">
      <c r="A2568" s="208"/>
      <c r="B2568" s="91"/>
      <c r="C2568" s="92" t="s">
        <v>62</v>
      </c>
      <c r="D2568" s="93">
        <f>3600*140</f>
        <v>504000</v>
      </c>
      <c r="E2568" s="96" t="s">
        <v>63</v>
      </c>
      <c r="F2568" s="75">
        <f>(2800*2550)</f>
        <v>7140000</v>
      </c>
    </row>
    <row r="2569" spans="1:7" s="53" customFormat="1" ht="15" thickBot="1" x14ac:dyDescent="0.4">
      <c r="A2569" s="208"/>
      <c r="B2569" s="91" t="s">
        <v>64</v>
      </c>
      <c r="C2569" s="92" t="s">
        <v>65</v>
      </c>
      <c r="D2569" s="97">
        <v>30000</v>
      </c>
      <c r="E2569" s="98" t="s">
        <v>66</v>
      </c>
      <c r="F2569" s="99">
        <f>F2567-F2568</f>
        <v>7140000</v>
      </c>
      <c r="G2569" s="100">
        <f>F2569/2550</f>
        <v>2800</v>
      </c>
    </row>
    <row r="2570" spans="1:7" s="53" customFormat="1" ht="15" thickTop="1" x14ac:dyDescent="0.35">
      <c r="A2570" s="208"/>
      <c r="B2570" s="91"/>
      <c r="C2570" s="92" t="s">
        <v>67</v>
      </c>
      <c r="D2570" s="93">
        <v>0</v>
      </c>
      <c r="F2570" s="75"/>
    </row>
    <row r="2571" spans="1:7" s="53" customFormat="1" x14ac:dyDescent="0.35">
      <c r="A2571" s="208"/>
      <c r="B2571" s="91" t="s">
        <v>792</v>
      </c>
      <c r="C2571" s="101" t="s">
        <v>68</v>
      </c>
      <c r="D2571" s="93">
        <v>15000</v>
      </c>
      <c r="E2571" s="94" t="s">
        <v>69</v>
      </c>
      <c r="F2571" s="95"/>
    </row>
    <row r="2572" spans="1:7" s="53" customFormat="1" x14ac:dyDescent="0.35">
      <c r="A2572" s="208"/>
      <c r="B2572" s="102"/>
      <c r="C2572" s="101" t="s">
        <v>70</v>
      </c>
      <c r="D2572" s="103">
        <v>0</v>
      </c>
      <c r="E2572" s="104"/>
      <c r="F2572" s="105"/>
    </row>
    <row r="2573" spans="1:7" s="53" customFormat="1" x14ac:dyDescent="0.35">
      <c r="A2573" s="208"/>
      <c r="B2573" s="102"/>
      <c r="C2573" s="101" t="s">
        <v>71</v>
      </c>
      <c r="D2573" s="103">
        <v>0</v>
      </c>
      <c r="E2573" s="104" t="s">
        <v>72</v>
      </c>
      <c r="F2573" s="105"/>
    </row>
    <row r="2574" spans="1:7" s="53" customFormat="1" x14ac:dyDescent="0.35">
      <c r="A2574" s="208"/>
      <c r="B2574" s="102"/>
      <c r="C2574" s="92"/>
      <c r="D2574" s="106"/>
      <c r="E2574" s="53" t="s">
        <v>817</v>
      </c>
      <c r="F2574" s="105"/>
    </row>
    <row r="2575" spans="1:7" s="53" customFormat="1" ht="15" thickBot="1" x14ac:dyDescent="0.4">
      <c r="A2575" s="208"/>
      <c r="B2575" s="107"/>
      <c r="C2575" s="108"/>
      <c r="D2575" s="109"/>
      <c r="F2575" s="75"/>
    </row>
    <row r="2576" spans="1:7" s="53" customFormat="1" ht="15" thickBot="1" x14ac:dyDescent="0.4">
      <c r="A2576" s="208"/>
      <c r="B2576" s="110"/>
      <c r="C2576" s="111" t="s">
        <v>74</v>
      </c>
      <c r="D2576" s="112">
        <f>SUM(D2563:D2575)</f>
        <v>2457500</v>
      </c>
      <c r="F2576" s="75"/>
    </row>
    <row r="2577" spans="1:6" s="53" customFormat="1" ht="15.5" thickTop="1" thickBot="1" x14ac:dyDescent="0.4">
      <c r="A2577" s="209"/>
      <c r="B2577" s="211"/>
      <c r="C2577" s="211"/>
      <c r="D2577" s="211"/>
      <c r="F2577" s="75"/>
    </row>
    <row r="2578" spans="1:6" s="53" customFormat="1" x14ac:dyDescent="0.35">
      <c r="B2578" s="89"/>
      <c r="C2578" s="53" t="s">
        <v>75</v>
      </c>
      <c r="D2578" s="113">
        <f>D2560-D2576</f>
        <v>11822500</v>
      </c>
      <c r="F2578" s="75"/>
    </row>
    <row r="2579" spans="1:6" s="53" customFormat="1" x14ac:dyDescent="0.35">
      <c r="B2579" s="89"/>
      <c r="D2579" s="113"/>
      <c r="F2579" s="75"/>
    </row>
    <row r="2580" spans="1:6" s="53" customFormat="1" x14ac:dyDescent="0.35">
      <c r="A2580" s="114"/>
      <c r="B2580" s="115"/>
      <c r="C2580" s="114"/>
      <c r="D2580" s="116"/>
      <c r="E2580" s="114"/>
      <c r="F2580" s="117"/>
    </row>
    <row r="2582" spans="1:6" s="53" customFormat="1" ht="23.5" x14ac:dyDescent="0.55000000000000004">
      <c r="B2582" s="206" t="s">
        <v>0</v>
      </c>
      <c r="C2582" s="206"/>
      <c r="D2582" s="206"/>
      <c r="E2582" s="70"/>
      <c r="F2582" s="71"/>
    </row>
    <row r="2583" spans="1:6" s="53" customFormat="1" ht="20.5" x14ac:dyDescent="0.45">
      <c r="B2583" s="72"/>
      <c r="C2583" s="73" t="s">
        <v>779</v>
      </c>
      <c r="D2583" s="74"/>
      <c r="F2583" s="75"/>
    </row>
    <row r="2584" spans="1:6" s="53" customFormat="1" ht="21" thickBot="1" x14ac:dyDescent="0.5">
      <c r="B2584" s="72" t="s">
        <v>105</v>
      </c>
      <c r="C2584" s="76" t="s">
        <v>47</v>
      </c>
      <c r="D2584" s="74"/>
      <c r="F2584" s="75"/>
    </row>
    <row r="2585" spans="1:6" s="53" customFormat="1" ht="15" thickBot="1" x14ac:dyDescent="0.4">
      <c r="A2585" s="77" t="s">
        <v>48</v>
      </c>
      <c r="B2585" s="78" t="s">
        <v>26</v>
      </c>
      <c r="C2585" s="78" t="s">
        <v>49</v>
      </c>
      <c r="D2585" s="79" t="s">
        <v>29</v>
      </c>
      <c r="F2585" s="75"/>
    </row>
    <row r="2586" spans="1:6" s="53" customFormat="1" ht="14.5" customHeight="1" x14ac:dyDescent="0.35">
      <c r="A2586" s="207" t="s">
        <v>33</v>
      </c>
      <c r="B2586" s="80" t="s">
        <v>780</v>
      </c>
      <c r="C2586" s="81" t="s">
        <v>200</v>
      </c>
      <c r="D2586" s="82">
        <f>F2593</f>
        <v>14535000</v>
      </c>
      <c r="F2586" s="75"/>
    </row>
    <row r="2587" spans="1:6" s="53" customFormat="1" ht="21" thickBot="1" x14ac:dyDescent="0.5">
      <c r="A2587" s="208"/>
      <c r="B2587" s="72"/>
      <c r="C2587" s="72"/>
      <c r="D2587" s="74"/>
      <c r="F2587" s="75"/>
    </row>
    <row r="2588" spans="1:6" s="53" customFormat="1" ht="15" thickBot="1" x14ac:dyDescent="0.4">
      <c r="A2588" s="208"/>
      <c r="B2588" s="83" t="s">
        <v>26</v>
      </c>
      <c r="C2588" s="84" t="s">
        <v>51</v>
      </c>
      <c r="D2588" s="85" t="s">
        <v>52</v>
      </c>
      <c r="F2588" s="75"/>
    </row>
    <row r="2589" spans="1:6" s="89" customFormat="1" x14ac:dyDescent="0.35">
      <c r="A2589" s="208"/>
      <c r="B2589" s="86" t="str">
        <f>B2586</f>
        <v>25th March,2026</v>
      </c>
      <c r="C2589" s="87" t="s">
        <v>951</v>
      </c>
      <c r="D2589" s="88">
        <f>1850*2858</f>
        <v>5287300</v>
      </c>
      <c r="F2589" s="90"/>
    </row>
    <row r="2590" spans="1:6" s="53" customFormat="1" x14ac:dyDescent="0.35">
      <c r="A2590" s="208"/>
      <c r="B2590" s="91"/>
      <c r="C2590" s="92" t="s">
        <v>606</v>
      </c>
      <c r="D2590" s="93">
        <f>325*2500</f>
        <v>812500</v>
      </c>
      <c r="F2590" s="75"/>
    </row>
    <row r="2591" spans="1:6" s="53" customFormat="1" x14ac:dyDescent="0.35">
      <c r="A2591" s="208"/>
      <c r="B2591" s="91" t="s">
        <v>54</v>
      </c>
      <c r="C2591" s="92" t="s">
        <v>55</v>
      </c>
      <c r="D2591" s="93">
        <v>1000000</v>
      </c>
      <c r="F2591" s="75"/>
    </row>
    <row r="2592" spans="1:6" s="53" customFormat="1" x14ac:dyDescent="0.35">
      <c r="A2592" s="208"/>
      <c r="B2592" s="91" t="s">
        <v>56</v>
      </c>
      <c r="C2592" s="92" t="s">
        <v>57</v>
      </c>
      <c r="D2592" s="93">
        <v>40000</v>
      </c>
      <c r="E2592" s="210" t="s">
        <v>58</v>
      </c>
      <c r="F2592" s="210"/>
    </row>
    <row r="2593" spans="1:7" s="53" customFormat="1" x14ac:dyDescent="0.35">
      <c r="A2593" s="208"/>
      <c r="B2593" s="91" t="s">
        <v>384</v>
      </c>
      <c r="C2593" s="92" t="s">
        <v>60</v>
      </c>
      <c r="D2593" s="93">
        <f>900*140</f>
        <v>126000</v>
      </c>
      <c r="E2593" s="94" t="s">
        <v>61</v>
      </c>
      <c r="F2593" s="95">
        <f>5700*2550</f>
        <v>14535000</v>
      </c>
    </row>
    <row r="2594" spans="1:7" s="53" customFormat="1" x14ac:dyDescent="0.35">
      <c r="A2594" s="208"/>
      <c r="B2594" s="91"/>
      <c r="C2594" s="92" t="s">
        <v>62</v>
      </c>
      <c r="D2594" s="93">
        <f>4200*140</f>
        <v>588000</v>
      </c>
      <c r="E2594" s="96" t="s">
        <v>63</v>
      </c>
      <c r="F2594" s="75">
        <f>(2850*2550)</f>
        <v>7267500</v>
      </c>
    </row>
    <row r="2595" spans="1:7" s="53" customFormat="1" ht="15" thickBot="1" x14ac:dyDescent="0.4">
      <c r="A2595" s="208"/>
      <c r="B2595" s="91" t="s">
        <v>64</v>
      </c>
      <c r="C2595" s="92" t="s">
        <v>65</v>
      </c>
      <c r="D2595" s="97">
        <v>30000</v>
      </c>
      <c r="E2595" s="98" t="s">
        <v>66</v>
      </c>
      <c r="F2595" s="99">
        <f>F2593-F2594</f>
        <v>7267500</v>
      </c>
      <c r="G2595" s="100">
        <f>F2595/2550</f>
        <v>2850</v>
      </c>
    </row>
    <row r="2596" spans="1:7" s="53" customFormat="1" ht="15" thickTop="1" x14ac:dyDescent="0.35">
      <c r="A2596" s="208"/>
      <c r="B2596" s="91"/>
      <c r="C2596" s="92" t="s">
        <v>67</v>
      </c>
      <c r="D2596" s="93">
        <v>150000</v>
      </c>
      <c r="F2596" s="75"/>
    </row>
    <row r="2597" spans="1:7" s="53" customFormat="1" x14ac:dyDescent="0.35">
      <c r="A2597" s="208"/>
      <c r="B2597" s="91" t="s">
        <v>771</v>
      </c>
      <c r="C2597" s="101" t="s">
        <v>68</v>
      </c>
      <c r="D2597" s="93">
        <v>15000</v>
      </c>
      <c r="E2597" s="94" t="s">
        <v>69</v>
      </c>
      <c r="F2597" s="95"/>
    </row>
    <row r="2598" spans="1:7" s="53" customFormat="1" x14ac:dyDescent="0.35">
      <c r="A2598" s="208"/>
      <c r="B2598" s="102"/>
      <c r="C2598" s="101" t="s">
        <v>70</v>
      </c>
      <c r="D2598" s="103">
        <v>10000</v>
      </c>
      <c r="E2598" s="104"/>
      <c r="F2598" s="105"/>
    </row>
    <row r="2599" spans="1:7" s="53" customFormat="1" x14ac:dyDescent="0.35">
      <c r="A2599" s="208"/>
      <c r="B2599" s="102"/>
      <c r="C2599" s="101" t="s">
        <v>71</v>
      </c>
      <c r="D2599" s="103">
        <v>30000</v>
      </c>
      <c r="E2599" s="104" t="s">
        <v>72</v>
      </c>
      <c r="F2599" s="105"/>
    </row>
    <row r="2600" spans="1:7" s="53" customFormat="1" x14ac:dyDescent="0.35">
      <c r="A2600" s="208"/>
      <c r="B2600" s="102"/>
      <c r="C2600" s="92" t="s">
        <v>73</v>
      </c>
      <c r="D2600" s="106">
        <f>717*140</f>
        <v>100380</v>
      </c>
      <c r="E2600" s="53" t="s">
        <v>790</v>
      </c>
      <c r="F2600" s="105"/>
    </row>
    <row r="2601" spans="1:7" s="53" customFormat="1" ht="15" thickBot="1" x14ac:dyDescent="0.4">
      <c r="A2601" s="208"/>
      <c r="B2601" s="107"/>
      <c r="C2601" s="108"/>
      <c r="D2601" s="109"/>
      <c r="F2601" s="75"/>
    </row>
    <row r="2602" spans="1:7" s="53" customFormat="1" ht="15" thickBot="1" x14ac:dyDescent="0.4">
      <c r="A2602" s="208"/>
      <c r="B2602" s="110"/>
      <c r="C2602" s="111" t="s">
        <v>74</v>
      </c>
      <c r="D2602" s="112">
        <f>SUM(D2589:D2601)</f>
        <v>8189180</v>
      </c>
      <c r="F2602" s="75"/>
    </row>
    <row r="2603" spans="1:7" s="53" customFormat="1" ht="15.5" thickTop="1" thickBot="1" x14ac:dyDescent="0.4">
      <c r="A2603" s="209"/>
      <c r="B2603" s="211"/>
      <c r="C2603" s="211"/>
      <c r="D2603" s="211"/>
      <c r="F2603" s="75"/>
    </row>
    <row r="2604" spans="1:7" s="53" customFormat="1" x14ac:dyDescent="0.35">
      <c r="B2604" s="89"/>
      <c r="C2604" s="53" t="s">
        <v>75</v>
      </c>
      <c r="D2604" s="113">
        <f>D2586-D2602</f>
        <v>6345820</v>
      </c>
      <c r="F2604" s="75"/>
    </row>
    <row r="2605" spans="1:7" s="53" customFormat="1" x14ac:dyDescent="0.35">
      <c r="B2605" s="89"/>
      <c r="D2605" s="113"/>
      <c r="F2605" s="75"/>
    </row>
    <row r="2606" spans="1:7" s="53" customFormat="1" x14ac:dyDescent="0.35">
      <c r="A2606" s="114"/>
      <c r="B2606" s="115"/>
      <c r="C2606" s="114"/>
      <c r="D2606" s="116"/>
      <c r="E2606" s="114"/>
      <c r="F2606" s="117"/>
    </row>
    <row r="2608" spans="1:7" s="53" customFormat="1" ht="23.5" x14ac:dyDescent="0.55000000000000004">
      <c r="B2608" s="206" t="s">
        <v>0</v>
      </c>
      <c r="C2608" s="206"/>
      <c r="D2608" s="206"/>
      <c r="E2608" s="70"/>
      <c r="F2608" s="71"/>
    </row>
    <row r="2609" spans="1:7" s="53" customFormat="1" ht="20.5" x14ac:dyDescent="0.45">
      <c r="B2609" s="72"/>
      <c r="C2609" s="73" t="s">
        <v>781</v>
      </c>
      <c r="D2609" s="74"/>
      <c r="F2609" s="75"/>
    </row>
    <row r="2610" spans="1:7" s="53" customFormat="1" ht="21" thickBot="1" x14ac:dyDescent="0.5">
      <c r="B2610" s="72" t="s">
        <v>146</v>
      </c>
      <c r="C2610" s="76" t="s">
        <v>47</v>
      </c>
      <c r="D2610" s="74"/>
      <c r="F2610" s="75"/>
    </row>
    <row r="2611" spans="1:7" s="53" customFormat="1" ht="15" thickBot="1" x14ac:dyDescent="0.4">
      <c r="A2611" s="77" t="s">
        <v>48</v>
      </c>
      <c r="B2611" s="78" t="s">
        <v>26</v>
      </c>
      <c r="C2611" s="78" t="s">
        <v>49</v>
      </c>
      <c r="D2611" s="79" t="s">
        <v>29</v>
      </c>
      <c r="F2611" s="75"/>
    </row>
    <row r="2612" spans="1:7" s="53" customFormat="1" ht="14.5" customHeight="1" x14ac:dyDescent="0.35">
      <c r="A2612" s="207" t="s">
        <v>33</v>
      </c>
      <c r="B2612" s="80" t="s">
        <v>780</v>
      </c>
      <c r="C2612" s="81" t="s">
        <v>200</v>
      </c>
      <c r="D2612" s="82">
        <f>F2619</f>
        <v>14535000</v>
      </c>
      <c r="F2612" s="75"/>
    </row>
    <row r="2613" spans="1:7" s="53" customFormat="1" ht="21" thickBot="1" x14ac:dyDescent="0.5">
      <c r="A2613" s="208"/>
      <c r="B2613" s="72"/>
      <c r="C2613" s="72"/>
      <c r="D2613" s="74"/>
      <c r="F2613" s="75"/>
    </row>
    <row r="2614" spans="1:7" s="53" customFormat="1" ht="15" thickBot="1" x14ac:dyDescent="0.4">
      <c r="A2614" s="208"/>
      <c r="B2614" s="83" t="s">
        <v>26</v>
      </c>
      <c r="C2614" s="84" t="s">
        <v>51</v>
      </c>
      <c r="D2614" s="85" t="s">
        <v>52</v>
      </c>
      <c r="F2614" s="75"/>
    </row>
    <row r="2615" spans="1:7" s="89" customFormat="1" x14ac:dyDescent="0.35">
      <c r="A2615" s="208"/>
      <c r="B2615" s="86" t="str">
        <f>B2612</f>
        <v>25th March,2026</v>
      </c>
      <c r="C2615" s="87" t="s">
        <v>974</v>
      </c>
      <c r="D2615" s="88">
        <f>1950*3806</f>
        <v>7421700</v>
      </c>
      <c r="F2615" s="90"/>
    </row>
    <row r="2616" spans="1:7" s="53" customFormat="1" x14ac:dyDescent="0.35">
      <c r="A2616" s="208"/>
      <c r="B2616" s="91"/>
      <c r="C2616" s="92" t="s">
        <v>606</v>
      </c>
      <c r="D2616" s="93">
        <f>325*2500</f>
        <v>812500</v>
      </c>
      <c r="F2616" s="75"/>
    </row>
    <row r="2617" spans="1:7" s="53" customFormat="1" x14ac:dyDescent="0.35">
      <c r="A2617" s="208"/>
      <c r="B2617" s="91" t="s">
        <v>54</v>
      </c>
      <c r="C2617" s="92" t="s">
        <v>55</v>
      </c>
      <c r="D2617" s="93">
        <v>1000000</v>
      </c>
      <c r="F2617" s="75"/>
    </row>
    <row r="2618" spans="1:7" s="53" customFormat="1" x14ac:dyDescent="0.35">
      <c r="A2618" s="208"/>
      <c r="B2618" s="91" t="s">
        <v>56</v>
      </c>
      <c r="C2618" s="92" t="s">
        <v>57</v>
      </c>
      <c r="D2618" s="93">
        <v>40000</v>
      </c>
      <c r="E2618" s="210" t="s">
        <v>58</v>
      </c>
      <c r="F2618" s="210"/>
    </row>
    <row r="2619" spans="1:7" s="53" customFormat="1" x14ac:dyDescent="0.35">
      <c r="A2619" s="208"/>
      <c r="B2619" s="91" t="s">
        <v>384</v>
      </c>
      <c r="C2619" s="92" t="s">
        <v>60</v>
      </c>
      <c r="D2619" s="93">
        <f>950*140</f>
        <v>133000</v>
      </c>
      <c r="E2619" s="94" t="s">
        <v>61</v>
      </c>
      <c r="F2619" s="95">
        <f>5700*2550</f>
        <v>14535000</v>
      </c>
    </row>
    <row r="2620" spans="1:7" s="53" customFormat="1" x14ac:dyDescent="0.35">
      <c r="A2620" s="208"/>
      <c r="B2620" s="91"/>
      <c r="C2620" s="92" t="s">
        <v>62</v>
      </c>
      <c r="D2620" s="93">
        <f>4200*140</f>
        <v>588000</v>
      </c>
      <c r="E2620" s="96" t="s">
        <v>63</v>
      </c>
      <c r="F2620" s="75">
        <f>(2850*2550)</f>
        <v>7267500</v>
      </c>
    </row>
    <row r="2621" spans="1:7" s="53" customFormat="1" ht="15" thickBot="1" x14ac:dyDescent="0.4">
      <c r="A2621" s="208"/>
      <c r="B2621" s="91" t="s">
        <v>64</v>
      </c>
      <c r="C2621" s="92" t="s">
        <v>65</v>
      </c>
      <c r="D2621" s="97">
        <v>30000</v>
      </c>
      <c r="E2621" s="98" t="s">
        <v>66</v>
      </c>
      <c r="F2621" s="99">
        <f>F2619-F2620</f>
        <v>7267500</v>
      </c>
      <c r="G2621" s="100">
        <f>F2621/2550</f>
        <v>2850</v>
      </c>
    </row>
    <row r="2622" spans="1:7" s="53" customFormat="1" ht="15" thickTop="1" x14ac:dyDescent="0.35">
      <c r="A2622" s="208"/>
      <c r="B2622" s="91"/>
      <c r="C2622" s="92" t="s">
        <v>67</v>
      </c>
      <c r="D2622" s="93">
        <v>150000</v>
      </c>
      <c r="F2622" s="75"/>
    </row>
    <row r="2623" spans="1:7" s="53" customFormat="1" x14ac:dyDescent="0.35">
      <c r="A2623" s="208"/>
      <c r="B2623" s="91" t="s">
        <v>772</v>
      </c>
      <c r="C2623" s="101" t="s">
        <v>68</v>
      </c>
      <c r="D2623" s="93">
        <v>15000</v>
      </c>
      <c r="E2623" s="94" t="s">
        <v>69</v>
      </c>
      <c r="F2623" s="95"/>
    </row>
    <row r="2624" spans="1:7" s="53" customFormat="1" x14ac:dyDescent="0.35">
      <c r="A2624" s="208"/>
      <c r="B2624" s="102"/>
      <c r="C2624" s="101" t="s">
        <v>70</v>
      </c>
      <c r="D2624" s="103">
        <v>10000</v>
      </c>
      <c r="E2624" s="104"/>
      <c r="F2624" s="105"/>
    </row>
    <row r="2625" spans="1:6" s="53" customFormat="1" x14ac:dyDescent="0.35">
      <c r="A2625" s="208"/>
      <c r="B2625" s="102"/>
      <c r="C2625" s="101" t="s">
        <v>71</v>
      </c>
      <c r="D2625" s="103">
        <v>30000</v>
      </c>
      <c r="E2625" s="104" t="s">
        <v>72</v>
      </c>
      <c r="F2625" s="105"/>
    </row>
    <row r="2626" spans="1:6" s="53" customFormat="1" x14ac:dyDescent="0.35">
      <c r="A2626" s="208"/>
      <c r="B2626" s="102"/>
      <c r="C2626" s="92" t="s">
        <v>73</v>
      </c>
      <c r="D2626" s="106">
        <f>717*140</f>
        <v>100380</v>
      </c>
      <c r="E2626" s="53" t="s">
        <v>790</v>
      </c>
      <c r="F2626" s="105"/>
    </row>
    <row r="2627" spans="1:6" s="53" customFormat="1" ht="15" thickBot="1" x14ac:dyDescent="0.4">
      <c r="A2627" s="208"/>
      <c r="B2627" s="107"/>
      <c r="C2627" s="108"/>
      <c r="D2627" s="109"/>
      <c r="F2627" s="75"/>
    </row>
    <row r="2628" spans="1:6" s="53" customFormat="1" ht="15" thickBot="1" x14ac:dyDescent="0.4">
      <c r="A2628" s="208"/>
      <c r="B2628" s="110"/>
      <c r="C2628" s="111" t="s">
        <v>74</v>
      </c>
      <c r="D2628" s="112">
        <f>SUM(D2615:D2627)</f>
        <v>10330580</v>
      </c>
      <c r="F2628" s="75"/>
    </row>
    <row r="2629" spans="1:6" s="53" customFormat="1" ht="15.5" thickTop="1" thickBot="1" x14ac:dyDescent="0.4">
      <c r="A2629" s="209"/>
      <c r="B2629" s="211"/>
      <c r="C2629" s="211"/>
      <c r="D2629" s="211"/>
      <c r="F2629" s="75"/>
    </row>
    <row r="2630" spans="1:6" s="53" customFormat="1" x14ac:dyDescent="0.35">
      <c r="B2630" s="89"/>
      <c r="C2630" s="53" t="s">
        <v>75</v>
      </c>
      <c r="D2630" s="113">
        <f>D2612-D2628</f>
        <v>4204420</v>
      </c>
      <c r="F2630" s="75"/>
    </row>
    <row r="2631" spans="1:6" s="53" customFormat="1" x14ac:dyDescent="0.35">
      <c r="B2631" s="89"/>
      <c r="D2631" s="113"/>
      <c r="F2631" s="75"/>
    </row>
    <row r="2632" spans="1:6" s="53" customFormat="1" x14ac:dyDescent="0.35">
      <c r="A2632" s="114"/>
      <c r="B2632" s="115"/>
      <c r="C2632" s="114"/>
      <c r="D2632" s="116"/>
      <c r="E2632" s="114"/>
      <c r="F2632" s="117"/>
    </row>
    <row r="2634" spans="1:6" s="53" customFormat="1" ht="23.5" x14ac:dyDescent="0.55000000000000004">
      <c r="B2634" s="206" t="s">
        <v>0</v>
      </c>
      <c r="C2634" s="206"/>
      <c r="D2634" s="206"/>
      <c r="E2634" s="70"/>
      <c r="F2634" s="71"/>
    </row>
    <row r="2635" spans="1:6" s="53" customFormat="1" ht="20.5" x14ac:dyDescent="0.45">
      <c r="B2635" s="72"/>
      <c r="C2635" s="73" t="s">
        <v>782</v>
      </c>
      <c r="D2635" s="74"/>
      <c r="F2635" s="75"/>
    </row>
    <row r="2636" spans="1:6" s="53" customFormat="1" ht="21" thickBot="1" x14ac:dyDescent="0.5">
      <c r="B2636" s="72" t="s">
        <v>477</v>
      </c>
      <c r="C2636" s="76" t="s">
        <v>47</v>
      </c>
      <c r="D2636" s="74"/>
      <c r="F2636" s="75"/>
    </row>
    <row r="2637" spans="1:6" s="53" customFormat="1" ht="15" thickBot="1" x14ac:dyDescent="0.4">
      <c r="A2637" s="77" t="s">
        <v>48</v>
      </c>
      <c r="B2637" s="78" t="s">
        <v>26</v>
      </c>
      <c r="C2637" s="78" t="s">
        <v>49</v>
      </c>
      <c r="D2637" s="79" t="s">
        <v>29</v>
      </c>
      <c r="F2637" s="75"/>
    </row>
    <row r="2638" spans="1:6" s="53" customFormat="1" ht="14.5" customHeight="1" x14ac:dyDescent="0.35">
      <c r="A2638" s="207" t="s">
        <v>33</v>
      </c>
      <c r="B2638" s="80" t="s">
        <v>780</v>
      </c>
      <c r="C2638" s="81" t="s">
        <v>200</v>
      </c>
      <c r="D2638" s="82">
        <f>F2645</f>
        <v>14535000</v>
      </c>
      <c r="F2638" s="75"/>
    </row>
    <row r="2639" spans="1:6" s="53" customFormat="1" ht="21" thickBot="1" x14ac:dyDescent="0.5">
      <c r="A2639" s="208"/>
      <c r="B2639" s="72"/>
      <c r="C2639" s="72"/>
      <c r="D2639" s="74"/>
      <c r="F2639" s="75"/>
    </row>
    <row r="2640" spans="1:6" s="53" customFormat="1" ht="15" thickBot="1" x14ac:dyDescent="0.4">
      <c r="A2640" s="208"/>
      <c r="B2640" s="83" t="s">
        <v>26</v>
      </c>
      <c r="C2640" s="84" t="s">
        <v>51</v>
      </c>
      <c r="D2640" s="85" t="s">
        <v>52</v>
      </c>
      <c r="F2640" s="75"/>
    </row>
    <row r="2641" spans="1:7" s="89" customFormat="1" x14ac:dyDescent="0.35">
      <c r="A2641" s="208"/>
      <c r="B2641" s="86" t="str">
        <f>B2638</f>
        <v>25th March,2026</v>
      </c>
      <c r="C2641" s="87" t="s">
        <v>974</v>
      </c>
      <c r="D2641" s="88">
        <f>1950*3806</f>
        <v>7421700</v>
      </c>
      <c r="F2641" s="90"/>
    </row>
    <row r="2642" spans="1:7" s="53" customFormat="1" x14ac:dyDescent="0.35">
      <c r="A2642" s="208"/>
      <c r="B2642" s="91"/>
      <c r="C2642" s="92" t="s">
        <v>606</v>
      </c>
      <c r="D2642" s="93">
        <f>325*2500</f>
        <v>812500</v>
      </c>
      <c r="F2642" s="75"/>
    </row>
    <row r="2643" spans="1:7" s="53" customFormat="1" x14ac:dyDescent="0.35">
      <c r="A2643" s="208"/>
      <c r="B2643" s="91" t="s">
        <v>54</v>
      </c>
      <c r="C2643" s="92" t="s">
        <v>55</v>
      </c>
      <c r="D2643" s="93">
        <v>1000000</v>
      </c>
      <c r="F2643" s="75"/>
    </row>
    <row r="2644" spans="1:7" s="53" customFormat="1" x14ac:dyDescent="0.35">
      <c r="A2644" s="208"/>
      <c r="B2644" s="91" t="s">
        <v>56</v>
      </c>
      <c r="C2644" s="92" t="s">
        <v>57</v>
      </c>
      <c r="D2644" s="93">
        <v>40000</v>
      </c>
      <c r="E2644" s="210" t="s">
        <v>58</v>
      </c>
      <c r="F2644" s="210"/>
    </row>
    <row r="2645" spans="1:7" s="53" customFormat="1" x14ac:dyDescent="0.35">
      <c r="A2645" s="208"/>
      <c r="B2645" s="91" t="s">
        <v>384</v>
      </c>
      <c r="C2645" s="92" t="s">
        <v>60</v>
      </c>
      <c r="D2645" s="93">
        <f>950*140</f>
        <v>133000</v>
      </c>
      <c r="E2645" s="94" t="s">
        <v>61</v>
      </c>
      <c r="F2645" s="95">
        <f>5700*2550</f>
        <v>14535000</v>
      </c>
    </row>
    <row r="2646" spans="1:7" s="53" customFormat="1" x14ac:dyDescent="0.35">
      <c r="A2646" s="208"/>
      <c r="B2646" s="91"/>
      <c r="C2646" s="92" t="s">
        <v>62</v>
      </c>
      <c r="D2646" s="93">
        <f>4200*140</f>
        <v>588000</v>
      </c>
      <c r="E2646" s="96" t="s">
        <v>63</v>
      </c>
      <c r="F2646" s="75">
        <f>(2850*2550)</f>
        <v>7267500</v>
      </c>
    </row>
    <row r="2647" spans="1:7" s="53" customFormat="1" ht="15" thickBot="1" x14ac:dyDescent="0.4">
      <c r="A2647" s="208"/>
      <c r="B2647" s="91" t="s">
        <v>64</v>
      </c>
      <c r="C2647" s="92" t="s">
        <v>65</v>
      </c>
      <c r="D2647" s="97">
        <v>30000</v>
      </c>
      <c r="E2647" s="98" t="s">
        <v>66</v>
      </c>
      <c r="F2647" s="99">
        <f>F2645-F2646</f>
        <v>7267500</v>
      </c>
      <c r="G2647" s="100">
        <f>F2647/2550</f>
        <v>2850</v>
      </c>
    </row>
    <row r="2648" spans="1:7" s="53" customFormat="1" ht="15" thickTop="1" x14ac:dyDescent="0.35">
      <c r="A2648" s="208"/>
      <c r="B2648" s="91"/>
      <c r="C2648" s="92" t="s">
        <v>67</v>
      </c>
      <c r="D2648" s="93">
        <v>150000</v>
      </c>
      <c r="F2648" s="75"/>
    </row>
    <row r="2649" spans="1:7" s="53" customFormat="1" x14ac:dyDescent="0.35">
      <c r="A2649" s="208"/>
      <c r="B2649" s="91" t="s">
        <v>773</v>
      </c>
      <c r="C2649" s="101" t="s">
        <v>68</v>
      </c>
      <c r="D2649" s="93">
        <v>15000</v>
      </c>
      <c r="E2649" s="94" t="s">
        <v>69</v>
      </c>
      <c r="F2649" s="95"/>
    </row>
    <row r="2650" spans="1:7" s="53" customFormat="1" x14ac:dyDescent="0.35">
      <c r="A2650" s="208"/>
      <c r="B2650" s="102"/>
      <c r="C2650" s="101" t="s">
        <v>70</v>
      </c>
      <c r="D2650" s="103">
        <v>10000</v>
      </c>
      <c r="E2650" s="104"/>
      <c r="F2650" s="105"/>
    </row>
    <row r="2651" spans="1:7" s="53" customFormat="1" x14ac:dyDescent="0.35">
      <c r="A2651" s="208"/>
      <c r="B2651" s="102"/>
      <c r="C2651" s="101" t="s">
        <v>71</v>
      </c>
      <c r="D2651" s="103">
        <v>30000</v>
      </c>
      <c r="E2651" s="104" t="s">
        <v>72</v>
      </c>
      <c r="F2651" s="105"/>
    </row>
    <row r="2652" spans="1:7" s="53" customFormat="1" x14ac:dyDescent="0.35">
      <c r="A2652" s="208"/>
      <c r="B2652" s="102"/>
      <c r="C2652" s="92" t="s">
        <v>73</v>
      </c>
      <c r="D2652" s="106">
        <f>717*140</f>
        <v>100380</v>
      </c>
      <c r="E2652" s="53" t="s">
        <v>789</v>
      </c>
      <c r="F2652" s="105"/>
    </row>
    <row r="2653" spans="1:7" s="53" customFormat="1" ht="15" thickBot="1" x14ac:dyDescent="0.4">
      <c r="A2653" s="208"/>
      <c r="B2653" s="107"/>
      <c r="C2653" s="108"/>
      <c r="D2653" s="109"/>
      <c r="F2653" s="75"/>
    </row>
    <row r="2654" spans="1:7" s="53" customFormat="1" ht="15" thickBot="1" x14ac:dyDescent="0.4">
      <c r="A2654" s="208"/>
      <c r="B2654" s="110"/>
      <c r="C2654" s="111" t="s">
        <v>74</v>
      </c>
      <c r="D2654" s="112">
        <f>SUM(D2641:D2653)</f>
        <v>10330580</v>
      </c>
      <c r="F2654" s="75"/>
    </row>
    <row r="2655" spans="1:7" s="53" customFormat="1" ht="15.5" thickTop="1" thickBot="1" x14ac:dyDescent="0.4">
      <c r="A2655" s="209"/>
      <c r="B2655" s="211"/>
      <c r="C2655" s="211"/>
      <c r="D2655" s="211"/>
      <c r="F2655" s="75"/>
    </row>
    <row r="2656" spans="1:7" s="53" customFormat="1" x14ac:dyDescent="0.35">
      <c r="B2656" s="89"/>
      <c r="C2656" s="53" t="s">
        <v>75</v>
      </c>
      <c r="D2656" s="113">
        <f>D2638-D2654</f>
        <v>4204420</v>
      </c>
      <c r="F2656" s="75"/>
    </row>
    <row r="2657" spans="1:6" s="53" customFormat="1" x14ac:dyDescent="0.35">
      <c r="B2657" s="89"/>
      <c r="D2657" s="113"/>
      <c r="F2657" s="75"/>
    </row>
    <row r="2658" spans="1:6" s="53" customFormat="1" x14ac:dyDescent="0.35">
      <c r="A2658" s="114"/>
      <c r="B2658" s="115"/>
      <c r="C2658" s="114"/>
      <c r="D2658" s="116"/>
      <c r="E2658" s="114"/>
      <c r="F2658" s="117"/>
    </row>
    <row r="2660" spans="1:6" s="53" customFormat="1" ht="23.5" x14ac:dyDescent="0.55000000000000004">
      <c r="B2660" s="206" t="s">
        <v>0</v>
      </c>
      <c r="C2660" s="206"/>
      <c r="D2660" s="206"/>
      <c r="E2660" s="70"/>
      <c r="F2660" s="71"/>
    </row>
    <row r="2661" spans="1:6" s="53" customFormat="1" ht="20.5" x14ac:dyDescent="0.45">
      <c r="B2661" s="72"/>
      <c r="C2661" s="73" t="s">
        <v>783</v>
      </c>
      <c r="D2661" s="74"/>
      <c r="F2661" s="75"/>
    </row>
    <row r="2662" spans="1:6" s="53" customFormat="1" ht="21" thickBot="1" x14ac:dyDescent="0.5">
      <c r="B2662" s="72" t="s">
        <v>784</v>
      </c>
      <c r="C2662" s="76" t="s">
        <v>47</v>
      </c>
      <c r="D2662" s="74"/>
      <c r="F2662" s="75"/>
    </row>
    <row r="2663" spans="1:6" s="53" customFormat="1" ht="15" thickBot="1" x14ac:dyDescent="0.4">
      <c r="A2663" s="77" t="s">
        <v>48</v>
      </c>
      <c r="B2663" s="78" t="s">
        <v>26</v>
      </c>
      <c r="C2663" s="78" t="s">
        <v>49</v>
      </c>
      <c r="D2663" s="79" t="s">
        <v>29</v>
      </c>
      <c r="F2663" s="75"/>
    </row>
    <row r="2664" spans="1:6" s="53" customFormat="1" ht="14.5" customHeight="1" x14ac:dyDescent="0.35">
      <c r="A2664" s="207" t="s">
        <v>33</v>
      </c>
      <c r="B2664" s="80" t="s">
        <v>780</v>
      </c>
      <c r="C2664" s="81" t="s">
        <v>200</v>
      </c>
      <c r="D2664" s="82">
        <f>F2671</f>
        <v>14535000</v>
      </c>
      <c r="F2664" s="75"/>
    </row>
    <row r="2665" spans="1:6" s="53" customFormat="1" ht="21" thickBot="1" x14ac:dyDescent="0.5">
      <c r="A2665" s="208"/>
      <c r="B2665" s="72"/>
      <c r="C2665" s="72"/>
      <c r="D2665" s="74"/>
      <c r="F2665" s="75"/>
    </row>
    <row r="2666" spans="1:6" s="53" customFormat="1" ht="15" thickBot="1" x14ac:dyDescent="0.4">
      <c r="A2666" s="208"/>
      <c r="B2666" s="83" t="s">
        <v>26</v>
      </c>
      <c r="C2666" s="84" t="s">
        <v>51</v>
      </c>
      <c r="D2666" s="85" t="s">
        <v>52</v>
      </c>
      <c r="F2666" s="75"/>
    </row>
    <row r="2667" spans="1:6" s="89" customFormat="1" x14ac:dyDescent="0.35">
      <c r="A2667" s="208"/>
      <c r="B2667" s="86" t="str">
        <f>B2664</f>
        <v>25th March,2026</v>
      </c>
      <c r="C2667" s="87" t="s">
        <v>974</v>
      </c>
      <c r="D2667" s="88">
        <f>1950*3806</f>
        <v>7421700</v>
      </c>
      <c r="F2667" s="90"/>
    </row>
    <row r="2668" spans="1:6" s="53" customFormat="1" x14ac:dyDescent="0.35">
      <c r="A2668" s="208"/>
      <c r="B2668" s="91"/>
      <c r="C2668" s="92" t="s">
        <v>606</v>
      </c>
      <c r="D2668" s="93">
        <f>325*2500</f>
        <v>812500</v>
      </c>
      <c r="F2668" s="75"/>
    </row>
    <row r="2669" spans="1:6" s="53" customFormat="1" x14ac:dyDescent="0.35">
      <c r="A2669" s="208"/>
      <c r="B2669" s="91" t="s">
        <v>54</v>
      </c>
      <c r="C2669" s="92" t="s">
        <v>55</v>
      </c>
      <c r="D2669" s="93">
        <v>1000000</v>
      </c>
      <c r="F2669" s="75"/>
    </row>
    <row r="2670" spans="1:6" s="53" customFormat="1" x14ac:dyDescent="0.35">
      <c r="A2670" s="208"/>
      <c r="B2670" s="91" t="s">
        <v>56</v>
      </c>
      <c r="C2670" s="92" t="s">
        <v>57</v>
      </c>
      <c r="D2670" s="93">
        <v>40000</v>
      </c>
      <c r="E2670" s="210" t="s">
        <v>58</v>
      </c>
      <c r="F2670" s="210"/>
    </row>
    <row r="2671" spans="1:6" s="53" customFormat="1" x14ac:dyDescent="0.35">
      <c r="A2671" s="208"/>
      <c r="B2671" s="91" t="s">
        <v>384</v>
      </c>
      <c r="C2671" s="92" t="s">
        <v>60</v>
      </c>
      <c r="D2671" s="93">
        <f>950*140</f>
        <v>133000</v>
      </c>
      <c r="E2671" s="94" t="s">
        <v>61</v>
      </c>
      <c r="F2671" s="95">
        <f>5700*2550</f>
        <v>14535000</v>
      </c>
    </row>
    <row r="2672" spans="1:6" s="53" customFormat="1" x14ac:dyDescent="0.35">
      <c r="A2672" s="208"/>
      <c r="B2672" s="91"/>
      <c r="C2672" s="92" t="s">
        <v>62</v>
      </c>
      <c r="D2672" s="93">
        <f>4200*140</f>
        <v>588000</v>
      </c>
      <c r="E2672" s="96" t="s">
        <v>63</v>
      </c>
      <c r="F2672" s="75">
        <f>(2850*2550)</f>
        <v>7267500</v>
      </c>
    </row>
    <row r="2673" spans="1:7" s="53" customFormat="1" ht="15" thickBot="1" x14ac:dyDescent="0.4">
      <c r="A2673" s="208"/>
      <c r="B2673" s="91" t="s">
        <v>64</v>
      </c>
      <c r="C2673" s="92" t="s">
        <v>65</v>
      </c>
      <c r="D2673" s="97">
        <v>30000</v>
      </c>
      <c r="E2673" s="98" t="s">
        <v>66</v>
      </c>
      <c r="F2673" s="99">
        <f>F2671-F2672</f>
        <v>7267500</v>
      </c>
      <c r="G2673" s="100">
        <f>F2673/2550</f>
        <v>2850</v>
      </c>
    </row>
    <row r="2674" spans="1:7" s="53" customFormat="1" ht="15" thickTop="1" x14ac:dyDescent="0.35">
      <c r="A2674" s="208"/>
      <c r="B2674" s="91"/>
      <c r="C2674" s="92" t="s">
        <v>67</v>
      </c>
      <c r="D2674" s="93">
        <v>150000</v>
      </c>
      <c r="F2674" s="75"/>
    </row>
    <row r="2675" spans="1:7" s="53" customFormat="1" x14ac:dyDescent="0.35">
      <c r="A2675" s="208"/>
      <c r="B2675" s="91" t="s">
        <v>774</v>
      </c>
      <c r="C2675" s="101" t="s">
        <v>68</v>
      </c>
      <c r="D2675" s="93">
        <v>15000</v>
      </c>
      <c r="E2675" s="94" t="s">
        <v>69</v>
      </c>
      <c r="F2675" s="95"/>
    </row>
    <row r="2676" spans="1:7" s="53" customFormat="1" x14ac:dyDescent="0.35">
      <c r="A2676" s="208"/>
      <c r="B2676" s="102"/>
      <c r="C2676" s="101" t="s">
        <v>70</v>
      </c>
      <c r="D2676" s="103">
        <v>10000</v>
      </c>
      <c r="E2676" s="104"/>
      <c r="F2676" s="105"/>
    </row>
    <row r="2677" spans="1:7" s="53" customFormat="1" x14ac:dyDescent="0.35">
      <c r="A2677" s="208"/>
      <c r="B2677" s="102"/>
      <c r="C2677" s="101" t="s">
        <v>71</v>
      </c>
      <c r="D2677" s="103">
        <v>30000</v>
      </c>
      <c r="E2677" s="104" t="s">
        <v>72</v>
      </c>
      <c r="F2677" s="105"/>
    </row>
    <row r="2678" spans="1:7" s="53" customFormat="1" x14ac:dyDescent="0.35">
      <c r="A2678" s="208"/>
      <c r="B2678" s="102"/>
      <c r="C2678" s="92" t="s">
        <v>73</v>
      </c>
      <c r="D2678" s="106">
        <f>717*140</f>
        <v>100380</v>
      </c>
      <c r="E2678" s="53" t="s">
        <v>790</v>
      </c>
      <c r="F2678" s="105"/>
    </row>
    <row r="2679" spans="1:7" s="53" customFormat="1" ht="15" thickBot="1" x14ac:dyDescent="0.4">
      <c r="A2679" s="208"/>
      <c r="B2679" s="107"/>
      <c r="C2679" s="108"/>
      <c r="D2679" s="109"/>
      <c r="F2679" s="75"/>
    </row>
    <row r="2680" spans="1:7" s="53" customFormat="1" ht="15" thickBot="1" x14ac:dyDescent="0.4">
      <c r="A2680" s="208"/>
      <c r="B2680" s="110"/>
      <c r="C2680" s="111" t="s">
        <v>74</v>
      </c>
      <c r="D2680" s="112">
        <f>SUM(D2667:D2679)</f>
        <v>10330580</v>
      </c>
      <c r="F2680" s="75"/>
    </row>
    <row r="2681" spans="1:7" s="53" customFormat="1" ht="15.5" thickTop="1" thickBot="1" x14ac:dyDescent="0.4">
      <c r="A2681" s="209"/>
      <c r="B2681" s="211"/>
      <c r="C2681" s="211"/>
      <c r="D2681" s="211"/>
      <c r="F2681" s="75"/>
    </row>
    <row r="2682" spans="1:7" s="53" customFormat="1" x14ac:dyDescent="0.35">
      <c r="B2682" s="89"/>
      <c r="C2682" s="53" t="s">
        <v>75</v>
      </c>
      <c r="D2682" s="113">
        <f>D2664-D2680</f>
        <v>4204420</v>
      </c>
      <c r="F2682" s="75"/>
    </row>
    <row r="2683" spans="1:7" s="53" customFormat="1" x14ac:dyDescent="0.35">
      <c r="B2683" s="89"/>
      <c r="D2683" s="113"/>
      <c r="F2683" s="75"/>
    </row>
    <row r="2684" spans="1:7" s="53" customFormat="1" x14ac:dyDescent="0.35">
      <c r="A2684" s="114"/>
      <c r="B2684" s="115"/>
      <c r="C2684" s="114"/>
      <c r="D2684" s="116"/>
      <c r="E2684" s="114"/>
      <c r="F2684" s="117"/>
    </row>
    <row r="2686" spans="1:7" s="53" customFormat="1" ht="23.5" x14ac:dyDescent="0.55000000000000004">
      <c r="B2686" s="206" t="s">
        <v>0</v>
      </c>
      <c r="C2686" s="206"/>
      <c r="D2686" s="206"/>
      <c r="E2686" s="70"/>
      <c r="F2686" s="71"/>
    </row>
    <row r="2687" spans="1:7" s="53" customFormat="1" ht="20.5" x14ac:dyDescent="0.45">
      <c r="B2687" s="72"/>
      <c r="C2687" s="73" t="s">
        <v>798</v>
      </c>
      <c r="D2687" s="74"/>
      <c r="F2687" s="75"/>
    </row>
    <row r="2688" spans="1:7" s="53" customFormat="1" ht="21" thickBot="1" x14ac:dyDescent="0.5">
      <c r="B2688" s="72" t="s">
        <v>99</v>
      </c>
      <c r="C2688" s="76" t="s">
        <v>47</v>
      </c>
      <c r="D2688" s="74"/>
      <c r="F2688" s="75"/>
    </row>
    <row r="2689" spans="1:7" s="53" customFormat="1" ht="15" thickBot="1" x14ac:dyDescent="0.4">
      <c r="A2689" s="77" t="s">
        <v>48</v>
      </c>
      <c r="B2689" s="78" t="s">
        <v>26</v>
      </c>
      <c r="C2689" s="78" t="s">
        <v>49</v>
      </c>
      <c r="D2689" s="79" t="s">
        <v>29</v>
      </c>
      <c r="F2689" s="75"/>
    </row>
    <row r="2690" spans="1:7" s="53" customFormat="1" ht="14.5" customHeight="1" x14ac:dyDescent="0.35">
      <c r="A2690" s="207" t="s">
        <v>33</v>
      </c>
      <c r="B2690" s="80" t="s">
        <v>795</v>
      </c>
      <c r="C2690" s="81" t="s">
        <v>200</v>
      </c>
      <c r="D2690" s="82">
        <f>F2697</f>
        <v>14280000</v>
      </c>
      <c r="F2690" s="75"/>
    </row>
    <row r="2691" spans="1:7" s="53" customFormat="1" ht="21" thickBot="1" x14ac:dyDescent="0.5">
      <c r="A2691" s="208"/>
      <c r="B2691" s="72"/>
      <c r="C2691" s="72"/>
      <c r="D2691" s="74"/>
      <c r="F2691" s="75"/>
    </row>
    <row r="2692" spans="1:7" s="53" customFormat="1" ht="15" thickBot="1" x14ac:dyDescent="0.4">
      <c r="A2692" s="208"/>
      <c r="B2692" s="83" t="s">
        <v>26</v>
      </c>
      <c r="C2692" s="84" t="s">
        <v>51</v>
      </c>
      <c r="D2692" s="85" t="s">
        <v>52</v>
      </c>
      <c r="F2692" s="75"/>
    </row>
    <row r="2693" spans="1:7" s="89" customFormat="1" x14ac:dyDescent="0.35">
      <c r="A2693" s="208"/>
      <c r="B2693" s="86" t="str">
        <f>B2690</f>
        <v>30th March,2026</v>
      </c>
      <c r="C2693" s="87" t="s">
        <v>869</v>
      </c>
      <c r="D2693" s="88"/>
      <c r="F2693" s="90"/>
    </row>
    <row r="2694" spans="1:7" s="53" customFormat="1" x14ac:dyDescent="0.35">
      <c r="A2694" s="208"/>
      <c r="B2694" s="91"/>
      <c r="C2694" s="92" t="s">
        <v>606</v>
      </c>
      <c r="D2694" s="93">
        <f>325*2500</f>
        <v>812500</v>
      </c>
      <c r="F2694" s="75"/>
    </row>
    <row r="2695" spans="1:7" s="53" customFormat="1" x14ac:dyDescent="0.35">
      <c r="A2695" s="208"/>
      <c r="B2695" s="91" t="s">
        <v>54</v>
      </c>
      <c r="C2695" s="92" t="s">
        <v>55</v>
      </c>
      <c r="D2695" s="93">
        <v>1000000</v>
      </c>
      <c r="F2695" s="75"/>
    </row>
    <row r="2696" spans="1:7" s="53" customFormat="1" x14ac:dyDescent="0.35">
      <c r="A2696" s="208"/>
      <c r="B2696" s="91" t="s">
        <v>56</v>
      </c>
      <c r="C2696" s="92" t="s">
        <v>57</v>
      </c>
      <c r="D2696" s="93">
        <v>40000</v>
      </c>
      <c r="E2696" s="210" t="s">
        <v>58</v>
      </c>
      <c r="F2696" s="210"/>
    </row>
    <row r="2697" spans="1:7" s="53" customFormat="1" x14ac:dyDescent="0.35">
      <c r="A2697" s="208"/>
      <c r="B2697" s="91" t="s">
        <v>59</v>
      </c>
      <c r="C2697" s="92" t="s">
        <v>60</v>
      </c>
      <c r="D2697" s="93">
        <f>400*140</f>
        <v>56000</v>
      </c>
      <c r="E2697" s="94" t="s">
        <v>61</v>
      </c>
      <c r="F2697" s="95">
        <f>5600*2550</f>
        <v>14280000</v>
      </c>
    </row>
    <row r="2698" spans="1:7" s="53" customFormat="1" x14ac:dyDescent="0.35">
      <c r="A2698" s="208"/>
      <c r="B2698" s="91"/>
      <c r="C2698" s="92" t="s">
        <v>62</v>
      </c>
      <c r="D2698" s="93">
        <f>3600*140</f>
        <v>504000</v>
      </c>
      <c r="E2698" s="96" t="s">
        <v>63</v>
      </c>
      <c r="F2698" s="75">
        <f>(2800*2550)</f>
        <v>7140000</v>
      </c>
    </row>
    <row r="2699" spans="1:7" s="53" customFormat="1" ht="15" thickBot="1" x14ac:dyDescent="0.4">
      <c r="A2699" s="208"/>
      <c r="B2699" s="91" t="s">
        <v>64</v>
      </c>
      <c r="C2699" s="92" t="s">
        <v>65</v>
      </c>
      <c r="D2699" s="97">
        <v>30000</v>
      </c>
      <c r="E2699" s="98" t="s">
        <v>66</v>
      </c>
      <c r="F2699" s="99">
        <f>F2697-F2698</f>
        <v>7140000</v>
      </c>
      <c r="G2699" s="100">
        <f>F2699/2550</f>
        <v>2800</v>
      </c>
    </row>
    <row r="2700" spans="1:7" s="53" customFormat="1" ht="15" thickTop="1" x14ac:dyDescent="0.35">
      <c r="A2700" s="208"/>
      <c r="B2700" s="91"/>
      <c r="C2700" s="92" t="s">
        <v>67</v>
      </c>
      <c r="D2700" s="93">
        <v>0</v>
      </c>
      <c r="F2700" s="75"/>
    </row>
    <row r="2701" spans="1:7" s="53" customFormat="1" x14ac:dyDescent="0.35">
      <c r="A2701" s="208"/>
      <c r="B2701" s="91" t="s">
        <v>797</v>
      </c>
      <c r="C2701" s="101" t="s">
        <v>68</v>
      </c>
      <c r="D2701" s="93">
        <v>15000</v>
      </c>
      <c r="E2701" s="94" t="s">
        <v>69</v>
      </c>
      <c r="F2701" s="95"/>
    </row>
    <row r="2702" spans="1:7" s="53" customFormat="1" x14ac:dyDescent="0.35">
      <c r="A2702" s="208"/>
      <c r="B2702" s="102"/>
      <c r="C2702" s="101" t="s">
        <v>70</v>
      </c>
      <c r="D2702" s="103">
        <v>0</v>
      </c>
      <c r="E2702" s="104"/>
      <c r="F2702" s="105"/>
    </row>
    <row r="2703" spans="1:7" s="53" customFormat="1" x14ac:dyDescent="0.35">
      <c r="A2703" s="208"/>
      <c r="B2703" s="102"/>
      <c r="C2703" s="101" t="s">
        <v>71</v>
      </c>
      <c r="D2703" s="103">
        <v>0</v>
      </c>
      <c r="E2703" s="104" t="s">
        <v>72</v>
      </c>
      <c r="F2703" s="105"/>
    </row>
    <row r="2704" spans="1:7" s="53" customFormat="1" x14ac:dyDescent="0.35">
      <c r="A2704" s="208"/>
      <c r="B2704" s="102"/>
      <c r="C2704" s="92"/>
      <c r="D2704" s="106"/>
      <c r="E2704" s="53" t="s">
        <v>817</v>
      </c>
      <c r="F2704" s="105"/>
    </row>
    <row r="2705" spans="1:6" s="53" customFormat="1" ht="15" thickBot="1" x14ac:dyDescent="0.4">
      <c r="A2705" s="208"/>
      <c r="B2705" s="107"/>
      <c r="C2705" s="108"/>
      <c r="D2705" s="109"/>
      <c r="F2705" s="75"/>
    </row>
    <row r="2706" spans="1:6" s="53" customFormat="1" ht="15" thickBot="1" x14ac:dyDescent="0.4">
      <c r="A2706" s="208"/>
      <c r="B2706" s="110"/>
      <c r="C2706" s="111" t="s">
        <v>74</v>
      </c>
      <c r="D2706" s="112">
        <f>SUM(D2693:D2705)</f>
        <v>2457500</v>
      </c>
      <c r="F2706" s="75"/>
    </row>
    <row r="2707" spans="1:6" s="53" customFormat="1" ht="15.5" thickTop="1" thickBot="1" x14ac:dyDescent="0.4">
      <c r="A2707" s="209"/>
      <c r="B2707" s="211"/>
      <c r="C2707" s="211"/>
      <c r="D2707" s="211"/>
      <c r="F2707" s="75"/>
    </row>
    <row r="2708" spans="1:6" s="53" customFormat="1" x14ac:dyDescent="0.35">
      <c r="B2708" s="89"/>
      <c r="C2708" s="53" t="s">
        <v>75</v>
      </c>
      <c r="D2708" s="113">
        <f>D2690-D2706</f>
        <v>11822500</v>
      </c>
      <c r="F2708" s="75"/>
    </row>
    <row r="2709" spans="1:6" s="53" customFormat="1" x14ac:dyDescent="0.35">
      <c r="B2709" s="89"/>
      <c r="D2709" s="113"/>
      <c r="F2709" s="75"/>
    </row>
    <row r="2710" spans="1:6" s="53" customFormat="1" x14ac:dyDescent="0.35">
      <c r="A2710" s="114"/>
      <c r="B2710" s="115"/>
      <c r="C2710" s="114"/>
      <c r="D2710" s="116"/>
      <c r="E2710" s="114"/>
      <c r="F2710" s="117"/>
    </row>
    <row r="2712" spans="1:6" s="53" customFormat="1" ht="23.5" x14ac:dyDescent="0.55000000000000004">
      <c r="B2712" s="206" t="s">
        <v>0</v>
      </c>
      <c r="C2712" s="206"/>
      <c r="D2712" s="206"/>
      <c r="E2712" s="70"/>
      <c r="F2712" s="71"/>
    </row>
    <row r="2713" spans="1:6" s="53" customFormat="1" ht="20.5" x14ac:dyDescent="0.45">
      <c r="B2713" s="72"/>
      <c r="C2713" s="73" t="s">
        <v>828</v>
      </c>
      <c r="D2713" s="74"/>
      <c r="F2713" s="75"/>
    </row>
    <row r="2714" spans="1:6" s="53" customFormat="1" ht="21" thickBot="1" x14ac:dyDescent="0.5">
      <c r="B2714" s="72" t="s">
        <v>226</v>
      </c>
      <c r="C2714" s="76" t="s">
        <v>47</v>
      </c>
      <c r="D2714" s="74"/>
      <c r="F2714" s="75"/>
    </row>
    <row r="2715" spans="1:6" s="53" customFormat="1" ht="15" thickBot="1" x14ac:dyDescent="0.4">
      <c r="A2715" s="77" t="s">
        <v>48</v>
      </c>
      <c r="B2715" s="78" t="s">
        <v>26</v>
      </c>
      <c r="C2715" s="78" t="s">
        <v>49</v>
      </c>
      <c r="D2715" s="79" t="s">
        <v>29</v>
      </c>
      <c r="F2715" s="75"/>
    </row>
    <row r="2716" spans="1:6" s="53" customFormat="1" ht="14.5" customHeight="1" x14ac:dyDescent="0.35">
      <c r="A2716" s="207" t="s">
        <v>33</v>
      </c>
      <c r="B2716" s="80" t="s">
        <v>829</v>
      </c>
      <c r="C2716" s="81" t="s">
        <v>200</v>
      </c>
      <c r="D2716" s="82">
        <f>F2723</f>
        <v>16640000</v>
      </c>
      <c r="F2716" s="75"/>
    </row>
    <row r="2717" spans="1:6" s="53" customFormat="1" ht="21" thickBot="1" x14ac:dyDescent="0.5">
      <c r="A2717" s="208"/>
      <c r="B2717" s="72"/>
      <c r="C2717" s="72"/>
      <c r="D2717" s="74"/>
      <c r="F2717" s="75"/>
    </row>
    <row r="2718" spans="1:6" s="53" customFormat="1" ht="15" thickBot="1" x14ac:dyDescent="0.4">
      <c r="A2718" s="208"/>
      <c r="B2718" s="83" t="s">
        <v>26</v>
      </c>
      <c r="C2718" s="84" t="s">
        <v>51</v>
      </c>
      <c r="D2718" s="85" t="s">
        <v>52</v>
      </c>
      <c r="F2718" s="75"/>
    </row>
    <row r="2719" spans="1:6" s="89" customFormat="1" x14ac:dyDescent="0.35">
      <c r="A2719" s="208"/>
      <c r="B2719" s="86" t="str">
        <f>B2716</f>
        <v>11th April,2026</v>
      </c>
      <c r="C2719" s="87" t="s">
        <v>869</v>
      </c>
      <c r="D2719" s="88"/>
      <c r="F2719" s="90"/>
    </row>
    <row r="2720" spans="1:6" s="53" customFormat="1" x14ac:dyDescent="0.35">
      <c r="A2720" s="208"/>
      <c r="B2720" s="91"/>
      <c r="C2720" s="92" t="s">
        <v>606</v>
      </c>
      <c r="D2720" s="93">
        <f>325*2500</f>
        <v>812500</v>
      </c>
      <c r="F2720" s="75"/>
    </row>
    <row r="2721" spans="1:7" s="53" customFormat="1" x14ac:dyDescent="0.35">
      <c r="A2721" s="208"/>
      <c r="B2721" s="91" t="s">
        <v>54</v>
      </c>
      <c r="C2721" s="92" t="s">
        <v>55</v>
      </c>
      <c r="D2721" s="93">
        <v>1000000</v>
      </c>
      <c r="F2721" s="75"/>
    </row>
    <row r="2722" spans="1:7" s="53" customFormat="1" x14ac:dyDescent="0.35">
      <c r="A2722" s="208"/>
      <c r="B2722" s="91" t="s">
        <v>56</v>
      </c>
      <c r="C2722" s="92" t="s">
        <v>57</v>
      </c>
      <c r="D2722" s="93">
        <v>40000</v>
      </c>
      <c r="E2722" s="210" t="s">
        <v>58</v>
      </c>
      <c r="F2722" s="210"/>
    </row>
    <row r="2723" spans="1:7" s="53" customFormat="1" x14ac:dyDescent="0.35">
      <c r="A2723" s="208"/>
      <c r="B2723" s="91" t="s">
        <v>384</v>
      </c>
      <c r="C2723" s="92" t="s">
        <v>60</v>
      </c>
      <c r="D2723" s="93">
        <f>400*140</f>
        <v>56000</v>
      </c>
      <c r="E2723" s="94" t="s">
        <v>61</v>
      </c>
      <c r="F2723" s="95">
        <f>6400*2600</f>
        <v>16640000</v>
      </c>
    </row>
    <row r="2724" spans="1:7" s="53" customFormat="1" x14ac:dyDescent="0.35">
      <c r="A2724" s="208"/>
      <c r="B2724" s="91"/>
      <c r="C2724" s="92" t="s">
        <v>62</v>
      </c>
      <c r="D2724" s="93">
        <f>3600*140</f>
        <v>504000</v>
      </c>
      <c r="E2724" s="96" t="s">
        <v>63</v>
      </c>
      <c r="F2724" s="75">
        <f>(3200*2600)</f>
        <v>8320000</v>
      </c>
    </row>
    <row r="2725" spans="1:7" s="53" customFormat="1" ht="15" thickBot="1" x14ac:dyDescent="0.4">
      <c r="A2725" s="208"/>
      <c r="B2725" s="91" t="s">
        <v>64</v>
      </c>
      <c r="C2725" s="92" t="s">
        <v>65</v>
      </c>
      <c r="D2725" s="97">
        <v>30000</v>
      </c>
      <c r="E2725" s="98" t="s">
        <v>66</v>
      </c>
      <c r="F2725" s="99">
        <f>F2723-F2724</f>
        <v>8320000</v>
      </c>
      <c r="G2725" s="100">
        <f>F2725/2600</f>
        <v>3200</v>
      </c>
    </row>
    <row r="2726" spans="1:7" s="53" customFormat="1" ht="15" thickTop="1" x14ac:dyDescent="0.35">
      <c r="A2726" s="208"/>
      <c r="B2726" s="91"/>
      <c r="C2726" s="92" t="s">
        <v>67</v>
      </c>
      <c r="D2726" s="93">
        <v>0</v>
      </c>
      <c r="F2726" s="75"/>
    </row>
    <row r="2727" spans="1:7" s="53" customFormat="1" x14ac:dyDescent="0.35">
      <c r="A2727" s="208"/>
      <c r="B2727" s="91" t="s">
        <v>827</v>
      </c>
      <c r="C2727" s="101" t="s">
        <v>68</v>
      </c>
      <c r="D2727" s="93">
        <v>15000</v>
      </c>
      <c r="E2727" s="94" t="s">
        <v>69</v>
      </c>
      <c r="F2727" s="95"/>
    </row>
    <row r="2728" spans="1:7" s="53" customFormat="1" x14ac:dyDescent="0.35">
      <c r="A2728" s="208"/>
      <c r="B2728" s="102"/>
      <c r="C2728" s="101" t="s">
        <v>70</v>
      </c>
      <c r="D2728" s="103">
        <v>0</v>
      </c>
      <c r="E2728" s="104"/>
      <c r="F2728" s="105"/>
    </row>
    <row r="2729" spans="1:7" s="53" customFormat="1" x14ac:dyDescent="0.35">
      <c r="A2729" s="208"/>
      <c r="B2729" s="102"/>
      <c r="C2729" s="101" t="s">
        <v>71</v>
      </c>
      <c r="D2729" s="103">
        <v>0</v>
      </c>
      <c r="E2729" s="104" t="s">
        <v>72</v>
      </c>
      <c r="F2729" s="105"/>
    </row>
    <row r="2730" spans="1:7" s="53" customFormat="1" x14ac:dyDescent="0.35">
      <c r="A2730" s="208"/>
      <c r="B2730" s="102"/>
      <c r="C2730" s="92"/>
      <c r="D2730" s="106"/>
      <c r="E2730" s="53" t="s">
        <v>885</v>
      </c>
      <c r="F2730" s="105"/>
    </row>
    <row r="2731" spans="1:7" s="53" customFormat="1" ht="15" thickBot="1" x14ac:dyDescent="0.4">
      <c r="A2731" s="208"/>
      <c r="B2731" s="107"/>
      <c r="C2731" s="108"/>
      <c r="D2731" s="109"/>
      <c r="F2731" s="75"/>
    </row>
    <row r="2732" spans="1:7" s="53" customFormat="1" ht="15" thickBot="1" x14ac:dyDescent="0.4">
      <c r="A2732" s="208"/>
      <c r="B2732" s="110"/>
      <c r="C2732" s="111" t="s">
        <v>74</v>
      </c>
      <c r="D2732" s="112">
        <f>SUM(D2719:D2731)</f>
        <v>2457500</v>
      </c>
      <c r="F2732" s="75"/>
    </row>
    <row r="2733" spans="1:7" s="53" customFormat="1" ht="15.5" thickTop="1" thickBot="1" x14ac:dyDescent="0.4">
      <c r="A2733" s="209"/>
      <c r="B2733" s="211"/>
      <c r="C2733" s="211"/>
      <c r="D2733" s="211"/>
      <c r="F2733" s="75"/>
    </row>
    <row r="2734" spans="1:7" s="53" customFormat="1" x14ac:dyDescent="0.35">
      <c r="B2734" s="89"/>
      <c r="C2734" s="53" t="s">
        <v>75</v>
      </c>
      <c r="D2734" s="113">
        <f>D2716-D2732</f>
        <v>14182500</v>
      </c>
      <c r="F2734" s="75"/>
    </row>
    <row r="2735" spans="1:7" s="53" customFormat="1" x14ac:dyDescent="0.35">
      <c r="B2735" s="89"/>
      <c r="D2735" s="113"/>
      <c r="F2735" s="75"/>
    </row>
    <row r="2736" spans="1:7" s="53" customFormat="1" x14ac:dyDescent="0.35">
      <c r="A2736" s="114"/>
      <c r="B2736" s="115"/>
      <c r="C2736" s="114"/>
      <c r="D2736" s="116"/>
      <c r="E2736" s="114"/>
      <c r="F2736" s="117"/>
    </row>
    <row r="2738" spans="1:7" s="53" customFormat="1" ht="23.5" x14ac:dyDescent="0.55000000000000004">
      <c r="B2738" s="206" t="s">
        <v>0</v>
      </c>
      <c r="C2738" s="206"/>
      <c r="D2738" s="206"/>
      <c r="E2738" s="70"/>
      <c r="F2738" s="71"/>
    </row>
    <row r="2739" spans="1:7" s="53" customFormat="1" ht="20.5" x14ac:dyDescent="0.45">
      <c r="B2739" s="72"/>
      <c r="C2739" s="73" t="s">
        <v>832</v>
      </c>
      <c r="D2739" s="74"/>
      <c r="F2739" s="75"/>
    </row>
    <row r="2740" spans="1:7" s="53" customFormat="1" ht="21" thickBot="1" x14ac:dyDescent="0.5">
      <c r="B2740" s="72" t="s">
        <v>642</v>
      </c>
      <c r="C2740" s="76" t="s">
        <v>47</v>
      </c>
      <c r="D2740" s="74"/>
      <c r="F2740" s="75"/>
    </row>
    <row r="2741" spans="1:7" s="53" customFormat="1" ht="15" thickBot="1" x14ac:dyDescent="0.4">
      <c r="A2741" s="77" t="s">
        <v>48</v>
      </c>
      <c r="B2741" s="78" t="s">
        <v>26</v>
      </c>
      <c r="C2741" s="78" t="s">
        <v>49</v>
      </c>
      <c r="D2741" s="79" t="s">
        <v>29</v>
      </c>
      <c r="F2741" s="75"/>
    </row>
    <row r="2742" spans="1:7" s="53" customFormat="1" ht="14.5" customHeight="1" x14ac:dyDescent="0.35">
      <c r="A2742" s="207" t="s">
        <v>34</v>
      </c>
      <c r="B2742" s="80" t="s">
        <v>829</v>
      </c>
      <c r="C2742" s="81" t="s">
        <v>200</v>
      </c>
      <c r="D2742" s="82">
        <f>F2749</f>
        <v>16640000</v>
      </c>
      <c r="F2742" s="75"/>
    </row>
    <row r="2743" spans="1:7" s="53" customFormat="1" ht="21" thickBot="1" x14ac:dyDescent="0.5">
      <c r="A2743" s="208"/>
      <c r="B2743" s="72"/>
      <c r="C2743" s="72"/>
      <c r="D2743" s="74"/>
      <c r="F2743" s="75"/>
    </row>
    <row r="2744" spans="1:7" s="53" customFormat="1" ht="15" thickBot="1" x14ac:dyDescent="0.4">
      <c r="A2744" s="208"/>
      <c r="B2744" s="83" t="s">
        <v>26</v>
      </c>
      <c r="C2744" s="84" t="s">
        <v>51</v>
      </c>
      <c r="D2744" s="85" t="s">
        <v>52</v>
      </c>
      <c r="F2744" s="75"/>
    </row>
    <row r="2745" spans="1:7" s="89" customFormat="1" x14ac:dyDescent="0.35">
      <c r="A2745" s="208"/>
      <c r="B2745" s="86" t="str">
        <f>B2742</f>
        <v>11th April,2026</v>
      </c>
      <c r="C2745" s="87" t="s">
        <v>869</v>
      </c>
      <c r="D2745" s="88"/>
      <c r="F2745" s="90"/>
    </row>
    <row r="2746" spans="1:7" s="53" customFormat="1" x14ac:dyDescent="0.35">
      <c r="A2746" s="208"/>
      <c r="B2746" s="91"/>
      <c r="C2746" s="92" t="s">
        <v>606</v>
      </c>
      <c r="D2746" s="93">
        <f>325*2500</f>
        <v>812500</v>
      </c>
      <c r="F2746" s="75"/>
    </row>
    <row r="2747" spans="1:7" s="53" customFormat="1" x14ac:dyDescent="0.35">
      <c r="A2747" s="208"/>
      <c r="B2747" s="91" t="s">
        <v>54</v>
      </c>
      <c r="C2747" s="92" t="s">
        <v>55</v>
      </c>
      <c r="D2747" s="93">
        <v>1000000</v>
      </c>
      <c r="F2747" s="75"/>
    </row>
    <row r="2748" spans="1:7" s="53" customFormat="1" x14ac:dyDescent="0.35">
      <c r="A2748" s="208"/>
      <c r="B2748" s="91" t="s">
        <v>56</v>
      </c>
      <c r="C2748" s="92" t="s">
        <v>57</v>
      </c>
      <c r="D2748" s="93">
        <v>40000</v>
      </c>
      <c r="E2748" s="210" t="s">
        <v>58</v>
      </c>
      <c r="F2748" s="210"/>
    </row>
    <row r="2749" spans="1:7" s="53" customFormat="1" x14ac:dyDescent="0.35">
      <c r="A2749" s="208"/>
      <c r="B2749" s="91" t="s">
        <v>384</v>
      </c>
      <c r="C2749" s="92" t="s">
        <v>60</v>
      </c>
      <c r="D2749" s="93">
        <f>400*140</f>
        <v>56000</v>
      </c>
      <c r="E2749" s="94" t="s">
        <v>61</v>
      </c>
      <c r="F2749" s="95">
        <f>6400*2600</f>
        <v>16640000</v>
      </c>
    </row>
    <row r="2750" spans="1:7" s="53" customFormat="1" x14ac:dyDescent="0.35">
      <c r="A2750" s="208"/>
      <c r="B2750" s="91"/>
      <c r="C2750" s="92" t="s">
        <v>62</v>
      </c>
      <c r="D2750" s="93">
        <f>3600*140</f>
        <v>504000</v>
      </c>
      <c r="E2750" s="96" t="s">
        <v>63</v>
      </c>
      <c r="F2750" s="75">
        <f>(3200*2600)</f>
        <v>8320000</v>
      </c>
    </row>
    <row r="2751" spans="1:7" s="53" customFormat="1" ht="15" thickBot="1" x14ac:dyDescent="0.4">
      <c r="A2751" s="208"/>
      <c r="B2751" s="91" t="s">
        <v>64</v>
      </c>
      <c r="C2751" s="92" t="s">
        <v>65</v>
      </c>
      <c r="D2751" s="97">
        <v>30000</v>
      </c>
      <c r="E2751" s="98" t="s">
        <v>66</v>
      </c>
      <c r="F2751" s="99">
        <f>F2749-F2750</f>
        <v>8320000</v>
      </c>
      <c r="G2751" s="100">
        <f>F2751/2600</f>
        <v>3200</v>
      </c>
    </row>
    <row r="2752" spans="1:7" s="53" customFormat="1" ht="15" thickTop="1" x14ac:dyDescent="0.35">
      <c r="A2752" s="208"/>
      <c r="B2752" s="91"/>
      <c r="C2752" s="92" t="s">
        <v>67</v>
      </c>
      <c r="D2752" s="93">
        <v>0</v>
      </c>
      <c r="F2752" s="75"/>
    </row>
    <row r="2753" spans="1:6" s="53" customFormat="1" x14ac:dyDescent="0.35">
      <c r="A2753" s="208"/>
      <c r="B2753" s="91" t="s">
        <v>831</v>
      </c>
      <c r="C2753" s="101" t="s">
        <v>68</v>
      </c>
      <c r="D2753" s="93">
        <v>15000</v>
      </c>
      <c r="E2753" s="94" t="s">
        <v>69</v>
      </c>
      <c r="F2753" s="95"/>
    </row>
    <row r="2754" spans="1:6" s="53" customFormat="1" x14ac:dyDescent="0.35">
      <c r="A2754" s="208"/>
      <c r="B2754" s="102"/>
      <c r="C2754" s="101" t="s">
        <v>70</v>
      </c>
      <c r="D2754" s="103">
        <v>0</v>
      </c>
      <c r="E2754" s="104"/>
      <c r="F2754" s="105"/>
    </row>
    <row r="2755" spans="1:6" s="53" customFormat="1" x14ac:dyDescent="0.35">
      <c r="A2755" s="208"/>
      <c r="B2755" s="102"/>
      <c r="C2755" s="101" t="s">
        <v>71</v>
      </c>
      <c r="D2755" s="103">
        <v>0</v>
      </c>
      <c r="E2755" s="104" t="s">
        <v>72</v>
      </c>
      <c r="F2755" s="105"/>
    </row>
    <row r="2756" spans="1:6" s="53" customFormat="1" x14ac:dyDescent="0.35">
      <c r="A2756" s="208"/>
      <c r="B2756" s="102"/>
      <c r="C2756" s="92"/>
      <c r="D2756" s="106"/>
      <c r="E2756" s="53" t="s">
        <v>885</v>
      </c>
      <c r="F2756" s="105"/>
    </row>
    <row r="2757" spans="1:6" s="53" customFormat="1" ht="15" thickBot="1" x14ac:dyDescent="0.4">
      <c r="A2757" s="208"/>
      <c r="B2757" s="107"/>
      <c r="C2757" s="108"/>
      <c r="D2757" s="109"/>
      <c r="F2757" s="75"/>
    </row>
    <row r="2758" spans="1:6" s="53" customFormat="1" ht="15" thickBot="1" x14ac:dyDescent="0.4">
      <c r="A2758" s="208"/>
      <c r="B2758" s="110"/>
      <c r="C2758" s="111" t="s">
        <v>74</v>
      </c>
      <c r="D2758" s="112">
        <f>SUM(D2745:D2757)</f>
        <v>2457500</v>
      </c>
      <c r="F2758" s="75"/>
    </row>
    <row r="2759" spans="1:6" s="53" customFormat="1" ht="15.5" thickTop="1" thickBot="1" x14ac:dyDescent="0.4">
      <c r="A2759" s="209"/>
      <c r="B2759" s="211"/>
      <c r="C2759" s="211"/>
      <c r="D2759" s="211"/>
      <c r="F2759" s="75"/>
    </row>
    <row r="2760" spans="1:6" s="53" customFormat="1" x14ac:dyDescent="0.35">
      <c r="B2760" s="89"/>
      <c r="C2760" s="53" t="s">
        <v>75</v>
      </c>
      <c r="D2760" s="113">
        <f>D2742-D2758</f>
        <v>14182500</v>
      </c>
      <c r="F2760" s="75"/>
    </row>
    <row r="2761" spans="1:6" s="53" customFormat="1" x14ac:dyDescent="0.35">
      <c r="B2761" s="89"/>
      <c r="D2761" s="113"/>
      <c r="F2761" s="75"/>
    </row>
    <row r="2762" spans="1:6" s="53" customFormat="1" x14ac:dyDescent="0.35">
      <c r="A2762" s="114"/>
      <c r="B2762" s="115"/>
      <c r="C2762" s="114"/>
      <c r="D2762" s="116"/>
      <c r="E2762" s="114"/>
      <c r="F2762" s="117"/>
    </row>
    <row r="2764" spans="1:6" s="53" customFormat="1" ht="23.5" x14ac:dyDescent="0.55000000000000004">
      <c r="B2764" s="206" t="s">
        <v>0</v>
      </c>
      <c r="C2764" s="206"/>
      <c r="D2764" s="206"/>
      <c r="E2764" s="70"/>
      <c r="F2764" s="71"/>
    </row>
    <row r="2765" spans="1:6" s="53" customFormat="1" ht="20.5" x14ac:dyDescent="0.45">
      <c r="B2765" s="72"/>
      <c r="C2765" s="73" t="s">
        <v>835</v>
      </c>
      <c r="D2765" s="74"/>
      <c r="F2765" s="75"/>
    </row>
    <row r="2766" spans="1:6" s="53" customFormat="1" ht="21" thickBot="1" x14ac:dyDescent="0.5">
      <c r="B2766" s="72" t="s">
        <v>307</v>
      </c>
      <c r="C2766" s="76" t="s">
        <v>47</v>
      </c>
      <c r="D2766" s="74"/>
      <c r="F2766" s="75"/>
    </row>
    <row r="2767" spans="1:6" s="53" customFormat="1" ht="15" thickBot="1" x14ac:dyDescent="0.4">
      <c r="A2767" s="77" t="s">
        <v>48</v>
      </c>
      <c r="B2767" s="78" t="s">
        <v>26</v>
      </c>
      <c r="C2767" s="78" t="s">
        <v>49</v>
      </c>
      <c r="D2767" s="79" t="s">
        <v>29</v>
      </c>
      <c r="F2767" s="75"/>
    </row>
    <row r="2768" spans="1:6" s="53" customFormat="1" ht="14.5" customHeight="1" x14ac:dyDescent="0.35">
      <c r="A2768" s="207" t="s">
        <v>34</v>
      </c>
      <c r="B2768" s="80" t="s">
        <v>829</v>
      </c>
      <c r="C2768" s="81" t="s">
        <v>200</v>
      </c>
      <c r="D2768" s="82">
        <f>F2775</f>
        <v>16640000</v>
      </c>
      <c r="F2768" s="75"/>
    </row>
    <row r="2769" spans="1:7" s="53" customFormat="1" ht="21" thickBot="1" x14ac:dyDescent="0.5">
      <c r="A2769" s="208"/>
      <c r="B2769" s="72"/>
      <c r="C2769" s="72"/>
      <c r="D2769" s="74"/>
      <c r="F2769" s="75"/>
    </row>
    <row r="2770" spans="1:7" s="53" customFormat="1" ht="15" thickBot="1" x14ac:dyDescent="0.4">
      <c r="A2770" s="208"/>
      <c r="B2770" s="83" t="s">
        <v>26</v>
      </c>
      <c r="C2770" s="84" t="s">
        <v>51</v>
      </c>
      <c r="D2770" s="85" t="s">
        <v>52</v>
      </c>
      <c r="F2770" s="75"/>
    </row>
    <row r="2771" spans="1:7" s="89" customFormat="1" x14ac:dyDescent="0.35">
      <c r="A2771" s="208"/>
      <c r="B2771" s="86" t="str">
        <f>B2768</f>
        <v>11th April,2026</v>
      </c>
      <c r="C2771" s="87" t="s">
        <v>869</v>
      </c>
      <c r="D2771" s="88"/>
      <c r="F2771" s="90"/>
    </row>
    <row r="2772" spans="1:7" s="53" customFormat="1" x14ac:dyDescent="0.35">
      <c r="A2772" s="208"/>
      <c r="B2772" s="91"/>
      <c r="C2772" s="92" t="s">
        <v>606</v>
      </c>
      <c r="D2772" s="93">
        <f>325*2500</f>
        <v>812500</v>
      </c>
      <c r="F2772" s="75"/>
    </row>
    <row r="2773" spans="1:7" s="53" customFormat="1" x14ac:dyDescent="0.35">
      <c r="A2773" s="208"/>
      <c r="B2773" s="91" t="s">
        <v>54</v>
      </c>
      <c r="C2773" s="92" t="s">
        <v>55</v>
      </c>
      <c r="D2773" s="93">
        <v>1000000</v>
      </c>
      <c r="F2773" s="75"/>
    </row>
    <row r="2774" spans="1:7" s="53" customFormat="1" x14ac:dyDescent="0.35">
      <c r="A2774" s="208"/>
      <c r="B2774" s="91" t="s">
        <v>56</v>
      </c>
      <c r="C2774" s="92" t="s">
        <v>57</v>
      </c>
      <c r="D2774" s="93">
        <v>40000</v>
      </c>
      <c r="E2774" s="210" t="s">
        <v>58</v>
      </c>
      <c r="F2774" s="210"/>
    </row>
    <row r="2775" spans="1:7" s="53" customFormat="1" x14ac:dyDescent="0.35">
      <c r="A2775" s="208"/>
      <c r="B2775" s="91" t="s">
        <v>384</v>
      </c>
      <c r="C2775" s="92" t="s">
        <v>60</v>
      </c>
      <c r="D2775" s="93">
        <f>400*140</f>
        <v>56000</v>
      </c>
      <c r="E2775" s="94" t="s">
        <v>61</v>
      </c>
      <c r="F2775" s="95">
        <f>6400*2600</f>
        <v>16640000</v>
      </c>
    </row>
    <row r="2776" spans="1:7" s="53" customFormat="1" x14ac:dyDescent="0.35">
      <c r="A2776" s="208"/>
      <c r="B2776" s="91"/>
      <c r="C2776" s="92" t="s">
        <v>62</v>
      </c>
      <c r="D2776" s="93">
        <f>3600*140</f>
        <v>504000</v>
      </c>
      <c r="E2776" s="96" t="s">
        <v>63</v>
      </c>
      <c r="F2776" s="75"/>
    </row>
    <row r="2777" spans="1:7" s="53" customFormat="1" ht="15" thickBot="1" x14ac:dyDescent="0.4">
      <c r="A2777" s="208"/>
      <c r="B2777" s="91" t="s">
        <v>64</v>
      </c>
      <c r="C2777" s="92" t="s">
        <v>65</v>
      </c>
      <c r="D2777" s="97">
        <v>30000</v>
      </c>
      <c r="E2777" s="98" t="s">
        <v>66</v>
      </c>
      <c r="F2777" s="99">
        <f>F2775-F2776</f>
        <v>16640000</v>
      </c>
      <c r="G2777" s="100">
        <f>F2777/2600</f>
        <v>6400</v>
      </c>
    </row>
    <row r="2778" spans="1:7" s="53" customFormat="1" ht="15" thickTop="1" x14ac:dyDescent="0.35">
      <c r="A2778" s="208"/>
      <c r="B2778" s="91"/>
      <c r="C2778" s="92" t="s">
        <v>67</v>
      </c>
      <c r="D2778" s="93">
        <v>0</v>
      </c>
      <c r="F2778" s="75"/>
    </row>
    <row r="2779" spans="1:7" s="53" customFormat="1" x14ac:dyDescent="0.35">
      <c r="A2779" s="208"/>
      <c r="B2779" s="91" t="s">
        <v>834</v>
      </c>
      <c r="C2779" s="101" t="s">
        <v>68</v>
      </c>
      <c r="D2779" s="93">
        <v>15000</v>
      </c>
      <c r="E2779" s="94" t="s">
        <v>69</v>
      </c>
      <c r="F2779" s="95"/>
    </row>
    <row r="2780" spans="1:7" s="53" customFormat="1" x14ac:dyDescent="0.35">
      <c r="A2780" s="208"/>
      <c r="B2780" s="102"/>
      <c r="C2780" s="101" t="s">
        <v>70</v>
      </c>
      <c r="D2780" s="103">
        <v>0</v>
      </c>
      <c r="E2780" s="104"/>
      <c r="F2780" s="105"/>
    </row>
    <row r="2781" spans="1:7" s="53" customFormat="1" x14ac:dyDescent="0.35">
      <c r="A2781" s="208"/>
      <c r="B2781" s="102"/>
      <c r="C2781" s="101" t="s">
        <v>71</v>
      </c>
      <c r="D2781" s="103">
        <v>0</v>
      </c>
      <c r="E2781" s="104" t="s">
        <v>72</v>
      </c>
      <c r="F2781" s="105"/>
    </row>
    <row r="2782" spans="1:7" s="53" customFormat="1" x14ac:dyDescent="0.35">
      <c r="A2782" s="208"/>
      <c r="B2782" s="102"/>
      <c r="C2782" s="92"/>
      <c r="D2782" s="106"/>
      <c r="F2782" s="105"/>
    </row>
    <row r="2783" spans="1:7" s="53" customFormat="1" ht="15" thickBot="1" x14ac:dyDescent="0.4">
      <c r="A2783" s="208"/>
      <c r="B2783" s="107"/>
      <c r="C2783" s="108"/>
      <c r="D2783" s="109"/>
      <c r="F2783" s="75"/>
    </row>
    <row r="2784" spans="1:7" s="53" customFormat="1" ht="15" thickBot="1" x14ac:dyDescent="0.4">
      <c r="A2784" s="208"/>
      <c r="B2784" s="110"/>
      <c r="C2784" s="111" t="s">
        <v>74</v>
      </c>
      <c r="D2784" s="112">
        <f>SUM(D2771:D2783)</f>
        <v>2457500</v>
      </c>
      <c r="F2784" s="75"/>
    </row>
    <row r="2785" spans="1:6" s="53" customFormat="1" ht="15.5" thickTop="1" thickBot="1" x14ac:dyDescent="0.4">
      <c r="A2785" s="209"/>
      <c r="B2785" s="211"/>
      <c r="C2785" s="211"/>
      <c r="D2785" s="211"/>
      <c r="F2785" s="75"/>
    </row>
    <row r="2786" spans="1:6" s="53" customFormat="1" x14ac:dyDescent="0.35">
      <c r="B2786" s="89"/>
      <c r="C2786" s="53" t="s">
        <v>75</v>
      </c>
      <c r="D2786" s="113">
        <f>D2768-D2784</f>
        <v>14182500</v>
      </c>
      <c r="F2786" s="75"/>
    </row>
    <row r="2787" spans="1:6" s="53" customFormat="1" x14ac:dyDescent="0.35">
      <c r="B2787" s="89"/>
      <c r="D2787" s="113"/>
      <c r="F2787" s="75"/>
    </row>
    <row r="2788" spans="1:6" s="53" customFormat="1" x14ac:dyDescent="0.35">
      <c r="A2788" s="114"/>
      <c r="B2788" s="115"/>
      <c r="C2788" s="114"/>
      <c r="D2788" s="116"/>
      <c r="E2788" s="114"/>
      <c r="F2788" s="117"/>
    </row>
    <row r="2790" spans="1:6" s="53" customFormat="1" ht="23.5" x14ac:dyDescent="0.55000000000000004">
      <c r="B2790" s="206" t="s">
        <v>0</v>
      </c>
      <c r="C2790" s="206"/>
      <c r="D2790" s="206"/>
      <c r="E2790" s="70"/>
      <c r="F2790" s="71"/>
    </row>
    <row r="2791" spans="1:6" s="53" customFormat="1" ht="20.5" x14ac:dyDescent="0.45">
      <c r="B2791" s="72"/>
      <c r="C2791" s="73" t="s">
        <v>839</v>
      </c>
      <c r="D2791" s="74"/>
      <c r="F2791" s="75"/>
    </row>
    <row r="2792" spans="1:6" s="53" customFormat="1" ht="21" thickBot="1" x14ac:dyDescent="0.5">
      <c r="B2792" s="72" t="s">
        <v>296</v>
      </c>
      <c r="C2792" s="76" t="s">
        <v>47</v>
      </c>
      <c r="D2792" s="74"/>
      <c r="F2792" s="75"/>
    </row>
    <row r="2793" spans="1:6" s="53" customFormat="1" ht="15" thickBot="1" x14ac:dyDescent="0.4">
      <c r="A2793" s="77" t="s">
        <v>48</v>
      </c>
      <c r="B2793" s="78" t="s">
        <v>26</v>
      </c>
      <c r="C2793" s="78" t="s">
        <v>49</v>
      </c>
      <c r="D2793" s="79" t="s">
        <v>29</v>
      </c>
      <c r="F2793" s="75"/>
    </row>
    <row r="2794" spans="1:6" s="53" customFormat="1" ht="14.5" customHeight="1" x14ac:dyDescent="0.35">
      <c r="A2794" s="207" t="s">
        <v>34</v>
      </c>
      <c r="B2794" s="80" t="s">
        <v>829</v>
      </c>
      <c r="C2794" s="81" t="s">
        <v>200</v>
      </c>
      <c r="D2794" s="82">
        <f>F2801</f>
        <v>16640000</v>
      </c>
      <c r="F2794" s="75"/>
    </row>
    <row r="2795" spans="1:6" s="53" customFormat="1" ht="21" thickBot="1" x14ac:dyDescent="0.5">
      <c r="A2795" s="208"/>
      <c r="B2795" s="72"/>
      <c r="C2795" s="72"/>
      <c r="D2795" s="74"/>
      <c r="F2795" s="75"/>
    </row>
    <row r="2796" spans="1:6" s="53" customFormat="1" ht="15" thickBot="1" x14ac:dyDescent="0.4">
      <c r="A2796" s="208"/>
      <c r="B2796" s="83" t="s">
        <v>26</v>
      </c>
      <c r="C2796" s="84" t="s">
        <v>51</v>
      </c>
      <c r="D2796" s="85" t="s">
        <v>52</v>
      </c>
      <c r="F2796" s="75"/>
    </row>
    <row r="2797" spans="1:6" s="89" customFormat="1" x14ac:dyDescent="0.35">
      <c r="A2797" s="208"/>
      <c r="B2797" s="86" t="str">
        <f>B2794</f>
        <v>11th April,2026</v>
      </c>
      <c r="C2797" s="87" t="s">
        <v>869</v>
      </c>
      <c r="D2797" s="88"/>
      <c r="F2797" s="90"/>
    </row>
    <row r="2798" spans="1:6" s="53" customFormat="1" x14ac:dyDescent="0.35">
      <c r="A2798" s="208"/>
      <c r="B2798" s="91"/>
      <c r="C2798" s="92" t="s">
        <v>606</v>
      </c>
      <c r="D2798" s="93">
        <f>325*2500</f>
        <v>812500</v>
      </c>
      <c r="F2798" s="75"/>
    </row>
    <row r="2799" spans="1:6" s="53" customFormat="1" x14ac:dyDescent="0.35">
      <c r="A2799" s="208"/>
      <c r="B2799" s="91" t="s">
        <v>54</v>
      </c>
      <c r="C2799" s="92" t="s">
        <v>55</v>
      </c>
      <c r="D2799" s="93">
        <v>1000000</v>
      </c>
      <c r="F2799" s="75"/>
    </row>
    <row r="2800" spans="1:6" s="53" customFormat="1" x14ac:dyDescent="0.35">
      <c r="A2800" s="208"/>
      <c r="B2800" s="91" t="s">
        <v>56</v>
      </c>
      <c r="C2800" s="92" t="s">
        <v>57</v>
      </c>
      <c r="D2800" s="93">
        <v>40000</v>
      </c>
      <c r="E2800" s="210" t="s">
        <v>58</v>
      </c>
      <c r="F2800" s="210"/>
    </row>
    <row r="2801" spans="1:7" s="53" customFormat="1" x14ac:dyDescent="0.35">
      <c r="A2801" s="208"/>
      <c r="B2801" s="91" t="s">
        <v>384</v>
      </c>
      <c r="C2801" s="92" t="s">
        <v>60</v>
      </c>
      <c r="D2801" s="93">
        <f>400*140</f>
        <v>56000</v>
      </c>
      <c r="E2801" s="94" t="s">
        <v>61</v>
      </c>
      <c r="F2801" s="95">
        <f>6400*2600</f>
        <v>16640000</v>
      </c>
    </row>
    <row r="2802" spans="1:7" s="53" customFormat="1" x14ac:dyDescent="0.35">
      <c r="A2802" s="208"/>
      <c r="B2802" s="91"/>
      <c r="C2802" s="92" t="s">
        <v>62</v>
      </c>
      <c r="D2802" s="93">
        <f>3600*140</f>
        <v>504000</v>
      </c>
      <c r="E2802" s="96" t="s">
        <v>63</v>
      </c>
      <c r="F2802" s="75">
        <f>(3200*2600)</f>
        <v>8320000</v>
      </c>
    </row>
    <row r="2803" spans="1:7" s="53" customFormat="1" ht="15" thickBot="1" x14ac:dyDescent="0.4">
      <c r="A2803" s="208"/>
      <c r="B2803" s="91" t="s">
        <v>64</v>
      </c>
      <c r="C2803" s="92" t="s">
        <v>65</v>
      </c>
      <c r="D2803" s="97">
        <v>30000</v>
      </c>
      <c r="E2803" s="98" t="s">
        <v>66</v>
      </c>
      <c r="F2803" s="99">
        <f>F2801-F2802</f>
        <v>8320000</v>
      </c>
      <c r="G2803" s="100">
        <f>F2803/2600</f>
        <v>3200</v>
      </c>
    </row>
    <row r="2804" spans="1:7" s="53" customFormat="1" ht="15" thickTop="1" x14ac:dyDescent="0.35">
      <c r="A2804" s="208"/>
      <c r="B2804" s="91"/>
      <c r="C2804" s="92" t="s">
        <v>67</v>
      </c>
      <c r="D2804" s="93">
        <v>0</v>
      </c>
      <c r="F2804" s="75"/>
    </row>
    <row r="2805" spans="1:7" s="53" customFormat="1" x14ac:dyDescent="0.35">
      <c r="A2805" s="208"/>
      <c r="B2805" s="91" t="s">
        <v>838</v>
      </c>
      <c r="C2805" s="101" t="s">
        <v>68</v>
      </c>
      <c r="D2805" s="93">
        <v>15000</v>
      </c>
      <c r="E2805" s="94" t="s">
        <v>69</v>
      </c>
      <c r="F2805" s="95"/>
    </row>
    <row r="2806" spans="1:7" s="53" customFormat="1" x14ac:dyDescent="0.35">
      <c r="A2806" s="208"/>
      <c r="B2806" s="102"/>
      <c r="C2806" s="101" t="s">
        <v>70</v>
      </c>
      <c r="D2806" s="103">
        <v>0</v>
      </c>
      <c r="E2806" s="104"/>
      <c r="F2806" s="105"/>
    </row>
    <row r="2807" spans="1:7" s="53" customFormat="1" x14ac:dyDescent="0.35">
      <c r="A2807" s="208"/>
      <c r="B2807" s="102"/>
      <c r="C2807" s="101" t="s">
        <v>71</v>
      </c>
      <c r="D2807" s="103">
        <v>0</v>
      </c>
      <c r="E2807" s="104" t="s">
        <v>72</v>
      </c>
      <c r="F2807" s="105"/>
    </row>
    <row r="2808" spans="1:7" s="53" customFormat="1" x14ac:dyDescent="0.35">
      <c r="A2808" s="208"/>
      <c r="B2808" s="102"/>
      <c r="C2808" s="92"/>
      <c r="D2808" s="106"/>
      <c r="E2808" s="53" t="s">
        <v>892</v>
      </c>
      <c r="F2808" s="105"/>
    </row>
    <row r="2809" spans="1:7" s="53" customFormat="1" ht="15" thickBot="1" x14ac:dyDescent="0.4">
      <c r="A2809" s="208"/>
      <c r="B2809" s="107"/>
      <c r="C2809" s="108"/>
      <c r="D2809" s="109"/>
      <c r="F2809" s="75"/>
    </row>
    <row r="2810" spans="1:7" s="53" customFormat="1" ht="15" thickBot="1" x14ac:dyDescent="0.4">
      <c r="A2810" s="208"/>
      <c r="B2810" s="110"/>
      <c r="C2810" s="111" t="s">
        <v>74</v>
      </c>
      <c r="D2810" s="112">
        <f>SUM(D2797:D2809)</f>
        <v>2457500</v>
      </c>
      <c r="F2810" s="75"/>
    </row>
    <row r="2811" spans="1:7" s="53" customFormat="1" ht="15.5" thickTop="1" thickBot="1" x14ac:dyDescent="0.4">
      <c r="A2811" s="209"/>
      <c r="B2811" s="211"/>
      <c r="C2811" s="211"/>
      <c r="D2811" s="211"/>
      <c r="F2811" s="75"/>
    </row>
    <row r="2812" spans="1:7" s="53" customFormat="1" x14ac:dyDescent="0.35">
      <c r="B2812" s="89"/>
      <c r="C2812" s="53" t="s">
        <v>75</v>
      </c>
      <c r="D2812" s="113">
        <f>D2794-D2810</f>
        <v>14182500</v>
      </c>
      <c r="F2812" s="75"/>
    </row>
    <row r="2813" spans="1:7" s="53" customFormat="1" x14ac:dyDescent="0.35">
      <c r="B2813" s="89"/>
      <c r="D2813" s="113"/>
      <c r="F2813" s="75"/>
    </row>
    <row r="2814" spans="1:7" s="53" customFormat="1" x14ac:dyDescent="0.35">
      <c r="A2814" s="114"/>
      <c r="B2814" s="115"/>
      <c r="C2814" s="114"/>
      <c r="D2814" s="116"/>
      <c r="E2814" s="114"/>
      <c r="F2814" s="117"/>
    </row>
    <row r="2816" spans="1:7" s="53" customFormat="1" ht="23.5" x14ac:dyDescent="0.55000000000000004">
      <c r="B2816" s="206" t="s">
        <v>0</v>
      </c>
      <c r="C2816" s="206"/>
      <c r="D2816" s="206"/>
      <c r="E2816" s="70"/>
      <c r="F2816" s="71"/>
    </row>
    <row r="2817" spans="1:7" s="53" customFormat="1" ht="20.5" x14ac:dyDescent="0.45">
      <c r="B2817" s="72"/>
      <c r="C2817" s="73" t="s">
        <v>841</v>
      </c>
      <c r="D2817" s="74"/>
      <c r="F2817" s="75"/>
    </row>
    <row r="2818" spans="1:7" s="53" customFormat="1" ht="21" thickBot="1" x14ac:dyDescent="0.5">
      <c r="B2818" s="72" t="s">
        <v>302</v>
      </c>
      <c r="C2818" s="76" t="s">
        <v>47</v>
      </c>
      <c r="D2818" s="74"/>
      <c r="F2818" s="75"/>
    </row>
    <row r="2819" spans="1:7" s="53" customFormat="1" ht="15" thickBot="1" x14ac:dyDescent="0.4">
      <c r="A2819" s="77" t="s">
        <v>48</v>
      </c>
      <c r="B2819" s="78" t="s">
        <v>26</v>
      </c>
      <c r="C2819" s="78" t="s">
        <v>49</v>
      </c>
      <c r="D2819" s="79" t="s">
        <v>29</v>
      </c>
      <c r="F2819" s="75"/>
    </row>
    <row r="2820" spans="1:7" s="53" customFormat="1" ht="14.5" customHeight="1" x14ac:dyDescent="0.35">
      <c r="A2820" s="207" t="s">
        <v>34</v>
      </c>
      <c r="B2820" s="80" t="s">
        <v>829</v>
      </c>
      <c r="C2820" s="81" t="s">
        <v>200</v>
      </c>
      <c r="D2820" s="82">
        <f>F2827</f>
        <v>16640000</v>
      </c>
      <c r="F2820" s="75"/>
    </row>
    <row r="2821" spans="1:7" s="53" customFormat="1" ht="21" thickBot="1" x14ac:dyDescent="0.5">
      <c r="A2821" s="208"/>
      <c r="B2821" s="72"/>
      <c r="C2821" s="72"/>
      <c r="D2821" s="74"/>
      <c r="F2821" s="75"/>
    </row>
    <row r="2822" spans="1:7" s="53" customFormat="1" ht="15" thickBot="1" x14ac:dyDescent="0.4">
      <c r="A2822" s="208"/>
      <c r="B2822" s="83" t="s">
        <v>26</v>
      </c>
      <c r="C2822" s="84" t="s">
        <v>51</v>
      </c>
      <c r="D2822" s="85" t="s">
        <v>52</v>
      </c>
      <c r="F2822" s="75"/>
    </row>
    <row r="2823" spans="1:7" s="89" customFormat="1" x14ac:dyDescent="0.35">
      <c r="A2823" s="208"/>
      <c r="B2823" s="86" t="str">
        <f>B2820</f>
        <v>11th April,2026</v>
      </c>
      <c r="C2823" s="87" t="s">
        <v>869</v>
      </c>
      <c r="D2823" s="88"/>
      <c r="F2823" s="90"/>
    </row>
    <row r="2824" spans="1:7" s="53" customFormat="1" x14ac:dyDescent="0.35">
      <c r="A2824" s="208"/>
      <c r="B2824" s="91"/>
      <c r="C2824" s="92" t="s">
        <v>606</v>
      </c>
      <c r="D2824" s="93">
        <f>325*2500</f>
        <v>812500</v>
      </c>
      <c r="F2824" s="75"/>
    </row>
    <row r="2825" spans="1:7" s="53" customFormat="1" x14ac:dyDescent="0.35">
      <c r="A2825" s="208"/>
      <c r="B2825" s="91" t="s">
        <v>54</v>
      </c>
      <c r="C2825" s="92" t="s">
        <v>55</v>
      </c>
      <c r="D2825" s="93">
        <v>1000000</v>
      </c>
      <c r="F2825" s="75"/>
    </row>
    <row r="2826" spans="1:7" s="53" customFormat="1" x14ac:dyDescent="0.35">
      <c r="A2826" s="208"/>
      <c r="B2826" s="91" t="s">
        <v>56</v>
      </c>
      <c r="C2826" s="92" t="s">
        <v>57</v>
      </c>
      <c r="D2826" s="93">
        <v>40000</v>
      </c>
      <c r="E2826" s="210" t="s">
        <v>58</v>
      </c>
      <c r="F2826" s="210"/>
    </row>
    <row r="2827" spans="1:7" s="53" customFormat="1" x14ac:dyDescent="0.35">
      <c r="A2827" s="208"/>
      <c r="B2827" s="91" t="s">
        <v>384</v>
      </c>
      <c r="C2827" s="92" t="s">
        <v>60</v>
      </c>
      <c r="D2827" s="93">
        <f>400*140</f>
        <v>56000</v>
      </c>
      <c r="E2827" s="94" t="s">
        <v>61</v>
      </c>
      <c r="F2827" s="95">
        <f>6400*2600</f>
        <v>16640000</v>
      </c>
    </row>
    <row r="2828" spans="1:7" s="53" customFormat="1" x14ac:dyDescent="0.35">
      <c r="A2828" s="208"/>
      <c r="B2828" s="91"/>
      <c r="C2828" s="92" t="s">
        <v>62</v>
      </c>
      <c r="D2828" s="93">
        <f>3600*140</f>
        <v>504000</v>
      </c>
      <c r="E2828" s="96" t="s">
        <v>63</v>
      </c>
      <c r="F2828" s="75">
        <f>(3200*2600)</f>
        <v>8320000</v>
      </c>
    </row>
    <row r="2829" spans="1:7" s="53" customFormat="1" ht="15" thickBot="1" x14ac:dyDescent="0.4">
      <c r="A2829" s="208"/>
      <c r="B2829" s="91" t="s">
        <v>64</v>
      </c>
      <c r="C2829" s="92" t="s">
        <v>65</v>
      </c>
      <c r="D2829" s="97">
        <v>30000</v>
      </c>
      <c r="E2829" s="98" t="s">
        <v>66</v>
      </c>
      <c r="F2829" s="99">
        <f>F2827-F2828</f>
        <v>8320000</v>
      </c>
      <c r="G2829" s="100">
        <f>F2829/2600</f>
        <v>3200</v>
      </c>
    </row>
    <row r="2830" spans="1:7" s="53" customFormat="1" ht="15" thickTop="1" x14ac:dyDescent="0.35">
      <c r="A2830" s="208"/>
      <c r="B2830" s="91"/>
      <c r="C2830" s="92" t="s">
        <v>67</v>
      </c>
      <c r="D2830" s="93">
        <v>0</v>
      </c>
      <c r="F2830" s="75"/>
    </row>
    <row r="2831" spans="1:7" s="53" customFormat="1" x14ac:dyDescent="0.35">
      <c r="A2831" s="208"/>
      <c r="B2831" s="91" t="s">
        <v>840</v>
      </c>
      <c r="C2831" s="101" t="s">
        <v>68</v>
      </c>
      <c r="D2831" s="93">
        <v>15000</v>
      </c>
      <c r="E2831" s="94" t="s">
        <v>69</v>
      </c>
      <c r="F2831" s="95"/>
    </row>
    <row r="2832" spans="1:7" s="53" customFormat="1" x14ac:dyDescent="0.35">
      <c r="A2832" s="208"/>
      <c r="B2832" s="102"/>
      <c r="C2832" s="101" t="s">
        <v>70</v>
      </c>
      <c r="D2832" s="103">
        <v>0</v>
      </c>
      <c r="E2832" s="104"/>
      <c r="F2832" s="105"/>
    </row>
    <row r="2833" spans="1:6" s="53" customFormat="1" x14ac:dyDescent="0.35">
      <c r="A2833" s="208"/>
      <c r="B2833" s="102"/>
      <c r="C2833" s="101" t="s">
        <v>71</v>
      </c>
      <c r="D2833" s="103">
        <v>0</v>
      </c>
      <c r="E2833" s="104" t="s">
        <v>72</v>
      </c>
      <c r="F2833" s="105"/>
    </row>
    <row r="2834" spans="1:6" s="53" customFormat="1" x14ac:dyDescent="0.35">
      <c r="A2834" s="208"/>
      <c r="B2834" s="102"/>
      <c r="C2834" s="92"/>
      <c r="D2834" s="106"/>
      <c r="E2834" s="53" t="s">
        <v>892</v>
      </c>
      <c r="F2834" s="105"/>
    </row>
    <row r="2835" spans="1:6" s="53" customFormat="1" ht="15" thickBot="1" x14ac:dyDescent="0.4">
      <c r="A2835" s="208"/>
      <c r="B2835" s="107"/>
      <c r="C2835" s="108"/>
      <c r="D2835" s="109"/>
      <c r="F2835" s="75"/>
    </row>
    <row r="2836" spans="1:6" s="53" customFormat="1" ht="15" thickBot="1" x14ac:dyDescent="0.4">
      <c r="A2836" s="208"/>
      <c r="B2836" s="110"/>
      <c r="C2836" s="111" t="s">
        <v>74</v>
      </c>
      <c r="D2836" s="112">
        <f>SUM(D2823:D2835)</f>
        <v>2457500</v>
      </c>
      <c r="F2836" s="75"/>
    </row>
    <row r="2837" spans="1:6" s="53" customFormat="1" ht="15.5" thickTop="1" thickBot="1" x14ac:dyDescent="0.4">
      <c r="A2837" s="209"/>
      <c r="B2837" s="211"/>
      <c r="C2837" s="211"/>
      <c r="D2837" s="211"/>
      <c r="F2837" s="75"/>
    </row>
    <row r="2838" spans="1:6" s="53" customFormat="1" x14ac:dyDescent="0.35">
      <c r="B2838" s="89"/>
      <c r="C2838" s="53" t="s">
        <v>75</v>
      </c>
      <c r="D2838" s="113">
        <f>D2820-D2836</f>
        <v>14182500</v>
      </c>
      <c r="F2838" s="75"/>
    </row>
    <row r="2839" spans="1:6" s="53" customFormat="1" x14ac:dyDescent="0.35">
      <c r="B2839" s="89"/>
      <c r="D2839" s="113"/>
      <c r="F2839" s="75"/>
    </row>
    <row r="2840" spans="1:6" s="53" customFormat="1" x14ac:dyDescent="0.35">
      <c r="A2840" s="114"/>
      <c r="B2840" s="115"/>
      <c r="C2840" s="114"/>
      <c r="D2840" s="116"/>
      <c r="E2840" s="114"/>
      <c r="F2840" s="117"/>
    </row>
    <row r="2843" spans="1:6" s="53" customFormat="1" ht="23.5" x14ac:dyDescent="0.55000000000000004">
      <c r="B2843" s="206" t="s">
        <v>0</v>
      </c>
      <c r="C2843" s="206"/>
      <c r="D2843" s="206"/>
      <c r="E2843" s="70"/>
      <c r="F2843" s="71"/>
    </row>
    <row r="2844" spans="1:6" s="53" customFormat="1" ht="20.5" x14ac:dyDescent="0.45">
      <c r="B2844" s="72"/>
      <c r="C2844" s="73" t="s">
        <v>844</v>
      </c>
      <c r="D2844" s="74"/>
      <c r="F2844" s="75"/>
    </row>
    <row r="2845" spans="1:6" s="53" customFormat="1" ht="21" thickBot="1" x14ac:dyDescent="0.5">
      <c r="B2845" s="72" t="s">
        <v>277</v>
      </c>
      <c r="C2845" s="76" t="s">
        <v>47</v>
      </c>
      <c r="D2845" s="74"/>
      <c r="F2845" s="75"/>
    </row>
    <row r="2846" spans="1:6" s="53" customFormat="1" ht="15" thickBot="1" x14ac:dyDescent="0.4">
      <c r="A2846" s="77" t="s">
        <v>48</v>
      </c>
      <c r="B2846" s="78" t="s">
        <v>26</v>
      </c>
      <c r="C2846" s="78" t="s">
        <v>49</v>
      </c>
      <c r="D2846" s="79" t="s">
        <v>29</v>
      </c>
      <c r="F2846" s="75"/>
    </row>
    <row r="2847" spans="1:6" s="53" customFormat="1" ht="14.5" customHeight="1" x14ac:dyDescent="0.35">
      <c r="A2847" s="207" t="s">
        <v>34</v>
      </c>
      <c r="B2847" s="80" t="s">
        <v>845</v>
      </c>
      <c r="C2847" s="81" t="s">
        <v>200</v>
      </c>
      <c r="D2847" s="82">
        <f>F2854</f>
        <v>16380000</v>
      </c>
      <c r="F2847" s="75"/>
    </row>
    <row r="2848" spans="1:6" s="53" customFormat="1" ht="21" thickBot="1" x14ac:dyDescent="0.5">
      <c r="A2848" s="208"/>
      <c r="B2848" s="72"/>
      <c r="C2848" s="72"/>
      <c r="D2848" s="74"/>
      <c r="F2848" s="75"/>
    </row>
    <row r="2849" spans="1:7" s="53" customFormat="1" ht="15" thickBot="1" x14ac:dyDescent="0.4">
      <c r="A2849" s="208"/>
      <c r="B2849" s="83" t="s">
        <v>26</v>
      </c>
      <c r="C2849" s="84" t="s">
        <v>51</v>
      </c>
      <c r="D2849" s="85" t="s">
        <v>52</v>
      </c>
      <c r="F2849" s="75"/>
    </row>
    <row r="2850" spans="1:7" s="89" customFormat="1" x14ac:dyDescent="0.35">
      <c r="A2850" s="208"/>
      <c r="B2850" s="86" t="str">
        <f>B2847</f>
        <v>14th April,2026</v>
      </c>
      <c r="C2850" s="87" t="s">
        <v>154</v>
      </c>
      <c r="D2850" s="88"/>
      <c r="F2850" s="90"/>
    </row>
    <row r="2851" spans="1:7" s="53" customFormat="1" x14ac:dyDescent="0.35">
      <c r="A2851" s="208"/>
      <c r="B2851" s="91"/>
      <c r="C2851" s="92" t="s">
        <v>606</v>
      </c>
      <c r="D2851" s="93">
        <f>325*2500</f>
        <v>812500</v>
      </c>
      <c r="F2851" s="75"/>
    </row>
    <row r="2852" spans="1:7" s="53" customFormat="1" x14ac:dyDescent="0.35">
      <c r="A2852" s="208"/>
      <c r="B2852" s="91" t="s">
        <v>54</v>
      </c>
      <c r="C2852" s="92" t="s">
        <v>55</v>
      </c>
      <c r="D2852" s="93">
        <v>1000000</v>
      </c>
      <c r="F2852" s="75"/>
    </row>
    <row r="2853" spans="1:7" s="53" customFormat="1" x14ac:dyDescent="0.35">
      <c r="A2853" s="208"/>
      <c r="B2853" s="91" t="s">
        <v>56</v>
      </c>
      <c r="C2853" s="92" t="s">
        <v>57</v>
      </c>
      <c r="D2853" s="93">
        <v>40000</v>
      </c>
      <c r="E2853" s="210" t="s">
        <v>58</v>
      </c>
      <c r="F2853" s="210"/>
    </row>
    <row r="2854" spans="1:7" s="53" customFormat="1" x14ac:dyDescent="0.35">
      <c r="A2854" s="208"/>
      <c r="B2854" s="91" t="s">
        <v>59</v>
      </c>
      <c r="C2854" s="92" t="s">
        <v>60</v>
      </c>
      <c r="D2854" s="93">
        <f>400*140</f>
        <v>56000</v>
      </c>
      <c r="E2854" s="94" t="s">
        <v>61</v>
      </c>
      <c r="F2854" s="95">
        <f>6300*2600</f>
        <v>16380000</v>
      </c>
    </row>
    <row r="2855" spans="1:7" s="53" customFormat="1" x14ac:dyDescent="0.35">
      <c r="A2855" s="208"/>
      <c r="B2855" s="91"/>
      <c r="C2855" s="92" t="s">
        <v>62</v>
      </c>
      <c r="D2855" s="93">
        <f>3600*140</f>
        <v>504000</v>
      </c>
      <c r="E2855" s="96" t="s">
        <v>63</v>
      </c>
      <c r="F2855" s="75">
        <f>(3150*2600)</f>
        <v>8190000</v>
      </c>
    </row>
    <row r="2856" spans="1:7" s="53" customFormat="1" ht="15" thickBot="1" x14ac:dyDescent="0.4">
      <c r="A2856" s="208"/>
      <c r="B2856" s="91" t="s">
        <v>64</v>
      </c>
      <c r="C2856" s="92" t="s">
        <v>65</v>
      </c>
      <c r="D2856" s="97">
        <v>30000</v>
      </c>
      <c r="E2856" s="98" t="s">
        <v>66</v>
      </c>
      <c r="F2856" s="99">
        <f>F2854-F2855</f>
        <v>8190000</v>
      </c>
      <c r="G2856" s="100">
        <f>F2856/2600</f>
        <v>3150</v>
      </c>
    </row>
    <row r="2857" spans="1:7" s="53" customFormat="1" ht="15" thickTop="1" x14ac:dyDescent="0.35">
      <c r="A2857" s="208"/>
      <c r="B2857" s="91"/>
      <c r="C2857" s="92" t="s">
        <v>67</v>
      </c>
      <c r="D2857" s="93">
        <v>0</v>
      </c>
      <c r="F2857" s="75"/>
    </row>
    <row r="2858" spans="1:7" s="53" customFormat="1" x14ac:dyDescent="0.35">
      <c r="A2858" s="208"/>
      <c r="B2858" s="91" t="s">
        <v>843</v>
      </c>
      <c r="C2858" s="101" t="s">
        <v>68</v>
      </c>
      <c r="D2858" s="93">
        <v>15000</v>
      </c>
      <c r="E2858" s="94" t="s">
        <v>69</v>
      </c>
      <c r="F2858" s="95"/>
    </row>
    <row r="2859" spans="1:7" s="53" customFormat="1" x14ac:dyDescent="0.35">
      <c r="A2859" s="208"/>
      <c r="B2859" s="102"/>
      <c r="C2859" s="101" t="s">
        <v>70</v>
      </c>
      <c r="D2859" s="103">
        <v>0</v>
      </c>
      <c r="E2859" s="104"/>
      <c r="F2859" s="105"/>
    </row>
    <row r="2860" spans="1:7" s="53" customFormat="1" x14ac:dyDescent="0.35">
      <c r="A2860" s="208"/>
      <c r="B2860" s="102"/>
      <c r="C2860" s="101" t="s">
        <v>71</v>
      </c>
      <c r="D2860" s="103">
        <v>0</v>
      </c>
      <c r="E2860" s="104" t="s">
        <v>72</v>
      </c>
      <c r="F2860" s="105"/>
    </row>
    <row r="2861" spans="1:7" s="53" customFormat="1" x14ac:dyDescent="0.35">
      <c r="A2861" s="208"/>
      <c r="B2861" s="102"/>
      <c r="C2861" s="92"/>
      <c r="D2861" s="106"/>
      <c r="E2861" s="53" t="s">
        <v>993</v>
      </c>
      <c r="F2861" s="105"/>
    </row>
    <row r="2862" spans="1:7" s="53" customFormat="1" ht="15" thickBot="1" x14ac:dyDescent="0.4">
      <c r="A2862" s="208"/>
      <c r="B2862" s="107"/>
      <c r="C2862" s="108"/>
      <c r="D2862" s="109"/>
      <c r="F2862" s="75"/>
    </row>
    <row r="2863" spans="1:7" s="53" customFormat="1" ht="15" thickBot="1" x14ac:dyDescent="0.4">
      <c r="A2863" s="208"/>
      <c r="B2863" s="110"/>
      <c r="C2863" s="111" t="s">
        <v>74</v>
      </c>
      <c r="D2863" s="112">
        <f>SUM(D2850:D2862)</f>
        <v>2457500</v>
      </c>
      <c r="F2863" s="75"/>
    </row>
    <row r="2864" spans="1:7" s="53" customFormat="1" ht="15.5" thickTop="1" thickBot="1" x14ac:dyDescent="0.4">
      <c r="A2864" s="209"/>
      <c r="B2864" s="211"/>
      <c r="C2864" s="211"/>
      <c r="D2864" s="211"/>
      <c r="F2864" s="75"/>
    </row>
    <row r="2865" spans="1:6" s="53" customFormat="1" x14ac:dyDescent="0.35">
      <c r="B2865" s="89"/>
      <c r="C2865" s="53" t="s">
        <v>75</v>
      </c>
      <c r="D2865" s="113">
        <f>D2847-D2863</f>
        <v>13922500</v>
      </c>
      <c r="F2865" s="75"/>
    </row>
    <row r="2866" spans="1:6" s="53" customFormat="1" x14ac:dyDescent="0.35">
      <c r="B2866" s="89"/>
      <c r="D2866" s="113"/>
      <c r="F2866" s="75"/>
    </row>
    <row r="2867" spans="1:6" s="53" customFormat="1" x14ac:dyDescent="0.35">
      <c r="A2867" s="114"/>
      <c r="B2867" s="115"/>
      <c r="C2867" s="114"/>
      <c r="D2867" s="116"/>
      <c r="E2867" s="114"/>
      <c r="F2867" s="117"/>
    </row>
    <row r="2869" spans="1:6" s="53" customFormat="1" ht="23.5" x14ac:dyDescent="0.55000000000000004">
      <c r="B2869" s="206" t="s">
        <v>0</v>
      </c>
      <c r="C2869" s="206"/>
      <c r="D2869" s="206"/>
      <c r="E2869" s="70"/>
      <c r="F2869" s="71"/>
    </row>
    <row r="2870" spans="1:6" s="53" customFormat="1" ht="20.5" x14ac:dyDescent="0.45">
      <c r="B2870" s="72"/>
      <c r="C2870" s="73" t="s">
        <v>849</v>
      </c>
      <c r="D2870" s="74"/>
      <c r="F2870" s="75"/>
    </row>
    <row r="2871" spans="1:6" s="53" customFormat="1" ht="21" thickBot="1" x14ac:dyDescent="0.5">
      <c r="B2871" s="72" t="s">
        <v>847</v>
      </c>
      <c r="C2871" s="76" t="s">
        <v>47</v>
      </c>
      <c r="D2871" s="74"/>
      <c r="F2871" s="75"/>
    </row>
    <row r="2872" spans="1:6" s="53" customFormat="1" ht="15" thickBot="1" x14ac:dyDescent="0.4">
      <c r="A2872" s="77" t="s">
        <v>48</v>
      </c>
      <c r="B2872" s="78" t="s">
        <v>26</v>
      </c>
      <c r="C2872" s="78" t="s">
        <v>49</v>
      </c>
      <c r="D2872" s="79" t="s">
        <v>29</v>
      </c>
      <c r="F2872" s="75"/>
    </row>
    <row r="2873" spans="1:6" s="53" customFormat="1" ht="14.5" customHeight="1" x14ac:dyDescent="0.35">
      <c r="A2873" s="207" t="s">
        <v>34</v>
      </c>
      <c r="B2873" s="80" t="s">
        <v>845</v>
      </c>
      <c r="C2873" s="81" t="s">
        <v>103</v>
      </c>
      <c r="D2873" s="82">
        <f>F2880</f>
        <v>15810000</v>
      </c>
      <c r="F2873" s="75"/>
    </row>
    <row r="2874" spans="1:6" s="53" customFormat="1" ht="21" thickBot="1" x14ac:dyDescent="0.5">
      <c r="A2874" s="208"/>
      <c r="B2874" s="72"/>
      <c r="C2874" s="72"/>
      <c r="D2874" s="74"/>
      <c r="F2874" s="75"/>
    </row>
    <row r="2875" spans="1:6" s="53" customFormat="1" ht="15" thickBot="1" x14ac:dyDescent="0.4">
      <c r="A2875" s="208"/>
      <c r="B2875" s="83" t="s">
        <v>26</v>
      </c>
      <c r="C2875" s="84" t="s">
        <v>51</v>
      </c>
      <c r="D2875" s="85" t="s">
        <v>52</v>
      </c>
      <c r="F2875" s="75"/>
    </row>
    <row r="2876" spans="1:6" s="89" customFormat="1" x14ac:dyDescent="0.35">
      <c r="A2876" s="208"/>
      <c r="B2876" s="86" t="str">
        <f>B2873</f>
        <v>14th April,2026</v>
      </c>
      <c r="C2876" s="87" t="s">
        <v>869</v>
      </c>
      <c r="D2876" s="88"/>
      <c r="F2876" s="90"/>
    </row>
    <row r="2877" spans="1:6" s="53" customFormat="1" x14ac:dyDescent="0.35">
      <c r="A2877" s="208"/>
      <c r="B2877" s="91"/>
      <c r="C2877" s="92" t="s">
        <v>155</v>
      </c>
      <c r="D2877" s="93">
        <f>319*2450</f>
        <v>781550</v>
      </c>
      <c r="F2877" s="75"/>
    </row>
    <row r="2878" spans="1:6" s="53" customFormat="1" x14ac:dyDescent="0.35">
      <c r="A2878" s="208"/>
      <c r="B2878" s="91" t="s">
        <v>54</v>
      </c>
      <c r="C2878" s="92" t="s">
        <v>55</v>
      </c>
      <c r="D2878" s="93">
        <v>1000000</v>
      </c>
      <c r="F2878" s="75"/>
    </row>
    <row r="2879" spans="1:6" s="53" customFormat="1" x14ac:dyDescent="0.35">
      <c r="A2879" s="208"/>
      <c r="B2879" s="91" t="s">
        <v>56</v>
      </c>
      <c r="C2879" s="92" t="s">
        <v>57</v>
      </c>
      <c r="D2879" s="93">
        <v>40000</v>
      </c>
      <c r="E2879" s="210" t="s">
        <v>58</v>
      </c>
      <c r="F2879" s="210"/>
    </row>
    <row r="2880" spans="1:6" s="53" customFormat="1" x14ac:dyDescent="0.35">
      <c r="A2880" s="208"/>
      <c r="B2880" s="91" t="s">
        <v>151</v>
      </c>
      <c r="C2880" s="92" t="s">
        <v>60</v>
      </c>
      <c r="D2880" s="93">
        <f>400*140</f>
        <v>56000</v>
      </c>
      <c r="E2880" s="94" t="s">
        <v>61</v>
      </c>
      <c r="F2880" s="95">
        <f>6200*2550</f>
        <v>15810000</v>
      </c>
    </row>
    <row r="2881" spans="1:7" s="53" customFormat="1" x14ac:dyDescent="0.35">
      <c r="A2881" s="208"/>
      <c r="B2881" s="91"/>
      <c r="C2881" s="92" t="s">
        <v>62</v>
      </c>
      <c r="D2881" s="93">
        <f>4290*140</f>
        <v>600600</v>
      </c>
      <c r="E2881" s="96" t="s">
        <v>63</v>
      </c>
      <c r="F2881" s="75">
        <f>(3720*2550)</f>
        <v>9486000</v>
      </c>
    </row>
    <row r="2882" spans="1:7" s="53" customFormat="1" ht="15" thickBot="1" x14ac:dyDescent="0.4">
      <c r="A2882" s="208"/>
      <c r="B2882" s="91" t="s">
        <v>64</v>
      </c>
      <c r="C2882" s="92" t="s">
        <v>65</v>
      </c>
      <c r="D2882" s="97">
        <v>30000</v>
      </c>
      <c r="E2882" s="98" t="s">
        <v>66</v>
      </c>
      <c r="F2882" s="99">
        <f>F2880-F2881</f>
        <v>6324000</v>
      </c>
      <c r="G2882" s="100">
        <f>F2882/2550</f>
        <v>2480</v>
      </c>
    </row>
    <row r="2883" spans="1:7" s="53" customFormat="1" ht="15" thickTop="1" x14ac:dyDescent="0.35">
      <c r="A2883" s="208"/>
      <c r="B2883" s="91"/>
      <c r="C2883" s="92" t="s">
        <v>67</v>
      </c>
      <c r="D2883" s="93"/>
      <c r="F2883" s="75"/>
    </row>
    <row r="2884" spans="1:7" s="53" customFormat="1" x14ac:dyDescent="0.35">
      <c r="A2884" s="208"/>
      <c r="B2884" s="91" t="s">
        <v>184</v>
      </c>
      <c r="C2884" s="101" t="s">
        <v>68</v>
      </c>
      <c r="D2884" s="93">
        <v>15000</v>
      </c>
      <c r="E2884" s="94" t="s">
        <v>69</v>
      </c>
      <c r="F2884" s="95"/>
    </row>
    <row r="2885" spans="1:7" s="53" customFormat="1" x14ac:dyDescent="0.35">
      <c r="A2885" s="208"/>
      <c r="B2885" s="102"/>
      <c r="C2885" s="101" t="s">
        <v>70</v>
      </c>
      <c r="D2885" s="103"/>
      <c r="E2885" s="104"/>
      <c r="F2885" s="105"/>
    </row>
    <row r="2886" spans="1:7" s="53" customFormat="1" x14ac:dyDescent="0.35">
      <c r="A2886" s="208"/>
      <c r="B2886" s="102"/>
      <c r="C2886" s="101" t="s">
        <v>71</v>
      </c>
      <c r="D2886" s="103"/>
      <c r="E2886" s="104" t="s">
        <v>72</v>
      </c>
      <c r="F2886" s="105"/>
    </row>
    <row r="2887" spans="1:7" s="53" customFormat="1" x14ac:dyDescent="0.35">
      <c r="A2887" s="208"/>
      <c r="B2887" s="102"/>
      <c r="C2887" s="92"/>
      <c r="D2887" s="106"/>
      <c r="E2887" s="53" t="s">
        <v>883</v>
      </c>
      <c r="F2887" s="105"/>
    </row>
    <row r="2888" spans="1:7" s="53" customFormat="1" ht="15" thickBot="1" x14ac:dyDescent="0.4">
      <c r="A2888" s="208"/>
      <c r="B2888" s="107"/>
      <c r="C2888" s="108"/>
      <c r="D2888" s="109"/>
      <c r="F2888" s="75"/>
    </row>
    <row r="2889" spans="1:7" s="53" customFormat="1" ht="15" thickBot="1" x14ac:dyDescent="0.4">
      <c r="A2889" s="208"/>
      <c r="B2889" s="110"/>
      <c r="C2889" s="111" t="s">
        <v>74</v>
      </c>
      <c r="D2889" s="112">
        <f>SUM(D2876:D2888)</f>
        <v>2523150</v>
      </c>
      <c r="F2889" s="75"/>
    </row>
    <row r="2890" spans="1:7" s="53" customFormat="1" ht="15.5" thickTop="1" thickBot="1" x14ac:dyDescent="0.4">
      <c r="A2890" s="209"/>
      <c r="B2890" s="211"/>
      <c r="C2890" s="211"/>
      <c r="D2890" s="211"/>
      <c r="F2890" s="75"/>
    </row>
    <row r="2891" spans="1:7" s="53" customFormat="1" x14ac:dyDescent="0.35">
      <c r="B2891" s="89"/>
      <c r="C2891" s="53" t="s">
        <v>75</v>
      </c>
      <c r="D2891" s="113">
        <f>D2873-D2889</f>
        <v>13286850</v>
      </c>
      <c r="F2891" s="75"/>
    </row>
    <row r="2892" spans="1:7" s="53" customFormat="1" x14ac:dyDescent="0.35">
      <c r="B2892" s="89"/>
      <c r="D2892" s="113"/>
      <c r="F2892" s="75"/>
    </row>
    <row r="2893" spans="1:7" s="53" customFormat="1" x14ac:dyDescent="0.35">
      <c r="A2893" s="114"/>
      <c r="B2893" s="115"/>
      <c r="C2893" s="114"/>
      <c r="D2893" s="116"/>
      <c r="E2893" s="114"/>
      <c r="F2893" s="117"/>
    </row>
    <row r="2895" spans="1:7" s="53" customFormat="1" ht="23.5" x14ac:dyDescent="0.55000000000000004">
      <c r="B2895" s="206" t="s">
        <v>0</v>
      </c>
      <c r="C2895" s="206"/>
      <c r="D2895" s="206"/>
      <c r="E2895" s="70"/>
      <c r="F2895" s="71"/>
    </row>
    <row r="2896" spans="1:7" s="53" customFormat="1" ht="20.5" x14ac:dyDescent="0.45">
      <c r="B2896" s="72"/>
      <c r="C2896" s="73" t="s">
        <v>850</v>
      </c>
      <c r="D2896" s="74"/>
      <c r="F2896" s="75"/>
    </row>
    <row r="2897" spans="1:7" s="53" customFormat="1" ht="21" thickBot="1" x14ac:dyDescent="0.5">
      <c r="B2897" s="72" t="s">
        <v>851</v>
      </c>
      <c r="C2897" s="76" t="s">
        <v>47</v>
      </c>
      <c r="D2897" s="74"/>
      <c r="F2897" s="75"/>
    </row>
    <row r="2898" spans="1:7" s="53" customFormat="1" ht="15" thickBot="1" x14ac:dyDescent="0.4">
      <c r="A2898" s="77" t="s">
        <v>48</v>
      </c>
      <c r="B2898" s="78" t="s">
        <v>26</v>
      </c>
      <c r="C2898" s="78" t="s">
        <v>49</v>
      </c>
      <c r="D2898" s="79" t="s">
        <v>29</v>
      </c>
      <c r="F2898" s="75"/>
    </row>
    <row r="2899" spans="1:7" s="53" customFormat="1" ht="14.5" customHeight="1" x14ac:dyDescent="0.35">
      <c r="A2899" s="207" t="s">
        <v>34</v>
      </c>
      <c r="B2899" s="80" t="s">
        <v>845</v>
      </c>
      <c r="C2899" s="81" t="s">
        <v>103</v>
      </c>
      <c r="D2899" s="82">
        <f>F2906</f>
        <v>15810000</v>
      </c>
      <c r="F2899" s="75"/>
    </row>
    <row r="2900" spans="1:7" s="53" customFormat="1" ht="21" thickBot="1" x14ac:dyDescent="0.5">
      <c r="A2900" s="208"/>
      <c r="B2900" s="72"/>
      <c r="C2900" s="72"/>
      <c r="D2900" s="74"/>
      <c r="F2900" s="75"/>
    </row>
    <row r="2901" spans="1:7" s="53" customFormat="1" ht="15" thickBot="1" x14ac:dyDescent="0.4">
      <c r="A2901" s="208"/>
      <c r="B2901" s="83" t="s">
        <v>26</v>
      </c>
      <c r="C2901" s="84" t="s">
        <v>51</v>
      </c>
      <c r="D2901" s="85" t="s">
        <v>52</v>
      </c>
      <c r="F2901" s="75"/>
    </row>
    <row r="2902" spans="1:7" s="89" customFormat="1" x14ac:dyDescent="0.35">
      <c r="A2902" s="208"/>
      <c r="B2902" s="86" t="str">
        <f>B2899</f>
        <v>14th April,2026</v>
      </c>
      <c r="C2902" s="87" t="s">
        <v>869</v>
      </c>
      <c r="D2902" s="88"/>
      <c r="F2902" s="90"/>
    </row>
    <row r="2903" spans="1:7" s="53" customFormat="1" x14ac:dyDescent="0.35">
      <c r="A2903" s="208"/>
      <c r="B2903" s="91"/>
      <c r="C2903" s="92" t="s">
        <v>155</v>
      </c>
      <c r="D2903" s="93">
        <f>319*2450</f>
        <v>781550</v>
      </c>
      <c r="F2903" s="75"/>
    </row>
    <row r="2904" spans="1:7" s="53" customFormat="1" x14ac:dyDescent="0.35">
      <c r="A2904" s="208"/>
      <c r="B2904" s="91" t="s">
        <v>54</v>
      </c>
      <c r="C2904" s="92" t="s">
        <v>55</v>
      </c>
      <c r="D2904" s="93">
        <v>1000000</v>
      </c>
      <c r="F2904" s="75"/>
    </row>
    <row r="2905" spans="1:7" s="53" customFormat="1" x14ac:dyDescent="0.35">
      <c r="A2905" s="208"/>
      <c r="B2905" s="91" t="s">
        <v>56</v>
      </c>
      <c r="C2905" s="92" t="s">
        <v>57</v>
      </c>
      <c r="D2905" s="93">
        <v>40000</v>
      </c>
      <c r="E2905" s="210" t="s">
        <v>58</v>
      </c>
      <c r="F2905" s="210"/>
    </row>
    <row r="2906" spans="1:7" s="53" customFormat="1" x14ac:dyDescent="0.35">
      <c r="A2906" s="208"/>
      <c r="B2906" s="91" t="s">
        <v>151</v>
      </c>
      <c r="C2906" s="92" t="s">
        <v>60</v>
      </c>
      <c r="D2906" s="93">
        <f>400*140</f>
        <v>56000</v>
      </c>
      <c r="E2906" s="94" t="s">
        <v>61</v>
      </c>
      <c r="F2906" s="95">
        <f>6200*2550</f>
        <v>15810000</v>
      </c>
    </row>
    <row r="2907" spans="1:7" s="53" customFormat="1" x14ac:dyDescent="0.35">
      <c r="A2907" s="208"/>
      <c r="B2907" s="91"/>
      <c r="C2907" s="92" t="s">
        <v>62</v>
      </c>
      <c r="D2907" s="93">
        <f>4290*140</f>
        <v>600600</v>
      </c>
      <c r="E2907" s="96" t="s">
        <v>63</v>
      </c>
      <c r="F2907" s="75">
        <f>(3720*2550)</f>
        <v>9486000</v>
      </c>
    </row>
    <row r="2908" spans="1:7" s="53" customFormat="1" ht="15" thickBot="1" x14ac:dyDescent="0.4">
      <c r="A2908" s="208"/>
      <c r="B2908" s="91" t="s">
        <v>64</v>
      </c>
      <c r="C2908" s="92" t="s">
        <v>65</v>
      </c>
      <c r="D2908" s="97">
        <v>30000</v>
      </c>
      <c r="E2908" s="98" t="s">
        <v>66</v>
      </c>
      <c r="F2908" s="99">
        <f>F2906-F2907</f>
        <v>6324000</v>
      </c>
      <c r="G2908" s="100">
        <f>F2908/2550</f>
        <v>2480</v>
      </c>
    </row>
    <row r="2909" spans="1:7" s="53" customFormat="1" ht="15" thickTop="1" x14ac:dyDescent="0.35">
      <c r="A2909" s="208"/>
      <c r="B2909" s="91"/>
      <c r="C2909" s="92" t="s">
        <v>67</v>
      </c>
      <c r="D2909" s="93"/>
      <c r="F2909" s="75"/>
    </row>
    <row r="2910" spans="1:7" s="53" customFormat="1" x14ac:dyDescent="0.35">
      <c r="A2910" s="208"/>
      <c r="B2910" s="91" t="s">
        <v>184</v>
      </c>
      <c r="C2910" s="101" t="s">
        <v>68</v>
      </c>
      <c r="D2910" s="93">
        <v>15000</v>
      </c>
      <c r="E2910" s="94" t="s">
        <v>69</v>
      </c>
      <c r="F2910" s="95"/>
    </row>
    <row r="2911" spans="1:7" s="53" customFormat="1" x14ac:dyDescent="0.35">
      <c r="A2911" s="208"/>
      <c r="B2911" s="102"/>
      <c r="C2911" s="101" t="s">
        <v>70</v>
      </c>
      <c r="D2911" s="103"/>
      <c r="E2911" s="104"/>
      <c r="F2911" s="105"/>
    </row>
    <row r="2912" spans="1:7" s="53" customFormat="1" x14ac:dyDescent="0.35">
      <c r="A2912" s="208"/>
      <c r="B2912" s="102"/>
      <c r="C2912" s="101" t="s">
        <v>71</v>
      </c>
      <c r="D2912" s="103"/>
      <c r="E2912" s="104" t="s">
        <v>72</v>
      </c>
      <c r="F2912" s="105"/>
    </row>
    <row r="2913" spans="1:6" s="53" customFormat="1" x14ac:dyDescent="0.35">
      <c r="A2913" s="208"/>
      <c r="B2913" s="102"/>
      <c r="C2913" s="92"/>
      <c r="D2913" s="106"/>
      <c r="E2913" s="53" t="s">
        <v>882</v>
      </c>
      <c r="F2913" s="105"/>
    </row>
    <row r="2914" spans="1:6" s="53" customFormat="1" ht="15" thickBot="1" x14ac:dyDescent="0.4">
      <c r="A2914" s="208"/>
      <c r="B2914" s="107"/>
      <c r="C2914" s="108"/>
      <c r="D2914" s="109"/>
      <c r="F2914" s="75"/>
    </row>
    <row r="2915" spans="1:6" s="53" customFormat="1" ht="15" thickBot="1" x14ac:dyDescent="0.4">
      <c r="A2915" s="208"/>
      <c r="B2915" s="110"/>
      <c r="C2915" s="111" t="s">
        <v>74</v>
      </c>
      <c r="D2915" s="112">
        <f>SUM(D2902:D2914)</f>
        <v>2523150</v>
      </c>
      <c r="F2915" s="75"/>
    </row>
    <row r="2916" spans="1:6" s="53" customFormat="1" ht="15.5" thickTop="1" thickBot="1" x14ac:dyDescent="0.4">
      <c r="A2916" s="209"/>
      <c r="B2916" s="211"/>
      <c r="C2916" s="211"/>
      <c r="D2916" s="211"/>
      <c r="F2916" s="75"/>
    </row>
    <row r="2917" spans="1:6" s="53" customFormat="1" x14ac:dyDescent="0.35">
      <c r="B2917" s="89"/>
      <c r="C2917" s="53" t="s">
        <v>75</v>
      </c>
      <c r="D2917" s="113">
        <f>D2899-D2915</f>
        <v>13286850</v>
      </c>
      <c r="F2917" s="75"/>
    </row>
    <row r="2918" spans="1:6" s="53" customFormat="1" x14ac:dyDescent="0.35">
      <c r="B2918" s="89"/>
      <c r="D2918" s="113"/>
      <c r="F2918" s="75"/>
    </row>
    <row r="2919" spans="1:6" s="53" customFormat="1" x14ac:dyDescent="0.35">
      <c r="A2919" s="114"/>
      <c r="B2919" s="115"/>
      <c r="C2919" s="114"/>
      <c r="D2919" s="116"/>
      <c r="E2919" s="114"/>
      <c r="F2919" s="117"/>
    </row>
    <row r="2921" spans="1:6" s="53" customFormat="1" ht="23.5" x14ac:dyDescent="0.55000000000000004">
      <c r="B2921" s="206" t="s">
        <v>0</v>
      </c>
      <c r="C2921" s="206"/>
      <c r="D2921" s="206"/>
      <c r="E2921" s="70"/>
      <c r="F2921" s="71"/>
    </row>
    <row r="2922" spans="1:6" s="53" customFormat="1" ht="20.5" x14ac:dyDescent="0.45">
      <c r="B2922" s="72"/>
      <c r="C2922" s="73" t="s">
        <v>853</v>
      </c>
      <c r="D2922" s="74"/>
      <c r="F2922" s="75"/>
    </row>
    <row r="2923" spans="1:6" s="53" customFormat="1" ht="21" thickBot="1" x14ac:dyDescent="0.5">
      <c r="B2923" s="72" t="s">
        <v>165</v>
      </c>
      <c r="C2923" s="76" t="s">
        <v>47</v>
      </c>
      <c r="D2923" s="74"/>
      <c r="F2923" s="75"/>
    </row>
    <row r="2924" spans="1:6" s="53" customFormat="1" ht="15" thickBot="1" x14ac:dyDescent="0.4">
      <c r="A2924" s="77" t="s">
        <v>48</v>
      </c>
      <c r="B2924" s="78" t="s">
        <v>26</v>
      </c>
      <c r="C2924" s="78" t="s">
        <v>49</v>
      </c>
      <c r="D2924" s="79" t="s">
        <v>29</v>
      </c>
      <c r="F2924" s="75"/>
    </row>
    <row r="2925" spans="1:6" s="53" customFormat="1" ht="14.5" customHeight="1" x14ac:dyDescent="0.35">
      <c r="A2925" s="207" t="s">
        <v>34</v>
      </c>
      <c r="B2925" s="80" t="s">
        <v>845</v>
      </c>
      <c r="C2925" s="81" t="s">
        <v>103</v>
      </c>
      <c r="D2925" s="82">
        <f>F2932</f>
        <v>15810000</v>
      </c>
      <c r="F2925" s="75"/>
    </row>
    <row r="2926" spans="1:6" s="53" customFormat="1" ht="21" thickBot="1" x14ac:dyDescent="0.5">
      <c r="A2926" s="208"/>
      <c r="B2926" s="72"/>
      <c r="C2926" s="72"/>
      <c r="D2926" s="74"/>
      <c r="F2926" s="75"/>
    </row>
    <row r="2927" spans="1:6" s="53" customFormat="1" ht="15" thickBot="1" x14ac:dyDescent="0.4">
      <c r="A2927" s="208"/>
      <c r="B2927" s="83" t="s">
        <v>26</v>
      </c>
      <c r="C2927" s="84" t="s">
        <v>51</v>
      </c>
      <c r="D2927" s="85" t="s">
        <v>52</v>
      </c>
      <c r="F2927" s="75"/>
    </row>
    <row r="2928" spans="1:6" s="89" customFormat="1" x14ac:dyDescent="0.35">
      <c r="A2928" s="208"/>
      <c r="B2928" s="86" t="str">
        <f>B2925</f>
        <v>14th April,2026</v>
      </c>
      <c r="C2928" s="87" t="s">
        <v>869</v>
      </c>
      <c r="D2928" s="88"/>
      <c r="F2928" s="90"/>
    </row>
    <row r="2929" spans="1:7" s="53" customFormat="1" x14ac:dyDescent="0.35">
      <c r="A2929" s="208"/>
      <c r="B2929" s="91"/>
      <c r="C2929" s="92" t="s">
        <v>155</v>
      </c>
      <c r="D2929" s="93">
        <f>319*2450</f>
        <v>781550</v>
      </c>
      <c r="F2929" s="75"/>
    </row>
    <row r="2930" spans="1:7" s="53" customFormat="1" x14ac:dyDescent="0.35">
      <c r="A2930" s="208"/>
      <c r="B2930" s="91" t="s">
        <v>54</v>
      </c>
      <c r="C2930" s="92" t="s">
        <v>55</v>
      </c>
      <c r="D2930" s="93">
        <v>1000000</v>
      </c>
      <c r="F2930" s="75"/>
    </row>
    <row r="2931" spans="1:7" s="53" customFormat="1" x14ac:dyDescent="0.35">
      <c r="A2931" s="208"/>
      <c r="B2931" s="91" t="s">
        <v>56</v>
      </c>
      <c r="C2931" s="92" t="s">
        <v>57</v>
      </c>
      <c r="D2931" s="93">
        <v>40000</v>
      </c>
      <c r="E2931" s="210" t="s">
        <v>58</v>
      </c>
      <c r="F2931" s="210"/>
    </row>
    <row r="2932" spans="1:7" s="53" customFormat="1" x14ac:dyDescent="0.35">
      <c r="A2932" s="208"/>
      <c r="B2932" s="91" t="s">
        <v>151</v>
      </c>
      <c r="C2932" s="92" t="s">
        <v>60</v>
      </c>
      <c r="D2932" s="93">
        <f>400*140</f>
        <v>56000</v>
      </c>
      <c r="E2932" s="94" t="s">
        <v>61</v>
      </c>
      <c r="F2932" s="95">
        <f>6200*2550</f>
        <v>15810000</v>
      </c>
    </row>
    <row r="2933" spans="1:7" s="53" customFormat="1" x14ac:dyDescent="0.35">
      <c r="A2933" s="208"/>
      <c r="B2933" s="91"/>
      <c r="C2933" s="92" t="s">
        <v>62</v>
      </c>
      <c r="D2933" s="93">
        <f>4290*140</f>
        <v>600600</v>
      </c>
      <c r="E2933" s="96" t="s">
        <v>63</v>
      </c>
      <c r="F2933" s="75">
        <f>(3720*2550)</f>
        <v>9486000</v>
      </c>
    </row>
    <row r="2934" spans="1:7" s="53" customFormat="1" ht="15" thickBot="1" x14ac:dyDescent="0.4">
      <c r="A2934" s="208"/>
      <c r="B2934" s="91" t="s">
        <v>64</v>
      </c>
      <c r="C2934" s="92" t="s">
        <v>65</v>
      </c>
      <c r="D2934" s="97">
        <v>30000</v>
      </c>
      <c r="E2934" s="98" t="s">
        <v>66</v>
      </c>
      <c r="F2934" s="99">
        <f>F2932-F2933</f>
        <v>6324000</v>
      </c>
      <c r="G2934" s="100">
        <f>F2934/2550</f>
        <v>2480</v>
      </c>
    </row>
    <row r="2935" spans="1:7" s="53" customFormat="1" ht="15" thickTop="1" x14ac:dyDescent="0.35">
      <c r="A2935" s="208"/>
      <c r="B2935" s="91"/>
      <c r="C2935" s="92" t="s">
        <v>67</v>
      </c>
      <c r="D2935" s="93"/>
      <c r="F2935" s="75"/>
    </row>
    <row r="2936" spans="1:7" s="53" customFormat="1" x14ac:dyDescent="0.35">
      <c r="A2936" s="208"/>
      <c r="B2936" s="91" t="s">
        <v>184</v>
      </c>
      <c r="C2936" s="101" t="s">
        <v>68</v>
      </c>
      <c r="D2936" s="93">
        <v>15000</v>
      </c>
      <c r="E2936" s="94" t="s">
        <v>69</v>
      </c>
      <c r="F2936" s="95"/>
    </row>
    <row r="2937" spans="1:7" s="53" customFormat="1" x14ac:dyDescent="0.35">
      <c r="A2937" s="208"/>
      <c r="B2937" s="102"/>
      <c r="C2937" s="101" t="s">
        <v>70</v>
      </c>
      <c r="D2937" s="103"/>
      <c r="E2937" s="104"/>
      <c r="F2937" s="105"/>
    </row>
    <row r="2938" spans="1:7" s="53" customFormat="1" x14ac:dyDescent="0.35">
      <c r="A2938" s="208"/>
      <c r="B2938" s="102"/>
      <c r="C2938" s="101" t="s">
        <v>71</v>
      </c>
      <c r="D2938" s="103"/>
      <c r="E2938" s="104" t="s">
        <v>72</v>
      </c>
      <c r="F2938" s="105"/>
    </row>
    <row r="2939" spans="1:7" s="53" customFormat="1" x14ac:dyDescent="0.35">
      <c r="A2939" s="208"/>
      <c r="B2939" s="102"/>
      <c r="C2939" s="92"/>
      <c r="D2939" s="106"/>
      <c r="E2939" s="53" t="s">
        <v>882</v>
      </c>
      <c r="F2939" s="105"/>
    </row>
    <row r="2940" spans="1:7" s="53" customFormat="1" ht="15" thickBot="1" x14ac:dyDescent="0.4">
      <c r="A2940" s="208"/>
      <c r="B2940" s="107"/>
      <c r="C2940" s="108"/>
      <c r="D2940" s="109"/>
      <c r="F2940" s="75"/>
    </row>
    <row r="2941" spans="1:7" s="53" customFormat="1" ht="15" thickBot="1" x14ac:dyDescent="0.4">
      <c r="A2941" s="208"/>
      <c r="B2941" s="110"/>
      <c r="C2941" s="111" t="s">
        <v>74</v>
      </c>
      <c r="D2941" s="112">
        <f>SUM(D2928:D2940)</f>
        <v>2523150</v>
      </c>
      <c r="F2941" s="75"/>
    </row>
    <row r="2942" spans="1:7" s="53" customFormat="1" ht="15.5" thickTop="1" thickBot="1" x14ac:dyDescent="0.4">
      <c r="A2942" s="209"/>
      <c r="B2942" s="211"/>
      <c r="C2942" s="211"/>
      <c r="D2942" s="211"/>
      <c r="F2942" s="75"/>
    </row>
    <row r="2943" spans="1:7" s="53" customFormat="1" x14ac:dyDescent="0.35">
      <c r="B2943" s="89"/>
      <c r="C2943" s="53" t="s">
        <v>75</v>
      </c>
      <c r="D2943" s="113">
        <f>D2925-D2941</f>
        <v>13286850</v>
      </c>
      <c r="F2943" s="75"/>
    </row>
    <row r="2944" spans="1:7" s="53" customFormat="1" x14ac:dyDescent="0.35">
      <c r="B2944" s="89"/>
      <c r="D2944" s="113"/>
      <c r="F2944" s="75"/>
    </row>
    <row r="2945" spans="1:7" s="53" customFormat="1" x14ac:dyDescent="0.35">
      <c r="A2945" s="114"/>
      <c r="B2945" s="115"/>
      <c r="C2945" s="114"/>
      <c r="D2945" s="116"/>
      <c r="E2945" s="114"/>
      <c r="F2945" s="117"/>
    </row>
    <row r="2947" spans="1:7" s="53" customFormat="1" ht="23.5" x14ac:dyDescent="0.55000000000000004">
      <c r="B2947" s="206" t="s">
        <v>0</v>
      </c>
      <c r="C2947" s="206"/>
      <c r="D2947" s="206"/>
      <c r="E2947" s="70"/>
      <c r="F2947" s="71"/>
    </row>
    <row r="2948" spans="1:7" s="53" customFormat="1" ht="20.5" x14ac:dyDescent="0.45">
      <c r="B2948" s="72"/>
      <c r="C2948" s="73" t="s">
        <v>855</v>
      </c>
      <c r="D2948" s="74"/>
      <c r="F2948" s="75"/>
    </row>
    <row r="2949" spans="1:7" s="53" customFormat="1" ht="21" thickBot="1" x14ac:dyDescent="0.5">
      <c r="B2949" s="72" t="s">
        <v>365</v>
      </c>
      <c r="C2949" s="76" t="s">
        <v>47</v>
      </c>
      <c r="D2949" s="74"/>
      <c r="F2949" s="75"/>
    </row>
    <row r="2950" spans="1:7" s="53" customFormat="1" ht="15" thickBot="1" x14ac:dyDescent="0.4">
      <c r="A2950" s="77" t="s">
        <v>48</v>
      </c>
      <c r="B2950" s="78" t="s">
        <v>26</v>
      </c>
      <c r="C2950" s="78" t="s">
        <v>49</v>
      </c>
      <c r="D2950" s="79" t="s">
        <v>29</v>
      </c>
      <c r="F2950" s="75"/>
    </row>
    <row r="2951" spans="1:7" s="53" customFormat="1" ht="14.5" customHeight="1" x14ac:dyDescent="0.35">
      <c r="A2951" s="207" t="s">
        <v>34</v>
      </c>
      <c r="B2951" s="80" t="s">
        <v>845</v>
      </c>
      <c r="C2951" s="81" t="s">
        <v>103</v>
      </c>
      <c r="D2951" s="82">
        <f>F2958</f>
        <v>15810000</v>
      </c>
      <c r="F2951" s="75"/>
    </row>
    <row r="2952" spans="1:7" s="53" customFormat="1" ht="21" thickBot="1" x14ac:dyDescent="0.5">
      <c r="A2952" s="208"/>
      <c r="B2952" s="72"/>
      <c r="C2952" s="72"/>
      <c r="D2952" s="74"/>
      <c r="F2952" s="75"/>
    </row>
    <row r="2953" spans="1:7" s="53" customFormat="1" ht="15" thickBot="1" x14ac:dyDescent="0.4">
      <c r="A2953" s="208"/>
      <c r="B2953" s="83" t="s">
        <v>26</v>
      </c>
      <c r="C2953" s="84" t="s">
        <v>51</v>
      </c>
      <c r="D2953" s="85" t="s">
        <v>52</v>
      </c>
      <c r="F2953" s="75"/>
    </row>
    <row r="2954" spans="1:7" s="89" customFormat="1" x14ac:dyDescent="0.35">
      <c r="A2954" s="208"/>
      <c r="B2954" s="86" t="str">
        <f>B2951</f>
        <v>14th April,2026</v>
      </c>
      <c r="C2954" s="87" t="s">
        <v>869</v>
      </c>
      <c r="D2954" s="88"/>
      <c r="F2954" s="90"/>
    </row>
    <row r="2955" spans="1:7" s="53" customFormat="1" x14ac:dyDescent="0.35">
      <c r="A2955" s="208"/>
      <c r="B2955" s="91"/>
      <c r="C2955" s="92" t="s">
        <v>155</v>
      </c>
      <c r="D2955" s="93">
        <f>319*2450</f>
        <v>781550</v>
      </c>
      <c r="F2955" s="75"/>
    </row>
    <row r="2956" spans="1:7" s="53" customFormat="1" x14ac:dyDescent="0.35">
      <c r="A2956" s="208"/>
      <c r="B2956" s="91" t="s">
        <v>54</v>
      </c>
      <c r="C2956" s="92" t="s">
        <v>55</v>
      </c>
      <c r="D2956" s="93">
        <v>1000000</v>
      </c>
      <c r="F2956" s="75"/>
    </row>
    <row r="2957" spans="1:7" s="53" customFormat="1" x14ac:dyDescent="0.35">
      <c r="A2957" s="208"/>
      <c r="B2957" s="91" t="s">
        <v>56</v>
      </c>
      <c r="C2957" s="92" t="s">
        <v>57</v>
      </c>
      <c r="D2957" s="93">
        <v>40000</v>
      </c>
      <c r="E2957" s="210" t="s">
        <v>58</v>
      </c>
      <c r="F2957" s="210"/>
    </row>
    <row r="2958" spans="1:7" s="53" customFormat="1" x14ac:dyDescent="0.35">
      <c r="A2958" s="208"/>
      <c r="B2958" s="91" t="s">
        <v>151</v>
      </c>
      <c r="C2958" s="92" t="s">
        <v>60</v>
      </c>
      <c r="D2958" s="93">
        <f>400*140</f>
        <v>56000</v>
      </c>
      <c r="E2958" s="94" t="s">
        <v>61</v>
      </c>
      <c r="F2958" s="95">
        <f>6200*2550</f>
        <v>15810000</v>
      </c>
    </row>
    <row r="2959" spans="1:7" s="53" customFormat="1" x14ac:dyDescent="0.35">
      <c r="A2959" s="208"/>
      <c r="B2959" s="91"/>
      <c r="C2959" s="92" t="s">
        <v>62</v>
      </c>
      <c r="D2959" s="93">
        <f>4290*140</f>
        <v>600600</v>
      </c>
      <c r="E2959" s="96" t="s">
        <v>63</v>
      </c>
      <c r="F2959" s="75">
        <f>(3720*2550)</f>
        <v>9486000</v>
      </c>
    </row>
    <row r="2960" spans="1:7" s="53" customFormat="1" ht="15" thickBot="1" x14ac:dyDescent="0.4">
      <c r="A2960" s="208"/>
      <c r="B2960" s="91" t="s">
        <v>64</v>
      </c>
      <c r="C2960" s="92" t="s">
        <v>65</v>
      </c>
      <c r="D2960" s="97">
        <v>30000</v>
      </c>
      <c r="E2960" s="98" t="s">
        <v>66</v>
      </c>
      <c r="F2960" s="99">
        <f>F2958-F2959</f>
        <v>6324000</v>
      </c>
      <c r="G2960" s="100">
        <f>F2960/2550</f>
        <v>2480</v>
      </c>
    </row>
    <row r="2961" spans="1:6" s="53" customFormat="1" ht="15" thickTop="1" x14ac:dyDescent="0.35">
      <c r="A2961" s="208"/>
      <c r="B2961" s="91"/>
      <c r="C2961" s="92" t="s">
        <v>67</v>
      </c>
      <c r="D2961" s="93"/>
      <c r="F2961" s="75"/>
    </row>
    <row r="2962" spans="1:6" s="53" customFormat="1" x14ac:dyDescent="0.35">
      <c r="A2962" s="208"/>
      <c r="B2962" s="91" t="s">
        <v>184</v>
      </c>
      <c r="C2962" s="101" t="s">
        <v>68</v>
      </c>
      <c r="D2962" s="93">
        <v>15000</v>
      </c>
      <c r="E2962" s="94" t="s">
        <v>69</v>
      </c>
      <c r="F2962" s="95"/>
    </row>
    <row r="2963" spans="1:6" s="53" customFormat="1" x14ac:dyDescent="0.35">
      <c r="A2963" s="208"/>
      <c r="B2963" s="102"/>
      <c r="C2963" s="101" t="s">
        <v>70</v>
      </c>
      <c r="D2963" s="103"/>
      <c r="E2963" s="104"/>
      <c r="F2963" s="105"/>
    </row>
    <row r="2964" spans="1:6" s="53" customFormat="1" x14ac:dyDescent="0.35">
      <c r="A2964" s="208"/>
      <c r="B2964" s="102"/>
      <c r="C2964" s="101" t="s">
        <v>71</v>
      </c>
      <c r="D2964" s="103"/>
      <c r="E2964" s="104" t="s">
        <v>72</v>
      </c>
      <c r="F2964" s="105"/>
    </row>
    <row r="2965" spans="1:6" s="53" customFormat="1" x14ac:dyDescent="0.35">
      <c r="A2965" s="208"/>
      <c r="B2965" s="102"/>
      <c r="C2965" s="92"/>
      <c r="D2965" s="106"/>
      <c r="E2965" s="53" t="s">
        <v>883</v>
      </c>
      <c r="F2965" s="105"/>
    </row>
    <row r="2966" spans="1:6" s="53" customFormat="1" ht="15" thickBot="1" x14ac:dyDescent="0.4">
      <c r="A2966" s="208"/>
      <c r="B2966" s="107"/>
      <c r="C2966" s="108"/>
      <c r="D2966" s="109"/>
      <c r="F2966" s="75"/>
    </row>
    <row r="2967" spans="1:6" s="53" customFormat="1" ht="15" thickBot="1" x14ac:dyDescent="0.4">
      <c r="A2967" s="208"/>
      <c r="B2967" s="110"/>
      <c r="C2967" s="111" t="s">
        <v>74</v>
      </c>
      <c r="D2967" s="112">
        <f>SUM(D2954:D2966)</f>
        <v>2523150</v>
      </c>
      <c r="F2967" s="75"/>
    </row>
    <row r="2968" spans="1:6" s="53" customFormat="1" ht="15.5" thickTop="1" thickBot="1" x14ac:dyDescent="0.4">
      <c r="A2968" s="209"/>
      <c r="B2968" s="211"/>
      <c r="C2968" s="211"/>
      <c r="D2968" s="211"/>
      <c r="F2968" s="75"/>
    </row>
    <row r="2969" spans="1:6" s="53" customFormat="1" x14ac:dyDescent="0.35">
      <c r="B2969" s="89"/>
      <c r="C2969" s="53" t="s">
        <v>75</v>
      </c>
      <c r="D2969" s="113">
        <f>D2951-D2967</f>
        <v>13286850</v>
      </c>
      <c r="F2969" s="75"/>
    </row>
    <row r="2970" spans="1:6" s="53" customFormat="1" x14ac:dyDescent="0.35">
      <c r="B2970" s="89"/>
      <c r="D2970" s="113"/>
      <c r="F2970" s="75"/>
    </row>
    <row r="2971" spans="1:6" s="53" customFormat="1" x14ac:dyDescent="0.35">
      <c r="A2971" s="114"/>
      <c r="B2971" s="115"/>
      <c r="C2971" s="114"/>
      <c r="D2971" s="116"/>
      <c r="E2971" s="114"/>
      <c r="F2971" s="117"/>
    </row>
    <row r="2973" spans="1:6" s="53" customFormat="1" ht="23.5" x14ac:dyDescent="0.55000000000000004">
      <c r="B2973" s="206" t="s">
        <v>0</v>
      </c>
      <c r="C2973" s="206"/>
      <c r="D2973" s="206"/>
      <c r="E2973" s="70"/>
      <c r="F2973" s="71"/>
    </row>
    <row r="2974" spans="1:6" s="53" customFormat="1" ht="20.5" x14ac:dyDescent="0.45">
      <c r="B2974" s="72"/>
      <c r="C2974" s="73" t="s">
        <v>857</v>
      </c>
      <c r="D2974" s="74"/>
      <c r="F2974" s="75"/>
    </row>
    <row r="2975" spans="1:6" s="53" customFormat="1" ht="21" thickBot="1" x14ac:dyDescent="0.5">
      <c r="B2975" s="72" t="s">
        <v>115</v>
      </c>
      <c r="C2975" s="76" t="s">
        <v>47</v>
      </c>
      <c r="D2975" s="74"/>
      <c r="F2975" s="75"/>
    </row>
    <row r="2976" spans="1:6" s="53" customFormat="1" ht="15" thickBot="1" x14ac:dyDescent="0.4">
      <c r="A2976" s="77" t="s">
        <v>48</v>
      </c>
      <c r="B2976" s="78" t="s">
        <v>26</v>
      </c>
      <c r="C2976" s="78" t="s">
        <v>49</v>
      </c>
      <c r="D2976" s="79" t="s">
        <v>29</v>
      </c>
      <c r="F2976" s="75"/>
    </row>
    <row r="2977" spans="1:7" s="53" customFormat="1" ht="14.5" customHeight="1" x14ac:dyDescent="0.35">
      <c r="A2977" s="207" t="s">
        <v>34</v>
      </c>
      <c r="B2977" s="80" t="s">
        <v>845</v>
      </c>
      <c r="C2977" s="81" t="s">
        <v>103</v>
      </c>
      <c r="D2977" s="82">
        <f>F2984</f>
        <v>15810000</v>
      </c>
      <c r="F2977" s="75"/>
    </row>
    <row r="2978" spans="1:7" s="53" customFormat="1" ht="21" thickBot="1" x14ac:dyDescent="0.5">
      <c r="A2978" s="208"/>
      <c r="B2978" s="72"/>
      <c r="C2978" s="72"/>
      <c r="D2978" s="74"/>
      <c r="F2978" s="75"/>
    </row>
    <row r="2979" spans="1:7" s="53" customFormat="1" ht="15" thickBot="1" x14ac:dyDescent="0.4">
      <c r="A2979" s="208"/>
      <c r="B2979" s="83" t="s">
        <v>26</v>
      </c>
      <c r="C2979" s="84" t="s">
        <v>51</v>
      </c>
      <c r="D2979" s="85" t="s">
        <v>52</v>
      </c>
      <c r="F2979" s="75"/>
    </row>
    <row r="2980" spans="1:7" s="89" customFormat="1" x14ac:dyDescent="0.35">
      <c r="A2980" s="208"/>
      <c r="B2980" s="86" t="str">
        <f>B2977</f>
        <v>14th April,2026</v>
      </c>
      <c r="C2980" s="87" t="s">
        <v>869</v>
      </c>
      <c r="D2980" s="88"/>
      <c r="F2980" s="90"/>
    </row>
    <row r="2981" spans="1:7" s="53" customFormat="1" x14ac:dyDescent="0.35">
      <c r="A2981" s="208"/>
      <c r="B2981" s="91"/>
      <c r="C2981" s="92" t="s">
        <v>155</v>
      </c>
      <c r="D2981" s="93">
        <f>319*2450</f>
        <v>781550</v>
      </c>
      <c r="F2981" s="75"/>
    </row>
    <row r="2982" spans="1:7" s="53" customFormat="1" x14ac:dyDescent="0.35">
      <c r="A2982" s="208"/>
      <c r="B2982" s="91" t="s">
        <v>54</v>
      </c>
      <c r="C2982" s="92" t="s">
        <v>55</v>
      </c>
      <c r="D2982" s="93">
        <v>1000000</v>
      </c>
      <c r="F2982" s="75"/>
    </row>
    <row r="2983" spans="1:7" s="53" customFormat="1" x14ac:dyDescent="0.35">
      <c r="A2983" s="208"/>
      <c r="B2983" s="91" t="s">
        <v>56</v>
      </c>
      <c r="C2983" s="92" t="s">
        <v>57</v>
      </c>
      <c r="D2983" s="93">
        <v>40000</v>
      </c>
      <c r="E2983" s="210" t="s">
        <v>58</v>
      </c>
      <c r="F2983" s="210"/>
    </row>
    <row r="2984" spans="1:7" s="53" customFormat="1" x14ac:dyDescent="0.35">
      <c r="A2984" s="208"/>
      <c r="B2984" s="91" t="s">
        <v>151</v>
      </c>
      <c r="C2984" s="92" t="s">
        <v>60</v>
      </c>
      <c r="D2984" s="93">
        <f>400*140</f>
        <v>56000</v>
      </c>
      <c r="E2984" s="94" t="s">
        <v>61</v>
      </c>
      <c r="F2984" s="95">
        <f>6200*2550</f>
        <v>15810000</v>
      </c>
    </row>
    <row r="2985" spans="1:7" s="53" customFormat="1" x14ac:dyDescent="0.35">
      <c r="A2985" s="208"/>
      <c r="B2985" s="91"/>
      <c r="C2985" s="92" t="s">
        <v>62</v>
      </c>
      <c r="D2985" s="93">
        <f>4290*140</f>
        <v>600600</v>
      </c>
      <c r="E2985" s="96" t="s">
        <v>63</v>
      </c>
      <c r="F2985" s="75"/>
    </row>
    <row r="2986" spans="1:7" s="53" customFormat="1" ht="15" thickBot="1" x14ac:dyDescent="0.4">
      <c r="A2986" s="208"/>
      <c r="B2986" s="91" t="s">
        <v>64</v>
      </c>
      <c r="C2986" s="92" t="s">
        <v>65</v>
      </c>
      <c r="D2986" s="97">
        <v>30000</v>
      </c>
      <c r="E2986" s="98" t="s">
        <v>66</v>
      </c>
      <c r="F2986" s="99">
        <f>F2984-F2985</f>
        <v>15810000</v>
      </c>
      <c r="G2986" s="100">
        <f>F2986/2550</f>
        <v>6200</v>
      </c>
    </row>
    <row r="2987" spans="1:7" s="53" customFormat="1" ht="15" thickTop="1" x14ac:dyDescent="0.35">
      <c r="A2987" s="208"/>
      <c r="B2987" s="91"/>
      <c r="C2987" s="92" t="s">
        <v>67</v>
      </c>
      <c r="D2987" s="93"/>
      <c r="F2987" s="75"/>
    </row>
    <row r="2988" spans="1:7" s="53" customFormat="1" x14ac:dyDescent="0.35">
      <c r="A2988" s="208"/>
      <c r="B2988" s="91" t="s">
        <v>184</v>
      </c>
      <c r="C2988" s="101" t="s">
        <v>68</v>
      </c>
      <c r="D2988" s="93">
        <v>15000</v>
      </c>
      <c r="E2988" s="94" t="s">
        <v>69</v>
      </c>
      <c r="F2988" s="95"/>
    </row>
    <row r="2989" spans="1:7" s="53" customFormat="1" x14ac:dyDescent="0.35">
      <c r="A2989" s="208"/>
      <c r="B2989" s="102"/>
      <c r="C2989" s="101" t="s">
        <v>70</v>
      </c>
      <c r="D2989" s="103"/>
      <c r="E2989" s="104"/>
      <c r="F2989" s="105"/>
    </row>
    <row r="2990" spans="1:7" s="53" customFormat="1" x14ac:dyDescent="0.35">
      <c r="A2990" s="208"/>
      <c r="B2990" s="102"/>
      <c r="C2990" s="101" t="s">
        <v>71</v>
      </c>
      <c r="D2990" s="103"/>
      <c r="E2990" s="104" t="s">
        <v>72</v>
      </c>
      <c r="F2990" s="105"/>
    </row>
    <row r="2991" spans="1:7" s="53" customFormat="1" x14ac:dyDescent="0.35">
      <c r="A2991" s="208"/>
      <c r="B2991" s="102"/>
      <c r="C2991" s="92"/>
      <c r="D2991" s="106"/>
      <c r="F2991" s="105"/>
    </row>
    <row r="2992" spans="1:7" s="53" customFormat="1" ht="15" thickBot="1" x14ac:dyDescent="0.4">
      <c r="A2992" s="208"/>
      <c r="B2992" s="107"/>
      <c r="C2992" s="108"/>
      <c r="D2992" s="109"/>
      <c r="F2992" s="75"/>
    </row>
    <row r="2993" spans="1:6" s="53" customFormat="1" ht="15" thickBot="1" x14ac:dyDescent="0.4">
      <c r="A2993" s="208"/>
      <c r="B2993" s="110"/>
      <c r="C2993" s="111" t="s">
        <v>74</v>
      </c>
      <c r="D2993" s="112">
        <f>SUM(D2980:D2992)</f>
        <v>2523150</v>
      </c>
      <c r="F2993" s="75"/>
    </row>
    <row r="2994" spans="1:6" s="53" customFormat="1" ht="15.5" thickTop="1" thickBot="1" x14ac:dyDescent="0.4">
      <c r="A2994" s="209"/>
      <c r="B2994" s="211"/>
      <c r="C2994" s="211"/>
      <c r="D2994" s="211"/>
      <c r="F2994" s="75"/>
    </row>
    <row r="2995" spans="1:6" s="53" customFormat="1" x14ac:dyDescent="0.35">
      <c r="B2995" s="89"/>
      <c r="C2995" s="53" t="s">
        <v>75</v>
      </c>
      <c r="D2995" s="113">
        <f>D2977-D2993</f>
        <v>13286850</v>
      </c>
      <c r="F2995" s="75"/>
    </row>
    <row r="2996" spans="1:6" s="53" customFormat="1" x14ac:dyDescent="0.35">
      <c r="B2996" s="89"/>
      <c r="D2996" s="113"/>
      <c r="F2996" s="75"/>
    </row>
    <row r="2997" spans="1:6" s="53" customFormat="1" x14ac:dyDescent="0.35">
      <c r="A2997" s="114"/>
      <c r="B2997" s="115"/>
      <c r="C2997" s="114"/>
      <c r="D2997" s="116"/>
      <c r="E2997" s="114"/>
      <c r="F2997" s="117"/>
    </row>
    <row r="2999" spans="1:6" s="53" customFormat="1" ht="23.5" x14ac:dyDescent="0.55000000000000004">
      <c r="B2999" s="206" t="s">
        <v>0</v>
      </c>
      <c r="C2999" s="206"/>
      <c r="D2999" s="206"/>
      <c r="E2999" s="70"/>
      <c r="F2999" s="71"/>
    </row>
    <row r="3000" spans="1:6" s="53" customFormat="1" ht="20.5" x14ac:dyDescent="0.45">
      <c r="B3000" s="72"/>
      <c r="C3000" s="73" t="s">
        <v>867</v>
      </c>
      <c r="D3000" s="74"/>
      <c r="F3000" s="75"/>
    </row>
    <row r="3001" spans="1:6" s="53" customFormat="1" ht="21" thickBot="1" x14ac:dyDescent="0.5">
      <c r="B3001" s="72" t="s">
        <v>375</v>
      </c>
      <c r="C3001" s="76" t="s">
        <v>47</v>
      </c>
      <c r="D3001" s="74"/>
      <c r="F3001" s="75"/>
    </row>
    <row r="3002" spans="1:6" s="53" customFormat="1" ht="15" thickBot="1" x14ac:dyDescent="0.4">
      <c r="A3002" s="77" t="s">
        <v>48</v>
      </c>
      <c r="B3002" s="78" t="s">
        <v>26</v>
      </c>
      <c r="C3002" s="78" t="s">
        <v>49</v>
      </c>
      <c r="D3002" s="79" t="s">
        <v>29</v>
      </c>
      <c r="F3002" s="75"/>
    </row>
    <row r="3003" spans="1:6" s="53" customFormat="1" ht="14.5" customHeight="1" x14ac:dyDescent="0.35">
      <c r="A3003" s="207" t="s">
        <v>34</v>
      </c>
      <c r="B3003" s="80" t="s">
        <v>868</v>
      </c>
      <c r="C3003" s="81" t="s">
        <v>103</v>
      </c>
      <c r="D3003" s="82">
        <f>F3010</f>
        <v>15810000</v>
      </c>
      <c r="F3003" s="75"/>
    </row>
    <row r="3004" spans="1:6" s="53" customFormat="1" ht="21" thickBot="1" x14ac:dyDescent="0.5">
      <c r="A3004" s="208"/>
      <c r="B3004" s="72"/>
      <c r="C3004" s="72"/>
      <c r="D3004" s="74"/>
      <c r="F3004" s="75"/>
    </row>
    <row r="3005" spans="1:6" s="53" customFormat="1" ht="15" thickBot="1" x14ac:dyDescent="0.4">
      <c r="A3005" s="208"/>
      <c r="B3005" s="83" t="s">
        <v>26</v>
      </c>
      <c r="C3005" s="84" t="s">
        <v>51</v>
      </c>
      <c r="D3005" s="85" t="s">
        <v>52</v>
      </c>
      <c r="F3005" s="75"/>
    </row>
    <row r="3006" spans="1:6" s="89" customFormat="1" x14ac:dyDescent="0.35">
      <c r="A3006" s="208"/>
      <c r="B3006" s="86" t="str">
        <f>B3003</f>
        <v>17th April,2026</v>
      </c>
      <c r="C3006" s="87" t="s">
        <v>869</v>
      </c>
      <c r="D3006" s="88"/>
      <c r="F3006" s="90"/>
    </row>
    <row r="3007" spans="1:6" s="53" customFormat="1" x14ac:dyDescent="0.35">
      <c r="A3007" s="208"/>
      <c r="B3007" s="91"/>
      <c r="C3007" s="92" t="s">
        <v>606</v>
      </c>
      <c r="D3007" s="93">
        <f>325*2500</f>
        <v>812500</v>
      </c>
      <c r="F3007" s="75"/>
    </row>
    <row r="3008" spans="1:6" s="53" customFormat="1" x14ac:dyDescent="0.35">
      <c r="A3008" s="208"/>
      <c r="B3008" s="91" t="s">
        <v>54</v>
      </c>
      <c r="C3008" s="92" t="s">
        <v>55</v>
      </c>
      <c r="D3008" s="93">
        <v>1000000</v>
      </c>
      <c r="F3008" s="75"/>
    </row>
    <row r="3009" spans="1:7" s="53" customFormat="1" x14ac:dyDescent="0.35">
      <c r="A3009" s="208"/>
      <c r="B3009" s="91" t="s">
        <v>56</v>
      </c>
      <c r="C3009" s="92" t="s">
        <v>57</v>
      </c>
      <c r="D3009" s="93">
        <v>40000</v>
      </c>
      <c r="E3009" s="210" t="s">
        <v>58</v>
      </c>
      <c r="F3009" s="210"/>
    </row>
    <row r="3010" spans="1:7" s="53" customFormat="1" x14ac:dyDescent="0.35">
      <c r="A3010" s="208"/>
      <c r="B3010" s="91" t="s">
        <v>59</v>
      </c>
      <c r="C3010" s="92" t="s">
        <v>60</v>
      </c>
      <c r="D3010" s="93">
        <f>400*140</f>
        <v>56000</v>
      </c>
      <c r="E3010" s="94" t="s">
        <v>61</v>
      </c>
      <c r="F3010" s="95">
        <f>6200*2550</f>
        <v>15810000</v>
      </c>
    </row>
    <row r="3011" spans="1:7" s="53" customFormat="1" x14ac:dyDescent="0.35">
      <c r="A3011" s="208"/>
      <c r="B3011" s="91"/>
      <c r="C3011" s="92" t="s">
        <v>62</v>
      </c>
      <c r="D3011" s="93">
        <f>3600*140</f>
        <v>504000</v>
      </c>
      <c r="E3011" s="96" t="s">
        <v>63</v>
      </c>
      <c r="F3011" s="75">
        <f>(3720*2550)</f>
        <v>9486000</v>
      </c>
    </row>
    <row r="3012" spans="1:7" s="53" customFormat="1" ht="15" thickBot="1" x14ac:dyDescent="0.4">
      <c r="A3012" s="208"/>
      <c r="B3012" s="91" t="s">
        <v>64</v>
      </c>
      <c r="C3012" s="92" t="s">
        <v>65</v>
      </c>
      <c r="D3012" s="97">
        <v>30000</v>
      </c>
      <c r="E3012" s="98" t="s">
        <v>66</v>
      </c>
      <c r="F3012" s="99">
        <f>F3010-F3011</f>
        <v>6324000</v>
      </c>
      <c r="G3012" s="100">
        <f>F3012/2550</f>
        <v>2480</v>
      </c>
    </row>
    <row r="3013" spans="1:7" s="53" customFormat="1" ht="15" thickTop="1" x14ac:dyDescent="0.35">
      <c r="A3013" s="208"/>
      <c r="B3013" s="91"/>
      <c r="C3013" s="92" t="s">
        <v>67</v>
      </c>
      <c r="D3013" s="93">
        <v>0</v>
      </c>
      <c r="F3013" s="75"/>
    </row>
    <row r="3014" spans="1:7" s="53" customFormat="1" x14ac:dyDescent="0.35">
      <c r="A3014" s="208"/>
      <c r="B3014" s="91" t="s">
        <v>866</v>
      </c>
      <c r="C3014" s="101" t="s">
        <v>68</v>
      </c>
      <c r="D3014" s="93">
        <v>15000</v>
      </c>
      <c r="E3014" s="94" t="s">
        <v>69</v>
      </c>
      <c r="F3014" s="95"/>
    </row>
    <row r="3015" spans="1:7" s="53" customFormat="1" x14ac:dyDescent="0.35">
      <c r="A3015" s="208"/>
      <c r="B3015" s="102"/>
      <c r="C3015" s="101" t="s">
        <v>70</v>
      </c>
      <c r="D3015" s="103">
        <v>0</v>
      </c>
      <c r="E3015" s="104"/>
      <c r="F3015" s="105"/>
    </row>
    <row r="3016" spans="1:7" s="53" customFormat="1" x14ac:dyDescent="0.35">
      <c r="A3016" s="208"/>
      <c r="B3016" s="102"/>
      <c r="C3016" s="101" t="s">
        <v>71</v>
      </c>
      <c r="D3016" s="103">
        <v>0</v>
      </c>
      <c r="E3016" s="104" t="s">
        <v>72</v>
      </c>
      <c r="F3016" s="105"/>
    </row>
    <row r="3017" spans="1:7" s="53" customFormat="1" x14ac:dyDescent="0.35">
      <c r="A3017" s="208"/>
      <c r="B3017" s="102"/>
      <c r="C3017" s="92"/>
      <c r="D3017" s="106"/>
      <c r="E3017" s="53" t="s">
        <v>972</v>
      </c>
      <c r="F3017" s="105"/>
    </row>
    <row r="3018" spans="1:7" s="53" customFormat="1" ht="15" thickBot="1" x14ac:dyDescent="0.4">
      <c r="A3018" s="208"/>
      <c r="B3018" s="107"/>
      <c r="C3018" s="108"/>
      <c r="D3018" s="109"/>
      <c r="F3018" s="75"/>
    </row>
    <row r="3019" spans="1:7" s="53" customFormat="1" ht="15" thickBot="1" x14ac:dyDescent="0.4">
      <c r="A3019" s="208"/>
      <c r="B3019" s="110"/>
      <c r="C3019" s="111" t="s">
        <v>74</v>
      </c>
      <c r="D3019" s="112">
        <f>SUM(D3006:D3018)</f>
        <v>2457500</v>
      </c>
      <c r="F3019" s="75"/>
    </row>
    <row r="3020" spans="1:7" s="53" customFormat="1" ht="15.5" thickTop="1" thickBot="1" x14ac:dyDescent="0.4">
      <c r="A3020" s="209"/>
      <c r="B3020" s="211"/>
      <c r="C3020" s="211"/>
      <c r="D3020" s="211"/>
      <c r="F3020" s="75"/>
    </row>
    <row r="3021" spans="1:7" s="53" customFormat="1" x14ac:dyDescent="0.35">
      <c r="B3021" s="89"/>
      <c r="C3021" s="53" t="s">
        <v>75</v>
      </c>
      <c r="D3021" s="113">
        <f>D3003-D3019</f>
        <v>13352500</v>
      </c>
      <c r="F3021" s="75"/>
    </row>
    <row r="3022" spans="1:7" s="53" customFormat="1" x14ac:dyDescent="0.35">
      <c r="B3022" s="89"/>
      <c r="D3022" s="113"/>
      <c r="F3022" s="75"/>
    </row>
    <row r="3023" spans="1:7" s="53" customFormat="1" x14ac:dyDescent="0.35">
      <c r="A3023" s="114"/>
      <c r="B3023" s="115"/>
      <c r="C3023" s="114"/>
      <c r="D3023" s="116"/>
      <c r="E3023" s="114"/>
      <c r="F3023" s="117"/>
    </row>
    <row r="3025" spans="1:7" s="53" customFormat="1" ht="23.5" x14ac:dyDescent="0.55000000000000004">
      <c r="B3025" s="206" t="s">
        <v>0</v>
      </c>
      <c r="C3025" s="206"/>
      <c r="D3025" s="206"/>
      <c r="E3025" s="70"/>
      <c r="F3025" s="71"/>
    </row>
    <row r="3026" spans="1:7" s="53" customFormat="1" ht="20.5" x14ac:dyDescent="0.45">
      <c r="B3026" s="72"/>
      <c r="C3026" s="73" t="s">
        <v>873</v>
      </c>
      <c r="D3026" s="74"/>
      <c r="F3026" s="75"/>
    </row>
    <row r="3027" spans="1:7" s="53" customFormat="1" ht="21" thickBot="1" x14ac:dyDescent="0.5">
      <c r="B3027" s="72" t="s">
        <v>874</v>
      </c>
      <c r="C3027" s="76" t="s">
        <v>47</v>
      </c>
      <c r="D3027" s="74"/>
      <c r="F3027" s="75"/>
    </row>
    <row r="3028" spans="1:7" s="53" customFormat="1" ht="15" thickBot="1" x14ac:dyDescent="0.4">
      <c r="A3028" s="77" t="s">
        <v>48</v>
      </c>
      <c r="B3028" s="78" t="s">
        <v>26</v>
      </c>
      <c r="C3028" s="78" t="s">
        <v>49</v>
      </c>
      <c r="D3028" s="79" t="s">
        <v>29</v>
      </c>
      <c r="F3028" s="75"/>
    </row>
    <row r="3029" spans="1:7" s="53" customFormat="1" ht="14.5" customHeight="1" x14ac:dyDescent="0.35">
      <c r="A3029" s="207" t="s">
        <v>34</v>
      </c>
      <c r="B3029" s="80" t="s">
        <v>868</v>
      </c>
      <c r="C3029" s="81" t="s">
        <v>103</v>
      </c>
      <c r="D3029" s="82">
        <f>F3036</f>
        <v>15810000</v>
      </c>
      <c r="F3029" s="75"/>
    </row>
    <row r="3030" spans="1:7" s="53" customFormat="1" ht="21" thickBot="1" x14ac:dyDescent="0.5">
      <c r="A3030" s="208"/>
      <c r="B3030" s="72"/>
      <c r="C3030" s="72"/>
      <c r="D3030" s="74"/>
      <c r="F3030" s="75"/>
    </row>
    <row r="3031" spans="1:7" s="53" customFormat="1" ht="15" thickBot="1" x14ac:dyDescent="0.4">
      <c r="A3031" s="208"/>
      <c r="B3031" s="83" t="s">
        <v>26</v>
      </c>
      <c r="C3031" s="84" t="s">
        <v>51</v>
      </c>
      <c r="D3031" s="85" t="s">
        <v>52</v>
      </c>
      <c r="F3031" s="75"/>
    </row>
    <row r="3032" spans="1:7" s="89" customFormat="1" x14ac:dyDescent="0.35">
      <c r="A3032" s="208"/>
      <c r="B3032" s="86" t="str">
        <f>B3029</f>
        <v>17th April,2026</v>
      </c>
      <c r="C3032" s="87" t="s">
        <v>869</v>
      </c>
      <c r="D3032" s="88"/>
      <c r="F3032" s="90"/>
    </row>
    <row r="3033" spans="1:7" s="53" customFormat="1" x14ac:dyDescent="0.35">
      <c r="A3033" s="208"/>
      <c r="B3033" s="91"/>
      <c r="C3033" s="92" t="s">
        <v>606</v>
      </c>
      <c r="D3033" s="93">
        <f>325*2500</f>
        <v>812500</v>
      </c>
      <c r="F3033" s="75"/>
    </row>
    <row r="3034" spans="1:7" s="53" customFormat="1" x14ac:dyDescent="0.35">
      <c r="A3034" s="208"/>
      <c r="B3034" s="91" t="s">
        <v>54</v>
      </c>
      <c r="C3034" s="92" t="s">
        <v>55</v>
      </c>
      <c r="D3034" s="93">
        <v>1000000</v>
      </c>
      <c r="F3034" s="75"/>
    </row>
    <row r="3035" spans="1:7" s="53" customFormat="1" x14ac:dyDescent="0.35">
      <c r="A3035" s="208"/>
      <c r="B3035" s="91" t="s">
        <v>56</v>
      </c>
      <c r="C3035" s="92" t="s">
        <v>57</v>
      </c>
      <c r="D3035" s="93">
        <v>40000</v>
      </c>
      <c r="E3035" s="210" t="s">
        <v>58</v>
      </c>
      <c r="F3035" s="210"/>
    </row>
    <row r="3036" spans="1:7" s="53" customFormat="1" x14ac:dyDescent="0.35">
      <c r="A3036" s="208"/>
      <c r="B3036" s="91" t="s">
        <v>59</v>
      </c>
      <c r="C3036" s="92" t="s">
        <v>60</v>
      </c>
      <c r="D3036" s="93">
        <f>400*140</f>
        <v>56000</v>
      </c>
      <c r="E3036" s="94" t="s">
        <v>61</v>
      </c>
      <c r="F3036" s="95">
        <f>6200*2550</f>
        <v>15810000</v>
      </c>
    </row>
    <row r="3037" spans="1:7" s="53" customFormat="1" x14ac:dyDescent="0.35">
      <c r="A3037" s="208"/>
      <c r="B3037" s="91"/>
      <c r="C3037" s="92" t="s">
        <v>62</v>
      </c>
      <c r="D3037" s="93">
        <f>3600*140</f>
        <v>504000</v>
      </c>
      <c r="E3037" s="96" t="s">
        <v>63</v>
      </c>
      <c r="F3037" s="75">
        <f>(3720*2550)</f>
        <v>9486000</v>
      </c>
    </row>
    <row r="3038" spans="1:7" s="53" customFormat="1" ht="15" thickBot="1" x14ac:dyDescent="0.4">
      <c r="A3038" s="208"/>
      <c r="B3038" s="91" t="s">
        <v>64</v>
      </c>
      <c r="C3038" s="92" t="s">
        <v>65</v>
      </c>
      <c r="D3038" s="97">
        <v>30000</v>
      </c>
      <c r="E3038" s="98" t="s">
        <v>66</v>
      </c>
      <c r="F3038" s="99">
        <f>F3036-F3037</f>
        <v>6324000</v>
      </c>
      <c r="G3038" s="100">
        <f>F3038/2550</f>
        <v>2480</v>
      </c>
    </row>
    <row r="3039" spans="1:7" s="53" customFormat="1" ht="15" thickTop="1" x14ac:dyDescent="0.35">
      <c r="A3039" s="208"/>
      <c r="B3039" s="91"/>
      <c r="C3039" s="92" t="s">
        <v>67</v>
      </c>
      <c r="D3039" s="93">
        <v>0</v>
      </c>
      <c r="F3039" s="75"/>
    </row>
    <row r="3040" spans="1:7" s="53" customFormat="1" x14ac:dyDescent="0.35">
      <c r="A3040" s="208"/>
      <c r="B3040" s="91" t="s">
        <v>872</v>
      </c>
      <c r="C3040" s="101" t="s">
        <v>68</v>
      </c>
      <c r="D3040" s="93">
        <v>15000</v>
      </c>
      <c r="E3040" s="94" t="s">
        <v>69</v>
      </c>
      <c r="F3040" s="95"/>
    </row>
    <row r="3041" spans="1:6" s="53" customFormat="1" x14ac:dyDescent="0.35">
      <c r="A3041" s="208"/>
      <c r="B3041" s="102"/>
      <c r="C3041" s="101" t="s">
        <v>70</v>
      </c>
      <c r="D3041" s="103">
        <v>0</v>
      </c>
      <c r="E3041" s="104"/>
      <c r="F3041" s="105"/>
    </row>
    <row r="3042" spans="1:6" s="53" customFormat="1" x14ac:dyDescent="0.35">
      <c r="A3042" s="208"/>
      <c r="B3042" s="102"/>
      <c r="C3042" s="101" t="s">
        <v>71</v>
      </c>
      <c r="D3042" s="103">
        <v>0</v>
      </c>
      <c r="E3042" s="104" t="s">
        <v>72</v>
      </c>
      <c r="F3042" s="105"/>
    </row>
    <row r="3043" spans="1:6" s="53" customFormat="1" x14ac:dyDescent="0.35">
      <c r="A3043" s="208"/>
      <c r="B3043" s="102"/>
      <c r="C3043" s="92"/>
      <c r="D3043" s="106"/>
      <c r="E3043" s="53" t="s">
        <v>973</v>
      </c>
      <c r="F3043" s="105"/>
    </row>
    <row r="3044" spans="1:6" s="53" customFormat="1" ht="15" thickBot="1" x14ac:dyDescent="0.4">
      <c r="A3044" s="208"/>
      <c r="B3044" s="107"/>
      <c r="C3044" s="108"/>
      <c r="D3044" s="109"/>
      <c r="F3044" s="75"/>
    </row>
    <row r="3045" spans="1:6" s="53" customFormat="1" ht="15" thickBot="1" x14ac:dyDescent="0.4">
      <c r="A3045" s="208"/>
      <c r="B3045" s="110"/>
      <c r="C3045" s="111" t="s">
        <v>74</v>
      </c>
      <c r="D3045" s="112">
        <f>SUM(D3032:D3044)</f>
        <v>2457500</v>
      </c>
      <c r="F3045" s="75"/>
    </row>
    <row r="3046" spans="1:6" s="53" customFormat="1" ht="15.5" thickTop="1" thickBot="1" x14ac:dyDescent="0.4">
      <c r="A3046" s="209"/>
      <c r="B3046" s="211"/>
      <c r="C3046" s="211"/>
      <c r="D3046" s="211"/>
      <c r="F3046" s="75"/>
    </row>
    <row r="3047" spans="1:6" s="53" customFormat="1" x14ac:dyDescent="0.35">
      <c r="B3047" s="89"/>
      <c r="C3047" s="53" t="s">
        <v>75</v>
      </c>
      <c r="D3047" s="113">
        <f>D3029-D3045</f>
        <v>13352500</v>
      </c>
      <c r="F3047" s="75"/>
    </row>
    <row r="3048" spans="1:6" s="53" customFormat="1" x14ac:dyDescent="0.35">
      <c r="B3048" s="89"/>
      <c r="D3048" s="113"/>
      <c r="F3048" s="75"/>
    </row>
    <row r="3049" spans="1:6" s="53" customFormat="1" x14ac:dyDescent="0.35">
      <c r="A3049" s="114"/>
      <c r="B3049" s="115"/>
      <c r="C3049" s="114"/>
      <c r="D3049" s="116"/>
      <c r="E3049" s="114"/>
      <c r="F3049" s="117"/>
    </row>
    <row r="3051" spans="1:6" s="53" customFormat="1" ht="23.5" x14ac:dyDescent="0.55000000000000004">
      <c r="B3051" s="206" t="s">
        <v>0</v>
      </c>
      <c r="C3051" s="206"/>
      <c r="D3051" s="206"/>
      <c r="E3051" s="70"/>
      <c r="F3051" s="71"/>
    </row>
    <row r="3052" spans="1:6" s="53" customFormat="1" ht="20.5" x14ac:dyDescent="0.45">
      <c r="B3052" s="72"/>
      <c r="C3052" s="73" t="s">
        <v>877</v>
      </c>
      <c r="D3052" s="74"/>
      <c r="F3052" s="75"/>
    </row>
    <row r="3053" spans="1:6" s="53" customFormat="1" ht="21" thickBot="1" x14ac:dyDescent="0.5">
      <c r="B3053" s="72" t="s">
        <v>312</v>
      </c>
      <c r="C3053" s="76" t="s">
        <v>47</v>
      </c>
      <c r="D3053" s="74"/>
      <c r="F3053" s="75"/>
    </row>
    <row r="3054" spans="1:6" s="53" customFormat="1" ht="15" thickBot="1" x14ac:dyDescent="0.4">
      <c r="A3054" s="77" t="s">
        <v>48</v>
      </c>
      <c r="B3054" s="78" t="s">
        <v>26</v>
      </c>
      <c r="C3054" s="78" t="s">
        <v>49</v>
      </c>
      <c r="D3054" s="79" t="s">
        <v>29</v>
      </c>
      <c r="F3054" s="75"/>
    </row>
    <row r="3055" spans="1:6" s="53" customFormat="1" ht="14.5" customHeight="1" x14ac:dyDescent="0.35">
      <c r="A3055" s="207" t="s">
        <v>34</v>
      </c>
      <c r="B3055" s="80" t="s">
        <v>868</v>
      </c>
      <c r="C3055" s="81" t="s">
        <v>103</v>
      </c>
      <c r="D3055" s="82">
        <f>F3062</f>
        <v>15810000</v>
      </c>
      <c r="F3055" s="75"/>
    </row>
    <row r="3056" spans="1:6" s="53" customFormat="1" ht="21" thickBot="1" x14ac:dyDescent="0.5">
      <c r="A3056" s="208"/>
      <c r="B3056" s="72"/>
      <c r="C3056" s="72"/>
      <c r="D3056" s="74"/>
      <c r="F3056" s="75"/>
    </row>
    <row r="3057" spans="1:7" s="53" customFormat="1" ht="15" thickBot="1" x14ac:dyDescent="0.4">
      <c r="A3057" s="208"/>
      <c r="B3057" s="83" t="s">
        <v>26</v>
      </c>
      <c r="C3057" s="84" t="s">
        <v>51</v>
      </c>
      <c r="D3057" s="85" t="s">
        <v>52</v>
      </c>
      <c r="F3057" s="75"/>
    </row>
    <row r="3058" spans="1:7" s="89" customFormat="1" x14ac:dyDescent="0.35">
      <c r="A3058" s="208"/>
      <c r="B3058" s="86" t="str">
        <f>B3055</f>
        <v>17th April,2026</v>
      </c>
      <c r="C3058" s="87" t="s">
        <v>869</v>
      </c>
      <c r="D3058" s="88"/>
      <c r="F3058" s="90"/>
    </row>
    <row r="3059" spans="1:7" s="53" customFormat="1" x14ac:dyDescent="0.35">
      <c r="A3059" s="208"/>
      <c r="B3059" s="91"/>
      <c r="C3059" s="92" t="s">
        <v>606</v>
      </c>
      <c r="D3059" s="93">
        <f>325*2500</f>
        <v>812500</v>
      </c>
      <c r="F3059" s="75"/>
    </row>
    <row r="3060" spans="1:7" s="53" customFormat="1" x14ac:dyDescent="0.35">
      <c r="A3060" s="208"/>
      <c r="B3060" s="91" t="s">
        <v>54</v>
      </c>
      <c r="C3060" s="92" t="s">
        <v>55</v>
      </c>
      <c r="D3060" s="93">
        <v>1000000</v>
      </c>
      <c r="F3060" s="75"/>
    </row>
    <row r="3061" spans="1:7" s="53" customFormat="1" x14ac:dyDescent="0.35">
      <c r="A3061" s="208"/>
      <c r="B3061" s="91" t="s">
        <v>56</v>
      </c>
      <c r="C3061" s="92" t="s">
        <v>57</v>
      </c>
      <c r="D3061" s="93">
        <v>40000</v>
      </c>
      <c r="E3061" s="210" t="s">
        <v>58</v>
      </c>
      <c r="F3061" s="210"/>
    </row>
    <row r="3062" spans="1:7" s="53" customFormat="1" x14ac:dyDescent="0.35">
      <c r="A3062" s="208"/>
      <c r="B3062" s="91" t="s">
        <v>59</v>
      </c>
      <c r="C3062" s="92" t="s">
        <v>60</v>
      </c>
      <c r="D3062" s="93">
        <f>400*140</f>
        <v>56000</v>
      </c>
      <c r="E3062" s="94" t="s">
        <v>61</v>
      </c>
      <c r="F3062" s="95">
        <f>6200*2550</f>
        <v>15810000</v>
      </c>
    </row>
    <row r="3063" spans="1:7" s="53" customFormat="1" x14ac:dyDescent="0.35">
      <c r="A3063" s="208"/>
      <c r="B3063" s="91"/>
      <c r="C3063" s="92" t="s">
        <v>62</v>
      </c>
      <c r="D3063" s="93">
        <f>3600*140</f>
        <v>504000</v>
      </c>
      <c r="E3063" s="96" t="s">
        <v>63</v>
      </c>
      <c r="F3063" s="75">
        <f>(3720*2550)</f>
        <v>9486000</v>
      </c>
    </row>
    <row r="3064" spans="1:7" s="53" customFormat="1" ht="15" thickBot="1" x14ac:dyDescent="0.4">
      <c r="A3064" s="208"/>
      <c r="B3064" s="91" t="s">
        <v>64</v>
      </c>
      <c r="C3064" s="92" t="s">
        <v>65</v>
      </c>
      <c r="D3064" s="97">
        <v>30000</v>
      </c>
      <c r="E3064" s="98" t="s">
        <v>66</v>
      </c>
      <c r="F3064" s="99">
        <f>F3062-F3063</f>
        <v>6324000</v>
      </c>
      <c r="G3064" s="100">
        <f>F3064/2550</f>
        <v>2480</v>
      </c>
    </row>
    <row r="3065" spans="1:7" s="53" customFormat="1" ht="15" thickTop="1" x14ac:dyDescent="0.35">
      <c r="A3065" s="208"/>
      <c r="B3065" s="91"/>
      <c r="C3065" s="92" t="s">
        <v>67</v>
      </c>
      <c r="D3065" s="93">
        <v>0</v>
      </c>
      <c r="F3065" s="75"/>
    </row>
    <row r="3066" spans="1:7" s="53" customFormat="1" x14ac:dyDescent="0.35">
      <c r="A3066" s="208"/>
      <c r="B3066" s="91" t="s">
        <v>872</v>
      </c>
      <c r="C3066" s="101" t="s">
        <v>68</v>
      </c>
      <c r="D3066" s="93">
        <v>15000</v>
      </c>
      <c r="E3066" s="94" t="s">
        <v>69</v>
      </c>
      <c r="F3066" s="95"/>
    </row>
    <row r="3067" spans="1:7" s="53" customFormat="1" x14ac:dyDescent="0.35">
      <c r="A3067" s="208"/>
      <c r="B3067" s="102"/>
      <c r="C3067" s="101" t="s">
        <v>70</v>
      </c>
      <c r="D3067" s="103">
        <v>0</v>
      </c>
      <c r="E3067" s="104"/>
      <c r="F3067" s="105"/>
    </row>
    <row r="3068" spans="1:7" s="53" customFormat="1" x14ac:dyDescent="0.35">
      <c r="A3068" s="208"/>
      <c r="B3068" s="102"/>
      <c r="C3068" s="101" t="s">
        <v>71</v>
      </c>
      <c r="D3068" s="103">
        <v>0</v>
      </c>
      <c r="E3068" s="104" t="s">
        <v>72</v>
      </c>
      <c r="F3068" s="105"/>
    </row>
    <row r="3069" spans="1:7" s="53" customFormat="1" x14ac:dyDescent="0.35">
      <c r="A3069" s="208"/>
      <c r="B3069" s="102"/>
      <c r="C3069" s="92"/>
      <c r="D3069" s="106"/>
      <c r="E3069" s="53" t="s">
        <v>972</v>
      </c>
      <c r="F3069" s="105"/>
    </row>
    <row r="3070" spans="1:7" s="53" customFormat="1" ht="15" thickBot="1" x14ac:dyDescent="0.4">
      <c r="A3070" s="208"/>
      <c r="B3070" s="107"/>
      <c r="C3070" s="108"/>
      <c r="D3070" s="109"/>
      <c r="F3070" s="75"/>
    </row>
    <row r="3071" spans="1:7" s="53" customFormat="1" ht="15" thickBot="1" x14ac:dyDescent="0.4">
      <c r="A3071" s="208"/>
      <c r="B3071" s="110"/>
      <c r="C3071" s="111" t="s">
        <v>74</v>
      </c>
      <c r="D3071" s="112">
        <f>SUM(D3058:D3070)</f>
        <v>2457500</v>
      </c>
      <c r="F3071" s="75"/>
    </row>
    <row r="3072" spans="1:7" s="53" customFormat="1" ht="15.5" thickTop="1" thickBot="1" x14ac:dyDescent="0.4">
      <c r="A3072" s="209"/>
      <c r="B3072" s="211"/>
      <c r="C3072" s="211"/>
      <c r="D3072" s="211"/>
      <c r="F3072" s="75"/>
    </row>
    <row r="3073" spans="1:6" s="53" customFormat="1" x14ac:dyDescent="0.35">
      <c r="B3073" s="89"/>
      <c r="C3073" s="53" t="s">
        <v>75</v>
      </c>
      <c r="D3073" s="113">
        <f>D3055-D3071</f>
        <v>13352500</v>
      </c>
      <c r="F3073" s="75"/>
    </row>
    <row r="3074" spans="1:6" s="53" customFormat="1" x14ac:dyDescent="0.35">
      <c r="B3074" s="89"/>
      <c r="D3074" s="113"/>
      <c r="F3074" s="75"/>
    </row>
    <row r="3075" spans="1:6" s="53" customFormat="1" x14ac:dyDescent="0.35">
      <c r="A3075" s="114"/>
      <c r="B3075" s="115"/>
      <c r="C3075" s="114"/>
      <c r="D3075" s="116"/>
      <c r="E3075" s="114"/>
      <c r="F3075" s="117"/>
    </row>
    <row r="3077" spans="1:6" s="53" customFormat="1" ht="23.5" x14ac:dyDescent="0.55000000000000004">
      <c r="B3077" s="206" t="s">
        <v>0</v>
      </c>
      <c r="C3077" s="206"/>
      <c r="D3077" s="206"/>
      <c r="E3077" s="70"/>
      <c r="F3077" s="71"/>
    </row>
    <row r="3078" spans="1:6" s="53" customFormat="1" ht="20.5" x14ac:dyDescent="0.45">
      <c r="B3078" s="72"/>
      <c r="C3078" s="73" t="s">
        <v>881</v>
      </c>
      <c r="D3078" s="74"/>
      <c r="F3078" s="75"/>
    </row>
    <row r="3079" spans="1:6" s="53" customFormat="1" ht="21" thickBot="1" x14ac:dyDescent="0.5">
      <c r="B3079" s="72" t="s">
        <v>949</v>
      </c>
      <c r="C3079" s="76" t="s">
        <v>47</v>
      </c>
      <c r="D3079" s="74"/>
      <c r="F3079" s="75"/>
    </row>
    <row r="3080" spans="1:6" s="53" customFormat="1" ht="15" thickBot="1" x14ac:dyDescent="0.4">
      <c r="A3080" s="77" t="s">
        <v>48</v>
      </c>
      <c r="B3080" s="78" t="s">
        <v>26</v>
      </c>
      <c r="C3080" s="78" t="s">
        <v>49</v>
      </c>
      <c r="D3080" s="79" t="s">
        <v>29</v>
      </c>
      <c r="F3080" s="75"/>
    </row>
    <row r="3081" spans="1:6" s="53" customFormat="1" ht="14.5" customHeight="1" x14ac:dyDescent="0.35">
      <c r="A3081" s="207" t="s">
        <v>34</v>
      </c>
      <c r="B3081" s="80" t="s">
        <v>868</v>
      </c>
      <c r="C3081" s="81" t="s">
        <v>103</v>
      </c>
      <c r="D3081" s="82">
        <f>F3088</f>
        <v>15810000</v>
      </c>
      <c r="F3081" s="75"/>
    </row>
    <row r="3082" spans="1:6" s="53" customFormat="1" ht="21" thickBot="1" x14ac:dyDescent="0.5">
      <c r="A3082" s="208"/>
      <c r="B3082" s="72"/>
      <c r="C3082" s="72"/>
      <c r="D3082" s="74"/>
      <c r="F3082" s="75"/>
    </row>
    <row r="3083" spans="1:6" s="53" customFormat="1" ht="15" thickBot="1" x14ac:dyDescent="0.4">
      <c r="A3083" s="208"/>
      <c r="B3083" s="83" t="s">
        <v>26</v>
      </c>
      <c r="C3083" s="84" t="s">
        <v>51</v>
      </c>
      <c r="D3083" s="85" t="s">
        <v>52</v>
      </c>
      <c r="F3083" s="75"/>
    </row>
    <row r="3084" spans="1:6" s="89" customFormat="1" x14ac:dyDescent="0.35">
      <c r="A3084" s="208"/>
      <c r="B3084" s="86" t="str">
        <f>B3081</f>
        <v>17th April,2026</v>
      </c>
      <c r="C3084" s="87" t="s">
        <v>869</v>
      </c>
      <c r="D3084" s="88"/>
      <c r="F3084" s="90"/>
    </row>
    <row r="3085" spans="1:6" s="53" customFormat="1" x14ac:dyDescent="0.35">
      <c r="A3085" s="208"/>
      <c r="B3085" s="91"/>
      <c r="C3085" s="92" t="s">
        <v>606</v>
      </c>
      <c r="D3085" s="93">
        <f>325*2500</f>
        <v>812500</v>
      </c>
      <c r="F3085" s="75"/>
    </row>
    <row r="3086" spans="1:6" s="53" customFormat="1" x14ac:dyDescent="0.35">
      <c r="A3086" s="208"/>
      <c r="B3086" s="91" t="s">
        <v>54</v>
      </c>
      <c r="C3086" s="92" t="s">
        <v>55</v>
      </c>
      <c r="D3086" s="93">
        <v>1000000</v>
      </c>
      <c r="F3086" s="75"/>
    </row>
    <row r="3087" spans="1:6" s="53" customFormat="1" x14ac:dyDescent="0.35">
      <c r="A3087" s="208"/>
      <c r="B3087" s="91" t="s">
        <v>56</v>
      </c>
      <c r="C3087" s="92" t="s">
        <v>57</v>
      </c>
      <c r="D3087" s="93">
        <v>40000</v>
      </c>
      <c r="E3087" s="210" t="s">
        <v>58</v>
      </c>
      <c r="F3087" s="210"/>
    </row>
    <row r="3088" spans="1:6" s="53" customFormat="1" x14ac:dyDescent="0.35">
      <c r="A3088" s="208"/>
      <c r="B3088" s="91" t="s">
        <v>59</v>
      </c>
      <c r="C3088" s="92" t="s">
        <v>60</v>
      </c>
      <c r="D3088" s="93">
        <f>400*140</f>
        <v>56000</v>
      </c>
      <c r="E3088" s="94" t="s">
        <v>61</v>
      </c>
      <c r="F3088" s="95">
        <f>6200*2550</f>
        <v>15810000</v>
      </c>
    </row>
    <row r="3089" spans="1:7" s="53" customFormat="1" x14ac:dyDescent="0.35">
      <c r="A3089" s="208"/>
      <c r="B3089" s="91"/>
      <c r="C3089" s="92" t="s">
        <v>62</v>
      </c>
      <c r="D3089" s="93">
        <f>3600*140</f>
        <v>504000</v>
      </c>
      <c r="E3089" s="96" t="s">
        <v>63</v>
      </c>
      <c r="F3089" s="75">
        <f>(3720*2550)</f>
        <v>9486000</v>
      </c>
    </row>
    <row r="3090" spans="1:7" s="53" customFormat="1" ht="15" thickBot="1" x14ac:dyDescent="0.4">
      <c r="A3090" s="208"/>
      <c r="B3090" s="91" t="s">
        <v>64</v>
      </c>
      <c r="C3090" s="92" t="s">
        <v>65</v>
      </c>
      <c r="D3090" s="97">
        <v>30000</v>
      </c>
      <c r="E3090" s="98" t="s">
        <v>66</v>
      </c>
      <c r="F3090" s="99">
        <f>F3088-F3089</f>
        <v>6324000</v>
      </c>
      <c r="G3090" s="100">
        <f>F3090/2550</f>
        <v>2480</v>
      </c>
    </row>
    <row r="3091" spans="1:7" s="53" customFormat="1" ht="15" thickTop="1" x14ac:dyDescent="0.35">
      <c r="A3091" s="208"/>
      <c r="B3091" s="91"/>
      <c r="C3091" s="92" t="s">
        <v>67</v>
      </c>
      <c r="D3091" s="93">
        <v>0</v>
      </c>
      <c r="F3091" s="75"/>
    </row>
    <row r="3092" spans="1:7" s="53" customFormat="1" x14ac:dyDescent="0.35">
      <c r="A3092" s="208"/>
      <c r="B3092" s="91" t="s">
        <v>872</v>
      </c>
      <c r="C3092" s="101" t="s">
        <v>68</v>
      </c>
      <c r="D3092" s="93">
        <v>15000</v>
      </c>
      <c r="E3092" s="94" t="s">
        <v>69</v>
      </c>
      <c r="F3092" s="95"/>
    </row>
    <row r="3093" spans="1:7" s="53" customFormat="1" x14ac:dyDescent="0.35">
      <c r="A3093" s="208"/>
      <c r="B3093" s="102"/>
      <c r="C3093" s="101" t="s">
        <v>70</v>
      </c>
      <c r="D3093" s="103">
        <v>0</v>
      </c>
      <c r="E3093" s="104"/>
      <c r="F3093" s="105"/>
    </row>
    <row r="3094" spans="1:7" s="53" customFormat="1" x14ac:dyDescent="0.35">
      <c r="A3094" s="208"/>
      <c r="B3094" s="102"/>
      <c r="C3094" s="101" t="s">
        <v>71</v>
      </c>
      <c r="D3094" s="103">
        <v>0</v>
      </c>
      <c r="E3094" s="104" t="s">
        <v>72</v>
      </c>
      <c r="F3094" s="105"/>
    </row>
    <row r="3095" spans="1:7" s="53" customFormat="1" x14ac:dyDescent="0.35">
      <c r="A3095" s="208"/>
      <c r="B3095" s="102"/>
      <c r="C3095" s="92"/>
      <c r="D3095" s="106"/>
      <c r="E3095" s="53" t="s">
        <v>973</v>
      </c>
      <c r="F3095" s="105"/>
    </row>
    <row r="3096" spans="1:7" s="53" customFormat="1" ht="15" thickBot="1" x14ac:dyDescent="0.4">
      <c r="A3096" s="208"/>
      <c r="B3096" s="107"/>
      <c r="C3096" s="108"/>
      <c r="D3096" s="109"/>
      <c r="F3096" s="75"/>
    </row>
    <row r="3097" spans="1:7" s="53" customFormat="1" ht="15" thickBot="1" x14ac:dyDescent="0.4">
      <c r="A3097" s="208"/>
      <c r="B3097" s="110"/>
      <c r="C3097" s="111" t="s">
        <v>74</v>
      </c>
      <c r="D3097" s="112">
        <f>SUM(D3084:D3096)</f>
        <v>2457500</v>
      </c>
      <c r="F3097" s="75"/>
    </row>
    <row r="3098" spans="1:7" s="53" customFormat="1" ht="15.5" thickTop="1" thickBot="1" x14ac:dyDescent="0.4">
      <c r="A3098" s="209"/>
      <c r="B3098" s="211"/>
      <c r="C3098" s="211"/>
      <c r="D3098" s="211"/>
      <c r="F3098" s="75"/>
    </row>
    <row r="3099" spans="1:7" s="53" customFormat="1" x14ac:dyDescent="0.35">
      <c r="B3099" s="89"/>
      <c r="C3099" s="53" t="s">
        <v>75</v>
      </c>
      <c r="D3099" s="113">
        <f>D3081-D3097</f>
        <v>13352500</v>
      </c>
      <c r="F3099" s="75"/>
    </row>
    <row r="3100" spans="1:7" s="53" customFormat="1" x14ac:dyDescent="0.35">
      <c r="B3100" s="89"/>
      <c r="D3100" s="113"/>
      <c r="F3100" s="75"/>
    </row>
    <row r="3101" spans="1:7" s="53" customFormat="1" x14ac:dyDescent="0.35">
      <c r="A3101" s="114"/>
      <c r="B3101" s="115"/>
      <c r="C3101" s="114"/>
      <c r="D3101" s="116"/>
      <c r="E3101" s="114"/>
      <c r="F3101" s="117"/>
    </row>
    <row r="3103" spans="1:7" s="53" customFormat="1" ht="23.5" x14ac:dyDescent="0.55000000000000004">
      <c r="B3103" s="206" t="s">
        <v>0</v>
      </c>
      <c r="C3103" s="206"/>
      <c r="D3103" s="206"/>
      <c r="E3103" s="70"/>
      <c r="F3103" s="71"/>
    </row>
    <row r="3104" spans="1:7" s="53" customFormat="1" ht="20.5" x14ac:dyDescent="0.45">
      <c r="B3104" s="72"/>
      <c r="C3104" s="73" t="s">
        <v>894</v>
      </c>
      <c r="D3104" s="74"/>
      <c r="F3104" s="75"/>
    </row>
    <row r="3105" spans="1:7" s="53" customFormat="1" ht="21" thickBot="1" x14ac:dyDescent="0.5">
      <c r="B3105" s="72" t="s">
        <v>317</v>
      </c>
      <c r="C3105" s="76" t="s">
        <v>47</v>
      </c>
      <c r="D3105" s="74"/>
      <c r="F3105" s="75"/>
    </row>
    <row r="3106" spans="1:7" s="53" customFormat="1" ht="15" thickBot="1" x14ac:dyDescent="0.4">
      <c r="A3106" s="77" t="s">
        <v>48</v>
      </c>
      <c r="B3106" s="78" t="s">
        <v>26</v>
      </c>
      <c r="C3106" s="78" t="s">
        <v>49</v>
      </c>
      <c r="D3106" s="79" t="s">
        <v>29</v>
      </c>
      <c r="F3106" s="75"/>
    </row>
    <row r="3107" spans="1:7" s="53" customFormat="1" ht="14.5" customHeight="1" x14ac:dyDescent="0.35">
      <c r="A3107" s="207" t="s">
        <v>34</v>
      </c>
      <c r="B3107" s="80" t="s">
        <v>895</v>
      </c>
      <c r="C3107" s="81" t="s">
        <v>200</v>
      </c>
      <c r="D3107" s="82">
        <f>F3114</f>
        <v>16380000</v>
      </c>
      <c r="F3107" s="75"/>
    </row>
    <row r="3108" spans="1:7" s="53" customFormat="1" ht="21" thickBot="1" x14ac:dyDescent="0.5">
      <c r="A3108" s="208"/>
      <c r="B3108" s="72"/>
      <c r="C3108" s="72"/>
      <c r="D3108" s="74"/>
      <c r="F3108" s="75"/>
    </row>
    <row r="3109" spans="1:7" s="53" customFormat="1" ht="15" thickBot="1" x14ac:dyDescent="0.4">
      <c r="A3109" s="208"/>
      <c r="B3109" s="83" t="s">
        <v>26</v>
      </c>
      <c r="C3109" s="84" t="s">
        <v>51</v>
      </c>
      <c r="D3109" s="85" t="s">
        <v>52</v>
      </c>
      <c r="F3109" s="75"/>
    </row>
    <row r="3110" spans="1:7" s="89" customFormat="1" x14ac:dyDescent="0.35">
      <c r="A3110" s="208"/>
      <c r="B3110" s="86" t="str">
        <f>B3107</f>
        <v>18th April,2026</v>
      </c>
      <c r="C3110" s="87" t="s">
        <v>869</v>
      </c>
      <c r="D3110" s="88"/>
      <c r="F3110" s="90"/>
    </row>
    <row r="3111" spans="1:7" s="53" customFormat="1" x14ac:dyDescent="0.35">
      <c r="A3111" s="208"/>
      <c r="B3111" s="91"/>
      <c r="C3111" s="92" t="s">
        <v>606</v>
      </c>
      <c r="D3111" s="93">
        <f>325*2500</f>
        <v>812500</v>
      </c>
      <c r="F3111" s="75"/>
    </row>
    <row r="3112" spans="1:7" s="53" customFormat="1" x14ac:dyDescent="0.35">
      <c r="A3112" s="208"/>
      <c r="B3112" s="91" t="s">
        <v>54</v>
      </c>
      <c r="C3112" s="92" t="s">
        <v>55</v>
      </c>
      <c r="D3112" s="93">
        <v>1000000</v>
      </c>
      <c r="F3112" s="75"/>
    </row>
    <row r="3113" spans="1:7" s="53" customFormat="1" x14ac:dyDescent="0.35">
      <c r="A3113" s="208"/>
      <c r="B3113" s="91" t="s">
        <v>56</v>
      </c>
      <c r="C3113" s="92" t="s">
        <v>57</v>
      </c>
      <c r="D3113" s="93">
        <v>40000</v>
      </c>
      <c r="E3113" s="210" t="s">
        <v>58</v>
      </c>
      <c r="F3113" s="210"/>
    </row>
    <row r="3114" spans="1:7" s="53" customFormat="1" x14ac:dyDescent="0.35">
      <c r="A3114" s="208"/>
      <c r="B3114" s="91" t="s">
        <v>59</v>
      </c>
      <c r="C3114" s="92" t="s">
        <v>60</v>
      </c>
      <c r="D3114" s="93">
        <f>400*140</f>
        <v>56000</v>
      </c>
      <c r="E3114" s="94" t="s">
        <v>61</v>
      </c>
      <c r="F3114" s="95">
        <f>6300*2600</f>
        <v>16380000</v>
      </c>
    </row>
    <row r="3115" spans="1:7" s="53" customFormat="1" x14ac:dyDescent="0.35">
      <c r="A3115" s="208"/>
      <c r="B3115" s="91"/>
      <c r="C3115" s="92" t="s">
        <v>62</v>
      </c>
      <c r="D3115" s="93">
        <f>3600*140</f>
        <v>504000</v>
      </c>
      <c r="E3115" s="96" t="s">
        <v>63</v>
      </c>
      <c r="F3115" s="75">
        <f>(3150*2600)</f>
        <v>8190000</v>
      </c>
    </row>
    <row r="3116" spans="1:7" s="53" customFormat="1" ht="15" thickBot="1" x14ac:dyDescent="0.4">
      <c r="A3116" s="208"/>
      <c r="B3116" s="91" t="s">
        <v>64</v>
      </c>
      <c r="C3116" s="92" t="s">
        <v>65</v>
      </c>
      <c r="D3116" s="97">
        <v>30000</v>
      </c>
      <c r="E3116" s="98" t="s">
        <v>66</v>
      </c>
      <c r="F3116" s="99">
        <f>F3114-F3115</f>
        <v>8190000</v>
      </c>
      <c r="G3116" s="100">
        <f>F3116/2600</f>
        <v>3150</v>
      </c>
    </row>
    <row r="3117" spans="1:7" s="53" customFormat="1" ht="15" thickTop="1" x14ac:dyDescent="0.35">
      <c r="A3117" s="208"/>
      <c r="B3117" s="91"/>
      <c r="C3117" s="92" t="s">
        <v>67</v>
      </c>
      <c r="D3117" s="93">
        <v>0</v>
      </c>
      <c r="F3117" s="75"/>
    </row>
    <row r="3118" spans="1:7" s="53" customFormat="1" x14ac:dyDescent="0.35">
      <c r="A3118" s="208"/>
      <c r="B3118" s="91" t="s">
        <v>893</v>
      </c>
      <c r="C3118" s="101" t="s">
        <v>68</v>
      </c>
      <c r="D3118" s="93">
        <v>15000</v>
      </c>
      <c r="E3118" s="94" t="s">
        <v>69</v>
      </c>
      <c r="F3118" s="95"/>
    </row>
    <row r="3119" spans="1:7" s="53" customFormat="1" x14ac:dyDescent="0.35">
      <c r="A3119" s="208"/>
      <c r="B3119" s="102"/>
      <c r="C3119" s="101" t="s">
        <v>70</v>
      </c>
      <c r="D3119" s="103">
        <v>0</v>
      </c>
      <c r="E3119" s="104"/>
      <c r="F3119" s="105"/>
    </row>
    <row r="3120" spans="1:7" s="53" customFormat="1" x14ac:dyDescent="0.35">
      <c r="A3120" s="208"/>
      <c r="B3120" s="102"/>
      <c r="C3120" s="101" t="s">
        <v>71</v>
      </c>
      <c r="D3120" s="103">
        <v>0</v>
      </c>
      <c r="E3120" s="104" t="s">
        <v>72</v>
      </c>
      <c r="F3120" s="105"/>
    </row>
    <row r="3121" spans="1:6" s="53" customFormat="1" x14ac:dyDescent="0.35">
      <c r="A3121" s="208"/>
      <c r="B3121" s="102"/>
      <c r="C3121" s="92"/>
      <c r="D3121" s="106"/>
      <c r="E3121" s="53" t="s">
        <v>992</v>
      </c>
      <c r="F3121" s="105"/>
    </row>
    <row r="3122" spans="1:6" s="53" customFormat="1" ht="15" thickBot="1" x14ac:dyDescent="0.4">
      <c r="A3122" s="208"/>
      <c r="B3122" s="107"/>
      <c r="C3122" s="108"/>
      <c r="D3122" s="109"/>
      <c r="F3122" s="75"/>
    </row>
    <row r="3123" spans="1:6" s="53" customFormat="1" ht="15" thickBot="1" x14ac:dyDescent="0.4">
      <c r="A3123" s="208"/>
      <c r="B3123" s="110"/>
      <c r="C3123" s="111" t="s">
        <v>74</v>
      </c>
      <c r="D3123" s="112">
        <f>SUM(D3110:D3122)</f>
        <v>2457500</v>
      </c>
      <c r="F3123" s="75"/>
    </row>
    <row r="3124" spans="1:6" s="53" customFormat="1" ht="15.5" thickTop="1" thickBot="1" x14ac:dyDescent="0.4">
      <c r="A3124" s="209"/>
      <c r="B3124" s="211"/>
      <c r="C3124" s="211"/>
      <c r="D3124" s="211"/>
      <c r="F3124" s="75"/>
    </row>
    <row r="3125" spans="1:6" s="53" customFormat="1" x14ac:dyDescent="0.35">
      <c r="B3125" s="89"/>
      <c r="C3125" s="53" t="s">
        <v>75</v>
      </c>
      <c r="D3125" s="113">
        <f>D3107-D3123</f>
        <v>13922500</v>
      </c>
      <c r="F3125" s="75"/>
    </row>
    <row r="3126" spans="1:6" s="53" customFormat="1" x14ac:dyDescent="0.35">
      <c r="B3126" s="89"/>
      <c r="D3126" s="113"/>
      <c r="F3126" s="75"/>
    </row>
    <row r="3127" spans="1:6" s="53" customFormat="1" x14ac:dyDescent="0.35">
      <c r="A3127" s="114"/>
      <c r="B3127" s="115"/>
      <c r="C3127" s="114"/>
      <c r="D3127" s="116"/>
      <c r="E3127" s="114"/>
      <c r="F3127" s="117"/>
    </row>
    <row r="3129" spans="1:6" s="53" customFormat="1" ht="23.5" x14ac:dyDescent="0.55000000000000004">
      <c r="B3129" s="206" t="s">
        <v>0</v>
      </c>
      <c r="C3129" s="206"/>
      <c r="D3129" s="206"/>
      <c r="E3129" s="70"/>
      <c r="F3129" s="71"/>
    </row>
    <row r="3130" spans="1:6" s="53" customFormat="1" ht="20.5" x14ac:dyDescent="0.45">
      <c r="B3130" s="72"/>
      <c r="C3130" s="73" t="s">
        <v>898</v>
      </c>
      <c r="D3130" s="74"/>
      <c r="F3130" s="75"/>
    </row>
    <row r="3131" spans="1:6" s="53" customFormat="1" ht="21" thickBot="1" x14ac:dyDescent="0.5">
      <c r="B3131" s="72" t="s">
        <v>374</v>
      </c>
      <c r="C3131" s="76" t="s">
        <v>47</v>
      </c>
      <c r="D3131" s="74"/>
      <c r="F3131" s="75"/>
    </row>
    <row r="3132" spans="1:6" s="53" customFormat="1" ht="15" thickBot="1" x14ac:dyDescent="0.4">
      <c r="A3132" s="77" t="s">
        <v>48</v>
      </c>
      <c r="B3132" s="78" t="s">
        <v>26</v>
      </c>
      <c r="C3132" s="78" t="s">
        <v>49</v>
      </c>
      <c r="D3132" s="79" t="s">
        <v>29</v>
      </c>
      <c r="F3132" s="75"/>
    </row>
    <row r="3133" spans="1:6" s="53" customFormat="1" ht="14.5" customHeight="1" x14ac:dyDescent="0.35">
      <c r="A3133" s="207" t="s">
        <v>34</v>
      </c>
      <c r="B3133" s="80" t="s">
        <v>895</v>
      </c>
      <c r="C3133" s="81" t="s">
        <v>200</v>
      </c>
      <c r="D3133" s="82">
        <f>F3140</f>
        <v>16380000</v>
      </c>
      <c r="F3133" s="75"/>
    </row>
    <row r="3134" spans="1:6" s="53" customFormat="1" ht="21" thickBot="1" x14ac:dyDescent="0.5">
      <c r="A3134" s="208"/>
      <c r="B3134" s="72"/>
      <c r="C3134" s="72"/>
      <c r="D3134" s="74"/>
      <c r="F3134" s="75"/>
    </row>
    <row r="3135" spans="1:6" s="53" customFormat="1" ht="15" thickBot="1" x14ac:dyDescent="0.4">
      <c r="A3135" s="208"/>
      <c r="B3135" s="83" t="s">
        <v>26</v>
      </c>
      <c r="C3135" s="84" t="s">
        <v>51</v>
      </c>
      <c r="D3135" s="85" t="s">
        <v>52</v>
      </c>
      <c r="F3135" s="75"/>
    </row>
    <row r="3136" spans="1:6" s="89" customFormat="1" x14ac:dyDescent="0.35">
      <c r="A3136" s="208"/>
      <c r="B3136" s="86" t="str">
        <f>B3133</f>
        <v>18th April,2026</v>
      </c>
      <c r="C3136" s="87" t="s">
        <v>869</v>
      </c>
      <c r="D3136" s="88"/>
      <c r="F3136" s="90"/>
    </row>
    <row r="3137" spans="1:7" s="53" customFormat="1" x14ac:dyDescent="0.35">
      <c r="A3137" s="208"/>
      <c r="B3137" s="91"/>
      <c r="C3137" s="92" t="s">
        <v>606</v>
      </c>
      <c r="D3137" s="93">
        <f>325*2500</f>
        <v>812500</v>
      </c>
      <c r="F3137" s="75"/>
    </row>
    <row r="3138" spans="1:7" s="53" customFormat="1" x14ac:dyDescent="0.35">
      <c r="A3138" s="208"/>
      <c r="B3138" s="91" t="s">
        <v>54</v>
      </c>
      <c r="C3138" s="92" t="s">
        <v>55</v>
      </c>
      <c r="D3138" s="93">
        <v>1000000</v>
      </c>
      <c r="F3138" s="75"/>
    </row>
    <row r="3139" spans="1:7" s="53" customFormat="1" x14ac:dyDescent="0.35">
      <c r="A3139" s="208"/>
      <c r="B3139" s="91" t="s">
        <v>56</v>
      </c>
      <c r="C3139" s="92" t="s">
        <v>57</v>
      </c>
      <c r="D3139" s="93">
        <v>40000</v>
      </c>
      <c r="E3139" s="210" t="s">
        <v>58</v>
      </c>
      <c r="F3139" s="210"/>
    </row>
    <row r="3140" spans="1:7" s="53" customFormat="1" x14ac:dyDescent="0.35">
      <c r="A3140" s="208"/>
      <c r="B3140" s="91" t="s">
        <v>59</v>
      </c>
      <c r="C3140" s="92" t="s">
        <v>60</v>
      </c>
      <c r="D3140" s="93">
        <f>400*140</f>
        <v>56000</v>
      </c>
      <c r="E3140" s="94" t="s">
        <v>61</v>
      </c>
      <c r="F3140" s="95">
        <f>6300*2600</f>
        <v>16380000</v>
      </c>
    </row>
    <row r="3141" spans="1:7" s="53" customFormat="1" x14ac:dyDescent="0.35">
      <c r="A3141" s="208"/>
      <c r="B3141" s="91"/>
      <c r="C3141" s="92" t="s">
        <v>62</v>
      </c>
      <c r="D3141" s="93">
        <f>3600*140</f>
        <v>504000</v>
      </c>
      <c r="E3141" s="96" t="s">
        <v>63</v>
      </c>
      <c r="F3141" s="75"/>
    </row>
    <row r="3142" spans="1:7" s="53" customFormat="1" ht="15" thickBot="1" x14ac:dyDescent="0.4">
      <c r="A3142" s="208"/>
      <c r="B3142" s="91" t="s">
        <v>64</v>
      </c>
      <c r="C3142" s="92" t="s">
        <v>65</v>
      </c>
      <c r="D3142" s="97">
        <v>30000</v>
      </c>
      <c r="E3142" s="98" t="s">
        <v>66</v>
      </c>
      <c r="F3142" s="99">
        <f>F3140-F3141</f>
        <v>16380000</v>
      </c>
      <c r="G3142" s="100">
        <f>F3142/2600</f>
        <v>6300</v>
      </c>
    </row>
    <row r="3143" spans="1:7" s="53" customFormat="1" ht="15" thickTop="1" x14ac:dyDescent="0.35">
      <c r="A3143" s="208"/>
      <c r="B3143" s="91"/>
      <c r="C3143" s="92" t="s">
        <v>67</v>
      </c>
      <c r="D3143" s="93">
        <v>0</v>
      </c>
      <c r="F3143" s="75"/>
    </row>
    <row r="3144" spans="1:7" s="53" customFormat="1" x14ac:dyDescent="0.35">
      <c r="A3144" s="208"/>
      <c r="B3144" s="91" t="s">
        <v>893</v>
      </c>
      <c r="C3144" s="101" t="s">
        <v>68</v>
      </c>
      <c r="D3144" s="93">
        <v>15000</v>
      </c>
      <c r="E3144" s="94" t="s">
        <v>69</v>
      </c>
      <c r="F3144" s="95"/>
    </row>
    <row r="3145" spans="1:7" s="53" customFormat="1" x14ac:dyDescent="0.35">
      <c r="A3145" s="208"/>
      <c r="B3145" s="102"/>
      <c r="C3145" s="101" t="s">
        <v>70</v>
      </c>
      <c r="D3145" s="103">
        <v>0</v>
      </c>
      <c r="E3145" s="104"/>
      <c r="F3145" s="105"/>
    </row>
    <row r="3146" spans="1:7" s="53" customFormat="1" x14ac:dyDescent="0.35">
      <c r="A3146" s="208"/>
      <c r="B3146" s="102"/>
      <c r="C3146" s="101" t="s">
        <v>71</v>
      </c>
      <c r="D3146" s="103">
        <v>0</v>
      </c>
      <c r="E3146" s="104" t="s">
        <v>72</v>
      </c>
      <c r="F3146" s="105"/>
    </row>
    <row r="3147" spans="1:7" s="53" customFormat="1" x14ac:dyDescent="0.35">
      <c r="A3147" s="208"/>
      <c r="B3147" s="102"/>
      <c r="C3147" s="92"/>
      <c r="D3147" s="106"/>
      <c r="F3147" s="105"/>
    </row>
    <row r="3148" spans="1:7" s="53" customFormat="1" ht="15" thickBot="1" x14ac:dyDescent="0.4">
      <c r="A3148" s="208"/>
      <c r="B3148" s="107"/>
      <c r="C3148" s="108"/>
      <c r="D3148" s="109"/>
      <c r="F3148" s="75"/>
    </row>
    <row r="3149" spans="1:7" s="53" customFormat="1" ht="15" thickBot="1" x14ac:dyDescent="0.4">
      <c r="A3149" s="208"/>
      <c r="B3149" s="110"/>
      <c r="C3149" s="111" t="s">
        <v>74</v>
      </c>
      <c r="D3149" s="112">
        <f>SUM(D3136:D3148)</f>
        <v>2457500</v>
      </c>
      <c r="F3149" s="75"/>
    </row>
    <row r="3150" spans="1:7" s="53" customFormat="1" ht="15.5" thickTop="1" thickBot="1" x14ac:dyDescent="0.4">
      <c r="A3150" s="209"/>
      <c r="B3150" s="211"/>
      <c r="C3150" s="211"/>
      <c r="D3150" s="211"/>
      <c r="F3150" s="75"/>
    </row>
    <row r="3151" spans="1:7" s="53" customFormat="1" x14ac:dyDescent="0.35">
      <c r="B3151" s="89"/>
      <c r="C3151" s="53" t="s">
        <v>75</v>
      </c>
      <c r="D3151" s="113">
        <f>D3133-D3149</f>
        <v>13922500</v>
      </c>
      <c r="F3151" s="75"/>
    </row>
    <row r="3152" spans="1:7" s="53" customFormat="1" x14ac:dyDescent="0.35">
      <c r="B3152" s="89"/>
      <c r="D3152" s="113"/>
      <c r="F3152" s="75"/>
    </row>
    <row r="3153" spans="1:7" s="53" customFormat="1" x14ac:dyDescent="0.35">
      <c r="A3153" s="114"/>
      <c r="B3153" s="115"/>
      <c r="C3153" s="114"/>
      <c r="D3153" s="116"/>
      <c r="E3153" s="114"/>
      <c r="F3153" s="117"/>
    </row>
    <row r="3155" spans="1:7" s="53" customFormat="1" ht="23.5" x14ac:dyDescent="0.55000000000000004">
      <c r="B3155" s="206" t="s">
        <v>0</v>
      </c>
      <c r="C3155" s="206"/>
      <c r="D3155" s="206"/>
      <c r="E3155" s="70"/>
      <c r="F3155" s="71"/>
    </row>
    <row r="3156" spans="1:7" s="53" customFormat="1" ht="20.5" x14ac:dyDescent="0.45">
      <c r="B3156" s="72"/>
      <c r="C3156" s="73" t="s">
        <v>906</v>
      </c>
      <c r="D3156" s="74"/>
      <c r="F3156" s="75"/>
    </row>
    <row r="3157" spans="1:7" s="53" customFormat="1" ht="21" thickBot="1" x14ac:dyDescent="0.5">
      <c r="B3157" s="72" t="s">
        <v>950</v>
      </c>
      <c r="C3157" s="76" t="s">
        <v>47</v>
      </c>
      <c r="D3157" s="74"/>
      <c r="F3157" s="75"/>
    </row>
    <row r="3158" spans="1:7" s="53" customFormat="1" ht="15" thickBot="1" x14ac:dyDescent="0.4">
      <c r="A3158" s="77" t="s">
        <v>48</v>
      </c>
      <c r="B3158" s="78" t="s">
        <v>26</v>
      </c>
      <c r="C3158" s="78" t="s">
        <v>49</v>
      </c>
      <c r="D3158" s="79" t="s">
        <v>29</v>
      </c>
      <c r="F3158" s="75"/>
    </row>
    <row r="3159" spans="1:7" s="53" customFormat="1" ht="14.5" customHeight="1" x14ac:dyDescent="0.35">
      <c r="A3159" s="207" t="s">
        <v>34</v>
      </c>
      <c r="B3159" s="80" t="s">
        <v>895</v>
      </c>
      <c r="C3159" s="81" t="s">
        <v>103</v>
      </c>
      <c r="D3159" s="82">
        <f>F3166</f>
        <v>15810000</v>
      </c>
      <c r="F3159" s="75"/>
    </row>
    <row r="3160" spans="1:7" s="53" customFormat="1" ht="21" thickBot="1" x14ac:dyDescent="0.5">
      <c r="A3160" s="208"/>
      <c r="B3160" s="72"/>
      <c r="C3160" s="72"/>
      <c r="D3160" s="74"/>
      <c r="F3160" s="75"/>
    </row>
    <row r="3161" spans="1:7" s="53" customFormat="1" ht="15" thickBot="1" x14ac:dyDescent="0.4">
      <c r="A3161" s="208"/>
      <c r="B3161" s="83" t="s">
        <v>26</v>
      </c>
      <c r="C3161" s="84" t="s">
        <v>51</v>
      </c>
      <c r="D3161" s="85" t="s">
        <v>52</v>
      </c>
      <c r="F3161" s="75"/>
    </row>
    <row r="3162" spans="1:7" s="89" customFormat="1" x14ac:dyDescent="0.35">
      <c r="A3162" s="208"/>
      <c r="B3162" s="86" t="str">
        <f>B3159</f>
        <v>18th April,2026</v>
      </c>
      <c r="C3162" s="87" t="s">
        <v>869</v>
      </c>
      <c r="D3162" s="88"/>
      <c r="F3162" s="90"/>
    </row>
    <row r="3163" spans="1:7" s="53" customFormat="1" x14ac:dyDescent="0.35">
      <c r="A3163" s="208"/>
      <c r="B3163" s="91"/>
      <c r="C3163" s="92" t="s">
        <v>606</v>
      </c>
      <c r="D3163" s="93">
        <f>325*2500</f>
        <v>812500</v>
      </c>
      <c r="F3163" s="75"/>
    </row>
    <row r="3164" spans="1:7" s="53" customFormat="1" x14ac:dyDescent="0.35">
      <c r="A3164" s="208"/>
      <c r="B3164" s="91" t="s">
        <v>54</v>
      </c>
      <c r="C3164" s="92" t="s">
        <v>55</v>
      </c>
      <c r="D3164" s="93">
        <v>1000000</v>
      </c>
      <c r="F3164" s="75"/>
    </row>
    <row r="3165" spans="1:7" s="53" customFormat="1" x14ac:dyDescent="0.35">
      <c r="A3165" s="208"/>
      <c r="B3165" s="91" t="s">
        <v>56</v>
      </c>
      <c r="C3165" s="92" t="s">
        <v>57</v>
      </c>
      <c r="D3165" s="93">
        <v>40000</v>
      </c>
      <c r="E3165" s="210" t="s">
        <v>58</v>
      </c>
      <c r="F3165" s="210"/>
    </row>
    <row r="3166" spans="1:7" s="53" customFormat="1" x14ac:dyDescent="0.35">
      <c r="A3166" s="208"/>
      <c r="B3166" s="91" t="s">
        <v>59</v>
      </c>
      <c r="C3166" s="92" t="s">
        <v>60</v>
      </c>
      <c r="D3166" s="93">
        <f>400*140</f>
        <v>56000</v>
      </c>
      <c r="E3166" s="94" t="s">
        <v>61</v>
      </c>
      <c r="F3166" s="95">
        <f>6200*2550</f>
        <v>15810000</v>
      </c>
    </row>
    <row r="3167" spans="1:7" s="53" customFormat="1" x14ac:dyDescent="0.35">
      <c r="A3167" s="208"/>
      <c r="B3167" s="91"/>
      <c r="C3167" s="92" t="s">
        <v>62</v>
      </c>
      <c r="D3167" s="93">
        <f>3600*140</f>
        <v>504000</v>
      </c>
      <c r="E3167" s="96" t="s">
        <v>63</v>
      </c>
      <c r="F3167" s="75">
        <f>(3720*2550)</f>
        <v>9486000</v>
      </c>
    </row>
    <row r="3168" spans="1:7" s="53" customFormat="1" ht="15" thickBot="1" x14ac:dyDescent="0.4">
      <c r="A3168" s="208"/>
      <c r="B3168" s="91" t="s">
        <v>64</v>
      </c>
      <c r="C3168" s="92" t="s">
        <v>65</v>
      </c>
      <c r="D3168" s="97">
        <v>30000</v>
      </c>
      <c r="E3168" s="98" t="s">
        <v>66</v>
      </c>
      <c r="F3168" s="99">
        <f>F3166-F3167</f>
        <v>6324000</v>
      </c>
      <c r="G3168" s="100">
        <f>F3168/2550</f>
        <v>2480</v>
      </c>
    </row>
    <row r="3169" spans="1:6" s="53" customFormat="1" ht="15" thickTop="1" x14ac:dyDescent="0.35">
      <c r="A3169" s="208"/>
      <c r="B3169" s="91"/>
      <c r="C3169" s="92" t="s">
        <v>67</v>
      </c>
      <c r="D3169" s="93">
        <v>0</v>
      </c>
      <c r="F3169" s="75"/>
    </row>
    <row r="3170" spans="1:6" s="53" customFormat="1" x14ac:dyDescent="0.35">
      <c r="A3170" s="208"/>
      <c r="B3170" s="91" t="s">
        <v>903</v>
      </c>
      <c r="C3170" s="101" t="s">
        <v>68</v>
      </c>
      <c r="D3170" s="93">
        <v>15000</v>
      </c>
      <c r="E3170" s="94" t="s">
        <v>69</v>
      </c>
      <c r="F3170" s="95"/>
    </row>
    <row r="3171" spans="1:6" s="53" customFormat="1" x14ac:dyDescent="0.35">
      <c r="A3171" s="208"/>
      <c r="B3171" s="102"/>
      <c r="C3171" s="101" t="s">
        <v>70</v>
      </c>
      <c r="D3171" s="103">
        <v>0</v>
      </c>
      <c r="E3171" s="104"/>
      <c r="F3171" s="105"/>
    </row>
    <row r="3172" spans="1:6" s="53" customFormat="1" x14ac:dyDescent="0.35">
      <c r="A3172" s="208"/>
      <c r="B3172" s="102"/>
      <c r="C3172" s="101" t="s">
        <v>71</v>
      </c>
      <c r="D3172" s="103">
        <v>0</v>
      </c>
      <c r="E3172" s="104" t="s">
        <v>72</v>
      </c>
      <c r="F3172" s="105"/>
    </row>
    <row r="3173" spans="1:6" s="53" customFormat="1" x14ac:dyDescent="0.35">
      <c r="A3173" s="208"/>
      <c r="B3173" s="102"/>
      <c r="C3173" s="92"/>
      <c r="D3173" s="106"/>
      <c r="E3173" s="53" t="s">
        <v>991</v>
      </c>
      <c r="F3173" s="105"/>
    </row>
    <row r="3174" spans="1:6" s="53" customFormat="1" ht="15" thickBot="1" x14ac:dyDescent="0.4">
      <c r="A3174" s="208"/>
      <c r="B3174" s="107"/>
      <c r="C3174" s="108"/>
      <c r="D3174" s="109"/>
      <c r="F3174" s="75"/>
    </row>
    <row r="3175" spans="1:6" s="53" customFormat="1" ht="15" thickBot="1" x14ac:dyDescent="0.4">
      <c r="A3175" s="208"/>
      <c r="B3175" s="110"/>
      <c r="C3175" s="111" t="s">
        <v>74</v>
      </c>
      <c r="D3175" s="112">
        <f>SUM(D3162:D3174)</f>
        <v>2457500</v>
      </c>
      <c r="F3175" s="75"/>
    </row>
    <row r="3176" spans="1:6" s="53" customFormat="1" ht="15.5" thickTop="1" thickBot="1" x14ac:dyDescent="0.4">
      <c r="A3176" s="209"/>
      <c r="B3176" s="211"/>
      <c r="C3176" s="211"/>
      <c r="D3176" s="211"/>
      <c r="F3176" s="75"/>
    </row>
    <row r="3177" spans="1:6" s="53" customFormat="1" x14ac:dyDescent="0.35">
      <c r="B3177" s="89"/>
      <c r="C3177" s="53" t="s">
        <v>75</v>
      </c>
      <c r="D3177" s="113">
        <f>D3159-D3175</f>
        <v>13352500</v>
      </c>
      <c r="F3177" s="75"/>
    </row>
    <row r="3178" spans="1:6" s="53" customFormat="1" x14ac:dyDescent="0.35">
      <c r="B3178" s="89"/>
      <c r="D3178" s="113"/>
      <c r="F3178" s="75"/>
    </row>
    <row r="3179" spans="1:6" s="53" customFormat="1" x14ac:dyDescent="0.35">
      <c r="A3179" s="114"/>
      <c r="B3179" s="115"/>
      <c r="C3179" s="114"/>
      <c r="D3179" s="116"/>
      <c r="E3179" s="114"/>
      <c r="F3179" s="117"/>
    </row>
    <row r="3181" spans="1:6" s="53" customFormat="1" ht="23.5" x14ac:dyDescent="0.55000000000000004">
      <c r="B3181" s="206" t="s">
        <v>0</v>
      </c>
      <c r="C3181" s="206"/>
      <c r="D3181" s="206"/>
      <c r="E3181" s="70"/>
      <c r="F3181" s="71"/>
    </row>
    <row r="3182" spans="1:6" s="53" customFormat="1" ht="20.5" x14ac:dyDescent="0.45">
      <c r="B3182" s="72"/>
      <c r="C3182" s="73" t="s">
        <v>907</v>
      </c>
      <c r="D3182" s="74"/>
      <c r="F3182" s="75"/>
    </row>
    <row r="3183" spans="1:6" s="53" customFormat="1" ht="21" thickBot="1" x14ac:dyDescent="0.5">
      <c r="B3183" s="72" t="s">
        <v>908</v>
      </c>
      <c r="C3183" s="76" t="s">
        <v>47</v>
      </c>
      <c r="D3183" s="74"/>
      <c r="F3183" s="75"/>
    </row>
    <row r="3184" spans="1:6" s="53" customFormat="1" ht="15" thickBot="1" x14ac:dyDescent="0.4">
      <c r="A3184" s="77" t="s">
        <v>48</v>
      </c>
      <c r="B3184" s="78" t="s">
        <v>26</v>
      </c>
      <c r="C3184" s="78" t="s">
        <v>49</v>
      </c>
      <c r="D3184" s="79" t="s">
        <v>29</v>
      </c>
      <c r="F3184" s="75"/>
    </row>
    <row r="3185" spans="1:7" s="53" customFormat="1" ht="14.5" customHeight="1" x14ac:dyDescent="0.35">
      <c r="A3185" s="207" t="s">
        <v>34</v>
      </c>
      <c r="B3185" s="80" t="s">
        <v>895</v>
      </c>
      <c r="C3185" s="81" t="s">
        <v>103</v>
      </c>
      <c r="D3185" s="82">
        <f>F3192</f>
        <v>15810000</v>
      </c>
      <c r="F3185" s="75"/>
    </row>
    <row r="3186" spans="1:7" s="53" customFormat="1" ht="21" thickBot="1" x14ac:dyDescent="0.5">
      <c r="A3186" s="208"/>
      <c r="B3186" s="72"/>
      <c r="C3186" s="72"/>
      <c r="D3186" s="74"/>
      <c r="F3186" s="75"/>
    </row>
    <row r="3187" spans="1:7" s="53" customFormat="1" ht="15" thickBot="1" x14ac:dyDescent="0.4">
      <c r="A3187" s="208"/>
      <c r="B3187" s="83" t="s">
        <v>26</v>
      </c>
      <c r="C3187" s="84" t="s">
        <v>51</v>
      </c>
      <c r="D3187" s="85" t="s">
        <v>52</v>
      </c>
      <c r="F3187" s="75"/>
    </row>
    <row r="3188" spans="1:7" s="89" customFormat="1" x14ac:dyDescent="0.35">
      <c r="A3188" s="208"/>
      <c r="B3188" s="86" t="str">
        <f>B3185</f>
        <v>18th April,2026</v>
      </c>
      <c r="C3188" s="87" t="s">
        <v>869</v>
      </c>
      <c r="D3188" s="88"/>
      <c r="F3188" s="90"/>
    </row>
    <row r="3189" spans="1:7" s="53" customFormat="1" x14ac:dyDescent="0.35">
      <c r="A3189" s="208"/>
      <c r="B3189" s="91"/>
      <c r="C3189" s="92" t="s">
        <v>606</v>
      </c>
      <c r="D3189" s="93">
        <f>325*2500</f>
        <v>812500</v>
      </c>
      <c r="F3189" s="75"/>
    </row>
    <row r="3190" spans="1:7" s="53" customFormat="1" x14ac:dyDescent="0.35">
      <c r="A3190" s="208"/>
      <c r="B3190" s="91" t="s">
        <v>54</v>
      </c>
      <c r="C3190" s="92" t="s">
        <v>55</v>
      </c>
      <c r="D3190" s="93">
        <v>1000000</v>
      </c>
      <c r="F3190" s="75"/>
    </row>
    <row r="3191" spans="1:7" s="53" customFormat="1" x14ac:dyDescent="0.35">
      <c r="A3191" s="208"/>
      <c r="B3191" s="91" t="s">
        <v>56</v>
      </c>
      <c r="C3191" s="92" t="s">
        <v>57</v>
      </c>
      <c r="D3191" s="93">
        <v>40000</v>
      </c>
      <c r="E3191" s="210" t="s">
        <v>58</v>
      </c>
      <c r="F3191" s="210"/>
    </row>
    <row r="3192" spans="1:7" s="53" customFormat="1" x14ac:dyDescent="0.35">
      <c r="A3192" s="208"/>
      <c r="B3192" s="91" t="s">
        <v>59</v>
      </c>
      <c r="C3192" s="92" t="s">
        <v>60</v>
      </c>
      <c r="D3192" s="93">
        <f>400*140</f>
        <v>56000</v>
      </c>
      <c r="E3192" s="94" t="s">
        <v>61</v>
      </c>
      <c r="F3192" s="95">
        <f>6200*2550</f>
        <v>15810000</v>
      </c>
    </row>
    <row r="3193" spans="1:7" s="53" customFormat="1" x14ac:dyDescent="0.35">
      <c r="A3193" s="208"/>
      <c r="B3193" s="91"/>
      <c r="C3193" s="92" t="s">
        <v>62</v>
      </c>
      <c r="D3193" s="93">
        <f>3600*140</f>
        <v>504000</v>
      </c>
      <c r="E3193" s="96" t="s">
        <v>63</v>
      </c>
      <c r="F3193" s="75">
        <f>(3720*2550)</f>
        <v>9486000</v>
      </c>
    </row>
    <row r="3194" spans="1:7" s="53" customFormat="1" ht="15" thickBot="1" x14ac:dyDescent="0.4">
      <c r="A3194" s="208"/>
      <c r="B3194" s="91" t="s">
        <v>64</v>
      </c>
      <c r="C3194" s="92" t="s">
        <v>65</v>
      </c>
      <c r="D3194" s="97">
        <v>30000</v>
      </c>
      <c r="E3194" s="98" t="s">
        <v>66</v>
      </c>
      <c r="F3194" s="99">
        <f>F3192-F3193</f>
        <v>6324000</v>
      </c>
      <c r="G3194" s="100">
        <f>F3194/2550</f>
        <v>2480</v>
      </c>
    </row>
    <row r="3195" spans="1:7" s="53" customFormat="1" ht="15" thickTop="1" x14ac:dyDescent="0.35">
      <c r="A3195" s="208"/>
      <c r="B3195" s="91"/>
      <c r="C3195" s="92" t="s">
        <v>67</v>
      </c>
      <c r="D3195" s="93">
        <v>0</v>
      </c>
      <c r="F3195" s="75"/>
    </row>
    <row r="3196" spans="1:7" s="53" customFormat="1" x14ac:dyDescent="0.35">
      <c r="A3196" s="208"/>
      <c r="B3196" s="91" t="s">
        <v>905</v>
      </c>
      <c r="C3196" s="101" t="s">
        <v>68</v>
      </c>
      <c r="D3196" s="93">
        <v>15000</v>
      </c>
      <c r="E3196" s="94" t="s">
        <v>69</v>
      </c>
      <c r="F3196" s="95"/>
    </row>
    <row r="3197" spans="1:7" s="53" customFormat="1" x14ac:dyDescent="0.35">
      <c r="A3197" s="208"/>
      <c r="B3197" s="102"/>
      <c r="C3197" s="101" t="s">
        <v>70</v>
      </c>
      <c r="D3197" s="103">
        <v>0</v>
      </c>
      <c r="E3197" s="104"/>
      <c r="F3197" s="105"/>
    </row>
    <row r="3198" spans="1:7" s="53" customFormat="1" x14ac:dyDescent="0.35">
      <c r="A3198" s="208"/>
      <c r="B3198" s="102"/>
      <c r="C3198" s="101" t="s">
        <v>71</v>
      </c>
      <c r="D3198" s="103">
        <v>0</v>
      </c>
      <c r="E3198" s="104" t="s">
        <v>72</v>
      </c>
      <c r="F3198" s="105"/>
    </row>
    <row r="3199" spans="1:7" s="53" customFormat="1" x14ac:dyDescent="0.35">
      <c r="A3199" s="208"/>
      <c r="B3199" s="102"/>
      <c r="C3199" s="92"/>
      <c r="D3199" s="106"/>
      <c r="E3199" s="53" t="s">
        <v>990</v>
      </c>
      <c r="F3199" s="105"/>
    </row>
    <row r="3200" spans="1:7" s="53" customFormat="1" ht="15" thickBot="1" x14ac:dyDescent="0.4">
      <c r="A3200" s="208"/>
      <c r="B3200" s="107"/>
      <c r="C3200" s="108"/>
      <c r="D3200" s="109"/>
      <c r="F3200" s="75"/>
    </row>
    <row r="3201" spans="1:6" s="53" customFormat="1" ht="15" thickBot="1" x14ac:dyDescent="0.4">
      <c r="A3201" s="208"/>
      <c r="B3201" s="110"/>
      <c r="C3201" s="111" t="s">
        <v>74</v>
      </c>
      <c r="D3201" s="112">
        <f>SUM(D3188:D3200)</f>
        <v>2457500</v>
      </c>
      <c r="F3201" s="75"/>
    </row>
    <row r="3202" spans="1:6" s="53" customFormat="1" ht="15.5" thickTop="1" thickBot="1" x14ac:dyDescent="0.4">
      <c r="A3202" s="209"/>
      <c r="B3202" s="211"/>
      <c r="C3202" s="211"/>
      <c r="D3202" s="211"/>
      <c r="F3202" s="75"/>
    </row>
    <row r="3203" spans="1:6" s="53" customFormat="1" x14ac:dyDescent="0.35">
      <c r="B3203" s="89"/>
      <c r="C3203" s="53" t="s">
        <v>75</v>
      </c>
      <c r="D3203" s="113">
        <f>D3185-D3201</f>
        <v>13352500</v>
      </c>
      <c r="F3203" s="75"/>
    </row>
    <row r="3204" spans="1:6" s="53" customFormat="1" x14ac:dyDescent="0.35">
      <c r="B3204" s="89"/>
      <c r="D3204" s="113"/>
      <c r="F3204" s="75"/>
    </row>
    <row r="3205" spans="1:6" s="53" customFormat="1" x14ac:dyDescent="0.35">
      <c r="A3205" s="114"/>
      <c r="B3205" s="115"/>
      <c r="C3205" s="114"/>
      <c r="D3205" s="116"/>
      <c r="E3205" s="114"/>
      <c r="F3205" s="117"/>
    </row>
    <row r="3207" spans="1:6" s="53" customFormat="1" ht="23.5" x14ac:dyDescent="0.55000000000000004">
      <c r="B3207" s="206" t="s">
        <v>0</v>
      </c>
      <c r="C3207" s="206"/>
      <c r="D3207" s="206"/>
      <c r="E3207" s="70"/>
      <c r="F3207" s="71"/>
    </row>
    <row r="3208" spans="1:6" s="53" customFormat="1" ht="20.5" x14ac:dyDescent="0.45">
      <c r="B3208" s="72"/>
      <c r="C3208" s="73" t="s">
        <v>913</v>
      </c>
      <c r="D3208" s="74"/>
      <c r="F3208" s="75"/>
    </row>
    <row r="3209" spans="1:6" s="53" customFormat="1" ht="21" thickBot="1" x14ac:dyDescent="0.5">
      <c r="B3209" s="72" t="s">
        <v>386</v>
      </c>
      <c r="C3209" s="76" t="s">
        <v>47</v>
      </c>
      <c r="D3209" s="74"/>
      <c r="F3209" s="75"/>
    </row>
    <row r="3210" spans="1:6" s="53" customFormat="1" ht="15" thickBot="1" x14ac:dyDescent="0.4">
      <c r="A3210" s="77" t="s">
        <v>48</v>
      </c>
      <c r="B3210" s="78" t="s">
        <v>26</v>
      </c>
      <c r="C3210" s="78" t="s">
        <v>49</v>
      </c>
      <c r="D3210" s="79" t="s">
        <v>29</v>
      </c>
      <c r="F3210" s="75"/>
    </row>
    <row r="3211" spans="1:6" s="53" customFormat="1" ht="14.5" customHeight="1" x14ac:dyDescent="0.35">
      <c r="A3211" s="207" t="s">
        <v>34</v>
      </c>
      <c r="B3211" s="80" t="s">
        <v>895</v>
      </c>
      <c r="C3211" s="81" t="s">
        <v>103</v>
      </c>
      <c r="D3211" s="82">
        <f>F3218</f>
        <v>15810000</v>
      </c>
      <c r="F3211" s="75"/>
    </row>
    <row r="3212" spans="1:6" s="53" customFormat="1" ht="21" thickBot="1" x14ac:dyDescent="0.5">
      <c r="A3212" s="208"/>
      <c r="B3212" s="72"/>
      <c r="C3212" s="72"/>
      <c r="D3212" s="74"/>
      <c r="F3212" s="75"/>
    </row>
    <row r="3213" spans="1:6" s="53" customFormat="1" ht="15" thickBot="1" x14ac:dyDescent="0.4">
      <c r="A3213" s="208"/>
      <c r="B3213" s="83" t="s">
        <v>26</v>
      </c>
      <c r="C3213" s="84" t="s">
        <v>51</v>
      </c>
      <c r="D3213" s="85" t="s">
        <v>52</v>
      </c>
      <c r="F3213" s="75"/>
    </row>
    <row r="3214" spans="1:6" s="89" customFormat="1" x14ac:dyDescent="0.35">
      <c r="A3214" s="208"/>
      <c r="B3214" s="86" t="str">
        <f>B3211</f>
        <v>18th April,2026</v>
      </c>
      <c r="C3214" s="87" t="s">
        <v>869</v>
      </c>
      <c r="D3214" s="88"/>
      <c r="F3214" s="90"/>
    </row>
    <row r="3215" spans="1:6" s="53" customFormat="1" x14ac:dyDescent="0.35">
      <c r="A3215" s="208"/>
      <c r="B3215" s="91"/>
      <c r="C3215" s="92" t="s">
        <v>606</v>
      </c>
      <c r="D3215" s="93">
        <f>325*2500</f>
        <v>812500</v>
      </c>
      <c r="F3215" s="75"/>
    </row>
    <row r="3216" spans="1:6" s="53" customFormat="1" x14ac:dyDescent="0.35">
      <c r="A3216" s="208"/>
      <c r="B3216" s="91" t="s">
        <v>54</v>
      </c>
      <c r="C3216" s="92" t="s">
        <v>55</v>
      </c>
      <c r="D3216" s="93">
        <v>1000000</v>
      </c>
      <c r="F3216" s="75"/>
    </row>
    <row r="3217" spans="1:7" s="53" customFormat="1" x14ac:dyDescent="0.35">
      <c r="A3217" s="208"/>
      <c r="B3217" s="91" t="s">
        <v>56</v>
      </c>
      <c r="C3217" s="92" t="s">
        <v>57</v>
      </c>
      <c r="D3217" s="93">
        <v>40000</v>
      </c>
      <c r="E3217" s="210" t="s">
        <v>58</v>
      </c>
      <c r="F3217" s="210"/>
    </row>
    <row r="3218" spans="1:7" s="53" customFormat="1" x14ac:dyDescent="0.35">
      <c r="A3218" s="208"/>
      <c r="B3218" s="91" t="s">
        <v>59</v>
      </c>
      <c r="C3218" s="92" t="s">
        <v>60</v>
      </c>
      <c r="D3218" s="93">
        <f>400*140</f>
        <v>56000</v>
      </c>
      <c r="E3218" s="94" t="s">
        <v>61</v>
      </c>
      <c r="F3218" s="95">
        <f>6200*2550</f>
        <v>15810000</v>
      </c>
    </row>
    <row r="3219" spans="1:7" s="53" customFormat="1" x14ac:dyDescent="0.35">
      <c r="A3219" s="208"/>
      <c r="B3219" s="91"/>
      <c r="C3219" s="92" t="s">
        <v>62</v>
      </c>
      <c r="D3219" s="93">
        <f>3600*140</f>
        <v>504000</v>
      </c>
      <c r="E3219" s="96" t="s">
        <v>63</v>
      </c>
      <c r="F3219" s="75">
        <f>(3720*2550)</f>
        <v>9486000</v>
      </c>
    </row>
    <row r="3220" spans="1:7" s="53" customFormat="1" ht="15" thickBot="1" x14ac:dyDescent="0.4">
      <c r="A3220" s="208"/>
      <c r="B3220" s="91" t="s">
        <v>64</v>
      </c>
      <c r="C3220" s="92" t="s">
        <v>65</v>
      </c>
      <c r="D3220" s="97">
        <v>30000</v>
      </c>
      <c r="E3220" s="98" t="s">
        <v>66</v>
      </c>
      <c r="F3220" s="99">
        <f>F3218-F3219</f>
        <v>6324000</v>
      </c>
      <c r="G3220" s="100">
        <f>F3220/2550</f>
        <v>2480</v>
      </c>
    </row>
    <row r="3221" spans="1:7" s="53" customFormat="1" ht="15" thickTop="1" x14ac:dyDescent="0.35">
      <c r="A3221" s="208"/>
      <c r="B3221" s="91"/>
      <c r="C3221" s="92" t="s">
        <v>67</v>
      </c>
      <c r="D3221" s="93">
        <v>0</v>
      </c>
      <c r="F3221" s="75"/>
    </row>
    <row r="3222" spans="1:7" s="53" customFormat="1" x14ac:dyDescent="0.35">
      <c r="A3222" s="208"/>
      <c r="B3222" s="91" t="s">
        <v>912</v>
      </c>
      <c r="C3222" s="101" t="s">
        <v>68</v>
      </c>
      <c r="D3222" s="93">
        <v>15000</v>
      </c>
      <c r="E3222" s="94" t="s">
        <v>69</v>
      </c>
      <c r="F3222" s="95"/>
    </row>
    <row r="3223" spans="1:7" s="53" customFormat="1" x14ac:dyDescent="0.35">
      <c r="A3223" s="208"/>
      <c r="B3223" s="102"/>
      <c r="C3223" s="101" t="s">
        <v>70</v>
      </c>
      <c r="D3223" s="103">
        <v>0</v>
      </c>
      <c r="E3223" s="104"/>
      <c r="F3223" s="105"/>
    </row>
    <row r="3224" spans="1:7" s="53" customFormat="1" x14ac:dyDescent="0.35">
      <c r="A3224" s="208"/>
      <c r="B3224" s="102"/>
      <c r="C3224" s="101" t="s">
        <v>71</v>
      </c>
      <c r="D3224" s="103">
        <v>0</v>
      </c>
      <c r="E3224" s="104" t="s">
        <v>72</v>
      </c>
      <c r="F3224" s="105"/>
    </row>
    <row r="3225" spans="1:7" s="53" customFormat="1" x14ac:dyDescent="0.35">
      <c r="A3225" s="208"/>
      <c r="B3225" s="102"/>
      <c r="C3225" s="92"/>
      <c r="D3225" s="106"/>
      <c r="E3225" s="53" t="s">
        <v>991</v>
      </c>
      <c r="F3225" s="105"/>
    </row>
    <row r="3226" spans="1:7" s="53" customFormat="1" ht="15" thickBot="1" x14ac:dyDescent="0.4">
      <c r="A3226" s="208"/>
      <c r="B3226" s="107"/>
      <c r="C3226" s="108"/>
      <c r="D3226" s="109"/>
      <c r="F3226" s="75"/>
    </row>
    <row r="3227" spans="1:7" s="53" customFormat="1" ht="15" thickBot="1" x14ac:dyDescent="0.4">
      <c r="A3227" s="208"/>
      <c r="B3227" s="110"/>
      <c r="C3227" s="111" t="s">
        <v>74</v>
      </c>
      <c r="D3227" s="112">
        <f>SUM(D3214:D3226)</f>
        <v>2457500</v>
      </c>
      <c r="F3227" s="75"/>
    </row>
    <row r="3228" spans="1:7" s="53" customFormat="1" ht="15.5" thickTop="1" thickBot="1" x14ac:dyDescent="0.4">
      <c r="A3228" s="209"/>
      <c r="B3228" s="211"/>
      <c r="C3228" s="211"/>
      <c r="D3228" s="211"/>
      <c r="F3228" s="75"/>
    </row>
    <row r="3229" spans="1:7" s="53" customFormat="1" x14ac:dyDescent="0.35">
      <c r="B3229" s="89"/>
      <c r="C3229" s="53" t="s">
        <v>75</v>
      </c>
      <c r="D3229" s="113">
        <f>D3211-D3227</f>
        <v>13352500</v>
      </c>
      <c r="F3229" s="75"/>
    </row>
    <row r="3230" spans="1:7" s="53" customFormat="1" x14ac:dyDescent="0.35">
      <c r="B3230" s="89"/>
      <c r="D3230" s="113"/>
      <c r="F3230" s="75"/>
    </row>
    <row r="3231" spans="1:7" s="53" customFormat="1" x14ac:dyDescent="0.35">
      <c r="A3231" s="114"/>
      <c r="B3231" s="115"/>
      <c r="C3231" s="114"/>
      <c r="D3231" s="116"/>
      <c r="E3231" s="114"/>
      <c r="F3231" s="117"/>
    </row>
    <row r="3233" spans="1:7" s="53" customFormat="1" ht="23.5" x14ac:dyDescent="0.55000000000000004">
      <c r="B3233" s="206" t="s">
        <v>0</v>
      </c>
      <c r="C3233" s="206"/>
      <c r="D3233" s="206"/>
      <c r="E3233" s="70"/>
      <c r="F3233" s="71"/>
    </row>
    <row r="3234" spans="1:7" s="53" customFormat="1" ht="20.5" x14ac:dyDescent="0.45">
      <c r="B3234" s="72"/>
      <c r="C3234" s="73" t="s">
        <v>915</v>
      </c>
      <c r="D3234" s="74"/>
      <c r="F3234" s="75"/>
    </row>
    <row r="3235" spans="1:7" s="53" customFormat="1" ht="21" thickBot="1" x14ac:dyDescent="0.5">
      <c r="B3235" s="72" t="s">
        <v>322</v>
      </c>
      <c r="C3235" s="76" t="s">
        <v>47</v>
      </c>
      <c r="D3235" s="74"/>
      <c r="F3235" s="75"/>
    </row>
    <row r="3236" spans="1:7" s="53" customFormat="1" ht="15" thickBot="1" x14ac:dyDescent="0.4">
      <c r="A3236" s="77" t="s">
        <v>48</v>
      </c>
      <c r="B3236" s="78" t="s">
        <v>26</v>
      </c>
      <c r="C3236" s="78" t="s">
        <v>49</v>
      </c>
      <c r="D3236" s="79" t="s">
        <v>29</v>
      </c>
      <c r="F3236" s="75"/>
    </row>
    <row r="3237" spans="1:7" s="53" customFormat="1" ht="14.5" customHeight="1" x14ac:dyDescent="0.35">
      <c r="A3237" s="207" t="s">
        <v>34</v>
      </c>
      <c r="B3237" s="80" t="s">
        <v>895</v>
      </c>
      <c r="C3237" s="81" t="s">
        <v>103</v>
      </c>
      <c r="D3237" s="82">
        <f>F3244</f>
        <v>15810000</v>
      </c>
      <c r="F3237" s="75"/>
    </row>
    <row r="3238" spans="1:7" s="53" customFormat="1" ht="21" thickBot="1" x14ac:dyDescent="0.5">
      <c r="A3238" s="208"/>
      <c r="B3238" s="72"/>
      <c r="C3238" s="72"/>
      <c r="D3238" s="74"/>
      <c r="F3238" s="75"/>
    </row>
    <row r="3239" spans="1:7" s="53" customFormat="1" ht="15" thickBot="1" x14ac:dyDescent="0.4">
      <c r="A3239" s="208"/>
      <c r="B3239" s="83" t="s">
        <v>26</v>
      </c>
      <c r="C3239" s="84" t="s">
        <v>51</v>
      </c>
      <c r="D3239" s="85" t="s">
        <v>52</v>
      </c>
      <c r="F3239" s="75"/>
    </row>
    <row r="3240" spans="1:7" s="89" customFormat="1" x14ac:dyDescent="0.35">
      <c r="A3240" s="208"/>
      <c r="B3240" s="86" t="str">
        <f>B3237</f>
        <v>18th April,2026</v>
      </c>
      <c r="C3240" s="87" t="s">
        <v>869</v>
      </c>
      <c r="D3240" s="88"/>
      <c r="F3240" s="90"/>
    </row>
    <row r="3241" spans="1:7" s="53" customFormat="1" x14ac:dyDescent="0.35">
      <c r="A3241" s="208"/>
      <c r="B3241" s="91"/>
      <c r="C3241" s="92" t="s">
        <v>606</v>
      </c>
      <c r="D3241" s="93">
        <f>325*2500</f>
        <v>812500</v>
      </c>
      <c r="F3241" s="75"/>
    </row>
    <row r="3242" spans="1:7" s="53" customFormat="1" x14ac:dyDescent="0.35">
      <c r="A3242" s="208"/>
      <c r="B3242" s="91" t="s">
        <v>54</v>
      </c>
      <c r="C3242" s="92" t="s">
        <v>55</v>
      </c>
      <c r="D3242" s="93">
        <v>1000000</v>
      </c>
      <c r="F3242" s="75"/>
    </row>
    <row r="3243" spans="1:7" s="53" customFormat="1" x14ac:dyDescent="0.35">
      <c r="A3243" s="208"/>
      <c r="B3243" s="91" t="s">
        <v>56</v>
      </c>
      <c r="C3243" s="92" t="s">
        <v>57</v>
      </c>
      <c r="D3243" s="93">
        <v>40000</v>
      </c>
      <c r="E3243" s="210" t="s">
        <v>58</v>
      </c>
      <c r="F3243" s="210"/>
    </row>
    <row r="3244" spans="1:7" s="53" customFormat="1" x14ac:dyDescent="0.35">
      <c r="A3244" s="208"/>
      <c r="B3244" s="91" t="s">
        <v>59</v>
      </c>
      <c r="C3244" s="92" t="s">
        <v>60</v>
      </c>
      <c r="D3244" s="93">
        <f>400*140</f>
        <v>56000</v>
      </c>
      <c r="E3244" s="94" t="s">
        <v>61</v>
      </c>
      <c r="F3244" s="95">
        <f>6200*2550</f>
        <v>15810000</v>
      </c>
    </row>
    <row r="3245" spans="1:7" s="53" customFormat="1" x14ac:dyDescent="0.35">
      <c r="A3245" s="208"/>
      <c r="B3245" s="91"/>
      <c r="C3245" s="92" t="s">
        <v>62</v>
      </c>
      <c r="D3245" s="93">
        <f>3600*140</f>
        <v>504000</v>
      </c>
      <c r="E3245" s="96" t="s">
        <v>63</v>
      </c>
      <c r="F3245" s="75">
        <f>(3720*2550)</f>
        <v>9486000</v>
      </c>
    </row>
    <row r="3246" spans="1:7" s="53" customFormat="1" ht="15" thickBot="1" x14ac:dyDescent="0.4">
      <c r="A3246" s="208"/>
      <c r="B3246" s="91" t="s">
        <v>64</v>
      </c>
      <c r="C3246" s="92" t="s">
        <v>65</v>
      </c>
      <c r="D3246" s="97">
        <v>30000</v>
      </c>
      <c r="E3246" s="98" t="s">
        <v>66</v>
      </c>
      <c r="F3246" s="99">
        <f>F3244-F3245</f>
        <v>6324000</v>
      </c>
      <c r="G3246" s="100">
        <f>F3246/2550</f>
        <v>2480</v>
      </c>
    </row>
    <row r="3247" spans="1:7" s="53" customFormat="1" ht="15" thickTop="1" x14ac:dyDescent="0.35">
      <c r="A3247" s="208"/>
      <c r="B3247" s="91"/>
      <c r="C3247" s="92" t="s">
        <v>67</v>
      </c>
      <c r="D3247" s="93">
        <v>0</v>
      </c>
      <c r="F3247" s="75"/>
    </row>
    <row r="3248" spans="1:7" s="53" customFormat="1" x14ac:dyDescent="0.35">
      <c r="A3248" s="208"/>
      <c r="B3248" s="91" t="s">
        <v>914</v>
      </c>
      <c r="C3248" s="101" t="s">
        <v>68</v>
      </c>
      <c r="D3248" s="93">
        <v>15000</v>
      </c>
      <c r="E3248" s="94" t="s">
        <v>69</v>
      </c>
      <c r="F3248" s="95"/>
    </row>
    <row r="3249" spans="1:6" s="53" customFormat="1" x14ac:dyDescent="0.35">
      <c r="A3249" s="208"/>
      <c r="B3249" s="102"/>
      <c r="C3249" s="101" t="s">
        <v>70</v>
      </c>
      <c r="D3249" s="103">
        <v>0</v>
      </c>
      <c r="E3249" s="104"/>
      <c r="F3249" s="105"/>
    </row>
    <row r="3250" spans="1:6" s="53" customFormat="1" x14ac:dyDescent="0.35">
      <c r="A3250" s="208"/>
      <c r="B3250" s="102"/>
      <c r="C3250" s="101" t="s">
        <v>71</v>
      </c>
      <c r="D3250" s="103">
        <v>0</v>
      </c>
      <c r="E3250" s="104" t="s">
        <v>72</v>
      </c>
      <c r="F3250" s="105"/>
    </row>
    <row r="3251" spans="1:6" s="53" customFormat="1" x14ac:dyDescent="0.35">
      <c r="A3251" s="208"/>
      <c r="B3251" s="102"/>
      <c r="C3251" s="92"/>
      <c r="D3251" s="106"/>
      <c r="E3251" s="53" t="s">
        <v>990</v>
      </c>
      <c r="F3251" s="105"/>
    </row>
    <row r="3252" spans="1:6" s="53" customFormat="1" ht="15" thickBot="1" x14ac:dyDescent="0.4">
      <c r="A3252" s="208"/>
      <c r="B3252" s="107"/>
      <c r="C3252" s="108"/>
      <c r="D3252" s="109"/>
      <c r="F3252" s="75"/>
    </row>
    <row r="3253" spans="1:6" s="53" customFormat="1" ht="15" thickBot="1" x14ac:dyDescent="0.4">
      <c r="A3253" s="208"/>
      <c r="B3253" s="110"/>
      <c r="C3253" s="111" t="s">
        <v>74</v>
      </c>
      <c r="D3253" s="112">
        <f>SUM(D3240:D3252)</f>
        <v>2457500</v>
      </c>
      <c r="F3253" s="75"/>
    </row>
    <row r="3254" spans="1:6" s="53" customFormat="1" ht="15.5" thickTop="1" thickBot="1" x14ac:dyDescent="0.4">
      <c r="A3254" s="209"/>
      <c r="B3254" s="211"/>
      <c r="C3254" s="211"/>
      <c r="D3254" s="211"/>
      <c r="F3254" s="75"/>
    </row>
    <row r="3255" spans="1:6" s="53" customFormat="1" x14ac:dyDescent="0.35">
      <c r="B3255" s="89"/>
      <c r="C3255" s="53" t="s">
        <v>75</v>
      </c>
      <c r="D3255" s="113">
        <f>D3237-D3253</f>
        <v>13352500</v>
      </c>
      <c r="F3255" s="75"/>
    </row>
    <row r="3256" spans="1:6" s="53" customFormat="1" x14ac:dyDescent="0.35">
      <c r="B3256" s="89"/>
      <c r="D3256" s="113"/>
      <c r="F3256" s="75"/>
    </row>
    <row r="3257" spans="1:6" s="53" customFormat="1" x14ac:dyDescent="0.35">
      <c r="A3257" s="114"/>
      <c r="B3257" s="115"/>
      <c r="C3257" s="114"/>
      <c r="D3257" s="116"/>
      <c r="E3257" s="114"/>
      <c r="F3257" s="117"/>
    </row>
    <row r="3259" spans="1:6" s="53" customFormat="1" ht="23.5" x14ac:dyDescent="0.55000000000000004">
      <c r="B3259" s="206" t="s">
        <v>0</v>
      </c>
      <c r="C3259" s="206"/>
      <c r="D3259" s="206"/>
      <c r="E3259" s="70"/>
      <c r="F3259" s="71"/>
    </row>
    <row r="3260" spans="1:6" s="53" customFormat="1" ht="20.5" x14ac:dyDescent="0.45">
      <c r="B3260" s="72"/>
      <c r="C3260" s="73" t="s">
        <v>917</v>
      </c>
      <c r="D3260" s="74"/>
      <c r="F3260" s="75"/>
    </row>
    <row r="3261" spans="1:6" s="53" customFormat="1" ht="21" thickBot="1" x14ac:dyDescent="0.5">
      <c r="B3261" s="72" t="s">
        <v>327</v>
      </c>
      <c r="C3261" s="76" t="s">
        <v>47</v>
      </c>
      <c r="D3261" s="74"/>
      <c r="F3261" s="75"/>
    </row>
    <row r="3262" spans="1:6" s="53" customFormat="1" ht="15" thickBot="1" x14ac:dyDescent="0.4">
      <c r="A3262" s="77" t="s">
        <v>48</v>
      </c>
      <c r="B3262" s="78" t="s">
        <v>26</v>
      </c>
      <c r="C3262" s="78" t="s">
        <v>49</v>
      </c>
      <c r="D3262" s="79" t="s">
        <v>29</v>
      </c>
      <c r="F3262" s="75"/>
    </row>
    <row r="3263" spans="1:6" s="53" customFormat="1" ht="14.5" customHeight="1" x14ac:dyDescent="0.35">
      <c r="A3263" s="207" t="s">
        <v>34</v>
      </c>
      <c r="B3263" s="80" t="s">
        <v>918</v>
      </c>
      <c r="C3263" s="81" t="s">
        <v>103</v>
      </c>
      <c r="D3263" s="82">
        <f>F3270</f>
        <v>15810000</v>
      </c>
      <c r="F3263" s="75"/>
    </row>
    <row r="3264" spans="1:6" s="53" customFormat="1" ht="21" thickBot="1" x14ac:dyDescent="0.5">
      <c r="A3264" s="208"/>
      <c r="B3264" s="72"/>
      <c r="C3264" s="72"/>
      <c r="D3264" s="74"/>
      <c r="F3264" s="75"/>
    </row>
    <row r="3265" spans="1:7" s="53" customFormat="1" ht="15" thickBot="1" x14ac:dyDescent="0.4">
      <c r="A3265" s="208"/>
      <c r="B3265" s="83" t="s">
        <v>26</v>
      </c>
      <c r="C3265" s="84" t="s">
        <v>51</v>
      </c>
      <c r="D3265" s="85" t="s">
        <v>52</v>
      </c>
      <c r="F3265" s="75"/>
    </row>
    <row r="3266" spans="1:7" s="89" customFormat="1" x14ac:dyDescent="0.35">
      <c r="A3266" s="208"/>
      <c r="B3266" s="86" t="str">
        <f>B3263</f>
        <v>19th April,2026</v>
      </c>
      <c r="C3266" s="87" t="s">
        <v>869</v>
      </c>
      <c r="D3266" s="88"/>
      <c r="F3266" s="90"/>
    </row>
    <row r="3267" spans="1:7" s="53" customFormat="1" x14ac:dyDescent="0.35">
      <c r="A3267" s="208"/>
      <c r="B3267" s="91"/>
      <c r="C3267" s="92" t="s">
        <v>606</v>
      </c>
      <c r="D3267" s="93">
        <f>325*2500</f>
        <v>812500</v>
      </c>
      <c r="F3267" s="75"/>
    </row>
    <row r="3268" spans="1:7" s="53" customFormat="1" x14ac:dyDescent="0.35">
      <c r="A3268" s="208"/>
      <c r="B3268" s="91" t="s">
        <v>54</v>
      </c>
      <c r="C3268" s="92" t="s">
        <v>55</v>
      </c>
      <c r="D3268" s="93">
        <v>1000000</v>
      </c>
      <c r="F3268" s="75"/>
    </row>
    <row r="3269" spans="1:7" s="53" customFormat="1" x14ac:dyDescent="0.35">
      <c r="A3269" s="208"/>
      <c r="B3269" s="91" t="s">
        <v>56</v>
      </c>
      <c r="C3269" s="92" t="s">
        <v>57</v>
      </c>
      <c r="D3269" s="93">
        <v>40000</v>
      </c>
      <c r="E3269" s="210" t="s">
        <v>58</v>
      </c>
      <c r="F3269" s="210"/>
    </row>
    <row r="3270" spans="1:7" s="53" customFormat="1" x14ac:dyDescent="0.35">
      <c r="A3270" s="208"/>
      <c r="B3270" s="91" t="s">
        <v>59</v>
      </c>
      <c r="C3270" s="92" t="s">
        <v>60</v>
      </c>
      <c r="D3270" s="93">
        <f>400*140</f>
        <v>56000</v>
      </c>
      <c r="E3270" s="94" t="s">
        <v>61</v>
      </c>
      <c r="F3270" s="95">
        <f>6200*2550</f>
        <v>15810000</v>
      </c>
    </row>
    <row r="3271" spans="1:7" s="53" customFormat="1" x14ac:dyDescent="0.35">
      <c r="A3271" s="208"/>
      <c r="B3271" s="91"/>
      <c r="C3271" s="92" t="s">
        <v>62</v>
      </c>
      <c r="D3271" s="93">
        <f>3600*140</f>
        <v>504000</v>
      </c>
      <c r="E3271" s="96" t="s">
        <v>63</v>
      </c>
      <c r="F3271" s="75">
        <f>(3720*2550)</f>
        <v>9486000</v>
      </c>
    </row>
    <row r="3272" spans="1:7" s="53" customFormat="1" ht="15" thickBot="1" x14ac:dyDescent="0.4">
      <c r="A3272" s="208"/>
      <c r="B3272" s="91" t="s">
        <v>64</v>
      </c>
      <c r="C3272" s="92" t="s">
        <v>65</v>
      </c>
      <c r="D3272" s="97">
        <v>30000</v>
      </c>
      <c r="E3272" s="98" t="s">
        <v>66</v>
      </c>
      <c r="F3272" s="99">
        <f>F3270-F3271</f>
        <v>6324000</v>
      </c>
      <c r="G3272" s="100">
        <f>F3272/2550</f>
        <v>2480</v>
      </c>
    </row>
    <row r="3273" spans="1:7" s="53" customFormat="1" ht="15" thickTop="1" x14ac:dyDescent="0.35">
      <c r="A3273" s="208"/>
      <c r="B3273" s="91"/>
      <c r="C3273" s="92" t="s">
        <v>67</v>
      </c>
      <c r="D3273" s="93">
        <v>0</v>
      </c>
      <c r="F3273" s="75"/>
    </row>
    <row r="3274" spans="1:7" s="53" customFormat="1" x14ac:dyDescent="0.35">
      <c r="A3274" s="208"/>
      <c r="B3274" s="91" t="s">
        <v>916</v>
      </c>
      <c r="C3274" s="101" t="s">
        <v>68</v>
      </c>
      <c r="D3274" s="93">
        <v>15000</v>
      </c>
      <c r="E3274" s="94" t="s">
        <v>69</v>
      </c>
      <c r="F3274" s="95"/>
    </row>
    <row r="3275" spans="1:7" s="53" customFormat="1" x14ac:dyDescent="0.35">
      <c r="A3275" s="208"/>
      <c r="B3275" s="102"/>
      <c r="C3275" s="101" t="s">
        <v>70</v>
      </c>
      <c r="D3275" s="103">
        <v>0</v>
      </c>
      <c r="E3275" s="104"/>
      <c r="F3275" s="105"/>
    </row>
    <row r="3276" spans="1:7" s="53" customFormat="1" x14ac:dyDescent="0.35">
      <c r="A3276" s="208"/>
      <c r="B3276" s="102"/>
      <c r="C3276" s="101" t="s">
        <v>71</v>
      </c>
      <c r="D3276" s="103">
        <v>0</v>
      </c>
      <c r="E3276" s="104" t="s">
        <v>72</v>
      </c>
      <c r="F3276" s="105"/>
    </row>
    <row r="3277" spans="1:7" s="53" customFormat="1" x14ac:dyDescent="0.35">
      <c r="A3277" s="208"/>
      <c r="B3277" s="102"/>
      <c r="C3277" s="92"/>
      <c r="D3277" s="106"/>
      <c r="E3277" s="53" t="s">
        <v>989</v>
      </c>
      <c r="F3277" s="105"/>
    </row>
    <row r="3278" spans="1:7" s="53" customFormat="1" ht="15" thickBot="1" x14ac:dyDescent="0.4">
      <c r="A3278" s="208"/>
      <c r="B3278" s="107"/>
      <c r="C3278" s="108"/>
      <c r="D3278" s="109"/>
      <c r="F3278" s="75"/>
    </row>
    <row r="3279" spans="1:7" s="53" customFormat="1" ht="15" thickBot="1" x14ac:dyDescent="0.4">
      <c r="A3279" s="208"/>
      <c r="B3279" s="110"/>
      <c r="C3279" s="111" t="s">
        <v>74</v>
      </c>
      <c r="D3279" s="112">
        <f>SUM(D3266:D3278)</f>
        <v>2457500</v>
      </c>
      <c r="F3279" s="75"/>
    </row>
    <row r="3280" spans="1:7" s="53" customFormat="1" ht="15.5" thickTop="1" thickBot="1" x14ac:dyDescent="0.4">
      <c r="A3280" s="209"/>
      <c r="B3280" s="211"/>
      <c r="C3280" s="211"/>
      <c r="D3280" s="211"/>
      <c r="F3280" s="75"/>
    </row>
    <row r="3281" spans="1:6" s="53" customFormat="1" x14ac:dyDescent="0.35">
      <c r="B3281" s="89"/>
      <c r="C3281" s="53" t="s">
        <v>75</v>
      </c>
      <c r="D3281" s="113">
        <f>D3263-D3279</f>
        <v>13352500</v>
      </c>
      <c r="F3281" s="75"/>
    </row>
    <row r="3282" spans="1:6" s="53" customFormat="1" x14ac:dyDescent="0.35">
      <c r="B3282" s="89"/>
      <c r="D3282" s="113"/>
      <c r="F3282" s="75"/>
    </row>
    <row r="3283" spans="1:6" s="53" customFormat="1" x14ac:dyDescent="0.35">
      <c r="A3283" s="114"/>
      <c r="B3283" s="115"/>
      <c r="C3283" s="114"/>
      <c r="D3283" s="116"/>
      <c r="E3283" s="114"/>
      <c r="F3283" s="117"/>
    </row>
    <row r="3285" spans="1:6" s="53" customFormat="1" ht="23.5" x14ac:dyDescent="0.55000000000000004">
      <c r="B3285" s="206" t="s">
        <v>0</v>
      </c>
      <c r="C3285" s="206"/>
      <c r="D3285" s="206"/>
      <c r="E3285" s="70"/>
      <c r="F3285" s="71"/>
    </row>
    <row r="3286" spans="1:6" s="53" customFormat="1" ht="20.5" x14ac:dyDescent="0.45">
      <c r="B3286" s="72"/>
      <c r="C3286" s="73" t="s">
        <v>921</v>
      </c>
      <c r="D3286" s="74"/>
      <c r="F3286" s="75"/>
    </row>
    <row r="3287" spans="1:6" s="53" customFormat="1" ht="21" thickBot="1" x14ac:dyDescent="0.5">
      <c r="B3287" s="72" t="s">
        <v>216</v>
      </c>
      <c r="C3287" s="76" t="s">
        <v>47</v>
      </c>
      <c r="D3287" s="74"/>
      <c r="F3287" s="75"/>
    </row>
    <row r="3288" spans="1:6" s="53" customFormat="1" ht="15" thickBot="1" x14ac:dyDescent="0.4">
      <c r="A3288" s="77" t="s">
        <v>48</v>
      </c>
      <c r="B3288" s="78" t="s">
        <v>26</v>
      </c>
      <c r="C3288" s="78" t="s">
        <v>49</v>
      </c>
      <c r="D3288" s="79" t="s">
        <v>29</v>
      </c>
      <c r="F3288" s="75"/>
    </row>
    <row r="3289" spans="1:6" s="53" customFormat="1" ht="14.5" customHeight="1" x14ac:dyDescent="0.35">
      <c r="A3289" s="207" t="s">
        <v>34</v>
      </c>
      <c r="B3289" s="80" t="s">
        <v>918</v>
      </c>
      <c r="C3289" s="81" t="s">
        <v>200</v>
      </c>
      <c r="D3289" s="82">
        <f>F3296</f>
        <v>16640000</v>
      </c>
      <c r="F3289" s="75"/>
    </row>
    <row r="3290" spans="1:6" s="53" customFormat="1" ht="21" thickBot="1" x14ac:dyDescent="0.5">
      <c r="A3290" s="208"/>
      <c r="B3290" s="72"/>
      <c r="C3290" s="72"/>
      <c r="D3290" s="74"/>
      <c r="F3290" s="75"/>
    </row>
    <row r="3291" spans="1:6" s="53" customFormat="1" ht="15" thickBot="1" x14ac:dyDescent="0.4">
      <c r="A3291" s="208"/>
      <c r="B3291" s="83" t="s">
        <v>26</v>
      </c>
      <c r="C3291" s="84" t="s">
        <v>51</v>
      </c>
      <c r="D3291" s="85" t="s">
        <v>52</v>
      </c>
      <c r="F3291" s="75"/>
    </row>
    <row r="3292" spans="1:6" s="89" customFormat="1" x14ac:dyDescent="0.35">
      <c r="A3292" s="208"/>
      <c r="B3292" s="86" t="str">
        <f>B3289</f>
        <v>19th April,2026</v>
      </c>
      <c r="C3292" s="87" t="s">
        <v>869</v>
      </c>
      <c r="D3292" s="88"/>
      <c r="F3292" s="90"/>
    </row>
    <row r="3293" spans="1:6" s="53" customFormat="1" x14ac:dyDescent="0.35">
      <c r="A3293" s="208"/>
      <c r="B3293" s="91"/>
      <c r="C3293" s="92" t="s">
        <v>606</v>
      </c>
      <c r="D3293" s="93">
        <f>325*2500</f>
        <v>812500</v>
      </c>
      <c r="F3293" s="75"/>
    </row>
    <row r="3294" spans="1:6" s="53" customFormat="1" x14ac:dyDescent="0.35">
      <c r="A3294" s="208"/>
      <c r="B3294" s="91" t="s">
        <v>54</v>
      </c>
      <c r="C3294" s="92" t="s">
        <v>55</v>
      </c>
      <c r="D3294" s="93">
        <v>1000000</v>
      </c>
      <c r="F3294" s="75"/>
    </row>
    <row r="3295" spans="1:6" s="53" customFormat="1" x14ac:dyDescent="0.35">
      <c r="A3295" s="208"/>
      <c r="B3295" s="91" t="s">
        <v>56</v>
      </c>
      <c r="C3295" s="92" t="s">
        <v>57</v>
      </c>
      <c r="D3295" s="93">
        <v>40000</v>
      </c>
      <c r="E3295" s="210" t="s">
        <v>58</v>
      </c>
      <c r="F3295" s="210"/>
    </row>
    <row r="3296" spans="1:6" s="53" customFormat="1" x14ac:dyDescent="0.35">
      <c r="A3296" s="208"/>
      <c r="B3296" s="91" t="s">
        <v>384</v>
      </c>
      <c r="C3296" s="92" t="s">
        <v>60</v>
      </c>
      <c r="D3296" s="93">
        <f>400*140</f>
        <v>56000</v>
      </c>
      <c r="E3296" s="94" t="s">
        <v>61</v>
      </c>
      <c r="F3296" s="95">
        <f>6400*2600</f>
        <v>16640000</v>
      </c>
    </row>
    <row r="3297" spans="1:7" s="53" customFormat="1" x14ac:dyDescent="0.35">
      <c r="A3297" s="208"/>
      <c r="B3297" s="91"/>
      <c r="C3297" s="92" t="s">
        <v>62</v>
      </c>
      <c r="D3297" s="93">
        <f>3600*140</f>
        <v>504000</v>
      </c>
      <c r="E3297" s="96" t="s">
        <v>63</v>
      </c>
      <c r="F3297" s="75">
        <f>(3200*2600)</f>
        <v>8320000</v>
      </c>
    </row>
    <row r="3298" spans="1:7" s="53" customFormat="1" ht="15" thickBot="1" x14ac:dyDescent="0.4">
      <c r="A3298" s="208"/>
      <c r="B3298" s="91" t="s">
        <v>64</v>
      </c>
      <c r="C3298" s="92" t="s">
        <v>65</v>
      </c>
      <c r="D3298" s="97">
        <v>30000</v>
      </c>
      <c r="E3298" s="98" t="s">
        <v>66</v>
      </c>
      <c r="F3298" s="99">
        <f>F3296-F3297</f>
        <v>8320000</v>
      </c>
      <c r="G3298" s="100">
        <f>F3298/2600</f>
        <v>3200</v>
      </c>
    </row>
    <row r="3299" spans="1:7" s="53" customFormat="1" ht="15" thickTop="1" x14ac:dyDescent="0.35">
      <c r="A3299" s="208"/>
      <c r="B3299" s="91"/>
      <c r="C3299" s="92" t="s">
        <v>67</v>
      </c>
      <c r="D3299" s="93">
        <v>0</v>
      </c>
      <c r="F3299" s="75"/>
    </row>
    <row r="3300" spans="1:7" s="53" customFormat="1" x14ac:dyDescent="0.35">
      <c r="A3300" s="208"/>
      <c r="B3300" s="91" t="s">
        <v>920</v>
      </c>
      <c r="C3300" s="101" t="s">
        <v>68</v>
      </c>
      <c r="D3300" s="93">
        <v>15000</v>
      </c>
      <c r="E3300" s="94" t="s">
        <v>69</v>
      </c>
      <c r="F3300" s="95"/>
    </row>
    <row r="3301" spans="1:7" s="53" customFormat="1" x14ac:dyDescent="0.35">
      <c r="A3301" s="208"/>
      <c r="B3301" s="102"/>
      <c r="C3301" s="101" t="s">
        <v>70</v>
      </c>
      <c r="D3301" s="103">
        <v>0</v>
      </c>
      <c r="E3301" s="104"/>
      <c r="F3301" s="105"/>
    </row>
    <row r="3302" spans="1:7" s="53" customFormat="1" x14ac:dyDescent="0.35">
      <c r="A3302" s="208"/>
      <c r="B3302" s="102"/>
      <c r="C3302" s="101" t="s">
        <v>71</v>
      </c>
      <c r="D3302" s="103">
        <v>0</v>
      </c>
      <c r="E3302" s="104" t="s">
        <v>72</v>
      </c>
      <c r="F3302" s="105"/>
    </row>
    <row r="3303" spans="1:7" s="53" customFormat="1" x14ac:dyDescent="0.35">
      <c r="A3303" s="208"/>
      <c r="B3303" s="102"/>
      <c r="C3303" s="92"/>
      <c r="D3303" s="106"/>
      <c r="E3303" s="53" t="s">
        <v>993</v>
      </c>
      <c r="F3303" s="105"/>
    </row>
    <row r="3304" spans="1:7" s="53" customFormat="1" ht="15" thickBot="1" x14ac:dyDescent="0.4">
      <c r="A3304" s="208"/>
      <c r="B3304" s="107"/>
      <c r="C3304" s="108"/>
      <c r="D3304" s="109"/>
      <c r="F3304" s="75"/>
    </row>
    <row r="3305" spans="1:7" s="53" customFormat="1" ht="15" thickBot="1" x14ac:dyDescent="0.4">
      <c r="A3305" s="208"/>
      <c r="B3305" s="110"/>
      <c r="C3305" s="111" t="s">
        <v>74</v>
      </c>
      <c r="D3305" s="112">
        <f>SUM(D3292:D3304)</f>
        <v>2457500</v>
      </c>
      <c r="F3305" s="75"/>
    </row>
    <row r="3306" spans="1:7" s="53" customFormat="1" ht="15.5" thickTop="1" thickBot="1" x14ac:dyDescent="0.4">
      <c r="A3306" s="209"/>
      <c r="B3306" s="211"/>
      <c r="C3306" s="211"/>
      <c r="D3306" s="211"/>
      <c r="F3306" s="75"/>
    </row>
    <row r="3307" spans="1:7" s="53" customFormat="1" x14ac:dyDescent="0.35">
      <c r="B3307" s="89"/>
      <c r="C3307" s="53" t="s">
        <v>75</v>
      </c>
      <c r="D3307" s="113">
        <f>D3289-D3305</f>
        <v>14182500</v>
      </c>
      <c r="F3307" s="75"/>
    </row>
    <row r="3308" spans="1:7" s="53" customFormat="1" x14ac:dyDescent="0.35">
      <c r="B3308" s="89"/>
      <c r="D3308" s="113"/>
      <c r="F3308" s="75"/>
    </row>
    <row r="3309" spans="1:7" s="53" customFormat="1" x14ac:dyDescent="0.35">
      <c r="A3309" s="114"/>
      <c r="B3309" s="115"/>
      <c r="C3309" s="114"/>
      <c r="D3309" s="116"/>
      <c r="E3309" s="114"/>
      <c r="F3309" s="117"/>
    </row>
    <row r="3311" spans="1:7" s="53" customFormat="1" ht="23.5" x14ac:dyDescent="0.55000000000000004">
      <c r="B3311" s="206" t="s">
        <v>0</v>
      </c>
      <c r="C3311" s="206"/>
      <c r="D3311" s="206"/>
      <c r="E3311" s="70"/>
      <c r="F3311" s="71"/>
    </row>
    <row r="3312" spans="1:7" s="53" customFormat="1" ht="20.5" x14ac:dyDescent="0.45">
      <c r="B3312" s="72"/>
      <c r="C3312" s="73" t="s">
        <v>924</v>
      </c>
      <c r="D3312" s="74"/>
      <c r="F3312" s="75"/>
    </row>
    <row r="3313" spans="1:7" s="53" customFormat="1" ht="21" thickBot="1" x14ac:dyDescent="0.5">
      <c r="B3313" s="72" t="s">
        <v>234</v>
      </c>
      <c r="C3313" s="76" t="s">
        <v>47</v>
      </c>
      <c r="D3313" s="74"/>
      <c r="F3313" s="75"/>
    </row>
    <row r="3314" spans="1:7" s="53" customFormat="1" ht="15" thickBot="1" x14ac:dyDescent="0.4">
      <c r="A3314" s="77" t="s">
        <v>48</v>
      </c>
      <c r="B3314" s="78" t="s">
        <v>26</v>
      </c>
      <c r="C3314" s="78" t="s">
        <v>49</v>
      </c>
      <c r="D3314" s="79" t="s">
        <v>29</v>
      </c>
      <c r="F3314" s="75"/>
    </row>
    <row r="3315" spans="1:7" s="53" customFormat="1" ht="14.5" customHeight="1" x14ac:dyDescent="0.35">
      <c r="A3315" s="207" t="s">
        <v>34</v>
      </c>
      <c r="B3315" s="80" t="s">
        <v>918</v>
      </c>
      <c r="C3315" s="81" t="s">
        <v>200</v>
      </c>
      <c r="D3315" s="82">
        <f>F3322</f>
        <v>16640000</v>
      </c>
      <c r="F3315" s="75"/>
    </row>
    <row r="3316" spans="1:7" s="53" customFormat="1" ht="21" thickBot="1" x14ac:dyDescent="0.5">
      <c r="A3316" s="208"/>
      <c r="B3316" s="72"/>
      <c r="C3316" s="72"/>
      <c r="D3316" s="74"/>
      <c r="F3316" s="75"/>
    </row>
    <row r="3317" spans="1:7" s="53" customFormat="1" ht="15" thickBot="1" x14ac:dyDescent="0.4">
      <c r="A3317" s="208"/>
      <c r="B3317" s="83" t="s">
        <v>26</v>
      </c>
      <c r="C3317" s="84" t="s">
        <v>51</v>
      </c>
      <c r="D3317" s="85" t="s">
        <v>52</v>
      </c>
      <c r="F3317" s="75"/>
    </row>
    <row r="3318" spans="1:7" s="89" customFormat="1" x14ac:dyDescent="0.35">
      <c r="A3318" s="208"/>
      <c r="B3318" s="86" t="str">
        <f>B3315</f>
        <v>19th April,2026</v>
      </c>
      <c r="C3318" s="87" t="s">
        <v>869</v>
      </c>
      <c r="D3318" s="88"/>
      <c r="F3318" s="90"/>
    </row>
    <row r="3319" spans="1:7" s="53" customFormat="1" x14ac:dyDescent="0.35">
      <c r="A3319" s="208"/>
      <c r="B3319" s="91"/>
      <c r="C3319" s="92" t="s">
        <v>606</v>
      </c>
      <c r="D3319" s="93">
        <f>325*2500</f>
        <v>812500</v>
      </c>
      <c r="F3319" s="75"/>
    </row>
    <row r="3320" spans="1:7" s="53" customFormat="1" x14ac:dyDescent="0.35">
      <c r="A3320" s="208"/>
      <c r="B3320" s="91" t="s">
        <v>54</v>
      </c>
      <c r="C3320" s="92" t="s">
        <v>55</v>
      </c>
      <c r="D3320" s="93">
        <v>1000000</v>
      </c>
      <c r="F3320" s="75"/>
    </row>
    <row r="3321" spans="1:7" s="53" customFormat="1" x14ac:dyDescent="0.35">
      <c r="A3321" s="208"/>
      <c r="B3321" s="91" t="s">
        <v>56</v>
      </c>
      <c r="C3321" s="92" t="s">
        <v>57</v>
      </c>
      <c r="D3321" s="93">
        <v>40000</v>
      </c>
      <c r="E3321" s="210" t="s">
        <v>58</v>
      </c>
      <c r="F3321" s="210"/>
    </row>
    <row r="3322" spans="1:7" s="53" customFormat="1" x14ac:dyDescent="0.35">
      <c r="A3322" s="208"/>
      <c r="B3322" s="91" t="s">
        <v>384</v>
      </c>
      <c r="C3322" s="92" t="s">
        <v>60</v>
      </c>
      <c r="D3322" s="93">
        <f>400*140</f>
        <v>56000</v>
      </c>
      <c r="E3322" s="94" t="s">
        <v>61</v>
      </c>
      <c r="F3322" s="95">
        <f>6400*2600</f>
        <v>16640000</v>
      </c>
    </row>
    <row r="3323" spans="1:7" s="53" customFormat="1" x14ac:dyDescent="0.35">
      <c r="A3323" s="208"/>
      <c r="B3323" s="91"/>
      <c r="C3323" s="92" t="s">
        <v>62</v>
      </c>
      <c r="D3323" s="93">
        <f>3600*140</f>
        <v>504000</v>
      </c>
      <c r="E3323" s="96" t="s">
        <v>63</v>
      </c>
      <c r="F3323" s="75">
        <f>(3200*2600)</f>
        <v>8320000</v>
      </c>
    </row>
    <row r="3324" spans="1:7" s="53" customFormat="1" ht="15" thickBot="1" x14ac:dyDescent="0.4">
      <c r="A3324" s="208"/>
      <c r="B3324" s="91" t="s">
        <v>64</v>
      </c>
      <c r="C3324" s="92" t="s">
        <v>65</v>
      </c>
      <c r="D3324" s="97">
        <v>30000</v>
      </c>
      <c r="E3324" s="98" t="s">
        <v>66</v>
      </c>
      <c r="F3324" s="99">
        <f>F3322-F3323</f>
        <v>8320000</v>
      </c>
      <c r="G3324" s="100">
        <f>F3324/2600</f>
        <v>3200</v>
      </c>
    </row>
    <row r="3325" spans="1:7" s="53" customFormat="1" ht="15" thickTop="1" x14ac:dyDescent="0.35">
      <c r="A3325" s="208"/>
      <c r="B3325" s="91"/>
      <c r="C3325" s="92" t="s">
        <v>67</v>
      </c>
      <c r="D3325" s="93">
        <v>0</v>
      </c>
      <c r="F3325" s="75"/>
    </row>
    <row r="3326" spans="1:7" s="53" customFormat="1" x14ac:dyDescent="0.35">
      <c r="A3326" s="208"/>
      <c r="B3326" s="91" t="s">
        <v>923</v>
      </c>
      <c r="C3326" s="101" t="s">
        <v>68</v>
      </c>
      <c r="D3326" s="93">
        <v>15000</v>
      </c>
      <c r="E3326" s="94" t="s">
        <v>69</v>
      </c>
      <c r="F3326" s="95"/>
    </row>
    <row r="3327" spans="1:7" s="53" customFormat="1" x14ac:dyDescent="0.35">
      <c r="A3327" s="208"/>
      <c r="B3327" s="102"/>
      <c r="C3327" s="101" t="s">
        <v>70</v>
      </c>
      <c r="D3327" s="103">
        <v>0</v>
      </c>
      <c r="E3327" s="104"/>
      <c r="F3327" s="105"/>
    </row>
    <row r="3328" spans="1:7" s="53" customFormat="1" x14ac:dyDescent="0.35">
      <c r="A3328" s="208"/>
      <c r="B3328" s="102"/>
      <c r="C3328" s="101" t="s">
        <v>71</v>
      </c>
      <c r="D3328" s="103">
        <v>0</v>
      </c>
      <c r="E3328" s="104" t="s">
        <v>72</v>
      </c>
      <c r="F3328" s="105"/>
    </row>
    <row r="3329" spans="1:6" s="53" customFormat="1" x14ac:dyDescent="0.35">
      <c r="A3329" s="208"/>
      <c r="B3329" s="102"/>
      <c r="C3329" s="92"/>
      <c r="D3329" s="106"/>
      <c r="E3329" s="53" t="s">
        <v>995</v>
      </c>
      <c r="F3329" s="105"/>
    </row>
    <row r="3330" spans="1:6" s="53" customFormat="1" ht="15" thickBot="1" x14ac:dyDescent="0.4">
      <c r="A3330" s="208"/>
      <c r="B3330" s="107"/>
      <c r="C3330" s="108"/>
      <c r="D3330" s="109"/>
      <c r="F3330" s="75"/>
    </row>
    <row r="3331" spans="1:6" s="53" customFormat="1" ht="15" thickBot="1" x14ac:dyDescent="0.4">
      <c r="A3331" s="208"/>
      <c r="B3331" s="110"/>
      <c r="C3331" s="111" t="s">
        <v>74</v>
      </c>
      <c r="D3331" s="112">
        <f>SUM(D3318:D3330)</f>
        <v>2457500</v>
      </c>
      <c r="F3331" s="75"/>
    </row>
    <row r="3332" spans="1:6" s="53" customFormat="1" ht="15.5" thickTop="1" thickBot="1" x14ac:dyDescent="0.4">
      <c r="A3332" s="209"/>
      <c r="B3332" s="211"/>
      <c r="C3332" s="211"/>
      <c r="D3332" s="211"/>
      <c r="F3332" s="75"/>
    </row>
    <row r="3333" spans="1:6" s="53" customFormat="1" x14ac:dyDescent="0.35">
      <c r="B3333" s="89"/>
      <c r="C3333" s="53" t="s">
        <v>75</v>
      </c>
      <c r="D3333" s="113">
        <f>D3315-D3331</f>
        <v>14182500</v>
      </c>
      <c r="F3333" s="75"/>
    </row>
    <row r="3334" spans="1:6" s="53" customFormat="1" x14ac:dyDescent="0.35">
      <c r="B3334" s="89"/>
      <c r="D3334" s="113"/>
      <c r="F3334" s="75"/>
    </row>
    <row r="3335" spans="1:6" s="53" customFormat="1" x14ac:dyDescent="0.35">
      <c r="A3335" s="114"/>
      <c r="B3335" s="115"/>
      <c r="C3335" s="114"/>
      <c r="D3335" s="116"/>
      <c r="E3335" s="114"/>
      <c r="F3335" s="117"/>
    </row>
    <row r="3337" spans="1:6" s="53" customFormat="1" ht="23.5" x14ac:dyDescent="0.55000000000000004">
      <c r="B3337" s="206" t="s">
        <v>0</v>
      </c>
      <c r="C3337" s="206"/>
      <c r="D3337" s="206"/>
      <c r="E3337" s="70"/>
      <c r="F3337" s="71"/>
    </row>
    <row r="3338" spans="1:6" s="53" customFormat="1" ht="20.5" x14ac:dyDescent="0.45">
      <c r="B3338" s="72"/>
      <c r="C3338" s="73" t="s">
        <v>927</v>
      </c>
      <c r="D3338" s="74"/>
      <c r="F3338" s="75"/>
    </row>
    <row r="3339" spans="1:6" s="53" customFormat="1" ht="21" thickBot="1" x14ac:dyDescent="0.5">
      <c r="B3339" s="72" t="s">
        <v>256</v>
      </c>
      <c r="C3339" s="76" t="s">
        <v>47</v>
      </c>
      <c r="D3339" s="74"/>
      <c r="F3339" s="75"/>
    </row>
    <row r="3340" spans="1:6" s="53" customFormat="1" ht="15" thickBot="1" x14ac:dyDescent="0.4">
      <c r="A3340" s="77" t="s">
        <v>48</v>
      </c>
      <c r="B3340" s="78" t="s">
        <v>26</v>
      </c>
      <c r="C3340" s="78" t="s">
        <v>49</v>
      </c>
      <c r="D3340" s="79" t="s">
        <v>29</v>
      </c>
      <c r="F3340" s="75"/>
    </row>
    <row r="3341" spans="1:6" s="53" customFormat="1" ht="14.5" customHeight="1" x14ac:dyDescent="0.35">
      <c r="A3341" s="207" t="s">
        <v>34</v>
      </c>
      <c r="B3341" s="80" t="s">
        <v>918</v>
      </c>
      <c r="C3341" s="81" t="s">
        <v>200</v>
      </c>
      <c r="D3341" s="82">
        <f>F3348</f>
        <v>16640000</v>
      </c>
      <c r="F3341" s="75"/>
    </row>
    <row r="3342" spans="1:6" s="53" customFormat="1" ht="21" thickBot="1" x14ac:dyDescent="0.5">
      <c r="A3342" s="208"/>
      <c r="B3342" s="72"/>
      <c r="C3342" s="72"/>
      <c r="D3342" s="74"/>
      <c r="F3342" s="75"/>
    </row>
    <row r="3343" spans="1:6" s="53" customFormat="1" ht="15" thickBot="1" x14ac:dyDescent="0.4">
      <c r="A3343" s="208"/>
      <c r="B3343" s="83" t="s">
        <v>26</v>
      </c>
      <c r="C3343" s="84" t="s">
        <v>51</v>
      </c>
      <c r="D3343" s="85" t="s">
        <v>52</v>
      </c>
      <c r="F3343" s="75"/>
    </row>
    <row r="3344" spans="1:6" s="89" customFormat="1" x14ac:dyDescent="0.35">
      <c r="A3344" s="208"/>
      <c r="B3344" s="86" t="str">
        <f>B3341</f>
        <v>19th April,2026</v>
      </c>
      <c r="C3344" s="87" t="s">
        <v>869</v>
      </c>
      <c r="D3344" s="88"/>
      <c r="F3344" s="90"/>
    </row>
    <row r="3345" spans="1:7" s="53" customFormat="1" x14ac:dyDescent="0.35">
      <c r="A3345" s="208"/>
      <c r="B3345" s="91"/>
      <c r="C3345" s="92" t="s">
        <v>606</v>
      </c>
      <c r="D3345" s="93">
        <f>325*2500</f>
        <v>812500</v>
      </c>
      <c r="F3345" s="75"/>
    </row>
    <row r="3346" spans="1:7" s="53" customFormat="1" x14ac:dyDescent="0.35">
      <c r="A3346" s="208"/>
      <c r="B3346" s="91" t="s">
        <v>54</v>
      </c>
      <c r="C3346" s="92" t="s">
        <v>55</v>
      </c>
      <c r="D3346" s="93">
        <v>1000000</v>
      </c>
      <c r="F3346" s="75"/>
    </row>
    <row r="3347" spans="1:7" s="53" customFormat="1" x14ac:dyDescent="0.35">
      <c r="A3347" s="208"/>
      <c r="B3347" s="91" t="s">
        <v>56</v>
      </c>
      <c r="C3347" s="92" t="s">
        <v>57</v>
      </c>
      <c r="D3347" s="93">
        <v>40000</v>
      </c>
      <c r="E3347" s="210" t="s">
        <v>58</v>
      </c>
      <c r="F3347" s="210"/>
    </row>
    <row r="3348" spans="1:7" s="53" customFormat="1" x14ac:dyDescent="0.35">
      <c r="A3348" s="208"/>
      <c r="B3348" s="91" t="s">
        <v>384</v>
      </c>
      <c r="C3348" s="92" t="s">
        <v>60</v>
      </c>
      <c r="D3348" s="93">
        <f>400*140</f>
        <v>56000</v>
      </c>
      <c r="E3348" s="94" t="s">
        <v>61</v>
      </c>
      <c r="F3348" s="95">
        <f>6400*2600</f>
        <v>16640000</v>
      </c>
    </row>
    <row r="3349" spans="1:7" s="53" customFormat="1" x14ac:dyDescent="0.35">
      <c r="A3349" s="208"/>
      <c r="B3349" s="91"/>
      <c r="C3349" s="92" t="s">
        <v>62</v>
      </c>
      <c r="D3349" s="93">
        <f>3600*140</f>
        <v>504000</v>
      </c>
      <c r="E3349" s="96" t="s">
        <v>63</v>
      </c>
      <c r="F3349" s="75">
        <f>(3200*2600)</f>
        <v>8320000</v>
      </c>
    </row>
    <row r="3350" spans="1:7" s="53" customFormat="1" ht="15" thickBot="1" x14ac:dyDescent="0.4">
      <c r="A3350" s="208"/>
      <c r="B3350" s="91" t="s">
        <v>64</v>
      </c>
      <c r="C3350" s="92" t="s">
        <v>65</v>
      </c>
      <c r="D3350" s="97">
        <v>30000</v>
      </c>
      <c r="E3350" s="98" t="s">
        <v>66</v>
      </c>
      <c r="F3350" s="99">
        <f>F3348-F3349</f>
        <v>8320000</v>
      </c>
      <c r="G3350" s="100">
        <f>F3350/2600</f>
        <v>3200</v>
      </c>
    </row>
    <row r="3351" spans="1:7" s="53" customFormat="1" ht="15" thickTop="1" x14ac:dyDescent="0.35">
      <c r="A3351" s="208"/>
      <c r="B3351" s="91"/>
      <c r="C3351" s="92" t="s">
        <v>67</v>
      </c>
      <c r="D3351" s="93">
        <v>0</v>
      </c>
      <c r="F3351" s="75"/>
    </row>
    <row r="3352" spans="1:7" s="53" customFormat="1" x14ac:dyDescent="0.35">
      <c r="A3352" s="208"/>
      <c r="B3352" s="91" t="s">
        <v>926</v>
      </c>
      <c r="C3352" s="101" t="s">
        <v>68</v>
      </c>
      <c r="D3352" s="93">
        <v>15000</v>
      </c>
      <c r="E3352" s="94" t="s">
        <v>69</v>
      </c>
      <c r="F3352" s="95"/>
    </row>
    <row r="3353" spans="1:7" s="53" customFormat="1" x14ac:dyDescent="0.35">
      <c r="A3353" s="208"/>
      <c r="B3353" s="102"/>
      <c r="C3353" s="101" t="s">
        <v>70</v>
      </c>
      <c r="D3353" s="103">
        <v>0</v>
      </c>
      <c r="E3353" s="104"/>
      <c r="F3353" s="105"/>
    </row>
    <row r="3354" spans="1:7" s="53" customFormat="1" x14ac:dyDescent="0.35">
      <c r="A3354" s="208"/>
      <c r="B3354" s="102"/>
      <c r="C3354" s="101" t="s">
        <v>71</v>
      </c>
      <c r="D3354" s="103">
        <v>0</v>
      </c>
      <c r="E3354" s="104" t="s">
        <v>72</v>
      </c>
      <c r="F3354" s="105"/>
    </row>
    <row r="3355" spans="1:7" s="53" customFormat="1" x14ac:dyDescent="0.35">
      <c r="A3355" s="208"/>
      <c r="B3355" s="102"/>
      <c r="C3355" s="92"/>
      <c r="D3355" s="106"/>
      <c r="E3355" s="53" t="s">
        <v>995</v>
      </c>
      <c r="F3355" s="105"/>
    </row>
    <row r="3356" spans="1:7" s="53" customFormat="1" ht="15" thickBot="1" x14ac:dyDescent="0.4">
      <c r="A3356" s="208"/>
      <c r="B3356" s="107"/>
      <c r="C3356" s="108"/>
      <c r="D3356" s="109"/>
      <c r="F3356" s="75"/>
    </row>
    <row r="3357" spans="1:7" s="53" customFormat="1" ht="15" thickBot="1" x14ac:dyDescent="0.4">
      <c r="A3357" s="208"/>
      <c r="B3357" s="110"/>
      <c r="C3357" s="111" t="s">
        <v>74</v>
      </c>
      <c r="D3357" s="112">
        <f>SUM(D3344:D3356)</f>
        <v>2457500</v>
      </c>
      <c r="F3357" s="75"/>
    </row>
    <row r="3358" spans="1:7" s="53" customFormat="1" ht="15.5" thickTop="1" thickBot="1" x14ac:dyDescent="0.4">
      <c r="A3358" s="209"/>
      <c r="B3358" s="211"/>
      <c r="C3358" s="211"/>
      <c r="D3358" s="211"/>
      <c r="F3358" s="75"/>
    </row>
    <row r="3359" spans="1:7" s="53" customFormat="1" x14ac:dyDescent="0.35">
      <c r="B3359" s="89"/>
      <c r="C3359" s="53" t="s">
        <v>75</v>
      </c>
      <c r="D3359" s="113">
        <f>D3341-D3357</f>
        <v>14182500</v>
      </c>
      <c r="F3359" s="75"/>
    </row>
    <row r="3360" spans="1:7" s="53" customFormat="1" x14ac:dyDescent="0.35">
      <c r="B3360" s="89"/>
      <c r="D3360" s="113"/>
      <c r="F3360" s="75"/>
    </row>
    <row r="3361" spans="1:7" s="53" customFormat="1" x14ac:dyDescent="0.35">
      <c r="A3361" s="114"/>
      <c r="B3361" s="115"/>
      <c r="C3361" s="114"/>
      <c r="D3361" s="116"/>
      <c r="E3361" s="114"/>
      <c r="F3361" s="117"/>
    </row>
    <row r="3363" spans="1:7" s="53" customFormat="1" ht="23.5" x14ac:dyDescent="0.55000000000000004">
      <c r="B3363" s="206" t="s">
        <v>0</v>
      </c>
      <c r="C3363" s="206"/>
      <c r="D3363" s="206"/>
      <c r="E3363" s="70"/>
      <c r="F3363" s="71"/>
    </row>
    <row r="3364" spans="1:7" s="53" customFormat="1" ht="20.5" x14ac:dyDescent="0.45">
      <c r="B3364" s="72"/>
      <c r="C3364" s="73" t="s">
        <v>932</v>
      </c>
      <c r="D3364" s="74"/>
      <c r="F3364" s="75"/>
    </row>
    <row r="3365" spans="1:7" s="53" customFormat="1" ht="21" thickBot="1" x14ac:dyDescent="0.5">
      <c r="B3365" s="72" t="s">
        <v>206</v>
      </c>
      <c r="C3365" s="76" t="s">
        <v>47</v>
      </c>
      <c r="D3365" s="74"/>
      <c r="F3365" s="75"/>
    </row>
    <row r="3366" spans="1:7" s="53" customFormat="1" ht="15" thickBot="1" x14ac:dyDescent="0.4">
      <c r="A3366" s="77" t="s">
        <v>48</v>
      </c>
      <c r="B3366" s="78" t="s">
        <v>26</v>
      </c>
      <c r="C3366" s="78" t="s">
        <v>49</v>
      </c>
      <c r="D3366" s="79" t="s">
        <v>29</v>
      </c>
      <c r="F3366" s="75"/>
    </row>
    <row r="3367" spans="1:7" s="53" customFormat="1" ht="14.5" customHeight="1" x14ac:dyDescent="0.35">
      <c r="A3367" s="207" t="s">
        <v>34</v>
      </c>
      <c r="B3367" s="80" t="s">
        <v>918</v>
      </c>
      <c r="C3367" s="81" t="s">
        <v>200</v>
      </c>
      <c r="D3367" s="82">
        <f>F3374</f>
        <v>16640000</v>
      </c>
      <c r="F3367" s="75"/>
    </row>
    <row r="3368" spans="1:7" s="53" customFormat="1" ht="21" thickBot="1" x14ac:dyDescent="0.5">
      <c r="A3368" s="208"/>
      <c r="B3368" s="72"/>
      <c r="C3368" s="72"/>
      <c r="D3368" s="74"/>
      <c r="F3368" s="75"/>
    </row>
    <row r="3369" spans="1:7" s="53" customFormat="1" ht="15" thickBot="1" x14ac:dyDescent="0.4">
      <c r="A3369" s="208"/>
      <c r="B3369" s="83" t="s">
        <v>26</v>
      </c>
      <c r="C3369" s="84" t="s">
        <v>51</v>
      </c>
      <c r="D3369" s="85" t="s">
        <v>52</v>
      </c>
      <c r="F3369" s="75"/>
    </row>
    <row r="3370" spans="1:7" s="89" customFormat="1" x14ac:dyDescent="0.35">
      <c r="A3370" s="208"/>
      <c r="B3370" s="86" t="str">
        <f>B3367</f>
        <v>19th April,2026</v>
      </c>
      <c r="C3370" s="87" t="s">
        <v>869</v>
      </c>
      <c r="D3370" s="88"/>
      <c r="F3370" s="90"/>
    </row>
    <row r="3371" spans="1:7" s="53" customFormat="1" x14ac:dyDescent="0.35">
      <c r="A3371" s="208"/>
      <c r="B3371" s="91"/>
      <c r="C3371" s="92" t="s">
        <v>606</v>
      </c>
      <c r="D3371" s="93">
        <f>325*2500</f>
        <v>812500</v>
      </c>
      <c r="F3371" s="75"/>
    </row>
    <row r="3372" spans="1:7" s="53" customFormat="1" x14ac:dyDescent="0.35">
      <c r="A3372" s="208"/>
      <c r="B3372" s="91" t="s">
        <v>54</v>
      </c>
      <c r="C3372" s="92" t="s">
        <v>55</v>
      </c>
      <c r="D3372" s="93">
        <v>1000000</v>
      </c>
      <c r="F3372" s="75"/>
    </row>
    <row r="3373" spans="1:7" s="53" customFormat="1" x14ac:dyDescent="0.35">
      <c r="A3373" s="208"/>
      <c r="B3373" s="91" t="s">
        <v>56</v>
      </c>
      <c r="C3373" s="92" t="s">
        <v>57</v>
      </c>
      <c r="D3373" s="93">
        <v>40000</v>
      </c>
      <c r="E3373" s="210" t="s">
        <v>58</v>
      </c>
      <c r="F3373" s="210"/>
    </row>
    <row r="3374" spans="1:7" s="53" customFormat="1" x14ac:dyDescent="0.35">
      <c r="A3374" s="208"/>
      <c r="B3374" s="91" t="s">
        <v>384</v>
      </c>
      <c r="C3374" s="92" t="s">
        <v>60</v>
      </c>
      <c r="D3374" s="93">
        <f>400*140</f>
        <v>56000</v>
      </c>
      <c r="E3374" s="94" t="s">
        <v>61</v>
      </c>
      <c r="F3374" s="95">
        <f>6400*2600</f>
        <v>16640000</v>
      </c>
    </row>
    <row r="3375" spans="1:7" s="53" customFormat="1" x14ac:dyDescent="0.35">
      <c r="A3375" s="208"/>
      <c r="B3375" s="91"/>
      <c r="C3375" s="92" t="s">
        <v>62</v>
      </c>
      <c r="D3375" s="93">
        <f>3600*140</f>
        <v>504000</v>
      </c>
      <c r="E3375" s="96" t="s">
        <v>63</v>
      </c>
      <c r="F3375" s="75">
        <f>(3200*2600)</f>
        <v>8320000</v>
      </c>
    </row>
    <row r="3376" spans="1:7" s="53" customFormat="1" ht="15" thickBot="1" x14ac:dyDescent="0.4">
      <c r="A3376" s="208"/>
      <c r="B3376" s="91" t="s">
        <v>64</v>
      </c>
      <c r="C3376" s="92" t="s">
        <v>65</v>
      </c>
      <c r="D3376" s="97">
        <v>30000</v>
      </c>
      <c r="E3376" s="98" t="s">
        <v>66</v>
      </c>
      <c r="F3376" s="99">
        <f>F3374-F3375</f>
        <v>8320000</v>
      </c>
      <c r="G3376" s="100">
        <f>F3376/2600</f>
        <v>3200</v>
      </c>
    </row>
    <row r="3377" spans="1:6" s="53" customFormat="1" ht="15" thickTop="1" x14ac:dyDescent="0.35">
      <c r="A3377" s="208"/>
      <c r="B3377" s="91"/>
      <c r="C3377" s="92" t="s">
        <v>67</v>
      </c>
      <c r="D3377" s="93">
        <v>0</v>
      </c>
      <c r="F3377" s="75"/>
    </row>
    <row r="3378" spans="1:6" s="53" customFormat="1" x14ac:dyDescent="0.35">
      <c r="A3378" s="208"/>
      <c r="B3378" s="91" t="s">
        <v>926</v>
      </c>
      <c r="C3378" s="101" t="s">
        <v>68</v>
      </c>
      <c r="D3378" s="93">
        <v>15000</v>
      </c>
      <c r="E3378" s="94" t="s">
        <v>69</v>
      </c>
      <c r="F3378" s="95"/>
    </row>
    <row r="3379" spans="1:6" s="53" customFormat="1" x14ac:dyDescent="0.35">
      <c r="A3379" s="208"/>
      <c r="B3379" s="102"/>
      <c r="C3379" s="101" t="s">
        <v>70</v>
      </c>
      <c r="D3379" s="103">
        <v>0</v>
      </c>
      <c r="E3379" s="104"/>
      <c r="F3379" s="105"/>
    </row>
    <row r="3380" spans="1:6" s="53" customFormat="1" x14ac:dyDescent="0.35">
      <c r="A3380" s="208"/>
      <c r="B3380" s="102"/>
      <c r="C3380" s="101" t="s">
        <v>71</v>
      </c>
      <c r="D3380" s="103">
        <v>0</v>
      </c>
      <c r="E3380" s="104" t="s">
        <v>72</v>
      </c>
      <c r="F3380" s="105"/>
    </row>
    <row r="3381" spans="1:6" s="53" customFormat="1" x14ac:dyDescent="0.35">
      <c r="A3381" s="208"/>
      <c r="B3381" s="102"/>
      <c r="C3381" s="92"/>
      <c r="D3381" s="106"/>
      <c r="E3381" s="53" t="s">
        <v>996</v>
      </c>
      <c r="F3381" s="105"/>
    </row>
    <row r="3382" spans="1:6" s="53" customFormat="1" ht="15" thickBot="1" x14ac:dyDescent="0.4">
      <c r="A3382" s="208"/>
      <c r="B3382" s="107"/>
      <c r="C3382" s="108"/>
      <c r="D3382" s="109"/>
      <c r="F3382" s="75"/>
    </row>
    <row r="3383" spans="1:6" s="53" customFormat="1" ht="15" thickBot="1" x14ac:dyDescent="0.4">
      <c r="A3383" s="208"/>
      <c r="B3383" s="110"/>
      <c r="C3383" s="111" t="s">
        <v>74</v>
      </c>
      <c r="D3383" s="112">
        <f>SUM(D3370:D3382)</f>
        <v>2457500</v>
      </c>
      <c r="F3383" s="75"/>
    </row>
    <row r="3384" spans="1:6" s="53" customFormat="1" ht="15.5" thickTop="1" thickBot="1" x14ac:dyDescent="0.4">
      <c r="A3384" s="209"/>
      <c r="B3384" s="211"/>
      <c r="C3384" s="211"/>
      <c r="D3384" s="211"/>
      <c r="F3384" s="75"/>
    </row>
    <row r="3385" spans="1:6" s="53" customFormat="1" x14ac:dyDescent="0.35">
      <c r="B3385" s="89"/>
      <c r="C3385" s="53" t="s">
        <v>75</v>
      </c>
      <c r="D3385" s="113">
        <f>D3367-D3383</f>
        <v>14182500</v>
      </c>
      <c r="F3385" s="75"/>
    </row>
    <row r="3386" spans="1:6" s="53" customFormat="1" x14ac:dyDescent="0.35">
      <c r="B3386" s="89"/>
      <c r="D3386" s="113"/>
      <c r="F3386" s="75"/>
    </row>
    <row r="3387" spans="1:6" s="53" customFormat="1" x14ac:dyDescent="0.35">
      <c r="A3387" s="114"/>
      <c r="B3387" s="115"/>
      <c r="C3387" s="114"/>
      <c r="D3387" s="116"/>
      <c r="E3387" s="114"/>
      <c r="F3387" s="117"/>
    </row>
    <row r="3389" spans="1:6" s="53" customFormat="1" ht="23.5" x14ac:dyDescent="0.55000000000000004">
      <c r="B3389" s="206" t="s">
        <v>0</v>
      </c>
      <c r="C3389" s="206"/>
      <c r="D3389" s="206"/>
      <c r="E3389" s="70"/>
      <c r="F3389" s="71"/>
    </row>
    <row r="3390" spans="1:6" s="53" customFormat="1" ht="20.5" x14ac:dyDescent="0.45">
      <c r="B3390" s="72"/>
      <c r="C3390" s="73" t="s">
        <v>934</v>
      </c>
      <c r="D3390" s="74"/>
      <c r="F3390" s="75"/>
    </row>
    <row r="3391" spans="1:6" s="53" customFormat="1" ht="21" thickBot="1" x14ac:dyDescent="0.5">
      <c r="B3391" s="72" t="s">
        <v>241</v>
      </c>
      <c r="C3391" s="76" t="s">
        <v>47</v>
      </c>
      <c r="D3391" s="74"/>
      <c r="F3391" s="75"/>
    </row>
    <row r="3392" spans="1:6" s="53" customFormat="1" ht="15" thickBot="1" x14ac:dyDescent="0.4">
      <c r="A3392" s="77" t="s">
        <v>48</v>
      </c>
      <c r="B3392" s="78" t="s">
        <v>26</v>
      </c>
      <c r="C3392" s="78" t="s">
        <v>49</v>
      </c>
      <c r="D3392" s="79" t="s">
        <v>29</v>
      </c>
      <c r="F3392" s="75"/>
    </row>
    <row r="3393" spans="1:7" s="53" customFormat="1" ht="14.5" customHeight="1" x14ac:dyDescent="0.35">
      <c r="A3393" s="207" t="s">
        <v>34</v>
      </c>
      <c r="B3393" s="80" t="s">
        <v>918</v>
      </c>
      <c r="C3393" s="81" t="s">
        <v>200</v>
      </c>
      <c r="D3393" s="82">
        <f>F3400</f>
        <v>16640000</v>
      </c>
      <c r="F3393" s="75"/>
    </row>
    <row r="3394" spans="1:7" s="53" customFormat="1" ht="21" thickBot="1" x14ac:dyDescent="0.5">
      <c r="A3394" s="208"/>
      <c r="B3394" s="72"/>
      <c r="C3394" s="72"/>
      <c r="D3394" s="74"/>
      <c r="F3394" s="75"/>
    </row>
    <row r="3395" spans="1:7" s="53" customFormat="1" ht="15" thickBot="1" x14ac:dyDescent="0.4">
      <c r="A3395" s="208"/>
      <c r="B3395" s="83" t="s">
        <v>26</v>
      </c>
      <c r="C3395" s="84" t="s">
        <v>51</v>
      </c>
      <c r="D3395" s="85" t="s">
        <v>52</v>
      </c>
      <c r="F3395" s="75"/>
    </row>
    <row r="3396" spans="1:7" s="89" customFormat="1" x14ac:dyDescent="0.35">
      <c r="A3396" s="208"/>
      <c r="B3396" s="86" t="str">
        <f>B3393</f>
        <v>19th April,2026</v>
      </c>
      <c r="C3396" s="87" t="s">
        <v>869</v>
      </c>
      <c r="D3396" s="88"/>
      <c r="F3396" s="90"/>
    </row>
    <row r="3397" spans="1:7" s="53" customFormat="1" x14ac:dyDescent="0.35">
      <c r="A3397" s="208"/>
      <c r="B3397" s="91"/>
      <c r="C3397" s="92" t="s">
        <v>606</v>
      </c>
      <c r="D3397" s="93">
        <f>325*2500</f>
        <v>812500</v>
      </c>
      <c r="F3397" s="75"/>
    </row>
    <row r="3398" spans="1:7" s="53" customFormat="1" x14ac:dyDescent="0.35">
      <c r="A3398" s="208"/>
      <c r="B3398" s="91" t="s">
        <v>54</v>
      </c>
      <c r="C3398" s="92" t="s">
        <v>55</v>
      </c>
      <c r="D3398" s="93">
        <v>1000000</v>
      </c>
      <c r="F3398" s="75"/>
    </row>
    <row r="3399" spans="1:7" s="53" customFormat="1" x14ac:dyDescent="0.35">
      <c r="A3399" s="208"/>
      <c r="B3399" s="91" t="s">
        <v>56</v>
      </c>
      <c r="C3399" s="92" t="s">
        <v>57</v>
      </c>
      <c r="D3399" s="93">
        <v>40000</v>
      </c>
      <c r="E3399" s="210" t="s">
        <v>58</v>
      </c>
      <c r="F3399" s="210"/>
    </row>
    <row r="3400" spans="1:7" s="53" customFormat="1" x14ac:dyDescent="0.35">
      <c r="A3400" s="208"/>
      <c r="B3400" s="91" t="s">
        <v>384</v>
      </c>
      <c r="C3400" s="92" t="s">
        <v>60</v>
      </c>
      <c r="D3400" s="93">
        <f>400*140</f>
        <v>56000</v>
      </c>
      <c r="E3400" s="94" t="s">
        <v>61</v>
      </c>
      <c r="F3400" s="95">
        <f>6400*2600</f>
        <v>16640000</v>
      </c>
    </row>
    <row r="3401" spans="1:7" s="53" customFormat="1" x14ac:dyDescent="0.35">
      <c r="A3401" s="208"/>
      <c r="B3401" s="91"/>
      <c r="C3401" s="92" t="s">
        <v>62</v>
      </c>
      <c r="D3401" s="93">
        <f>3600*140</f>
        <v>504000</v>
      </c>
      <c r="E3401" s="96" t="s">
        <v>63</v>
      </c>
      <c r="F3401" s="75">
        <f>(3200*2600)</f>
        <v>8320000</v>
      </c>
    </row>
    <row r="3402" spans="1:7" s="53" customFormat="1" ht="15" thickBot="1" x14ac:dyDescent="0.4">
      <c r="A3402" s="208"/>
      <c r="B3402" s="91" t="s">
        <v>64</v>
      </c>
      <c r="C3402" s="92" t="s">
        <v>65</v>
      </c>
      <c r="D3402" s="97">
        <v>30000</v>
      </c>
      <c r="E3402" s="98" t="s">
        <v>66</v>
      </c>
      <c r="F3402" s="99">
        <f>F3400-F3401</f>
        <v>8320000</v>
      </c>
      <c r="G3402" s="100">
        <f>F3402/2600</f>
        <v>3200</v>
      </c>
    </row>
    <row r="3403" spans="1:7" s="53" customFormat="1" ht="15" thickTop="1" x14ac:dyDescent="0.35">
      <c r="A3403" s="208"/>
      <c r="B3403" s="91"/>
      <c r="C3403" s="92" t="s">
        <v>67</v>
      </c>
      <c r="D3403" s="93">
        <v>0</v>
      </c>
      <c r="F3403" s="75"/>
    </row>
    <row r="3404" spans="1:7" s="53" customFormat="1" x14ac:dyDescent="0.35">
      <c r="A3404" s="208"/>
      <c r="B3404" s="91" t="s">
        <v>933</v>
      </c>
      <c r="C3404" s="101" t="s">
        <v>68</v>
      </c>
      <c r="D3404" s="93">
        <v>15000</v>
      </c>
      <c r="E3404" s="94" t="s">
        <v>69</v>
      </c>
      <c r="F3404" s="95"/>
    </row>
    <row r="3405" spans="1:7" s="53" customFormat="1" x14ac:dyDescent="0.35">
      <c r="A3405" s="208"/>
      <c r="B3405" s="102"/>
      <c r="C3405" s="101" t="s">
        <v>70</v>
      </c>
      <c r="D3405" s="103">
        <v>0</v>
      </c>
      <c r="E3405" s="104"/>
      <c r="F3405" s="105"/>
    </row>
    <row r="3406" spans="1:7" s="53" customFormat="1" x14ac:dyDescent="0.35">
      <c r="A3406" s="208"/>
      <c r="B3406" s="102"/>
      <c r="C3406" s="101" t="s">
        <v>71</v>
      </c>
      <c r="D3406" s="103">
        <v>0</v>
      </c>
      <c r="E3406" s="104" t="s">
        <v>72</v>
      </c>
      <c r="F3406" s="105"/>
    </row>
    <row r="3407" spans="1:7" s="53" customFormat="1" x14ac:dyDescent="0.35">
      <c r="A3407" s="208"/>
      <c r="B3407" s="102"/>
      <c r="C3407" s="92"/>
      <c r="D3407" s="106"/>
      <c r="E3407" s="53" t="s">
        <v>996</v>
      </c>
      <c r="F3407" s="105"/>
    </row>
    <row r="3408" spans="1:7" s="53" customFormat="1" ht="15" thickBot="1" x14ac:dyDescent="0.4">
      <c r="A3408" s="208"/>
      <c r="B3408" s="107"/>
      <c r="C3408" s="108"/>
      <c r="D3408" s="109"/>
      <c r="F3408" s="75"/>
    </row>
    <row r="3409" spans="1:6" s="53" customFormat="1" ht="15" thickBot="1" x14ac:dyDescent="0.4">
      <c r="A3409" s="208"/>
      <c r="B3409" s="110"/>
      <c r="C3409" s="111" t="s">
        <v>74</v>
      </c>
      <c r="D3409" s="112">
        <f>SUM(D3396:D3408)</f>
        <v>2457500</v>
      </c>
      <c r="F3409" s="75"/>
    </row>
    <row r="3410" spans="1:6" s="53" customFormat="1" ht="15.5" thickTop="1" thickBot="1" x14ac:dyDescent="0.4">
      <c r="A3410" s="209"/>
      <c r="B3410" s="211"/>
      <c r="C3410" s="211"/>
      <c r="D3410" s="211"/>
      <c r="F3410" s="75"/>
    </row>
    <row r="3411" spans="1:6" s="53" customFormat="1" x14ac:dyDescent="0.35">
      <c r="B3411" s="89"/>
      <c r="C3411" s="53" t="s">
        <v>75</v>
      </c>
      <c r="D3411" s="113">
        <f>D3393-D3409</f>
        <v>14182500</v>
      </c>
      <c r="F3411" s="75"/>
    </row>
    <row r="3412" spans="1:6" s="53" customFormat="1" x14ac:dyDescent="0.35">
      <c r="B3412" s="89"/>
      <c r="D3412" s="113"/>
      <c r="F3412" s="75"/>
    </row>
    <row r="3413" spans="1:6" s="53" customFormat="1" x14ac:dyDescent="0.35">
      <c r="A3413" s="114"/>
      <c r="B3413" s="115"/>
      <c r="C3413" s="114"/>
      <c r="D3413" s="116"/>
      <c r="E3413" s="114"/>
      <c r="F3413" s="117"/>
    </row>
    <row r="3415" spans="1:6" s="53" customFormat="1" ht="23.5" x14ac:dyDescent="0.55000000000000004">
      <c r="B3415" s="206" t="s">
        <v>0</v>
      </c>
      <c r="C3415" s="206"/>
      <c r="D3415" s="206"/>
      <c r="E3415" s="70"/>
      <c r="F3415" s="71"/>
    </row>
    <row r="3416" spans="1:6" s="53" customFormat="1" ht="20.5" x14ac:dyDescent="0.45">
      <c r="B3416" s="72"/>
      <c r="C3416" s="73" t="s">
        <v>936</v>
      </c>
      <c r="D3416" s="74"/>
      <c r="F3416" s="75"/>
    </row>
    <row r="3417" spans="1:6" s="53" customFormat="1" ht="21" thickBot="1" x14ac:dyDescent="0.5">
      <c r="B3417" s="72" t="s">
        <v>230</v>
      </c>
      <c r="C3417" s="76" t="s">
        <v>47</v>
      </c>
      <c r="D3417" s="74"/>
      <c r="F3417" s="75"/>
    </row>
    <row r="3418" spans="1:6" s="53" customFormat="1" ht="15" thickBot="1" x14ac:dyDescent="0.4">
      <c r="A3418" s="77" t="s">
        <v>48</v>
      </c>
      <c r="B3418" s="78" t="s">
        <v>26</v>
      </c>
      <c r="C3418" s="78" t="s">
        <v>49</v>
      </c>
      <c r="D3418" s="79" t="s">
        <v>29</v>
      </c>
      <c r="F3418" s="75"/>
    </row>
    <row r="3419" spans="1:6" s="53" customFormat="1" ht="14.5" customHeight="1" x14ac:dyDescent="0.35">
      <c r="A3419" s="207" t="s">
        <v>34</v>
      </c>
      <c r="B3419" s="80" t="s">
        <v>918</v>
      </c>
      <c r="C3419" s="81" t="s">
        <v>200</v>
      </c>
      <c r="D3419" s="82">
        <f>F3426</f>
        <v>16640000</v>
      </c>
      <c r="F3419" s="75"/>
    </row>
    <row r="3420" spans="1:6" s="53" customFormat="1" ht="21" thickBot="1" x14ac:dyDescent="0.5">
      <c r="A3420" s="208"/>
      <c r="B3420" s="72"/>
      <c r="C3420" s="72"/>
      <c r="D3420" s="74"/>
      <c r="F3420" s="75"/>
    </row>
    <row r="3421" spans="1:6" s="53" customFormat="1" ht="15" thickBot="1" x14ac:dyDescent="0.4">
      <c r="A3421" s="208"/>
      <c r="B3421" s="83" t="s">
        <v>26</v>
      </c>
      <c r="C3421" s="84" t="s">
        <v>51</v>
      </c>
      <c r="D3421" s="85" t="s">
        <v>52</v>
      </c>
      <c r="F3421" s="75"/>
    </row>
    <row r="3422" spans="1:6" s="89" customFormat="1" x14ac:dyDescent="0.35">
      <c r="A3422" s="208"/>
      <c r="B3422" s="86" t="str">
        <f>B3419</f>
        <v>19th April,2026</v>
      </c>
      <c r="C3422" s="87" t="s">
        <v>869</v>
      </c>
      <c r="D3422" s="88"/>
      <c r="F3422" s="90"/>
    </row>
    <row r="3423" spans="1:6" s="53" customFormat="1" x14ac:dyDescent="0.35">
      <c r="A3423" s="208"/>
      <c r="B3423" s="91"/>
      <c r="C3423" s="92" t="s">
        <v>606</v>
      </c>
      <c r="D3423" s="93">
        <f>325*2500</f>
        <v>812500</v>
      </c>
      <c r="F3423" s="75"/>
    </row>
    <row r="3424" spans="1:6" s="53" customFormat="1" x14ac:dyDescent="0.35">
      <c r="A3424" s="208"/>
      <c r="B3424" s="91" t="s">
        <v>54</v>
      </c>
      <c r="C3424" s="92" t="s">
        <v>55</v>
      </c>
      <c r="D3424" s="93">
        <v>1000000</v>
      </c>
      <c r="F3424" s="75"/>
    </row>
    <row r="3425" spans="1:7" s="53" customFormat="1" x14ac:dyDescent="0.35">
      <c r="A3425" s="208"/>
      <c r="B3425" s="91" t="s">
        <v>56</v>
      </c>
      <c r="C3425" s="92" t="s">
        <v>57</v>
      </c>
      <c r="D3425" s="93">
        <v>40000</v>
      </c>
      <c r="E3425" s="210" t="s">
        <v>58</v>
      </c>
      <c r="F3425" s="210"/>
    </row>
    <row r="3426" spans="1:7" s="53" customFormat="1" x14ac:dyDescent="0.35">
      <c r="A3426" s="208"/>
      <c r="B3426" s="91" t="s">
        <v>384</v>
      </c>
      <c r="C3426" s="92" t="s">
        <v>60</v>
      </c>
      <c r="D3426" s="93">
        <f>400*140</f>
        <v>56000</v>
      </c>
      <c r="E3426" s="94" t="s">
        <v>61</v>
      </c>
      <c r="F3426" s="95">
        <f>6400*2600</f>
        <v>16640000</v>
      </c>
    </row>
    <row r="3427" spans="1:7" s="53" customFormat="1" x14ac:dyDescent="0.35">
      <c r="A3427" s="208"/>
      <c r="B3427" s="91"/>
      <c r="C3427" s="92" t="s">
        <v>62</v>
      </c>
      <c r="D3427" s="93">
        <f>3600*140</f>
        <v>504000</v>
      </c>
      <c r="E3427" s="96" t="s">
        <v>63</v>
      </c>
      <c r="F3427" s="75">
        <f>(3200*2600)</f>
        <v>8320000</v>
      </c>
    </row>
    <row r="3428" spans="1:7" s="53" customFormat="1" ht="15" thickBot="1" x14ac:dyDescent="0.4">
      <c r="A3428" s="208"/>
      <c r="B3428" s="91" t="s">
        <v>64</v>
      </c>
      <c r="C3428" s="92" t="s">
        <v>65</v>
      </c>
      <c r="D3428" s="97">
        <v>30000</v>
      </c>
      <c r="E3428" s="98" t="s">
        <v>66</v>
      </c>
      <c r="F3428" s="99">
        <f>F3426-F3427</f>
        <v>8320000</v>
      </c>
      <c r="G3428" s="100">
        <f>F3428/2600</f>
        <v>3200</v>
      </c>
    </row>
    <row r="3429" spans="1:7" s="53" customFormat="1" ht="15" thickTop="1" x14ac:dyDescent="0.35">
      <c r="A3429" s="208"/>
      <c r="B3429" s="91"/>
      <c r="C3429" s="92" t="s">
        <v>67</v>
      </c>
      <c r="D3429" s="93">
        <v>0</v>
      </c>
      <c r="F3429" s="75"/>
    </row>
    <row r="3430" spans="1:7" s="53" customFormat="1" x14ac:dyDescent="0.35">
      <c r="A3430" s="208"/>
      <c r="B3430" s="91" t="s">
        <v>935</v>
      </c>
      <c r="C3430" s="101" t="s">
        <v>68</v>
      </c>
      <c r="D3430" s="93">
        <v>15000</v>
      </c>
      <c r="E3430" s="94" t="s">
        <v>69</v>
      </c>
      <c r="F3430" s="95"/>
    </row>
    <row r="3431" spans="1:7" s="53" customFormat="1" x14ac:dyDescent="0.35">
      <c r="A3431" s="208"/>
      <c r="B3431" s="102"/>
      <c r="C3431" s="101" t="s">
        <v>70</v>
      </c>
      <c r="D3431" s="103">
        <v>0</v>
      </c>
      <c r="E3431" s="104"/>
      <c r="F3431" s="105"/>
    </row>
    <row r="3432" spans="1:7" s="53" customFormat="1" x14ac:dyDescent="0.35">
      <c r="A3432" s="208"/>
      <c r="B3432" s="102"/>
      <c r="C3432" s="101" t="s">
        <v>71</v>
      </c>
      <c r="D3432" s="103">
        <v>0</v>
      </c>
      <c r="E3432" s="104" t="s">
        <v>72</v>
      </c>
      <c r="F3432" s="105"/>
    </row>
    <row r="3433" spans="1:7" s="53" customFormat="1" x14ac:dyDescent="0.35">
      <c r="A3433" s="208"/>
      <c r="B3433" s="102"/>
      <c r="C3433" s="92"/>
      <c r="D3433" s="106"/>
      <c r="E3433" s="53" t="s">
        <v>992</v>
      </c>
      <c r="F3433" s="105"/>
    </row>
    <row r="3434" spans="1:7" s="53" customFormat="1" ht="15" thickBot="1" x14ac:dyDescent="0.4">
      <c r="A3434" s="208"/>
      <c r="B3434" s="107"/>
      <c r="C3434" s="108"/>
      <c r="D3434" s="109"/>
      <c r="F3434" s="75"/>
    </row>
    <row r="3435" spans="1:7" s="53" customFormat="1" ht="15" thickBot="1" x14ac:dyDescent="0.4">
      <c r="A3435" s="208"/>
      <c r="B3435" s="110"/>
      <c r="C3435" s="111" t="s">
        <v>74</v>
      </c>
      <c r="D3435" s="112">
        <f>SUM(D3422:D3434)</f>
        <v>2457500</v>
      </c>
      <c r="F3435" s="75"/>
    </row>
    <row r="3436" spans="1:7" s="53" customFormat="1" ht="15.5" thickTop="1" thickBot="1" x14ac:dyDescent="0.4">
      <c r="A3436" s="209"/>
      <c r="B3436" s="211"/>
      <c r="C3436" s="211"/>
      <c r="D3436" s="211"/>
      <c r="F3436" s="75"/>
    </row>
    <row r="3437" spans="1:7" s="53" customFormat="1" x14ac:dyDescent="0.35">
      <c r="B3437" s="89"/>
      <c r="C3437" s="53" t="s">
        <v>75</v>
      </c>
      <c r="D3437" s="113">
        <f>D3419-D3435</f>
        <v>14182500</v>
      </c>
      <c r="F3437" s="75"/>
    </row>
    <row r="3438" spans="1:7" s="53" customFormat="1" x14ac:dyDescent="0.35">
      <c r="B3438" s="89"/>
      <c r="D3438" s="113"/>
      <c r="F3438" s="75"/>
    </row>
    <row r="3439" spans="1:7" s="53" customFormat="1" x14ac:dyDescent="0.35">
      <c r="A3439" s="114"/>
      <c r="B3439" s="115"/>
      <c r="C3439" s="114"/>
      <c r="D3439" s="116"/>
      <c r="E3439" s="114"/>
      <c r="F3439" s="117"/>
    </row>
    <row r="3441" spans="1:7" s="53" customFormat="1" ht="23.5" x14ac:dyDescent="0.55000000000000004">
      <c r="B3441" s="206" t="s">
        <v>0</v>
      </c>
      <c r="C3441" s="206"/>
      <c r="D3441" s="206"/>
      <c r="E3441" s="70"/>
      <c r="F3441" s="71"/>
    </row>
    <row r="3442" spans="1:7" s="53" customFormat="1" ht="20.5" x14ac:dyDescent="0.45">
      <c r="B3442" s="72"/>
      <c r="C3442" s="73" t="s">
        <v>939</v>
      </c>
      <c r="D3442" s="74"/>
      <c r="F3442" s="75"/>
    </row>
    <row r="3443" spans="1:7" s="53" customFormat="1" ht="21" thickBot="1" x14ac:dyDescent="0.5">
      <c r="B3443" s="72" t="s">
        <v>282</v>
      </c>
      <c r="C3443" s="76" t="s">
        <v>47</v>
      </c>
      <c r="D3443" s="74"/>
      <c r="F3443" s="75"/>
    </row>
    <row r="3444" spans="1:7" s="53" customFormat="1" ht="15" thickBot="1" x14ac:dyDescent="0.4">
      <c r="A3444" s="77" t="s">
        <v>48</v>
      </c>
      <c r="B3444" s="78" t="s">
        <v>26</v>
      </c>
      <c r="C3444" s="78" t="s">
        <v>49</v>
      </c>
      <c r="D3444" s="79" t="s">
        <v>29</v>
      </c>
      <c r="F3444" s="75"/>
    </row>
    <row r="3445" spans="1:7" s="53" customFormat="1" ht="14.5" customHeight="1" x14ac:dyDescent="0.35">
      <c r="A3445" s="207" t="s">
        <v>34</v>
      </c>
      <c r="B3445" s="80" t="s">
        <v>918</v>
      </c>
      <c r="C3445" s="81" t="s">
        <v>200</v>
      </c>
      <c r="D3445" s="82">
        <f>F3452</f>
        <v>16640000</v>
      </c>
      <c r="F3445" s="75"/>
    </row>
    <row r="3446" spans="1:7" s="53" customFormat="1" ht="21" thickBot="1" x14ac:dyDescent="0.5">
      <c r="A3446" s="208"/>
      <c r="B3446" s="72"/>
      <c r="C3446" s="72"/>
      <c r="D3446" s="74"/>
      <c r="F3446" s="75"/>
    </row>
    <row r="3447" spans="1:7" s="53" customFormat="1" ht="15" thickBot="1" x14ac:dyDescent="0.4">
      <c r="A3447" s="208"/>
      <c r="B3447" s="83" t="s">
        <v>26</v>
      </c>
      <c r="C3447" s="84" t="s">
        <v>51</v>
      </c>
      <c r="D3447" s="85" t="s">
        <v>52</v>
      </c>
      <c r="F3447" s="75"/>
    </row>
    <row r="3448" spans="1:7" s="89" customFormat="1" x14ac:dyDescent="0.35">
      <c r="A3448" s="208"/>
      <c r="B3448" s="86" t="str">
        <f>B3445</f>
        <v>19th April,2026</v>
      </c>
      <c r="C3448" s="87" t="s">
        <v>869</v>
      </c>
      <c r="D3448" s="88"/>
      <c r="F3448" s="90"/>
    </row>
    <row r="3449" spans="1:7" s="53" customFormat="1" x14ac:dyDescent="0.35">
      <c r="A3449" s="208"/>
      <c r="B3449" s="91"/>
      <c r="C3449" s="92" t="s">
        <v>606</v>
      </c>
      <c r="D3449" s="93">
        <f>325*2500</f>
        <v>812500</v>
      </c>
      <c r="F3449" s="75"/>
    </row>
    <row r="3450" spans="1:7" s="53" customFormat="1" x14ac:dyDescent="0.35">
      <c r="A3450" s="208"/>
      <c r="B3450" s="91" t="s">
        <v>54</v>
      </c>
      <c r="C3450" s="92" t="s">
        <v>55</v>
      </c>
      <c r="D3450" s="93">
        <v>1000000</v>
      </c>
      <c r="F3450" s="75"/>
    </row>
    <row r="3451" spans="1:7" s="53" customFormat="1" x14ac:dyDescent="0.35">
      <c r="A3451" s="208"/>
      <c r="B3451" s="91" t="s">
        <v>56</v>
      </c>
      <c r="C3451" s="92" t="s">
        <v>57</v>
      </c>
      <c r="D3451" s="93">
        <v>40000</v>
      </c>
      <c r="E3451" s="210" t="s">
        <v>58</v>
      </c>
      <c r="F3451" s="210"/>
    </row>
    <row r="3452" spans="1:7" s="53" customFormat="1" x14ac:dyDescent="0.35">
      <c r="A3452" s="208"/>
      <c r="B3452" s="91" t="s">
        <v>384</v>
      </c>
      <c r="C3452" s="92" t="s">
        <v>60</v>
      </c>
      <c r="D3452" s="93">
        <f>400*140</f>
        <v>56000</v>
      </c>
      <c r="E3452" s="94" t="s">
        <v>61</v>
      </c>
      <c r="F3452" s="95">
        <f>6400*2600</f>
        <v>16640000</v>
      </c>
    </row>
    <row r="3453" spans="1:7" s="53" customFormat="1" x14ac:dyDescent="0.35">
      <c r="A3453" s="208"/>
      <c r="B3453" s="91"/>
      <c r="C3453" s="92" t="s">
        <v>62</v>
      </c>
      <c r="D3453" s="93">
        <f>3600*140</f>
        <v>504000</v>
      </c>
      <c r="E3453" s="96" t="s">
        <v>63</v>
      </c>
      <c r="F3453" s="75">
        <f>(3200*2600)</f>
        <v>8320000</v>
      </c>
    </row>
    <row r="3454" spans="1:7" s="53" customFormat="1" ht="15" thickBot="1" x14ac:dyDescent="0.4">
      <c r="A3454" s="208"/>
      <c r="B3454" s="91" t="s">
        <v>64</v>
      </c>
      <c r="C3454" s="92" t="s">
        <v>65</v>
      </c>
      <c r="D3454" s="97">
        <v>30000</v>
      </c>
      <c r="E3454" s="98" t="s">
        <v>66</v>
      </c>
      <c r="F3454" s="99">
        <f>F3452-F3453</f>
        <v>8320000</v>
      </c>
      <c r="G3454" s="100">
        <f>F3454/2600</f>
        <v>3200</v>
      </c>
    </row>
    <row r="3455" spans="1:7" s="53" customFormat="1" ht="15" thickTop="1" x14ac:dyDescent="0.35">
      <c r="A3455" s="208"/>
      <c r="B3455" s="91"/>
      <c r="C3455" s="92" t="s">
        <v>67</v>
      </c>
      <c r="D3455" s="93">
        <v>0</v>
      </c>
      <c r="F3455" s="75"/>
    </row>
    <row r="3456" spans="1:7" s="53" customFormat="1" x14ac:dyDescent="0.35">
      <c r="A3456" s="208"/>
      <c r="B3456" s="91" t="s">
        <v>938</v>
      </c>
      <c r="C3456" s="101" t="s">
        <v>68</v>
      </c>
      <c r="D3456" s="93">
        <v>15000</v>
      </c>
      <c r="E3456" s="94" t="s">
        <v>69</v>
      </c>
      <c r="F3456" s="95"/>
    </row>
    <row r="3457" spans="1:6" s="53" customFormat="1" x14ac:dyDescent="0.35">
      <c r="A3457" s="208"/>
      <c r="B3457" s="102"/>
      <c r="C3457" s="101" t="s">
        <v>70</v>
      </c>
      <c r="D3457" s="103">
        <v>0</v>
      </c>
      <c r="E3457" s="104"/>
      <c r="F3457" s="105"/>
    </row>
    <row r="3458" spans="1:6" s="53" customFormat="1" x14ac:dyDescent="0.35">
      <c r="A3458" s="208"/>
      <c r="B3458" s="102"/>
      <c r="C3458" s="101" t="s">
        <v>71</v>
      </c>
      <c r="D3458" s="103">
        <v>0</v>
      </c>
      <c r="E3458" s="104" t="s">
        <v>72</v>
      </c>
      <c r="F3458" s="105"/>
    </row>
    <row r="3459" spans="1:6" s="53" customFormat="1" x14ac:dyDescent="0.35">
      <c r="A3459" s="208"/>
      <c r="B3459" s="102"/>
      <c r="C3459" s="92"/>
      <c r="D3459" s="106"/>
      <c r="E3459" s="53" t="s">
        <v>994</v>
      </c>
      <c r="F3459" s="105"/>
    </row>
    <row r="3460" spans="1:6" s="53" customFormat="1" ht="15" thickBot="1" x14ac:dyDescent="0.4">
      <c r="A3460" s="208"/>
      <c r="B3460" s="107"/>
      <c r="C3460" s="108"/>
      <c r="D3460" s="109"/>
      <c r="F3460" s="75"/>
    </row>
    <row r="3461" spans="1:6" s="53" customFormat="1" ht="15" thickBot="1" x14ac:dyDescent="0.4">
      <c r="A3461" s="208"/>
      <c r="B3461" s="110"/>
      <c r="C3461" s="111" t="s">
        <v>74</v>
      </c>
      <c r="D3461" s="112">
        <f>SUM(D3448:D3460)</f>
        <v>2457500</v>
      </c>
      <c r="F3461" s="75"/>
    </row>
    <row r="3462" spans="1:6" s="53" customFormat="1" ht="15.5" thickTop="1" thickBot="1" x14ac:dyDescent="0.4">
      <c r="A3462" s="209"/>
      <c r="B3462" s="211"/>
      <c r="C3462" s="211"/>
      <c r="D3462" s="211"/>
      <c r="F3462" s="75"/>
    </row>
    <row r="3463" spans="1:6" s="53" customFormat="1" x14ac:dyDescent="0.35">
      <c r="B3463" s="89"/>
      <c r="C3463" s="53" t="s">
        <v>75</v>
      </c>
      <c r="D3463" s="113">
        <f>D3445-D3461</f>
        <v>14182500</v>
      </c>
      <c r="F3463" s="75"/>
    </row>
    <row r="3464" spans="1:6" s="53" customFormat="1" x14ac:dyDescent="0.35">
      <c r="B3464" s="89"/>
      <c r="D3464" s="113"/>
      <c r="F3464" s="75"/>
    </row>
    <row r="3465" spans="1:6" s="53" customFormat="1" x14ac:dyDescent="0.35">
      <c r="A3465" s="114"/>
      <c r="B3465" s="115"/>
      <c r="C3465" s="114"/>
      <c r="D3465" s="116"/>
      <c r="E3465" s="114"/>
      <c r="F3465" s="117"/>
    </row>
    <row r="3467" spans="1:6" s="53" customFormat="1" ht="23.5" x14ac:dyDescent="0.55000000000000004">
      <c r="B3467" s="206" t="s">
        <v>0</v>
      </c>
      <c r="C3467" s="206"/>
      <c r="D3467" s="206"/>
      <c r="E3467" s="70"/>
      <c r="F3467" s="71"/>
    </row>
    <row r="3468" spans="1:6" s="53" customFormat="1" ht="20.5" x14ac:dyDescent="0.45">
      <c r="B3468" s="72"/>
      <c r="C3468" s="73" t="s">
        <v>944</v>
      </c>
      <c r="D3468" s="74"/>
      <c r="F3468" s="75"/>
    </row>
    <row r="3469" spans="1:6" s="53" customFormat="1" ht="21" thickBot="1" x14ac:dyDescent="0.5">
      <c r="B3469" s="72" t="s">
        <v>251</v>
      </c>
      <c r="C3469" s="76" t="s">
        <v>47</v>
      </c>
      <c r="D3469" s="74"/>
      <c r="F3469" s="75"/>
    </row>
    <row r="3470" spans="1:6" s="53" customFormat="1" ht="15" thickBot="1" x14ac:dyDescent="0.4">
      <c r="A3470" s="77" t="s">
        <v>48</v>
      </c>
      <c r="B3470" s="78" t="s">
        <v>26</v>
      </c>
      <c r="C3470" s="78" t="s">
        <v>49</v>
      </c>
      <c r="D3470" s="79" t="s">
        <v>29</v>
      </c>
      <c r="F3470" s="75"/>
    </row>
    <row r="3471" spans="1:6" s="53" customFormat="1" ht="14.5" customHeight="1" x14ac:dyDescent="0.35">
      <c r="A3471" s="207" t="s">
        <v>34</v>
      </c>
      <c r="B3471" s="80" t="s">
        <v>918</v>
      </c>
      <c r="C3471" s="81" t="s">
        <v>200</v>
      </c>
      <c r="D3471" s="82">
        <f>F3478</f>
        <v>16640000</v>
      </c>
      <c r="F3471" s="75"/>
    </row>
    <row r="3472" spans="1:6" s="53" customFormat="1" ht="21" thickBot="1" x14ac:dyDescent="0.5">
      <c r="A3472" s="208"/>
      <c r="B3472" s="72"/>
      <c r="C3472" s="72"/>
      <c r="D3472" s="74"/>
      <c r="F3472" s="75"/>
    </row>
    <row r="3473" spans="1:7" s="53" customFormat="1" ht="15" thickBot="1" x14ac:dyDescent="0.4">
      <c r="A3473" s="208"/>
      <c r="B3473" s="83" t="s">
        <v>26</v>
      </c>
      <c r="C3473" s="84" t="s">
        <v>51</v>
      </c>
      <c r="D3473" s="85" t="s">
        <v>52</v>
      </c>
      <c r="F3473" s="75"/>
    </row>
    <row r="3474" spans="1:7" s="89" customFormat="1" x14ac:dyDescent="0.35">
      <c r="A3474" s="208"/>
      <c r="B3474" s="86" t="str">
        <f>B3471</f>
        <v>19th April,2026</v>
      </c>
      <c r="C3474" s="87" t="s">
        <v>869</v>
      </c>
      <c r="D3474" s="88"/>
      <c r="F3474" s="90"/>
    </row>
    <row r="3475" spans="1:7" s="53" customFormat="1" x14ac:dyDescent="0.35">
      <c r="A3475" s="208"/>
      <c r="B3475" s="91"/>
      <c r="C3475" s="92" t="s">
        <v>606</v>
      </c>
      <c r="D3475" s="93">
        <f>325*2500</f>
        <v>812500</v>
      </c>
      <c r="F3475" s="75"/>
    </row>
    <row r="3476" spans="1:7" s="53" customFormat="1" x14ac:dyDescent="0.35">
      <c r="A3476" s="208"/>
      <c r="B3476" s="91" t="s">
        <v>54</v>
      </c>
      <c r="C3476" s="92" t="s">
        <v>55</v>
      </c>
      <c r="D3476" s="93">
        <v>1000000</v>
      </c>
      <c r="F3476" s="75"/>
    </row>
    <row r="3477" spans="1:7" s="53" customFormat="1" x14ac:dyDescent="0.35">
      <c r="A3477" s="208"/>
      <c r="B3477" s="91" t="s">
        <v>56</v>
      </c>
      <c r="C3477" s="92" t="s">
        <v>57</v>
      </c>
      <c r="D3477" s="93">
        <v>40000</v>
      </c>
      <c r="E3477" s="210" t="s">
        <v>58</v>
      </c>
      <c r="F3477" s="210"/>
    </row>
    <row r="3478" spans="1:7" s="53" customFormat="1" x14ac:dyDescent="0.35">
      <c r="A3478" s="208"/>
      <c r="B3478" s="91" t="s">
        <v>384</v>
      </c>
      <c r="C3478" s="92" t="s">
        <v>60</v>
      </c>
      <c r="D3478" s="93">
        <f>400*140</f>
        <v>56000</v>
      </c>
      <c r="E3478" s="94" t="s">
        <v>61</v>
      </c>
      <c r="F3478" s="95">
        <f>6400*2600</f>
        <v>16640000</v>
      </c>
    </row>
    <row r="3479" spans="1:7" s="53" customFormat="1" x14ac:dyDescent="0.35">
      <c r="A3479" s="208"/>
      <c r="B3479" s="91"/>
      <c r="C3479" s="92" t="s">
        <v>62</v>
      </c>
      <c r="D3479" s="93">
        <f>3600*140</f>
        <v>504000</v>
      </c>
      <c r="E3479" s="96" t="s">
        <v>63</v>
      </c>
      <c r="F3479" s="75"/>
    </row>
    <row r="3480" spans="1:7" s="53" customFormat="1" ht="15" thickBot="1" x14ac:dyDescent="0.4">
      <c r="A3480" s="208"/>
      <c r="B3480" s="91" t="s">
        <v>64</v>
      </c>
      <c r="C3480" s="92" t="s">
        <v>65</v>
      </c>
      <c r="D3480" s="97">
        <v>30000</v>
      </c>
      <c r="E3480" s="98" t="s">
        <v>66</v>
      </c>
      <c r="F3480" s="99">
        <f>F3478-F3479</f>
        <v>16640000</v>
      </c>
      <c r="G3480" s="100">
        <f>F3480/2600</f>
        <v>6400</v>
      </c>
    </row>
    <row r="3481" spans="1:7" s="53" customFormat="1" ht="15" thickTop="1" x14ac:dyDescent="0.35">
      <c r="A3481" s="208"/>
      <c r="B3481" s="91"/>
      <c r="C3481" s="92" t="s">
        <v>67</v>
      </c>
      <c r="D3481" s="93">
        <v>0</v>
      </c>
      <c r="F3481" s="75"/>
    </row>
    <row r="3482" spans="1:7" s="53" customFormat="1" x14ac:dyDescent="0.35">
      <c r="A3482" s="208"/>
      <c r="B3482" s="91" t="s">
        <v>942</v>
      </c>
      <c r="C3482" s="101" t="s">
        <v>68</v>
      </c>
      <c r="D3482" s="93">
        <v>15000</v>
      </c>
      <c r="E3482" s="94" t="s">
        <v>69</v>
      </c>
      <c r="F3482" s="95"/>
    </row>
    <row r="3483" spans="1:7" s="53" customFormat="1" x14ac:dyDescent="0.35">
      <c r="A3483" s="208"/>
      <c r="B3483" s="102"/>
      <c r="C3483" s="101" t="s">
        <v>70</v>
      </c>
      <c r="D3483" s="103">
        <v>0</v>
      </c>
      <c r="E3483" s="104"/>
      <c r="F3483" s="105"/>
    </row>
    <row r="3484" spans="1:7" s="53" customFormat="1" x14ac:dyDescent="0.35">
      <c r="A3484" s="208"/>
      <c r="B3484" s="102"/>
      <c r="C3484" s="101" t="s">
        <v>71</v>
      </c>
      <c r="D3484" s="103">
        <v>0</v>
      </c>
      <c r="E3484" s="104" t="s">
        <v>72</v>
      </c>
      <c r="F3484" s="105"/>
    </row>
    <row r="3485" spans="1:7" s="53" customFormat="1" x14ac:dyDescent="0.35">
      <c r="A3485" s="208"/>
      <c r="B3485" s="102"/>
      <c r="C3485" s="92"/>
      <c r="D3485" s="106"/>
      <c r="F3485" s="105"/>
    </row>
    <row r="3486" spans="1:7" s="53" customFormat="1" ht="15" thickBot="1" x14ac:dyDescent="0.4">
      <c r="A3486" s="208"/>
      <c r="B3486" s="107"/>
      <c r="C3486" s="108"/>
      <c r="D3486" s="109"/>
      <c r="F3486" s="75"/>
    </row>
    <row r="3487" spans="1:7" s="53" customFormat="1" ht="15" thickBot="1" x14ac:dyDescent="0.4">
      <c r="A3487" s="208"/>
      <c r="B3487" s="110"/>
      <c r="C3487" s="111" t="s">
        <v>74</v>
      </c>
      <c r="D3487" s="112">
        <f>SUM(D3474:D3486)</f>
        <v>2457500</v>
      </c>
      <c r="F3487" s="75"/>
    </row>
    <row r="3488" spans="1:7" s="53" customFormat="1" ht="15.5" thickTop="1" thickBot="1" x14ac:dyDescent="0.4">
      <c r="A3488" s="209"/>
      <c r="B3488" s="211"/>
      <c r="C3488" s="211"/>
      <c r="D3488" s="211"/>
      <c r="F3488" s="75"/>
    </row>
    <row r="3489" spans="1:6" s="53" customFormat="1" x14ac:dyDescent="0.35">
      <c r="B3489" s="89"/>
      <c r="C3489" s="53" t="s">
        <v>75</v>
      </c>
      <c r="D3489" s="113">
        <f>D3471-D3487</f>
        <v>14182500</v>
      </c>
      <c r="F3489" s="75"/>
    </row>
    <row r="3490" spans="1:6" s="53" customFormat="1" x14ac:dyDescent="0.35">
      <c r="B3490" s="89"/>
      <c r="D3490" s="113"/>
      <c r="F3490" s="75"/>
    </row>
    <row r="3491" spans="1:6" s="53" customFormat="1" x14ac:dyDescent="0.35">
      <c r="A3491" s="114"/>
      <c r="B3491" s="115"/>
      <c r="C3491" s="114"/>
      <c r="D3491" s="116"/>
      <c r="E3491" s="114"/>
      <c r="F3491" s="117"/>
    </row>
    <row r="3493" spans="1:6" s="53" customFormat="1" ht="23.5" x14ac:dyDescent="0.55000000000000004">
      <c r="B3493" s="206" t="s">
        <v>0</v>
      </c>
      <c r="C3493" s="206"/>
      <c r="D3493" s="206"/>
      <c r="E3493" s="70"/>
      <c r="F3493" s="71"/>
    </row>
    <row r="3494" spans="1:6" s="53" customFormat="1" ht="20.5" x14ac:dyDescent="0.45">
      <c r="B3494" s="72"/>
      <c r="C3494" s="73" t="s">
        <v>945</v>
      </c>
      <c r="D3494" s="74"/>
      <c r="F3494" s="75"/>
    </row>
    <row r="3495" spans="1:6" s="53" customFormat="1" ht="21" thickBot="1" x14ac:dyDescent="0.5">
      <c r="B3495" s="72" t="s">
        <v>209</v>
      </c>
      <c r="C3495" s="76" t="s">
        <v>47</v>
      </c>
      <c r="D3495" s="74"/>
      <c r="F3495" s="75"/>
    </row>
    <row r="3496" spans="1:6" s="53" customFormat="1" ht="15" thickBot="1" x14ac:dyDescent="0.4">
      <c r="A3496" s="77" t="s">
        <v>48</v>
      </c>
      <c r="B3496" s="78" t="s">
        <v>26</v>
      </c>
      <c r="C3496" s="78" t="s">
        <v>49</v>
      </c>
      <c r="D3496" s="79" t="s">
        <v>29</v>
      </c>
      <c r="F3496" s="75"/>
    </row>
    <row r="3497" spans="1:6" s="53" customFormat="1" ht="14.5" customHeight="1" x14ac:dyDescent="0.35">
      <c r="A3497" s="207" t="s">
        <v>34</v>
      </c>
      <c r="B3497" s="80" t="s">
        <v>918</v>
      </c>
      <c r="C3497" s="81" t="s">
        <v>200</v>
      </c>
      <c r="D3497" s="82">
        <f>F3504</f>
        <v>16640000</v>
      </c>
      <c r="F3497" s="75"/>
    </row>
    <row r="3498" spans="1:6" s="53" customFormat="1" ht="21" thickBot="1" x14ac:dyDescent="0.5">
      <c r="A3498" s="208"/>
      <c r="B3498" s="72"/>
      <c r="C3498" s="72"/>
      <c r="D3498" s="74"/>
      <c r="F3498" s="75"/>
    </row>
    <row r="3499" spans="1:6" s="53" customFormat="1" ht="15" thickBot="1" x14ac:dyDescent="0.4">
      <c r="A3499" s="208"/>
      <c r="B3499" s="83" t="s">
        <v>26</v>
      </c>
      <c r="C3499" s="84" t="s">
        <v>51</v>
      </c>
      <c r="D3499" s="85" t="s">
        <v>52</v>
      </c>
      <c r="F3499" s="75"/>
    </row>
    <row r="3500" spans="1:6" s="89" customFormat="1" x14ac:dyDescent="0.35">
      <c r="A3500" s="208"/>
      <c r="B3500" s="86" t="str">
        <f>B3497</f>
        <v>19th April,2026</v>
      </c>
      <c r="C3500" s="87" t="s">
        <v>869</v>
      </c>
      <c r="D3500" s="88"/>
      <c r="F3500" s="90"/>
    </row>
    <row r="3501" spans="1:6" s="53" customFormat="1" x14ac:dyDescent="0.35">
      <c r="A3501" s="208"/>
      <c r="B3501" s="91"/>
      <c r="C3501" s="92" t="s">
        <v>606</v>
      </c>
      <c r="D3501" s="93">
        <f>325*2500</f>
        <v>812500</v>
      </c>
      <c r="F3501" s="75"/>
    </row>
    <row r="3502" spans="1:6" s="53" customFormat="1" x14ac:dyDescent="0.35">
      <c r="A3502" s="208"/>
      <c r="B3502" s="91" t="s">
        <v>54</v>
      </c>
      <c r="C3502" s="92" t="s">
        <v>55</v>
      </c>
      <c r="D3502" s="93">
        <v>1000000</v>
      </c>
      <c r="F3502" s="75"/>
    </row>
    <row r="3503" spans="1:6" s="53" customFormat="1" x14ac:dyDescent="0.35">
      <c r="A3503" s="208"/>
      <c r="B3503" s="91" t="s">
        <v>56</v>
      </c>
      <c r="C3503" s="92" t="s">
        <v>57</v>
      </c>
      <c r="D3503" s="93">
        <v>40000</v>
      </c>
      <c r="E3503" s="210" t="s">
        <v>58</v>
      </c>
      <c r="F3503" s="210"/>
    </row>
    <row r="3504" spans="1:6" s="53" customFormat="1" x14ac:dyDescent="0.35">
      <c r="A3504" s="208"/>
      <c r="B3504" s="91" t="s">
        <v>384</v>
      </c>
      <c r="C3504" s="92" t="s">
        <v>60</v>
      </c>
      <c r="D3504" s="93">
        <f>400*140</f>
        <v>56000</v>
      </c>
      <c r="E3504" s="94" t="s">
        <v>61</v>
      </c>
      <c r="F3504" s="95">
        <f>6400*2600</f>
        <v>16640000</v>
      </c>
    </row>
    <row r="3505" spans="1:7" s="53" customFormat="1" x14ac:dyDescent="0.35">
      <c r="A3505" s="208"/>
      <c r="B3505" s="91"/>
      <c r="C3505" s="92" t="s">
        <v>62</v>
      </c>
      <c r="D3505" s="93">
        <f>3600*140</f>
        <v>504000</v>
      </c>
      <c r="E3505" s="96" t="s">
        <v>63</v>
      </c>
      <c r="F3505" s="75"/>
    </row>
    <row r="3506" spans="1:7" s="53" customFormat="1" ht="15" thickBot="1" x14ac:dyDescent="0.4">
      <c r="A3506" s="208"/>
      <c r="B3506" s="91" t="s">
        <v>64</v>
      </c>
      <c r="C3506" s="92" t="s">
        <v>65</v>
      </c>
      <c r="D3506" s="97">
        <v>30000</v>
      </c>
      <c r="E3506" s="98" t="s">
        <v>66</v>
      </c>
      <c r="F3506" s="99">
        <f>F3504-F3505</f>
        <v>16640000</v>
      </c>
      <c r="G3506" s="100">
        <f>F3506/2600</f>
        <v>6400</v>
      </c>
    </row>
    <row r="3507" spans="1:7" s="53" customFormat="1" ht="15" thickTop="1" x14ac:dyDescent="0.35">
      <c r="A3507" s="208"/>
      <c r="B3507" s="91"/>
      <c r="C3507" s="92" t="s">
        <v>67</v>
      </c>
      <c r="D3507" s="93">
        <v>0</v>
      </c>
      <c r="F3507" s="75"/>
    </row>
    <row r="3508" spans="1:7" s="53" customFormat="1" x14ac:dyDescent="0.35">
      <c r="A3508" s="208"/>
      <c r="B3508" s="91" t="s">
        <v>943</v>
      </c>
      <c r="C3508" s="101" t="s">
        <v>68</v>
      </c>
      <c r="D3508" s="93">
        <v>15000</v>
      </c>
      <c r="E3508" s="94" t="s">
        <v>69</v>
      </c>
      <c r="F3508" s="95"/>
    </row>
    <row r="3509" spans="1:7" s="53" customFormat="1" x14ac:dyDescent="0.35">
      <c r="A3509" s="208"/>
      <c r="B3509" s="102"/>
      <c r="C3509" s="101" t="s">
        <v>70</v>
      </c>
      <c r="D3509" s="103">
        <v>0</v>
      </c>
      <c r="E3509" s="104"/>
      <c r="F3509" s="105"/>
    </row>
    <row r="3510" spans="1:7" s="53" customFormat="1" x14ac:dyDescent="0.35">
      <c r="A3510" s="208"/>
      <c r="B3510" s="102"/>
      <c r="C3510" s="101" t="s">
        <v>71</v>
      </c>
      <c r="D3510" s="103">
        <v>0</v>
      </c>
      <c r="E3510" s="104" t="s">
        <v>72</v>
      </c>
      <c r="F3510" s="105"/>
    </row>
    <row r="3511" spans="1:7" s="53" customFormat="1" x14ac:dyDescent="0.35">
      <c r="A3511" s="208"/>
      <c r="B3511" s="102"/>
      <c r="C3511" s="92"/>
      <c r="D3511" s="106"/>
      <c r="F3511" s="105"/>
    </row>
    <row r="3512" spans="1:7" s="53" customFormat="1" ht="15" thickBot="1" x14ac:dyDescent="0.4">
      <c r="A3512" s="208"/>
      <c r="B3512" s="107"/>
      <c r="C3512" s="108"/>
      <c r="D3512" s="109"/>
      <c r="F3512" s="75"/>
    </row>
    <row r="3513" spans="1:7" s="53" customFormat="1" ht="15" thickBot="1" x14ac:dyDescent="0.4">
      <c r="A3513" s="208"/>
      <c r="B3513" s="110"/>
      <c r="C3513" s="111" t="s">
        <v>74</v>
      </c>
      <c r="D3513" s="112">
        <f>SUM(D3500:D3512)</f>
        <v>2457500</v>
      </c>
      <c r="F3513" s="75"/>
    </row>
    <row r="3514" spans="1:7" s="53" customFormat="1" ht="15.5" thickTop="1" thickBot="1" x14ac:dyDescent="0.4">
      <c r="A3514" s="209"/>
      <c r="B3514" s="211"/>
      <c r="C3514" s="211"/>
      <c r="D3514" s="211"/>
      <c r="F3514" s="75"/>
    </row>
    <row r="3515" spans="1:7" s="53" customFormat="1" x14ac:dyDescent="0.35">
      <c r="B3515" s="89"/>
      <c r="C3515" s="53" t="s">
        <v>75</v>
      </c>
      <c r="D3515" s="113">
        <f>D3497-D3513</f>
        <v>14182500</v>
      </c>
      <c r="F3515" s="75"/>
    </row>
    <row r="3516" spans="1:7" s="53" customFormat="1" x14ac:dyDescent="0.35">
      <c r="B3516" s="89"/>
      <c r="D3516" s="113"/>
      <c r="F3516" s="75"/>
    </row>
    <row r="3517" spans="1:7" s="53" customFormat="1" x14ac:dyDescent="0.35">
      <c r="A3517" s="114"/>
      <c r="B3517" s="115"/>
      <c r="C3517" s="114"/>
      <c r="D3517" s="116"/>
      <c r="E3517" s="114"/>
      <c r="F3517" s="117"/>
    </row>
    <row r="3519" spans="1:7" s="53" customFormat="1" ht="23.5" x14ac:dyDescent="0.55000000000000004">
      <c r="B3519" s="206" t="s">
        <v>0</v>
      </c>
      <c r="C3519" s="206"/>
      <c r="D3519" s="206"/>
      <c r="E3519" s="70"/>
      <c r="F3519" s="71"/>
    </row>
    <row r="3520" spans="1:7" s="53" customFormat="1" ht="20.5" x14ac:dyDescent="0.45">
      <c r="B3520" s="72"/>
      <c r="C3520" s="73" t="s">
        <v>948</v>
      </c>
      <c r="D3520" s="74"/>
      <c r="F3520" s="75"/>
    </row>
    <row r="3521" spans="1:7" s="53" customFormat="1" ht="21" thickBot="1" x14ac:dyDescent="0.5">
      <c r="B3521" s="72" t="s">
        <v>211</v>
      </c>
      <c r="C3521" s="76" t="s">
        <v>47</v>
      </c>
      <c r="D3521" s="74"/>
      <c r="F3521" s="75"/>
    </row>
    <row r="3522" spans="1:7" s="53" customFormat="1" ht="15" thickBot="1" x14ac:dyDescent="0.4">
      <c r="A3522" s="77" t="s">
        <v>48</v>
      </c>
      <c r="B3522" s="78" t="s">
        <v>26</v>
      </c>
      <c r="C3522" s="78" t="s">
        <v>49</v>
      </c>
      <c r="D3522" s="79" t="s">
        <v>29</v>
      </c>
      <c r="F3522" s="75"/>
    </row>
    <row r="3523" spans="1:7" s="53" customFormat="1" ht="14.5" customHeight="1" x14ac:dyDescent="0.35">
      <c r="A3523" s="207" t="s">
        <v>34</v>
      </c>
      <c r="B3523" s="80" t="s">
        <v>918</v>
      </c>
      <c r="C3523" s="81" t="s">
        <v>200</v>
      </c>
      <c r="D3523" s="82">
        <f>F3530</f>
        <v>16640000</v>
      </c>
      <c r="F3523" s="75"/>
    </row>
    <row r="3524" spans="1:7" s="53" customFormat="1" ht="21" thickBot="1" x14ac:dyDescent="0.5">
      <c r="A3524" s="208"/>
      <c r="B3524" s="72"/>
      <c r="C3524" s="72"/>
      <c r="D3524" s="74"/>
      <c r="F3524" s="75"/>
    </row>
    <row r="3525" spans="1:7" s="53" customFormat="1" ht="15" thickBot="1" x14ac:dyDescent="0.4">
      <c r="A3525" s="208"/>
      <c r="B3525" s="83" t="s">
        <v>26</v>
      </c>
      <c r="C3525" s="84" t="s">
        <v>51</v>
      </c>
      <c r="D3525" s="85" t="s">
        <v>52</v>
      </c>
      <c r="F3525" s="75"/>
    </row>
    <row r="3526" spans="1:7" s="89" customFormat="1" x14ac:dyDescent="0.35">
      <c r="A3526" s="208"/>
      <c r="B3526" s="86" t="str">
        <f>B3523</f>
        <v>19th April,2026</v>
      </c>
      <c r="C3526" s="87" t="s">
        <v>869</v>
      </c>
      <c r="D3526" s="88"/>
      <c r="F3526" s="90"/>
    </row>
    <row r="3527" spans="1:7" s="53" customFormat="1" x14ac:dyDescent="0.35">
      <c r="A3527" s="208"/>
      <c r="B3527" s="91"/>
      <c r="C3527" s="92" t="s">
        <v>606</v>
      </c>
      <c r="D3527" s="93">
        <f>325*2500</f>
        <v>812500</v>
      </c>
      <c r="F3527" s="75"/>
    </row>
    <row r="3528" spans="1:7" s="53" customFormat="1" x14ac:dyDescent="0.35">
      <c r="A3528" s="208"/>
      <c r="B3528" s="91" t="s">
        <v>54</v>
      </c>
      <c r="C3528" s="92" t="s">
        <v>55</v>
      </c>
      <c r="D3528" s="93">
        <v>1000000</v>
      </c>
      <c r="F3528" s="75"/>
    </row>
    <row r="3529" spans="1:7" s="53" customFormat="1" x14ac:dyDescent="0.35">
      <c r="A3529" s="208"/>
      <c r="B3529" s="91" t="s">
        <v>56</v>
      </c>
      <c r="C3529" s="92" t="s">
        <v>57</v>
      </c>
      <c r="D3529" s="93">
        <v>40000</v>
      </c>
      <c r="E3529" s="210" t="s">
        <v>58</v>
      </c>
      <c r="F3529" s="210"/>
    </row>
    <row r="3530" spans="1:7" s="53" customFormat="1" x14ac:dyDescent="0.35">
      <c r="A3530" s="208"/>
      <c r="B3530" s="91" t="s">
        <v>384</v>
      </c>
      <c r="C3530" s="92" t="s">
        <v>60</v>
      </c>
      <c r="D3530" s="93">
        <f>400*140</f>
        <v>56000</v>
      </c>
      <c r="E3530" s="94" t="s">
        <v>61</v>
      </c>
      <c r="F3530" s="95">
        <f>6400*2600</f>
        <v>16640000</v>
      </c>
    </row>
    <row r="3531" spans="1:7" s="53" customFormat="1" x14ac:dyDescent="0.35">
      <c r="A3531" s="208"/>
      <c r="B3531" s="91"/>
      <c r="C3531" s="92" t="s">
        <v>62</v>
      </c>
      <c r="D3531" s="93">
        <f>3600*140</f>
        <v>504000</v>
      </c>
      <c r="E3531" s="96" t="s">
        <v>63</v>
      </c>
      <c r="F3531" s="75"/>
    </row>
    <row r="3532" spans="1:7" s="53" customFormat="1" ht="15" thickBot="1" x14ac:dyDescent="0.4">
      <c r="A3532" s="208"/>
      <c r="B3532" s="91" t="s">
        <v>64</v>
      </c>
      <c r="C3532" s="92" t="s">
        <v>65</v>
      </c>
      <c r="D3532" s="97">
        <v>30000</v>
      </c>
      <c r="E3532" s="98" t="s">
        <v>66</v>
      </c>
      <c r="F3532" s="99">
        <f>F3530-F3531</f>
        <v>16640000</v>
      </c>
      <c r="G3532" s="100">
        <f>F3532/2600</f>
        <v>6400</v>
      </c>
    </row>
    <row r="3533" spans="1:7" s="53" customFormat="1" ht="15" thickTop="1" x14ac:dyDescent="0.35">
      <c r="A3533" s="208"/>
      <c r="B3533" s="91"/>
      <c r="C3533" s="92" t="s">
        <v>67</v>
      </c>
      <c r="D3533" s="93">
        <v>0</v>
      </c>
      <c r="F3533" s="75"/>
    </row>
    <row r="3534" spans="1:7" s="53" customFormat="1" x14ac:dyDescent="0.35">
      <c r="A3534" s="208"/>
      <c r="B3534" s="91" t="s">
        <v>947</v>
      </c>
      <c r="C3534" s="101" t="s">
        <v>68</v>
      </c>
      <c r="D3534" s="93">
        <v>15000</v>
      </c>
      <c r="E3534" s="94" t="s">
        <v>69</v>
      </c>
      <c r="F3534" s="95"/>
    </row>
    <row r="3535" spans="1:7" s="53" customFormat="1" x14ac:dyDescent="0.35">
      <c r="A3535" s="208"/>
      <c r="B3535" s="102"/>
      <c r="C3535" s="101" t="s">
        <v>70</v>
      </c>
      <c r="D3535" s="103">
        <v>0</v>
      </c>
      <c r="E3535" s="104"/>
      <c r="F3535" s="105"/>
    </row>
    <row r="3536" spans="1:7" s="53" customFormat="1" x14ac:dyDescent="0.35">
      <c r="A3536" s="208"/>
      <c r="B3536" s="102"/>
      <c r="C3536" s="101" t="s">
        <v>71</v>
      </c>
      <c r="D3536" s="103">
        <v>0</v>
      </c>
      <c r="E3536" s="104" t="s">
        <v>72</v>
      </c>
      <c r="F3536" s="105"/>
    </row>
    <row r="3537" spans="1:6" s="53" customFormat="1" x14ac:dyDescent="0.35">
      <c r="A3537" s="208"/>
      <c r="B3537" s="102"/>
      <c r="C3537" s="92"/>
      <c r="D3537" s="106"/>
      <c r="F3537" s="105"/>
    </row>
    <row r="3538" spans="1:6" s="53" customFormat="1" ht="15" thickBot="1" x14ac:dyDescent="0.4">
      <c r="A3538" s="208"/>
      <c r="B3538" s="107"/>
      <c r="C3538" s="108"/>
      <c r="D3538" s="109"/>
      <c r="F3538" s="75"/>
    </row>
    <row r="3539" spans="1:6" s="53" customFormat="1" ht="15" thickBot="1" x14ac:dyDescent="0.4">
      <c r="A3539" s="208"/>
      <c r="B3539" s="110"/>
      <c r="C3539" s="111" t="s">
        <v>74</v>
      </c>
      <c r="D3539" s="112">
        <f>SUM(D3526:D3538)</f>
        <v>2457500</v>
      </c>
      <c r="F3539" s="75"/>
    </row>
    <row r="3540" spans="1:6" s="53" customFormat="1" ht="15.5" thickTop="1" thickBot="1" x14ac:dyDescent="0.4">
      <c r="A3540" s="209"/>
      <c r="B3540" s="211"/>
      <c r="C3540" s="211"/>
      <c r="D3540" s="211"/>
      <c r="F3540" s="75"/>
    </row>
    <row r="3541" spans="1:6" s="53" customFormat="1" x14ac:dyDescent="0.35">
      <c r="B3541" s="89"/>
      <c r="C3541" s="53" t="s">
        <v>75</v>
      </c>
      <c r="D3541" s="113">
        <f>D3523-D3539</f>
        <v>14182500</v>
      </c>
      <c r="F3541" s="75"/>
    </row>
    <row r="3542" spans="1:6" s="53" customFormat="1" x14ac:dyDescent="0.35">
      <c r="B3542" s="89"/>
      <c r="D3542" s="113"/>
      <c r="F3542" s="75"/>
    </row>
    <row r="3543" spans="1:6" s="53" customFormat="1" x14ac:dyDescent="0.35">
      <c r="A3543" s="114"/>
      <c r="B3543" s="115"/>
      <c r="C3543" s="114"/>
      <c r="D3543" s="116"/>
      <c r="E3543" s="114"/>
      <c r="F3543" s="117"/>
    </row>
    <row r="3545" spans="1:6" s="53" customFormat="1" ht="23.5" x14ac:dyDescent="0.55000000000000004">
      <c r="B3545" s="206" t="s">
        <v>0</v>
      </c>
      <c r="C3545" s="206"/>
      <c r="D3545" s="206"/>
      <c r="E3545" s="70"/>
      <c r="F3545" s="71"/>
    </row>
    <row r="3546" spans="1:6" s="53" customFormat="1" ht="20.5" x14ac:dyDescent="0.45">
      <c r="B3546" s="72"/>
      <c r="C3546" s="73" t="s">
        <v>956</v>
      </c>
      <c r="D3546" s="74"/>
      <c r="F3546" s="75"/>
    </row>
    <row r="3547" spans="1:6" s="53" customFormat="1" ht="21" thickBot="1" x14ac:dyDescent="0.5">
      <c r="B3547" s="72" t="s">
        <v>286</v>
      </c>
      <c r="C3547" s="76" t="s">
        <v>47</v>
      </c>
      <c r="D3547" s="74"/>
      <c r="F3547" s="75"/>
    </row>
    <row r="3548" spans="1:6" s="53" customFormat="1" ht="15" thickBot="1" x14ac:dyDescent="0.4">
      <c r="A3548" s="77" t="s">
        <v>48</v>
      </c>
      <c r="B3548" s="78" t="s">
        <v>26</v>
      </c>
      <c r="C3548" s="78" t="s">
        <v>49</v>
      </c>
      <c r="D3548" s="79" t="s">
        <v>29</v>
      </c>
      <c r="F3548" s="75"/>
    </row>
    <row r="3549" spans="1:6" s="53" customFormat="1" ht="14.5" customHeight="1" x14ac:dyDescent="0.35">
      <c r="A3549" s="207" t="s">
        <v>34</v>
      </c>
      <c r="B3549" s="80" t="s">
        <v>957</v>
      </c>
      <c r="C3549" s="81" t="s">
        <v>601</v>
      </c>
      <c r="D3549" s="82">
        <f>F3556</f>
        <v>13125000</v>
      </c>
      <c r="F3549" s="75"/>
    </row>
    <row r="3550" spans="1:6" s="53" customFormat="1" ht="21" thickBot="1" x14ac:dyDescent="0.5">
      <c r="A3550" s="208"/>
      <c r="B3550" s="72"/>
      <c r="C3550" s="72"/>
      <c r="D3550" s="74"/>
      <c r="F3550" s="75"/>
    </row>
    <row r="3551" spans="1:6" s="53" customFormat="1" ht="15" thickBot="1" x14ac:dyDescent="0.4">
      <c r="A3551" s="208"/>
      <c r="B3551" s="83" t="s">
        <v>26</v>
      </c>
      <c r="C3551" s="84" t="s">
        <v>51</v>
      </c>
      <c r="D3551" s="85" t="s">
        <v>52</v>
      </c>
      <c r="F3551" s="75"/>
    </row>
    <row r="3552" spans="1:6" s="89" customFormat="1" x14ac:dyDescent="0.35">
      <c r="A3552" s="208"/>
      <c r="B3552" s="86" t="str">
        <f>B3549</f>
        <v>21st April,2026</v>
      </c>
      <c r="C3552" s="87" t="s">
        <v>959</v>
      </c>
      <c r="D3552" s="88">
        <f>2200*3820</f>
        <v>8404000</v>
      </c>
      <c r="F3552" s="90"/>
    </row>
    <row r="3553" spans="1:7" s="53" customFormat="1" x14ac:dyDescent="0.35">
      <c r="A3553" s="208"/>
      <c r="B3553" s="91"/>
      <c r="C3553" s="92" t="s">
        <v>604</v>
      </c>
      <c r="D3553" s="93">
        <f>428*2500</f>
        <v>1070000</v>
      </c>
      <c r="F3553" s="75"/>
    </row>
    <row r="3554" spans="1:7" s="53" customFormat="1" x14ac:dyDescent="0.35">
      <c r="A3554" s="208"/>
      <c r="B3554" s="91" t="s">
        <v>54</v>
      </c>
      <c r="C3554" s="92" t="s">
        <v>55</v>
      </c>
      <c r="D3554" s="93">
        <v>1000000</v>
      </c>
      <c r="F3554" s="75"/>
    </row>
    <row r="3555" spans="1:7" s="53" customFormat="1" x14ac:dyDescent="0.35">
      <c r="A3555" s="208"/>
      <c r="B3555" s="91" t="s">
        <v>56</v>
      </c>
      <c r="C3555" s="92" t="s">
        <v>57</v>
      </c>
      <c r="D3555" s="93">
        <v>40000</v>
      </c>
      <c r="E3555" s="210" t="s">
        <v>58</v>
      </c>
      <c r="F3555" s="210"/>
    </row>
    <row r="3556" spans="1:7" s="53" customFormat="1" x14ac:dyDescent="0.35">
      <c r="A3556" s="208"/>
      <c r="B3556" s="91" t="s">
        <v>603</v>
      </c>
      <c r="C3556" s="92" t="s">
        <v>60</v>
      </c>
      <c r="D3556" s="93">
        <f>750*140</f>
        <v>105000</v>
      </c>
      <c r="E3556" s="94" t="s">
        <v>61</v>
      </c>
      <c r="F3556" s="95">
        <f>5250*2500</f>
        <v>13125000</v>
      </c>
    </row>
    <row r="3557" spans="1:7" s="53" customFormat="1" x14ac:dyDescent="0.35">
      <c r="A3557" s="208"/>
      <c r="B3557" s="91"/>
      <c r="C3557" s="92" t="s">
        <v>62</v>
      </c>
      <c r="D3557" s="93">
        <f>4200*140</f>
        <v>588000</v>
      </c>
      <c r="E3557" s="96" t="s">
        <v>63</v>
      </c>
      <c r="F3557" s="75">
        <f>5250*2500</f>
        <v>13125000</v>
      </c>
    </row>
    <row r="3558" spans="1:7" s="53" customFormat="1" ht="15" thickBot="1" x14ac:dyDescent="0.4">
      <c r="A3558" s="208"/>
      <c r="B3558" s="91" t="s">
        <v>64</v>
      </c>
      <c r="C3558" s="92" t="s">
        <v>65</v>
      </c>
      <c r="D3558" s="97">
        <v>30000</v>
      </c>
      <c r="E3558" s="98" t="s">
        <v>66</v>
      </c>
      <c r="F3558" s="99">
        <f>F3556-F3557</f>
        <v>0</v>
      </c>
      <c r="G3558" s="100">
        <f>F3558/2500</f>
        <v>0</v>
      </c>
    </row>
    <row r="3559" spans="1:7" s="53" customFormat="1" ht="15" thickTop="1" x14ac:dyDescent="0.35">
      <c r="A3559" s="208"/>
      <c r="B3559" s="91"/>
      <c r="C3559" s="92" t="s">
        <v>67</v>
      </c>
      <c r="D3559" s="93">
        <v>0</v>
      </c>
      <c r="F3559" s="75"/>
    </row>
    <row r="3560" spans="1:7" s="53" customFormat="1" x14ac:dyDescent="0.35">
      <c r="A3560" s="208"/>
      <c r="B3560" s="91" t="s">
        <v>955</v>
      </c>
      <c r="C3560" s="101" t="s">
        <v>68</v>
      </c>
      <c r="D3560" s="93">
        <v>15000</v>
      </c>
      <c r="E3560" s="94" t="s">
        <v>69</v>
      </c>
      <c r="F3560" s="95"/>
    </row>
    <row r="3561" spans="1:7" s="53" customFormat="1" x14ac:dyDescent="0.35">
      <c r="A3561" s="208"/>
      <c r="B3561" s="102"/>
      <c r="C3561" s="101" t="s">
        <v>70</v>
      </c>
      <c r="D3561" s="103">
        <v>0</v>
      </c>
      <c r="E3561" s="104"/>
      <c r="F3561" s="105"/>
    </row>
    <row r="3562" spans="1:7" s="53" customFormat="1" x14ac:dyDescent="0.35">
      <c r="A3562" s="208"/>
      <c r="B3562" s="102"/>
      <c r="C3562" s="101" t="s">
        <v>71</v>
      </c>
      <c r="D3562" s="103">
        <v>0</v>
      </c>
      <c r="E3562" s="104" t="s">
        <v>72</v>
      </c>
      <c r="F3562" s="105"/>
    </row>
    <row r="3563" spans="1:7" s="53" customFormat="1" x14ac:dyDescent="0.35">
      <c r="A3563" s="208"/>
      <c r="B3563" s="102"/>
      <c r="C3563" s="92" t="s">
        <v>73</v>
      </c>
      <c r="D3563" s="106">
        <v>0</v>
      </c>
      <c r="E3563" s="53" t="s">
        <v>958</v>
      </c>
      <c r="F3563" s="105"/>
    </row>
    <row r="3564" spans="1:7" s="53" customFormat="1" ht="15" thickBot="1" x14ac:dyDescent="0.4">
      <c r="A3564" s="208"/>
      <c r="B3564" s="107"/>
      <c r="C3564" s="108"/>
      <c r="D3564" s="109"/>
      <c r="F3564" s="75"/>
    </row>
    <row r="3565" spans="1:7" s="53" customFormat="1" ht="15" thickBot="1" x14ac:dyDescent="0.4">
      <c r="A3565" s="208"/>
      <c r="B3565" s="110"/>
      <c r="C3565" s="111" t="s">
        <v>74</v>
      </c>
      <c r="D3565" s="112">
        <f>SUM(D3552:D3564)</f>
        <v>11252000</v>
      </c>
      <c r="F3565" s="75"/>
    </row>
    <row r="3566" spans="1:7" s="53" customFormat="1" ht="15.5" thickTop="1" thickBot="1" x14ac:dyDescent="0.4">
      <c r="A3566" s="209"/>
      <c r="B3566" s="211"/>
      <c r="C3566" s="211"/>
      <c r="D3566" s="211"/>
      <c r="F3566" s="75"/>
    </row>
    <row r="3567" spans="1:7" s="53" customFormat="1" x14ac:dyDescent="0.35">
      <c r="B3567" s="89"/>
      <c r="C3567" s="53" t="s">
        <v>75</v>
      </c>
      <c r="D3567" s="113">
        <f>D3549-D3565</f>
        <v>1873000</v>
      </c>
      <c r="F3567" s="75"/>
    </row>
    <row r="3568" spans="1:7" s="53" customFormat="1" x14ac:dyDescent="0.35">
      <c r="B3568" s="89"/>
      <c r="D3568" s="113"/>
      <c r="F3568" s="75"/>
    </row>
    <row r="3569" spans="1:7" s="53" customFormat="1" x14ac:dyDescent="0.35">
      <c r="A3569" s="114"/>
      <c r="B3569" s="115"/>
      <c r="C3569" s="114"/>
      <c r="D3569" s="116"/>
      <c r="E3569" s="114"/>
      <c r="F3569" s="117"/>
    </row>
    <row r="3571" spans="1:7" s="53" customFormat="1" ht="23.5" x14ac:dyDescent="0.55000000000000004">
      <c r="B3571" s="206" t="s">
        <v>0</v>
      </c>
      <c r="C3571" s="206"/>
      <c r="D3571" s="206"/>
      <c r="E3571" s="70"/>
      <c r="F3571" s="71"/>
    </row>
    <row r="3572" spans="1:7" s="53" customFormat="1" ht="20.5" x14ac:dyDescent="0.45">
      <c r="B3572" s="72"/>
      <c r="C3572" s="73" t="s">
        <v>962</v>
      </c>
      <c r="D3572" s="74"/>
      <c r="F3572" s="75"/>
    </row>
    <row r="3573" spans="1:7" s="53" customFormat="1" ht="21" thickBot="1" x14ac:dyDescent="0.5">
      <c r="B3573" s="72" t="s">
        <v>963</v>
      </c>
      <c r="C3573" s="76" t="s">
        <v>47</v>
      </c>
      <c r="D3573" s="74"/>
      <c r="F3573" s="75"/>
    </row>
    <row r="3574" spans="1:7" s="53" customFormat="1" ht="15" thickBot="1" x14ac:dyDescent="0.4">
      <c r="A3574" s="77" t="s">
        <v>48</v>
      </c>
      <c r="B3574" s="78" t="s">
        <v>26</v>
      </c>
      <c r="C3574" s="78" t="s">
        <v>49</v>
      </c>
      <c r="D3574" s="79" t="s">
        <v>29</v>
      </c>
      <c r="F3574" s="75"/>
    </row>
    <row r="3575" spans="1:7" s="53" customFormat="1" ht="14.5" customHeight="1" x14ac:dyDescent="0.35">
      <c r="A3575" s="207" t="s">
        <v>34</v>
      </c>
      <c r="B3575" s="80" t="s">
        <v>964</v>
      </c>
      <c r="C3575" s="81" t="s">
        <v>601</v>
      </c>
      <c r="D3575" s="82">
        <f>F3582</f>
        <v>13125000</v>
      </c>
      <c r="F3575" s="75"/>
    </row>
    <row r="3576" spans="1:7" s="53" customFormat="1" ht="21" thickBot="1" x14ac:dyDescent="0.5">
      <c r="A3576" s="208"/>
      <c r="B3576" s="72"/>
      <c r="C3576" s="72"/>
      <c r="D3576" s="74"/>
      <c r="F3576" s="75"/>
    </row>
    <row r="3577" spans="1:7" s="53" customFormat="1" ht="15" thickBot="1" x14ac:dyDescent="0.4">
      <c r="A3577" s="208"/>
      <c r="B3577" s="83" t="s">
        <v>26</v>
      </c>
      <c r="C3577" s="84" t="s">
        <v>51</v>
      </c>
      <c r="D3577" s="85" t="s">
        <v>52</v>
      </c>
      <c r="F3577" s="75"/>
    </row>
    <row r="3578" spans="1:7" s="89" customFormat="1" x14ac:dyDescent="0.35">
      <c r="A3578" s="208"/>
      <c r="B3578" s="86" t="str">
        <f>B3575</f>
        <v>22nd April,2026</v>
      </c>
      <c r="C3578" s="87" t="s">
        <v>959</v>
      </c>
      <c r="D3578" s="88">
        <f>2200*3820</f>
        <v>8404000</v>
      </c>
      <c r="F3578" s="90"/>
    </row>
    <row r="3579" spans="1:7" s="53" customFormat="1" x14ac:dyDescent="0.35">
      <c r="A3579" s="208"/>
      <c r="B3579" s="91"/>
      <c r="C3579" s="92" t="s">
        <v>604</v>
      </c>
      <c r="D3579" s="93">
        <f>428*2500</f>
        <v>1070000</v>
      </c>
      <c r="F3579" s="75"/>
    </row>
    <row r="3580" spans="1:7" s="53" customFormat="1" x14ac:dyDescent="0.35">
      <c r="A3580" s="208"/>
      <c r="B3580" s="91" t="s">
        <v>54</v>
      </c>
      <c r="C3580" s="92" t="s">
        <v>55</v>
      </c>
      <c r="D3580" s="93">
        <v>1000000</v>
      </c>
      <c r="F3580" s="75"/>
    </row>
    <row r="3581" spans="1:7" s="53" customFormat="1" x14ac:dyDescent="0.35">
      <c r="A3581" s="208"/>
      <c r="B3581" s="91" t="s">
        <v>56</v>
      </c>
      <c r="C3581" s="92" t="s">
        <v>57</v>
      </c>
      <c r="D3581" s="93">
        <v>40000</v>
      </c>
      <c r="E3581" s="210" t="s">
        <v>58</v>
      </c>
      <c r="F3581" s="210"/>
    </row>
    <row r="3582" spans="1:7" s="53" customFormat="1" x14ac:dyDescent="0.35">
      <c r="A3582" s="208"/>
      <c r="B3582" s="91" t="s">
        <v>603</v>
      </c>
      <c r="C3582" s="92" t="s">
        <v>60</v>
      </c>
      <c r="D3582" s="93">
        <f>750*140</f>
        <v>105000</v>
      </c>
      <c r="E3582" s="94" t="s">
        <v>61</v>
      </c>
      <c r="F3582" s="95">
        <f>5250*2500</f>
        <v>13125000</v>
      </c>
    </row>
    <row r="3583" spans="1:7" s="53" customFormat="1" x14ac:dyDescent="0.35">
      <c r="A3583" s="208"/>
      <c r="B3583" s="91"/>
      <c r="C3583" s="92" t="s">
        <v>62</v>
      </c>
      <c r="D3583" s="93">
        <f>4200*140</f>
        <v>588000</v>
      </c>
      <c r="E3583" s="96" t="s">
        <v>63</v>
      </c>
      <c r="F3583" s="75">
        <f>5250*2500</f>
        <v>13125000</v>
      </c>
    </row>
    <row r="3584" spans="1:7" s="53" customFormat="1" ht="15" thickBot="1" x14ac:dyDescent="0.4">
      <c r="A3584" s="208"/>
      <c r="B3584" s="91" t="s">
        <v>64</v>
      </c>
      <c r="C3584" s="92" t="s">
        <v>65</v>
      </c>
      <c r="D3584" s="97">
        <v>30000</v>
      </c>
      <c r="E3584" s="98" t="s">
        <v>66</v>
      </c>
      <c r="F3584" s="99">
        <f>F3582-F3583</f>
        <v>0</v>
      </c>
      <c r="G3584" s="100">
        <f>F3584/2500</f>
        <v>0</v>
      </c>
    </row>
    <row r="3585" spans="1:6" s="53" customFormat="1" ht="15" thickTop="1" x14ac:dyDescent="0.35">
      <c r="A3585" s="208"/>
      <c r="B3585" s="91"/>
      <c r="C3585" s="92" t="s">
        <v>67</v>
      </c>
      <c r="D3585" s="93">
        <v>0</v>
      </c>
      <c r="F3585" s="75"/>
    </row>
    <row r="3586" spans="1:6" s="53" customFormat="1" x14ac:dyDescent="0.35">
      <c r="A3586" s="208"/>
      <c r="B3586" s="91" t="s">
        <v>961</v>
      </c>
      <c r="C3586" s="101" t="s">
        <v>68</v>
      </c>
      <c r="D3586" s="93">
        <v>15000</v>
      </c>
      <c r="E3586" s="94" t="s">
        <v>69</v>
      </c>
      <c r="F3586" s="95"/>
    </row>
    <row r="3587" spans="1:6" s="53" customFormat="1" x14ac:dyDescent="0.35">
      <c r="A3587" s="208"/>
      <c r="B3587" s="102"/>
      <c r="C3587" s="101" t="s">
        <v>70</v>
      </c>
      <c r="D3587" s="103">
        <v>0</v>
      </c>
      <c r="E3587" s="104"/>
      <c r="F3587" s="105"/>
    </row>
    <row r="3588" spans="1:6" s="53" customFormat="1" x14ac:dyDescent="0.35">
      <c r="A3588" s="208"/>
      <c r="B3588" s="102"/>
      <c r="C3588" s="101" t="s">
        <v>71</v>
      </c>
      <c r="D3588" s="103">
        <v>0</v>
      </c>
      <c r="E3588" s="104" t="s">
        <v>72</v>
      </c>
      <c r="F3588" s="105"/>
    </row>
    <row r="3589" spans="1:6" s="53" customFormat="1" x14ac:dyDescent="0.35">
      <c r="A3589" s="208"/>
      <c r="B3589" s="102"/>
      <c r="C3589" s="92" t="s">
        <v>73</v>
      </c>
      <c r="D3589" s="106">
        <v>0</v>
      </c>
      <c r="E3589" s="53" t="s">
        <v>958</v>
      </c>
      <c r="F3589" s="105"/>
    </row>
    <row r="3590" spans="1:6" s="53" customFormat="1" ht="15" thickBot="1" x14ac:dyDescent="0.4">
      <c r="A3590" s="208"/>
      <c r="B3590" s="107"/>
      <c r="C3590" s="108"/>
      <c r="D3590" s="109"/>
      <c r="F3590" s="75"/>
    </row>
    <row r="3591" spans="1:6" s="53" customFormat="1" ht="15" thickBot="1" x14ac:dyDescent="0.4">
      <c r="A3591" s="208"/>
      <c r="B3591" s="110"/>
      <c r="C3591" s="111" t="s">
        <v>74</v>
      </c>
      <c r="D3591" s="112">
        <f>SUM(D3578:D3590)</f>
        <v>11252000</v>
      </c>
      <c r="F3591" s="75"/>
    </row>
    <row r="3592" spans="1:6" s="53" customFormat="1" ht="15.5" thickTop="1" thickBot="1" x14ac:dyDescent="0.4">
      <c r="A3592" s="209"/>
      <c r="B3592" s="211"/>
      <c r="C3592" s="211"/>
      <c r="D3592" s="211"/>
      <c r="F3592" s="75"/>
    </row>
    <row r="3593" spans="1:6" s="53" customFormat="1" x14ac:dyDescent="0.35">
      <c r="B3593" s="89"/>
      <c r="C3593" s="53" t="s">
        <v>75</v>
      </c>
      <c r="D3593" s="113">
        <f>D3575-D3591</f>
        <v>1873000</v>
      </c>
      <c r="F3593" s="75"/>
    </row>
    <row r="3594" spans="1:6" s="53" customFormat="1" x14ac:dyDescent="0.35">
      <c r="B3594" s="89"/>
      <c r="D3594" s="113"/>
      <c r="F3594" s="75"/>
    </row>
    <row r="3595" spans="1:6" s="53" customFormat="1" x14ac:dyDescent="0.35">
      <c r="A3595" s="114"/>
      <c r="B3595" s="115"/>
      <c r="C3595" s="114"/>
      <c r="D3595" s="116"/>
      <c r="E3595" s="114"/>
      <c r="F3595" s="117"/>
    </row>
    <row r="3597" spans="1:6" s="53" customFormat="1" ht="23.5" x14ac:dyDescent="0.55000000000000004">
      <c r="B3597" s="206" t="s">
        <v>0</v>
      </c>
      <c r="C3597" s="206"/>
      <c r="D3597" s="206"/>
      <c r="E3597" s="70"/>
      <c r="F3597" s="71"/>
    </row>
    <row r="3598" spans="1:6" s="53" customFormat="1" ht="20.5" x14ac:dyDescent="0.45">
      <c r="B3598" s="72"/>
      <c r="C3598" s="73" t="s">
        <v>970</v>
      </c>
      <c r="D3598" s="74"/>
      <c r="F3598" s="75"/>
    </row>
    <row r="3599" spans="1:6" s="53" customFormat="1" ht="21" thickBot="1" x14ac:dyDescent="0.5">
      <c r="B3599" s="72" t="s">
        <v>105</v>
      </c>
      <c r="C3599" s="76" t="s">
        <v>47</v>
      </c>
      <c r="D3599" s="74"/>
      <c r="F3599" s="75"/>
    </row>
    <row r="3600" spans="1:6" s="53" customFormat="1" ht="15" thickBot="1" x14ac:dyDescent="0.4">
      <c r="A3600" s="77" t="s">
        <v>48</v>
      </c>
      <c r="B3600" s="78" t="s">
        <v>26</v>
      </c>
      <c r="C3600" s="78" t="s">
        <v>49</v>
      </c>
      <c r="D3600" s="79" t="s">
        <v>29</v>
      </c>
      <c r="F3600" s="75"/>
    </row>
    <row r="3601" spans="1:7" s="53" customFormat="1" ht="14.5" customHeight="1" x14ac:dyDescent="0.35">
      <c r="A3601" s="207" t="s">
        <v>34</v>
      </c>
      <c r="B3601" s="80" t="s">
        <v>964</v>
      </c>
      <c r="C3601" s="81" t="s">
        <v>601</v>
      </c>
      <c r="D3601" s="82">
        <f>F3608</f>
        <v>13125000</v>
      </c>
      <c r="F3601" s="75"/>
    </row>
    <row r="3602" spans="1:7" s="53" customFormat="1" ht="21" thickBot="1" x14ac:dyDescent="0.5">
      <c r="A3602" s="208"/>
      <c r="B3602" s="72"/>
      <c r="C3602" s="72"/>
      <c r="D3602" s="74"/>
      <c r="F3602" s="75"/>
    </row>
    <row r="3603" spans="1:7" s="53" customFormat="1" ht="15" thickBot="1" x14ac:dyDescent="0.4">
      <c r="A3603" s="208"/>
      <c r="B3603" s="83" t="s">
        <v>26</v>
      </c>
      <c r="C3603" s="84" t="s">
        <v>51</v>
      </c>
      <c r="D3603" s="85" t="s">
        <v>52</v>
      </c>
      <c r="F3603" s="75"/>
    </row>
    <row r="3604" spans="1:7" s="89" customFormat="1" x14ac:dyDescent="0.35">
      <c r="A3604" s="208"/>
      <c r="B3604" s="86" t="str">
        <f>B3601</f>
        <v>22nd April,2026</v>
      </c>
      <c r="C3604" s="87" t="s">
        <v>959</v>
      </c>
      <c r="D3604" s="88">
        <f>2200*3820</f>
        <v>8404000</v>
      </c>
      <c r="F3604" s="90"/>
    </row>
    <row r="3605" spans="1:7" s="53" customFormat="1" x14ac:dyDescent="0.35">
      <c r="A3605" s="208"/>
      <c r="B3605" s="91"/>
      <c r="C3605" s="92" t="s">
        <v>604</v>
      </c>
      <c r="D3605" s="93">
        <f>428*2500</f>
        <v>1070000</v>
      </c>
      <c r="F3605" s="75"/>
    </row>
    <row r="3606" spans="1:7" s="53" customFormat="1" x14ac:dyDescent="0.35">
      <c r="A3606" s="208"/>
      <c r="B3606" s="91" t="s">
        <v>54</v>
      </c>
      <c r="C3606" s="92" t="s">
        <v>55</v>
      </c>
      <c r="D3606" s="93">
        <v>1000000</v>
      </c>
      <c r="F3606" s="75"/>
    </row>
    <row r="3607" spans="1:7" s="53" customFormat="1" x14ac:dyDescent="0.35">
      <c r="A3607" s="208"/>
      <c r="B3607" s="91" t="s">
        <v>56</v>
      </c>
      <c r="C3607" s="92" t="s">
        <v>57</v>
      </c>
      <c r="D3607" s="93">
        <v>40000</v>
      </c>
      <c r="E3607" s="210" t="s">
        <v>58</v>
      </c>
      <c r="F3607" s="210"/>
    </row>
    <row r="3608" spans="1:7" s="53" customFormat="1" x14ac:dyDescent="0.35">
      <c r="A3608" s="208"/>
      <c r="B3608" s="91" t="s">
        <v>603</v>
      </c>
      <c r="C3608" s="92" t="s">
        <v>60</v>
      </c>
      <c r="D3608" s="93">
        <f>750*140</f>
        <v>105000</v>
      </c>
      <c r="E3608" s="94" t="s">
        <v>61</v>
      </c>
      <c r="F3608" s="95">
        <f>5250*2500</f>
        <v>13125000</v>
      </c>
    </row>
    <row r="3609" spans="1:7" s="53" customFormat="1" x14ac:dyDescent="0.35">
      <c r="A3609" s="208"/>
      <c r="B3609" s="91"/>
      <c r="C3609" s="92" t="s">
        <v>62</v>
      </c>
      <c r="D3609" s="93">
        <f>4200*140</f>
        <v>588000</v>
      </c>
      <c r="E3609" s="96" t="s">
        <v>63</v>
      </c>
      <c r="F3609" s="75">
        <f>5250*2500</f>
        <v>13125000</v>
      </c>
    </row>
    <row r="3610" spans="1:7" s="53" customFormat="1" ht="15" thickBot="1" x14ac:dyDescent="0.4">
      <c r="A3610" s="208"/>
      <c r="B3610" s="91" t="s">
        <v>64</v>
      </c>
      <c r="C3610" s="92" t="s">
        <v>65</v>
      </c>
      <c r="D3610" s="97">
        <v>30000</v>
      </c>
      <c r="E3610" s="98" t="s">
        <v>66</v>
      </c>
      <c r="F3610" s="99">
        <f>F3608-F3609</f>
        <v>0</v>
      </c>
      <c r="G3610" s="100">
        <f>F3610/2500</f>
        <v>0</v>
      </c>
    </row>
    <row r="3611" spans="1:7" s="53" customFormat="1" ht="15" thickTop="1" x14ac:dyDescent="0.35">
      <c r="A3611" s="208"/>
      <c r="B3611" s="91"/>
      <c r="C3611" s="92" t="s">
        <v>67</v>
      </c>
      <c r="D3611" s="93">
        <v>0</v>
      </c>
      <c r="F3611" s="75"/>
    </row>
    <row r="3612" spans="1:7" s="53" customFormat="1" x14ac:dyDescent="0.35">
      <c r="A3612" s="208"/>
      <c r="B3612" s="91" t="s">
        <v>967</v>
      </c>
      <c r="C3612" s="101" t="s">
        <v>68</v>
      </c>
      <c r="D3612" s="93">
        <v>15000</v>
      </c>
      <c r="E3612" s="94" t="s">
        <v>69</v>
      </c>
      <c r="F3612" s="95"/>
    </row>
    <row r="3613" spans="1:7" s="53" customFormat="1" x14ac:dyDescent="0.35">
      <c r="A3613" s="208"/>
      <c r="B3613" s="102"/>
      <c r="C3613" s="101" t="s">
        <v>70</v>
      </c>
      <c r="D3613" s="103">
        <v>0</v>
      </c>
      <c r="E3613" s="104"/>
      <c r="F3613" s="105"/>
    </row>
    <row r="3614" spans="1:7" s="53" customFormat="1" x14ac:dyDescent="0.35">
      <c r="A3614" s="208"/>
      <c r="B3614" s="102"/>
      <c r="C3614" s="101" t="s">
        <v>71</v>
      </c>
      <c r="D3614" s="103">
        <v>0</v>
      </c>
      <c r="E3614" s="104" t="s">
        <v>72</v>
      </c>
      <c r="F3614" s="105"/>
    </row>
    <row r="3615" spans="1:7" s="53" customFormat="1" x14ac:dyDescent="0.35">
      <c r="A3615" s="208"/>
      <c r="B3615" s="102"/>
      <c r="C3615" s="92" t="s">
        <v>73</v>
      </c>
      <c r="D3615" s="106">
        <v>0</v>
      </c>
      <c r="E3615" s="53" t="s">
        <v>958</v>
      </c>
      <c r="F3615" s="105"/>
    </row>
    <row r="3616" spans="1:7" s="53" customFormat="1" ht="15" thickBot="1" x14ac:dyDescent="0.4">
      <c r="A3616" s="208"/>
      <c r="B3616" s="107"/>
      <c r="C3616" s="108"/>
      <c r="D3616" s="109"/>
      <c r="F3616" s="75"/>
    </row>
    <row r="3617" spans="1:6" s="53" customFormat="1" ht="15" thickBot="1" x14ac:dyDescent="0.4">
      <c r="A3617" s="208"/>
      <c r="B3617" s="110"/>
      <c r="C3617" s="111" t="s">
        <v>74</v>
      </c>
      <c r="D3617" s="112">
        <f>SUM(D3604:D3616)</f>
        <v>11252000</v>
      </c>
      <c r="F3617" s="75"/>
    </row>
    <row r="3618" spans="1:6" s="53" customFormat="1" ht="15.5" thickTop="1" thickBot="1" x14ac:dyDescent="0.4">
      <c r="A3618" s="209"/>
      <c r="B3618" s="211"/>
      <c r="C3618" s="211"/>
      <c r="D3618" s="211"/>
      <c r="F3618" s="75"/>
    </row>
    <row r="3619" spans="1:6" s="53" customFormat="1" x14ac:dyDescent="0.35">
      <c r="B3619" s="89"/>
      <c r="C3619" s="53" t="s">
        <v>75</v>
      </c>
      <c r="D3619" s="113">
        <f>D3601-D3617</f>
        <v>1873000</v>
      </c>
      <c r="F3619" s="75"/>
    </row>
    <row r="3620" spans="1:6" s="53" customFormat="1" x14ac:dyDescent="0.35">
      <c r="B3620" s="89"/>
      <c r="D3620" s="113"/>
      <c r="F3620" s="75"/>
    </row>
    <row r="3621" spans="1:6" s="53" customFormat="1" x14ac:dyDescent="0.35">
      <c r="A3621" s="114"/>
      <c r="B3621" s="115"/>
      <c r="C3621" s="114"/>
      <c r="D3621" s="116"/>
      <c r="E3621" s="114"/>
      <c r="F3621" s="117"/>
    </row>
    <row r="3623" spans="1:6" s="53" customFormat="1" ht="23.5" x14ac:dyDescent="0.55000000000000004">
      <c r="B3623" s="206" t="s">
        <v>0</v>
      </c>
      <c r="C3623" s="206"/>
      <c r="D3623" s="206"/>
      <c r="E3623" s="70"/>
      <c r="F3623" s="71"/>
    </row>
    <row r="3624" spans="1:6" s="53" customFormat="1" ht="20.5" x14ac:dyDescent="0.45">
      <c r="B3624" s="72"/>
      <c r="C3624" s="73" t="s">
        <v>971</v>
      </c>
      <c r="D3624" s="74"/>
      <c r="F3624" s="75"/>
    </row>
    <row r="3625" spans="1:6" s="53" customFormat="1" ht="21" thickBot="1" x14ac:dyDescent="0.5">
      <c r="B3625" s="72" t="s">
        <v>525</v>
      </c>
      <c r="C3625" s="76" t="s">
        <v>47</v>
      </c>
      <c r="D3625" s="74"/>
      <c r="F3625" s="75"/>
    </row>
    <row r="3626" spans="1:6" s="53" customFormat="1" ht="15" thickBot="1" x14ac:dyDescent="0.4">
      <c r="A3626" s="77" t="s">
        <v>48</v>
      </c>
      <c r="B3626" s="78" t="s">
        <v>26</v>
      </c>
      <c r="C3626" s="78" t="s">
        <v>49</v>
      </c>
      <c r="D3626" s="79" t="s">
        <v>29</v>
      </c>
      <c r="F3626" s="75"/>
    </row>
    <row r="3627" spans="1:6" s="53" customFormat="1" ht="14.5" customHeight="1" x14ac:dyDescent="0.35">
      <c r="A3627" s="207" t="s">
        <v>34</v>
      </c>
      <c r="B3627" s="80" t="s">
        <v>964</v>
      </c>
      <c r="C3627" s="81" t="s">
        <v>601</v>
      </c>
      <c r="D3627" s="82">
        <f>F3634</f>
        <v>13125000</v>
      </c>
      <c r="F3627" s="75"/>
    </row>
    <row r="3628" spans="1:6" s="53" customFormat="1" ht="21" thickBot="1" x14ac:dyDescent="0.5">
      <c r="A3628" s="208"/>
      <c r="B3628" s="72"/>
      <c r="C3628" s="72"/>
      <c r="D3628" s="74"/>
      <c r="F3628" s="75"/>
    </row>
    <row r="3629" spans="1:6" s="53" customFormat="1" ht="15" thickBot="1" x14ac:dyDescent="0.4">
      <c r="A3629" s="208"/>
      <c r="B3629" s="83" t="s">
        <v>26</v>
      </c>
      <c r="C3629" s="84" t="s">
        <v>51</v>
      </c>
      <c r="D3629" s="85" t="s">
        <v>52</v>
      </c>
      <c r="F3629" s="75"/>
    </row>
    <row r="3630" spans="1:6" s="89" customFormat="1" x14ac:dyDescent="0.35">
      <c r="A3630" s="208"/>
      <c r="B3630" s="86" t="str">
        <f>B3627</f>
        <v>22nd April,2026</v>
      </c>
      <c r="C3630" s="87" t="s">
        <v>959</v>
      </c>
      <c r="D3630" s="88">
        <f>2200*3820</f>
        <v>8404000</v>
      </c>
      <c r="F3630" s="90"/>
    </row>
    <row r="3631" spans="1:6" s="53" customFormat="1" x14ac:dyDescent="0.35">
      <c r="A3631" s="208"/>
      <c r="B3631" s="91"/>
      <c r="C3631" s="92" t="s">
        <v>604</v>
      </c>
      <c r="D3631" s="93">
        <f>428*2500</f>
        <v>1070000</v>
      </c>
      <c r="F3631" s="75"/>
    </row>
    <row r="3632" spans="1:6" s="53" customFormat="1" x14ac:dyDescent="0.35">
      <c r="A3632" s="208"/>
      <c r="B3632" s="91" t="s">
        <v>54</v>
      </c>
      <c r="C3632" s="92" t="s">
        <v>55</v>
      </c>
      <c r="D3632" s="93">
        <v>1000000</v>
      </c>
      <c r="F3632" s="75"/>
    </row>
    <row r="3633" spans="1:7" s="53" customFormat="1" x14ac:dyDescent="0.35">
      <c r="A3633" s="208"/>
      <c r="B3633" s="91" t="s">
        <v>56</v>
      </c>
      <c r="C3633" s="92" t="s">
        <v>57</v>
      </c>
      <c r="D3633" s="93">
        <v>40000</v>
      </c>
      <c r="E3633" s="210" t="s">
        <v>58</v>
      </c>
      <c r="F3633" s="210"/>
    </row>
    <row r="3634" spans="1:7" s="53" customFormat="1" x14ac:dyDescent="0.35">
      <c r="A3634" s="208"/>
      <c r="B3634" s="91" t="s">
        <v>603</v>
      </c>
      <c r="C3634" s="92" t="s">
        <v>60</v>
      </c>
      <c r="D3634" s="93">
        <f>750*140</f>
        <v>105000</v>
      </c>
      <c r="E3634" s="94" t="s">
        <v>61</v>
      </c>
      <c r="F3634" s="95">
        <f>5250*2500</f>
        <v>13125000</v>
      </c>
    </row>
    <row r="3635" spans="1:7" s="53" customFormat="1" x14ac:dyDescent="0.35">
      <c r="A3635" s="208"/>
      <c r="B3635" s="91"/>
      <c r="C3635" s="92" t="s">
        <v>62</v>
      </c>
      <c r="D3635" s="93">
        <f>4200*140</f>
        <v>588000</v>
      </c>
      <c r="E3635" s="96" t="s">
        <v>63</v>
      </c>
      <c r="F3635" s="75">
        <f>5250*2500</f>
        <v>13125000</v>
      </c>
    </row>
    <row r="3636" spans="1:7" s="53" customFormat="1" ht="15" thickBot="1" x14ac:dyDescent="0.4">
      <c r="A3636" s="208"/>
      <c r="B3636" s="91" t="s">
        <v>64</v>
      </c>
      <c r="C3636" s="92" t="s">
        <v>65</v>
      </c>
      <c r="D3636" s="97">
        <v>30000</v>
      </c>
      <c r="E3636" s="98" t="s">
        <v>66</v>
      </c>
      <c r="F3636" s="99">
        <f>F3634-F3635</f>
        <v>0</v>
      </c>
      <c r="G3636" s="100">
        <f>F3636/2500</f>
        <v>0</v>
      </c>
    </row>
    <row r="3637" spans="1:7" s="53" customFormat="1" ht="15" thickTop="1" x14ac:dyDescent="0.35">
      <c r="A3637" s="208"/>
      <c r="B3637" s="91"/>
      <c r="C3637" s="92" t="s">
        <v>67</v>
      </c>
      <c r="D3637" s="93">
        <v>0</v>
      </c>
      <c r="F3637" s="75"/>
    </row>
    <row r="3638" spans="1:7" s="53" customFormat="1" x14ac:dyDescent="0.35">
      <c r="A3638" s="208"/>
      <c r="B3638" s="91" t="s">
        <v>968</v>
      </c>
      <c r="C3638" s="101" t="s">
        <v>68</v>
      </c>
      <c r="D3638" s="93">
        <v>15000</v>
      </c>
      <c r="E3638" s="94" t="s">
        <v>69</v>
      </c>
      <c r="F3638" s="95"/>
    </row>
    <row r="3639" spans="1:7" s="53" customFormat="1" x14ac:dyDescent="0.35">
      <c r="A3639" s="208"/>
      <c r="B3639" s="102"/>
      <c r="C3639" s="101" t="s">
        <v>70</v>
      </c>
      <c r="D3639" s="103">
        <v>0</v>
      </c>
      <c r="E3639" s="104"/>
      <c r="F3639" s="105"/>
    </row>
    <row r="3640" spans="1:7" s="53" customFormat="1" x14ac:dyDescent="0.35">
      <c r="A3640" s="208"/>
      <c r="B3640" s="102"/>
      <c r="C3640" s="101" t="s">
        <v>71</v>
      </c>
      <c r="D3640" s="103">
        <v>0</v>
      </c>
      <c r="E3640" s="104" t="s">
        <v>72</v>
      </c>
      <c r="F3640" s="105"/>
    </row>
    <row r="3641" spans="1:7" s="53" customFormat="1" x14ac:dyDescent="0.35">
      <c r="A3641" s="208"/>
      <c r="B3641" s="102"/>
      <c r="C3641" s="92" t="s">
        <v>73</v>
      </c>
      <c r="D3641" s="106">
        <v>0</v>
      </c>
      <c r="E3641" s="53" t="s">
        <v>958</v>
      </c>
      <c r="F3641" s="105"/>
    </row>
    <row r="3642" spans="1:7" s="53" customFormat="1" ht="15" thickBot="1" x14ac:dyDescent="0.4">
      <c r="A3642" s="208"/>
      <c r="B3642" s="107"/>
      <c r="C3642" s="108"/>
      <c r="D3642" s="109"/>
      <c r="F3642" s="75"/>
    </row>
    <row r="3643" spans="1:7" s="53" customFormat="1" ht="15" thickBot="1" x14ac:dyDescent="0.4">
      <c r="A3643" s="208"/>
      <c r="B3643" s="110"/>
      <c r="C3643" s="111" t="s">
        <v>74</v>
      </c>
      <c r="D3643" s="112">
        <f>SUM(D3630:D3642)</f>
        <v>11252000</v>
      </c>
      <c r="F3643" s="75"/>
    </row>
    <row r="3644" spans="1:7" s="53" customFormat="1" ht="15.5" thickTop="1" thickBot="1" x14ac:dyDescent="0.4">
      <c r="A3644" s="209"/>
      <c r="B3644" s="211"/>
      <c r="C3644" s="211"/>
      <c r="D3644" s="211"/>
      <c r="F3644" s="75"/>
    </row>
    <row r="3645" spans="1:7" s="53" customFormat="1" x14ac:dyDescent="0.35">
      <c r="B3645" s="89"/>
      <c r="C3645" s="53" t="s">
        <v>75</v>
      </c>
      <c r="D3645" s="113">
        <f>D3627-D3643</f>
        <v>1873000</v>
      </c>
      <c r="F3645" s="75"/>
    </row>
    <row r="3646" spans="1:7" s="53" customFormat="1" x14ac:dyDescent="0.35">
      <c r="B3646" s="89"/>
      <c r="D3646" s="113"/>
      <c r="F3646" s="75"/>
    </row>
    <row r="3647" spans="1:7" s="53" customFormat="1" x14ac:dyDescent="0.35">
      <c r="A3647" s="114"/>
      <c r="B3647" s="115"/>
      <c r="C3647" s="114"/>
      <c r="D3647" s="116"/>
      <c r="E3647" s="114"/>
      <c r="F3647" s="117"/>
    </row>
    <row r="3649" spans="1:7" s="53" customFormat="1" ht="23.5" x14ac:dyDescent="0.55000000000000004">
      <c r="B3649" s="206" t="s">
        <v>0</v>
      </c>
      <c r="C3649" s="206"/>
      <c r="D3649" s="206"/>
      <c r="E3649" s="70"/>
      <c r="F3649" s="71"/>
    </row>
    <row r="3650" spans="1:7" s="53" customFormat="1" ht="20.5" x14ac:dyDescent="0.45">
      <c r="B3650" s="72"/>
      <c r="C3650" s="73" t="s">
        <v>977</v>
      </c>
      <c r="D3650" s="74"/>
      <c r="F3650" s="75"/>
    </row>
    <row r="3651" spans="1:7" s="53" customFormat="1" ht="21" thickBot="1" x14ac:dyDescent="0.5">
      <c r="B3651" s="72" t="s">
        <v>724</v>
      </c>
      <c r="C3651" s="76" t="s">
        <v>47</v>
      </c>
      <c r="D3651" s="74"/>
      <c r="F3651" s="75"/>
    </row>
    <row r="3652" spans="1:7" s="53" customFormat="1" ht="15" thickBot="1" x14ac:dyDescent="0.4">
      <c r="A3652" s="77" t="s">
        <v>48</v>
      </c>
      <c r="B3652" s="78" t="s">
        <v>26</v>
      </c>
      <c r="C3652" s="78" t="s">
        <v>49</v>
      </c>
      <c r="D3652" s="79" t="s">
        <v>29</v>
      </c>
      <c r="F3652" s="75"/>
    </row>
    <row r="3653" spans="1:7" s="53" customFormat="1" ht="14.5" customHeight="1" x14ac:dyDescent="0.35">
      <c r="A3653" s="207" t="s">
        <v>34</v>
      </c>
      <c r="B3653" s="80" t="s">
        <v>978</v>
      </c>
      <c r="C3653" s="81" t="s">
        <v>103</v>
      </c>
      <c r="D3653" s="82">
        <f>F3660</f>
        <v>15810000</v>
      </c>
      <c r="F3653" s="75"/>
    </row>
    <row r="3654" spans="1:7" s="53" customFormat="1" ht="21" thickBot="1" x14ac:dyDescent="0.5">
      <c r="A3654" s="208"/>
      <c r="B3654" s="72"/>
      <c r="C3654" s="72"/>
      <c r="D3654" s="74"/>
      <c r="F3654" s="75"/>
    </row>
    <row r="3655" spans="1:7" s="53" customFormat="1" ht="15" thickBot="1" x14ac:dyDescent="0.4">
      <c r="A3655" s="208"/>
      <c r="B3655" s="83" t="s">
        <v>26</v>
      </c>
      <c r="C3655" s="84" t="s">
        <v>51</v>
      </c>
      <c r="D3655" s="85" t="s">
        <v>52</v>
      </c>
      <c r="F3655" s="75"/>
    </row>
    <row r="3656" spans="1:7" s="89" customFormat="1" x14ac:dyDescent="0.35">
      <c r="A3656" s="208"/>
      <c r="B3656" s="86" t="str">
        <f>B3653</f>
        <v>23rd April,2026</v>
      </c>
      <c r="C3656" s="87" t="s">
        <v>869</v>
      </c>
      <c r="D3656" s="88"/>
      <c r="F3656" s="90"/>
    </row>
    <row r="3657" spans="1:7" s="53" customFormat="1" x14ac:dyDescent="0.35">
      <c r="A3657" s="208"/>
      <c r="B3657" s="91"/>
      <c r="C3657" s="92" t="s">
        <v>606</v>
      </c>
      <c r="D3657" s="93">
        <f>325*2500</f>
        <v>812500</v>
      </c>
      <c r="F3657" s="75"/>
    </row>
    <row r="3658" spans="1:7" s="53" customFormat="1" x14ac:dyDescent="0.35">
      <c r="A3658" s="208"/>
      <c r="B3658" s="91" t="s">
        <v>54</v>
      </c>
      <c r="C3658" s="92" t="s">
        <v>55</v>
      </c>
      <c r="D3658" s="93">
        <v>1000000</v>
      </c>
      <c r="F3658" s="75"/>
    </row>
    <row r="3659" spans="1:7" s="53" customFormat="1" x14ac:dyDescent="0.35">
      <c r="A3659" s="208"/>
      <c r="B3659" s="91" t="s">
        <v>56</v>
      </c>
      <c r="C3659" s="92" t="s">
        <v>57</v>
      </c>
      <c r="D3659" s="93">
        <v>40000</v>
      </c>
      <c r="E3659" s="210" t="s">
        <v>58</v>
      </c>
      <c r="F3659" s="210"/>
    </row>
    <row r="3660" spans="1:7" s="53" customFormat="1" x14ac:dyDescent="0.35">
      <c r="A3660" s="208"/>
      <c r="B3660" s="91" t="s">
        <v>59</v>
      </c>
      <c r="C3660" s="92" t="s">
        <v>60</v>
      </c>
      <c r="D3660" s="93">
        <f>400*140</f>
        <v>56000</v>
      </c>
      <c r="E3660" s="94" t="s">
        <v>61</v>
      </c>
      <c r="F3660" s="95">
        <f>6200*2550</f>
        <v>15810000</v>
      </c>
    </row>
    <row r="3661" spans="1:7" s="53" customFormat="1" x14ac:dyDescent="0.35">
      <c r="A3661" s="208"/>
      <c r="B3661" s="91"/>
      <c r="C3661" s="92" t="s">
        <v>62</v>
      </c>
      <c r="D3661" s="93">
        <f>3600*140</f>
        <v>504000</v>
      </c>
      <c r="E3661" s="96" t="s">
        <v>63</v>
      </c>
      <c r="F3661" s="75"/>
    </row>
    <row r="3662" spans="1:7" s="53" customFormat="1" ht="15" thickBot="1" x14ac:dyDescent="0.4">
      <c r="A3662" s="208"/>
      <c r="B3662" s="91" t="s">
        <v>64</v>
      </c>
      <c r="C3662" s="92" t="s">
        <v>65</v>
      </c>
      <c r="D3662" s="97">
        <v>30000</v>
      </c>
      <c r="E3662" s="98" t="s">
        <v>66</v>
      </c>
      <c r="F3662" s="99">
        <f>F3660-F3661</f>
        <v>15810000</v>
      </c>
      <c r="G3662" s="100">
        <f>F3662/2550</f>
        <v>6200</v>
      </c>
    </row>
    <row r="3663" spans="1:7" s="53" customFormat="1" ht="15" thickTop="1" x14ac:dyDescent="0.35">
      <c r="A3663" s="208"/>
      <c r="B3663" s="91"/>
      <c r="C3663" s="92" t="s">
        <v>67</v>
      </c>
      <c r="D3663" s="93">
        <v>0</v>
      </c>
      <c r="F3663" s="75"/>
    </row>
    <row r="3664" spans="1:7" s="53" customFormat="1" x14ac:dyDescent="0.35">
      <c r="A3664" s="208"/>
      <c r="B3664" s="91" t="s">
        <v>976</v>
      </c>
      <c r="C3664" s="101" t="s">
        <v>68</v>
      </c>
      <c r="D3664" s="93">
        <v>15000</v>
      </c>
      <c r="E3664" s="94" t="s">
        <v>69</v>
      </c>
      <c r="F3664" s="95"/>
    </row>
    <row r="3665" spans="1:6" s="53" customFormat="1" x14ac:dyDescent="0.35">
      <c r="A3665" s="208"/>
      <c r="B3665" s="102"/>
      <c r="C3665" s="101" t="s">
        <v>70</v>
      </c>
      <c r="D3665" s="103">
        <v>0</v>
      </c>
      <c r="E3665" s="104"/>
      <c r="F3665" s="105"/>
    </row>
    <row r="3666" spans="1:6" s="53" customFormat="1" x14ac:dyDescent="0.35">
      <c r="A3666" s="208"/>
      <c r="B3666" s="102"/>
      <c r="C3666" s="101" t="s">
        <v>71</v>
      </c>
      <c r="D3666" s="103">
        <v>0</v>
      </c>
      <c r="E3666" s="104" t="s">
        <v>72</v>
      </c>
      <c r="F3666" s="105"/>
    </row>
    <row r="3667" spans="1:6" s="53" customFormat="1" x14ac:dyDescent="0.35">
      <c r="A3667" s="208"/>
      <c r="B3667" s="102"/>
      <c r="C3667" s="92"/>
      <c r="D3667" s="106"/>
      <c r="F3667" s="105"/>
    </row>
    <row r="3668" spans="1:6" s="53" customFormat="1" ht="15" thickBot="1" x14ac:dyDescent="0.4">
      <c r="A3668" s="208"/>
      <c r="B3668" s="107"/>
      <c r="C3668" s="108"/>
      <c r="D3668" s="109"/>
      <c r="F3668" s="75"/>
    </row>
    <row r="3669" spans="1:6" s="53" customFormat="1" ht="15" thickBot="1" x14ac:dyDescent="0.4">
      <c r="A3669" s="208"/>
      <c r="B3669" s="110"/>
      <c r="C3669" s="111" t="s">
        <v>74</v>
      </c>
      <c r="D3669" s="112">
        <f>SUM(D3656:D3668)</f>
        <v>2457500</v>
      </c>
      <c r="F3669" s="75"/>
    </row>
    <row r="3670" spans="1:6" s="53" customFormat="1" ht="15.5" thickTop="1" thickBot="1" x14ac:dyDescent="0.4">
      <c r="A3670" s="209"/>
      <c r="B3670" s="211"/>
      <c r="C3670" s="211"/>
      <c r="D3670" s="211"/>
      <c r="F3670" s="75"/>
    </row>
    <row r="3671" spans="1:6" s="53" customFormat="1" x14ac:dyDescent="0.35">
      <c r="B3671" s="89"/>
      <c r="C3671" s="53" t="s">
        <v>75</v>
      </c>
      <c r="D3671" s="113">
        <f>D3653-D3669</f>
        <v>13352500</v>
      </c>
      <c r="F3671" s="75"/>
    </row>
    <row r="3672" spans="1:6" s="53" customFormat="1" x14ac:dyDescent="0.35">
      <c r="B3672" s="89"/>
      <c r="D3672" s="113"/>
      <c r="F3672" s="75"/>
    </row>
    <row r="3673" spans="1:6" s="53" customFormat="1" x14ac:dyDescent="0.35">
      <c r="A3673" s="114"/>
      <c r="B3673" s="115"/>
      <c r="C3673" s="114"/>
      <c r="D3673" s="116"/>
      <c r="E3673" s="114"/>
      <c r="F3673" s="117"/>
    </row>
    <row r="3675" spans="1:6" s="53" customFormat="1" ht="23.5" x14ac:dyDescent="0.55000000000000004">
      <c r="B3675" s="206" t="s">
        <v>0</v>
      </c>
      <c r="C3675" s="206"/>
      <c r="D3675" s="206"/>
      <c r="E3675" s="70"/>
      <c r="F3675" s="71"/>
    </row>
    <row r="3676" spans="1:6" s="53" customFormat="1" ht="20.5" x14ac:dyDescent="0.45">
      <c r="B3676" s="72"/>
      <c r="C3676" s="73" t="s">
        <v>985</v>
      </c>
      <c r="D3676" s="74"/>
      <c r="F3676" s="75"/>
    </row>
    <row r="3677" spans="1:6" s="53" customFormat="1" ht="21" thickBot="1" x14ac:dyDescent="0.5">
      <c r="B3677" s="72" t="s">
        <v>496</v>
      </c>
      <c r="C3677" s="76" t="s">
        <v>47</v>
      </c>
      <c r="D3677" s="74"/>
      <c r="F3677" s="75"/>
    </row>
    <row r="3678" spans="1:6" s="53" customFormat="1" ht="15" thickBot="1" x14ac:dyDescent="0.4">
      <c r="A3678" s="77" t="s">
        <v>48</v>
      </c>
      <c r="B3678" s="78" t="s">
        <v>26</v>
      </c>
      <c r="C3678" s="78" t="s">
        <v>49</v>
      </c>
      <c r="D3678" s="79" t="s">
        <v>29</v>
      </c>
      <c r="F3678" s="75"/>
    </row>
    <row r="3679" spans="1:6" s="53" customFormat="1" ht="14.5" customHeight="1" x14ac:dyDescent="0.35">
      <c r="A3679" s="207" t="s">
        <v>34</v>
      </c>
      <c r="B3679" s="80" t="s">
        <v>986</v>
      </c>
      <c r="C3679" s="81" t="s">
        <v>200</v>
      </c>
      <c r="D3679" s="82">
        <f>F3686</f>
        <v>16380000</v>
      </c>
      <c r="F3679" s="75"/>
    </row>
    <row r="3680" spans="1:6" s="53" customFormat="1" ht="21" thickBot="1" x14ac:dyDescent="0.5">
      <c r="A3680" s="208"/>
      <c r="B3680" s="72"/>
      <c r="C3680" s="72"/>
      <c r="D3680" s="74"/>
      <c r="F3680" s="75"/>
    </row>
    <row r="3681" spans="1:7" s="53" customFormat="1" ht="15" thickBot="1" x14ac:dyDescent="0.4">
      <c r="A3681" s="208"/>
      <c r="B3681" s="83" t="s">
        <v>26</v>
      </c>
      <c r="C3681" s="84" t="s">
        <v>51</v>
      </c>
      <c r="D3681" s="85" t="s">
        <v>52</v>
      </c>
      <c r="F3681" s="75"/>
    </row>
    <row r="3682" spans="1:7" s="89" customFormat="1" x14ac:dyDescent="0.35">
      <c r="A3682" s="208"/>
      <c r="B3682" s="86" t="str">
        <f>B3679</f>
        <v>24th April,2026</v>
      </c>
      <c r="C3682" s="87" t="s">
        <v>869</v>
      </c>
      <c r="D3682" s="88"/>
      <c r="F3682" s="90"/>
    </row>
    <row r="3683" spans="1:7" s="53" customFormat="1" x14ac:dyDescent="0.35">
      <c r="A3683" s="208"/>
      <c r="B3683" s="91"/>
      <c r="C3683" s="92" t="s">
        <v>606</v>
      </c>
      <c r="D3683" s="93">
        <f>325*2500</f>
        <v>812500</v>
      </c>
      <c r="F3683" s="75"/>
    </row>
    <row r="3684" spans="1:7" s="53" customFormat="1" x14ac:dyDescent="0.35">
      <c r="A3684" s="208"/>
      <c r="B3684" s="91" t="s">
        <v>54</v>
      </c>
      <c r="C3684" s="92" t="s">
        <v>55</v>
      </c>
      <c r="D3684" s="93">
        <v>1000000</v>
      </c>
      <c r="F3684" s="75"/>
    </row>
    <row r="3685" spans="1:7" s="53" customFormat="1" x14ac:dyDescent="0.35">
      <c r="A3685" s="208"/>
      <c r="B3685" s="91" t="s">
        <v>56</v>
      </c>
      <c r="C3685" s="92" t="s">
        <v>57</v>
      </c>
      <c r="D3685" s="93">
        <v>40000</v>
      </c>
      <c r="E3685" s="210" t="s">
        <v>58</v>
      </c>
      <c r="F3685" s="210"/>
    </row>
    <row r="3686" spans="1:7" s="53" customFormat="1" x14ac:dyDescent="0.35">
      <c r="A3686" s="208"/>
      <c r="B3686" s="91" t="s">
        <v>59</v>
      </c>
      <c r="C3686" s="92" t="s">
        <v>60</v>
      </c>
      <c r="D3686" s="93">
        <f>400*140</f>
        <v>56000</v>
      </c>
      <c r="E3686" s="94" t="s">
        <v>61</v>
      </c>
      <c r="F3686" s="95">
        <f>6300*2600</f>
        <v>16380000</v>
      </c>
    </row>
    <row r="3687" spans="1:7" s="53" customFormat="1" x14ac:dyDescent="0.35">
      <c r="A3687" s="208"/>
      <c r="B3687" s="91"/>
      <c r="C3687" s="92" t="s">
        <v>62</v>
      </c>
      <c r="D3687" s="93">
        <f>3600*140</f>
        <v>504000</v>
      </c>
      <c r="E3687" s="96" t="s">
        <v>63</v>
      </c>
      <c r="F3687" s="75"/>
    </row>
    <row r="3688" spans="1:7" s="53" customFormat="1" ht="15" thickBot="1" x14ac:dyDescent="0.4">
      <c r="A3688" s="208"/>
      <c r="B3688" s="91" t="s">
        <v>64</v>
      </c>
      <c r="C3688" s="92" t="s">
        <v>65</v>
      </c>
      <c r="D3688" s="97">
        <v>30000</v>
      </c>
      <c r="E3688" s="98" t="s">
        <v>66</v>
      </c>
      <c r="F3688" s="99">
        <f>F3686-F3687</f>
        <v>16380000</v>
      </c>
      <c r="G3688" s="100">
        <f>F3688/2600</f>
        <v>6300</v>
      </c>
    </row>
    <row r="3689" spans="1:7" s="53" customFormat="1" ht="15" thickTop="1" x14ac:dyDescent="0.35">
      <c r="A3689" s="208"/>
      <c r="B3689" s="91"/>
      <c r="C3689" s="92" t="s">
        <v>67</v>
      </c>
      <c r="D3689" s="93">
        <v>0</v>
      </c>
      <c r="F3689" s="75"/>
    </row>
    <row r="3690" spans="1:7" s="53" customFormat="1" x14ac:dyDescent="0.35">
      <c r="A3690" s="208"/>
      <c r="B3690" s="91" t="s">
        <v>982</v>
      </c>
      <c r="C3690" s="101" t="s">
        <v>68</v>
      </c>
      <c r="D3690" s="93">
        <v>15000</v>
      </c>
      <c r="E3690" s="94" t="s">
        <v>69</v>
      </c>
      <c r="F3690" s="95"/>
    </row>
    <row r="3691" spans="1:7" s="53" customFormat="1" x14ac:dyDescent="0.35">
      <c r="A3691" s="208"/>
      <c r="B3691" s="102"/>
      <c r="C3691" s="101" t="s">
        <v>70</v>
      </c>
      <c r="D3691" s="103">
        <v>0</v>
      </c>
      <c r="E3691" s="104"/>
      <c r="F3691" s="105"/>
    </row>
    <row r="3692" spans="1:7" s="53" customFormat="1" x14ac:dyDescent="0.35">
      <c r="A3692" s="208"/>
      <c r="B3692" s="102"/>
      <c r="C3692" s="101" t="s">
        <v>71</v>
      </c>
      <c r="D3692" s="103">
        <v>0</v>
      </c>
      <c r="E3692" s="104" t="s">
        <v>72</v>
      </c>
      <c r="F3692" s="105"/>
    </row>
    <row r="3693" spans="1:7" s="53" customFormat="1" x14ac:dyDescent="0.35">
      <c r="A3693" s="208"/>
      <c r="B3693" s="102"/>
      <c r="C3693" s="92"/>
      <c r="D3693" s="106"/>
      <c r="F3693" s="105"/>
    </row>
    <row r="3694" spans="1:7" s="53" customFormat="1" ht="15" thickBot="1" x14ac:dyDescent="0.4">
      <c r="A3694" s="208"/>
      <c r="B3694" s="107"/>
      <c r="C3694" s="108"/>
      <c r="D3694" s="109"/>
      <c r="F3694" s="75"/>
    </row>
    <row r="3695" spans="1:7" s="53" customFormat="1" ht="15" thickBot="1" x14ac:dyDescent="0.4">
      <c r="A3695" s="208"/>
      <c r="B3695" s="110"/>
      <c r="C3695" s="111" t="s">
        <v>74</v>
      </c>
      <c r="D3695" s="112">
        <f>SUM(D3682:D3694)</f>
        <v>2457500</v>
      </c>
      <c r="F3695" s="75"/>
    </row>
    <row r="3696" spans="1:7" s="53" customFormat="1" ht="15.5" thickTop="1" thickBot="1" x14ac:dyDescent="0.4">
      <c r="A3696" s="209"/>
      <c r="B3696" s="211"/>
      <c r="C3696" s="211"/>
      <c r="D3696" s="211"/>
      <c r="F3696" s="75"/>
    </row>
    <row r="3697" spans="1:6" s="53" customFormat="1" x14ac:dyDescent="0.35">
      <c r="B3697" s="89"/>
      <c r="C3697" s="53" t="s">
        <v>75</v>
      </c>
      <c r="D3697" s="113">
        <f>D3679-D3695</f>
        <v>13922500</v>
      </c>
      <c r="F3697" s="75"/>
    </row>
    <row r="3698" spans="1:6" s="53" customFormat="1" x14ac:dyDescent="0.35">
      <c r="B3698" s="89"/>
      <c r="D3698" s="113"/>
      <c r="F3698" s="75"/>
    </row>
    <row r="3699" spans="1:6" s="53" customFormat="1" x14ac:dyDescent="0.35">
      <c r="A3699" s="114"/>
      <c r="B3699" s="115"/>
      <c r="C3699" s="114"/>
      <c r="D3699" s="116"/>
      <c r="E3699" s="114"/>
      <c r="F3699" s="117"/>
    </row>
    <row r="3701" spans="1:6" s="53" customFormat="1" ht="23.5" x14ac:dyDescent="0.55000000000000004">
      <c r="B3701" s="206" t="s">
        <v>0</v>
      </c>
      <c r="C3701" s="206"/>
      <c r="D3701" s="206"/>
      <c r="E3701" s="70"/>
      <c r="F3701" s="71"/>
    </row>
    <row r="3702" spans="1:6" s="53" customFormat="1" ht="20.5" x14ac:dyDescent="0.45">
      <c r="B3702" s="72"/>
      <c r="C3702" s="73" t="s">
        <v>987</v>
      </c>
      <c r="D3702" s="74"/>
      <c r="F3702" s="75"/>
    </row>
    <row r="3703" spans="1:6" s="53" customFormat="1" ht="21" thickBot="1" x14ac:dyDescent="0.5">
      <c r="B3703" s="72" t="s">
        <v>988</v>
      </c>
      <c r="C3703" s="76" t="s">
        <v>47</v>
      </c>
      <c r="D3703" s="74"/>
      <c r="F3703" s="75"/>
    </row>
    <row r="3704" spans="1:6" s="53" customFormat="1" ht="15" thickBot="1" x14ac:dyDescent="0.4">
      <c r="A3704" s="77" t="s">
        <v>48</v>
      </c>
      <c r="B3704" s="78" t="s">
        <v>26</v>
      </c>
      <c r="C3704" s="78" t="s">
        <v>49</v>
      </c>
      <c r="D3704" s="79" t="s">
        <v>29</v>
      </c>
      <c r="F3704" s="75"/>
    </row>
    <row r="3705" spans="1:6" s="53" customFormat="1" ht="14.5" customHeight="1" x14ac:dyDescent="0.35">
      <c r="A3705" s="207" t="s">
        <v>34</v>
      </c>
      <c r="B3705" s="80" t="s">
        <v>986</v>
      </c>
      <c r="C3705" s="81" t="s">
        <v>200</v>
      </c>
      <c r="D3705" s="82">
        <f>F3712</f>
        <v>16380000</v>
      </c>
      <c r="F3705" s="75"/>
    </row>
    <row r="3706" spans="1:6" s="53" customFormat="1" ht="21" thickBot="1" x14ac:dyDescent="0.5">
      <c r="A3706" s="208"/>
      <c r="B3706" s="72"/>
      <c r="C3706" s="72"/>
      <c r="D3706" s="74"/>
      <c r="F3706" s="75"/>
    </row>
    <row r="3707" spans="1:6" s="53" customFormat="1" ht="15" thickBot="1" x14ac:dyDescent="0.4">
      <c r="A3707" s="208"/>
      <c r="B3707" s="83" t="s">
        <v>26</v>
      </c>
      <c r="C3707" s="84" t="s">
        <v>51</v>
      </c>
      <c r="D3707" s="85" t="s">
        <v>52</v>
      </c>
      <c r="F3707" s="75"/>
    </row>
    <row r="3708" spans="1:6" s="89" customFormat="1" x14ac:dyDescent="0.35">
      <c r="A3708" s="208"/>
      <c r="B3708" s="86" t="str">
        <f>B3705</f>
        <v>24th April,2026</v>
      </c>
      <c r="C3708" s="87" t="s">
        <v>869</v>
      </c>
      <c r="D3708" s="88"/>
      <c r="F3708" s="90"/>
    </row>
    <row r="3709" spans="1:6" s="53" customFormat="1" x14ac:dyDescent="0.35">
      <c r="A3709" s="208"/>
      <c r="B3709" s="91"/>
      <c r="C3709" s="92" t="s">
        <v>606</v>
      </c>
      <c r="D3709" s="93">
        <f>325*2500</f>
        <v>812500</v>
      </c>
      <c r="F3709" s="75"/>
    </row>
    <row r="3710" spans="1:6" s="53" customFormat="1" x14ac:dyDescent="0.35">
      <c r="A3710" s="208"/>
      <c r="B3710" s="91" t="s">
        <v>54</v>
      </c>
      <c r="C3710" s="92" t="s">
        <v>55</v>
      </c>
      <c r="D3710" s="93">
        <v>1000000</v>
      </c>
      <c r="F3710" s="75"/>
    </row>
    <row r="3711" spans="1:6" s="53" customFormat="1" x14ac:dyDescent="0.35">
      <c r="A3711" s="208"/>
      <c r="B3711" s="91" t="s">
        <v>56</v>
      </c>
      <c r="C3711" s="92" t="s">
        <v>57</v>
      </c>
      <c r="D3711" s="93">
        <v>40000</v>
      </c>
      <c r="E3711" s="210" t="s">
        <v>58</v>
      </c>
      <c r="F3711" s="210"/>
    </row>
    <row r="3712" spans="1:6" s="53" customFormat="1" x14ac:dyDescent="0.35">
      <c r="A3712" s="208"/>
      <c r="B3712" s="91" t="s">
        <v>59</v>
      </c>
      <c r="C3712" s="92" t="s">
        <v>60</v>
      </c>
      <c r="D3712" s="93">
        <f>400*140</f>
        <v>56000</v>
      </c>
      <c r="E3712" s="94" t="s">
        <v>61</v>
      </c>
      <c r="F3712" s="95">
        <f>6300*2600</f>
        <v>16380000</v>
      </c>
    </row>
    <row r="3713" spans="1:7" s="53" customFormat="1" x14ac:dyDescent="0.35">
      <c r="A3713" s="208"/>
      <c r="B3713" s="91"/>
      <c r="C3713" s="92" t="s">
        <v>62</v>
      </c>
      <c r="D3713" s="93">
        <f>3600*140</f>
        <v>504000</v>
      </c>
      <c r="E3713" s="96" t="s">
        <v>63</v>
      </c>
      <c r="F3713" s="75"/>
    </row>
    <row r="3714" spans="1:7" s="53" customFormat="1" ht="15" thickBot="1" x14ac:dyDescent="0.4">
      <c r="A3714" s="208"/>
      <c r="B3714" s="91" t="s">
        <v>64</v>
      </c>
      <c r="C3714" s="92" t="s">
        <v>65</v>
      </c>
      <c r="D3714" s="97">
        <v>30000</v>
      </c>
      <c r="E3714" s="98" t="s">
        <v>66</v>
      </c>
      <c r="F3714" s="99">
        <f>F3712-F3713</f>
        <v>16380000</v>
      </c>
      <c r="G3714" s="100">
        <f>F3714/2600</f>
        <v>6300</v>
      </c>
    </row>
    <row r="3715" spans="1:7" s="53" customFormat="1" ht="15" thickTop="1" x14ac:dyDescent="0.35">
      <c r="A3715" s="208"/>
      <c r="B3715" s="91"/>
      <c r="C3715" s="92" t="s">
        <v>67</v>
      </c>
      <c r="D3715" s="93">
        <v>0</v>
      </c>
      <c r="F3715" s="75"/>
    </row>
    <row r="3716" spans="1:7" s="53" customFormat="1" x14ac:dyDescent="0.35">
      <c r="A3716" s="208"/>
      <c r="B3716" s="91" t="s">
        <v>984</v>
      </c>
      <c r="C3716" s="101" t="s">
        <v>68</v>
      </c>
      <c r="D3716" s="93">
        <v>15000</v>
      </c>
      <c r="E3716" s="94" t="s">
        <v>69</v>
      </c>
      <c r="F3716" s="95"/>
    </row>
    <row r="3717" spans="1:7" s="53" customFormat="1" x14ac:dyDescent="0.35">
      <c r="A3717" s="208"/>
      <c r="B3717" s="102"/>
      <c r="C3717" s="101" t="s">
        <v>70</v>
      </c>
      <c r="D3717" s="103">
        <v>0</v>
      </c>
      <c r="E3717" s="104"/>
      <c r="F3717" s="105"/>
    </row>
    <row r="3718" spans="1:7" s="53" customFormat="1" x14ac:dyDescent="0.35">
      <c r="A3718" s="208"/>
      <c r="B3718" s="102"/>
      <c r="C3718" s="101" t="s">
        <v>71</v>
      </c>
      <c r="D3718" s="103">
        <v>0</v>
      </c>
      <c r="E3718" s="104" t="s">
        <v>72</v>
      </c>
      <c r="F3718" s="105"/>
    </row>
    <row r="3719" spans="1:7" s="53" customFormat="1" x14ac:dyDescent="0.35">
      <c r="A3719" s="208"/>
      <c r="B3719" s="102"/>
      <c r="C3719" s="92"/>
      <c r="D3719" s="106"/>
      <c r="F3719" s="105"/>
    </row>
    <row r="3720" spans="1:7" s="53" customFormat="1" ht="15" thickBot="1" x14ac:dyDescent="0.4">
      <c r="A3720" s="208"/>
      <c r="B3720" s="107"/>
      <c r="C3720" s="108"/>
      <c r="D3720" s="109"/>
      <c r="F3720" s="75"/>
    </row>
    <row r="3721" spans="1:7" s="53" customFormat="1" ht="15" thickBot="1" x14ac:dyDescent="0.4">
      <c r="A3721" s="208"/>
      <c r="B3721" s="110"/>
      <c r="C3721" s="111" t="s">
        <v>74</v>
      </c>
      <c r="D3721" s="112">
        <f>SUM(D3708:D3720)</f>
        <v>2457500</v>
      </c>
      <c r="F3721" s="75"/>
    </row>
    <row r="3722" spans="1:7" s="53" customFormat="1" ht="15.5" thickTop="1" thickBot="1" x14ac:dyDescent="0.4">
      <c r="A3722" s="209"/>
      <c r="B3722" s="211"/>
      <c r="C3722" s="211"/>
      <c r="D3722" s="211"/>
      <c r="F3722" s="75"/>
    </row>
    <row r="3723" spans="1:7" s="53" customFormat="1" x14ac:dyDescent="0.35">
      <c r="B3723" s="89"/>
      <c r="C3723" s="53" t="s">
        <v>75</v>
      </c>
      <c r="D3723" s="113">
        <f>D3705-D3721</f>
        <v>13922500</v>
      </c>
      <c r="F3723" s="75"/>
    </row>
    <row r="3724" spans="1:7" s="53" customFormat="1" x14ac:dyDescent="0.35">
      <c r="B3724" s="89"/>
      <c r="D3724" s="113"/>
      <c r="F3724" s="75"/>
    </row>
    <row r="3725" spans="1:7" s="53" customFormat="1" x14ac:dyDescent="0.35">
      <c r="A3725" s="114"/>
      <c r="B3725" s="115"/>
      <c r="C3725" s="114"/>
      <c r="D3725" s="116"/>
      <c r="E3725" s="114"/>
      <c r="F3725" s="117"/>
    </row>
  </sheetData>
  <mergeCells count="572">
    <mergeCell ref="A3601:A3618"/>
    <mergeCell ref="E3607:F3607"/>
    <mergeCell ref="B3618:D3618"/>
    <mergeCell ref="B3623:D3623"/>
    <mergeCell ref="A3627:A3644"/>
    <mergeCell ref="E3633:F3633"/>
    <mergeCell ref="B3644:D3644"/>
    <mergeCell ref="B3545:D3545"/>
    <mergeCell ref="A3549:A3566"/>
    <mergeCell ref="E3555:F3555"/>
    <mergeCell ref="B3566:D3566"/>
    <mergeCell ref="B3571:D3571"/>
    <mergeCell ref="A3575:A3592"/>
    <mergeCell ref="E3581:F3581"/>
    <mergeCell ref="B3592:D3592"/>
    <mergeCell ref="B3597:D3597"/>
    <mergeCell ref="B3415:D3415"/>
    <mergeCell ref="B3493:D3493"/>
    <mergeCell ref="A3497:A3514"/>
    <mergeCell ref="E3503:F3503"/>
    <mergeCell ref="B3514:D3514"/>
    <mergeCell ref="B3519:D3519"/>
    <mergeCell ref="A3523:A3540"/>
    <mergeCell ref="E3529:F3529"/>
    <mergeCell ref="B3540:D3540"/>
    <mergeCell ref="A3419:A3436"/>
    <mergeCell ref="E3425:F3425"/>
    <mergeCell ref="B3436:D3436"/>
    <mergeCell ref="B3441:D3441"/>
    <mergeCell ref="A3445:A3462"/>
    <mergeCell ref="E3451:F3451"/>
    <mergeCell ref="B3462:D3462"/>
    <mergeCell ref="B3467:D3467"/>
    <mergeCell ref="A3471:A3488"/>
    <mergeCell ref="E3477:F3477"/>
    <mergeCell ref="B3488:D3488"/>
    <mergeCell ref="A3341:A3358"/>
    <mergeCell ref="E3347:F3347"/>
    <mergeCell ref="B3358:D3358"/>
    <mergeCell ref="B3363:D3363"/>
    <mergeCell ref="A3367:A3384"/>
    <mergeCell ref="E3373:F3373"/>
    <mergeCell ref="B3384:D3384"/>
    <mergeCell ref="B3389:D3389"/>
    <mergeCell ref="A3393:A3410"/>
    <mergeCell ref="E3399:F3399"/>
    <mergeCell ref="B3410:D3410"/>
    <mergeCell ref="B3285:D3285"/>
    <mergeCell ref="A3289:A3306"/>
    <mergeCell ref="E3295:F3295"/>
    <mergeCell ref="B3306:D3306"/>
    <mergeCell ref="B3311:D3311"/>
    <mergeCell ref="A3315:A3332"/>
    <mergeCell ref="E3321:F3321"/>
    <mergeCell ref="B3332:D3332"/>
    <mergeCell ref="B3337:D3337"/>
    <mergeCell ref="A3211:A3228"/>
    <mergeCell ref="E3217:F3217"/>
    <mergeCell ref="B3228:D3228"/>
    <mergeCell ref="B3233:D3233"/>
    <mergeCell ref="A3237:A3254"/>
    <mergeCell ref="E3243:F3243"/>
    <mergeCell ref="B3254:D3254"/>
    <mergeCell ref="B3259:D3259"/>
    <mergeCell ref="A3263:A3280"/>
    <mergeCell ref="E3269:F3269"/>
    <mergeCell ref="B3280:D3280"/>
    <mergeCell ref="B3155:D3155"/>
    <mergeCell ref="A3159:A3176"/>
    <mergeCell ref="E3165:F3165"/>
    <mergeCell ref="B3176:D3176"/>
    <mergeCell ref="B3181:D3181"/>
    <mergeCell ref="A3185:A3202"/>
    <mergeCell ref="E3191:F3191"/>
    <mergeCell ref="B3202:D3202"/>
    <mergeCell ref="B3207:D3207"/>
    <mergeCell ref="B3051:D3051"/>
    <mergeCell ref="B3103:D3103"/>
    <mergeCell ref="A3107:A3124"/>
    <mergeCell ref="E3113:F3113"/>
    <mergeCell ref="B3124:D3124"/>
    <mergeCell ref="B3129:D3129"/>
    <mergeCell ref="A3133:A3150"/>
    <mergeCell ref="E3139:F3139"/>
    <mergeCell ref="B3150:D3150"/>
    <mergeCell ref="A2768:A2785"/>
    <mergeCell ref="E2774:F2774"/>
    <mergeCell ref="B2785:D2785"/>
    <mergeCell ref="B2790:D2790"/>
    <mergeCell ref="A2794:A2811"/>
    <mergeCell ref="E2800:F2800"/>
    <mergeCell ref="B2811:D2811"/>
    <mergeCell ref="B2816:D2816"/>
    <mergeCell ref="A2820:A2837"/>
    <mergeCell ref="E2826:F2826"/>
    <mergeCell ref="B2837:D2837"/>
    <mergeCell ref="B2712:D2712"/>
    <mergeCell ref="A2716:A2733"/>
    <mergeCell ref="E2722:F2722"/>
    <mergeCell ref="B2733:D2733"/>
    <mergeCell ref="B2738:D2738"/>
    <mergeCell ref="A2742:A2759"/>
    <mergeCell ref="E2748:F2748"/>
    <mergeCell ref="B2759:D2759"/>
    <mergeCell ref="B2764:D2764"/>
    <mergeCell ref="B2660:D2660"/>
    <mergeCell ref="A2664:A2681"/>
    <mergeCell ref="E2670:F2670"/>
    <mergeCell ref="B2681:D2681"/>
    <mergeCell ref="A2586:A2603"/>
    <mergeCell ref="E2592:F2592"/>
    <mergeCell ref="B2603:D2603"/>
    <mergeCell ref="B2608:D2608"/>
    <mergeCell ref="A2612:A2629"/>
    <mergeCell ref="E2618:F2618"/>
    <mergeCell ref="B2629:D2629"/>
    <mergeCell ref="B2634:D2634"/>
    <mergeCell ref="A2638:A2655"/>
    <mergeCell ref="E2644:F2644"/>
    <mergeCell ref="B2655:D2655"/>
    <mergeCell ref="B2504:D2504"/>
    <mergeCell ref="A2508:A2525"/>
    <mergeCell ref="E2514:F2514"/>
    <mergeCell ref="B2525:D2525"/>
    <mergeCell ref="B2530:D2530"/>
    <mergeCell ref="A2534:A2551"/>
    <mergeCell ref="E2540:F2540"/>
    <mergeCell ref="B2551:D2551"/>
    <mergeCell ref="B2582:D2582"/>
    <mergeCell ref="B2556:D2556"/>
    <mergeCell ref="A2560:A2577"/>
    <mergeCell ref="E2566:F2566"/>
    <mergeCell ref="B2577:D2577"/>
    <mergeCell ref="A2430:A2447"/>
    <mergeCell ref="E2436:F2436"/>
    <mergeCell ref="B2447:D2447"/>
    <mergeCell ref="B2452:D2452"/>
    <mergeCell ref="A2456:A2473"/>
    <mergeCell ref="E2462:F2462"/>
    <mergeCell ref="B2473:D2473"/>
    <mergeCell ref="B2478:D2478"/>
    <mergeCell ref="A2482:A2499"/>
    <mergeCell ref="E2488:F2488"/>
    <mergeCell ref="B2499:D2499"/>
    <mergeCell ref="B2374:D2374"/>
    <mergeCell ref="A2378:A2395"/>
    <mergeCell ref="E2384:F2384"/>
    <mergeCell ref="B2395:D2395"/>
    <mergeCell ref="B2400:D2400"/>
    <mergeCell ref="A2404:A2421"/>
    <mergeCell ref="E2410:F2410"/>
    <mergeCell ref="B2421:D2421"/>
    <mergeCell ref="B2426:D2426"/>
    <mergeCell ref="B2322:D2322"/>
    <mergeCell ref="A2326:A2343"/>
    <mergeCell ref="E2332:F2332"/>
    <mergeCell ref="B2343:D2343"/>
    <mergeCell ref="B2348:D2348"/>
    <mergeCell ref="A2352:A2369"/>
    <mergeCell ref="E2358:F2358"/>
    <mergeCell ref="B2369:D2369"/>
    <mergeCell ref="B2296:D2296"/>
    <mergeCell ref="A2300:A2317"/>
    <mergeCell ref="E2306:F2306"/>
    <mergeCell ref="B2317:D2317"/>
    <mergeCell ref="A2248:A2265"/>
    <mergeCell ref="E2254:F2254"/>
    <mergeCell ref="B2265:D2265"/>
    <mergeCell ref="B2270:D2270"/>
    <mergeCell ref="A2274:A2291"/>
    <mergeCell ref="E2280:F2280"/>
    <mergeCell ref="B2291:D2291"/>
    <mergeCell ref="B2192:D2192"/>
    <mergeCell ref="A2196:A2213"/>
    <mergeCell ref="E2202:F2202"/>
    <mergeCell ref="B2213:D2213"/>
    <mergeCell ref="B2218:D2218"/>
    <mergeCell ref="A2222:A2239"/>
    <mergeCell ref="E2228:F2228"/>
    <mergeCell ref="B2239:D2239"/>
    <mergeCell ref="B2244:D2244"/>
    <mergeCell ref="A2066:A2083"/>
    <mergeCell ref="E2072:F2072"/>
    <mergeCell ref="B2083:D2083"/>
    <mergeCell ref="B2088:D2088"/>
    <mergeCell ref="B2166:D2166"/>
    <mergeCell ref="A2170:A2187"/>
    <mergeCell ref="E2176:F2176"/>
    <mergeCell ref="B2187:D2187"/>
    <mergeCell ref="A1753:A1770"/>
    <mergeCell ref="E1759:F1759"/>
    <mergeCell ref="B1770:D1770"/>
    <mergeCell ref="B1775:D1775"/>
    <mergeCell ref="A1779:A1796"/>
    <mergeCell ref="E1785:F1785"/>
    <mergeCell ref="B1796:D1796"/>
    <mergeCell ref="B1801:D1801"/>
    <mergeCell ref="A1805:A1822"/>
    <mergeCell ref="E1811:F1811"/>
    <mergeCell ref="B1822:D1822"/>
    <mergeCell ref="B1827:D1827"/>
    <mergeCell ref="A1831:A1848"/>
    <mergeCell ref="E1837:F1837"/>
    <mergeCell ref="B1848:D1848"/>
    <mergeCell ref="B1853:D1853"/>
    <mergeCell ref="B1697:D1697"/>
    <mergeCell ref="A1701:A1718"/>
    <mergeCell ref="E1707:F1707"/>
    <mergeCell ref="B1718:D1718"/>
    <mergeCell ref="B1723:D1723"/>
    <mergeCell ref="A1727:A1744"/>
    <mergeCell ref="E1733:F1733"/>
    <mergeCell ref="B1744:D1744"/>
    <mergeCell ref="B1749:D1749"/>
    <mergeCell ref="A1623:A1640"/>
    <mergeCell ref="E1629:F1629"/>
    <mergeCell ref="B1640:D1640"/>
    <mergeCell ref="B1645:D1645"/>
    <mergeCell ref="A1649:A1666"/>
    <mergeCell ref="E1655:F1655"/>
    <mergeCell ref="B1666:D1666"/>
    <mergeCell ref="B1671:D1671"/>
    <mergeCell ref="A1675:A1692"/>
    <mergeCell ref="E1681:F1681"/>
    <mergeCell ref="B1692:D1692"/>
    <mergeCell ref="B1539:D1539"/>
    <mergeCell ref="A1543:A1560"/>
    <mergeCell ref="E1549:F1549"/>
    <mergeCell ref="B1560:D1560"/>
    <mergeCell ref="B1593:D1593"/>
    <mergeCell ref="A1597:A1614"/>
    <mergeCell ref="E1603:F1603"/>
    <mergeCell ref="B1614:D1614"/>
    <mergeCell ref="B1619:D1619"/>
    <mergeCell ref="B1565:D1565"/>
    <mergeCell ref="A1569:A1586"/>
    <mergeCell ref="E1575:F1575"/>
    <mergeCell ref="B1586:D1586"/>
    <mergeCell ref="B1330:D1330"/>
    <mergeCell ref="A1334:A1351"/>
    <mergeCell ref="E1340:F1340"/>
    <mergeCell ref="B1351:D1351"/>
    <mergeCell ref="A1307:A1324"/>
    <mergeCell ref="E1313:F1313"/>
    <mergeCell ref="B1324:D1324"/>
    <mergeCell ref="B1434:D1434"/>
    <mergeCell ref="A1438:A1455"/>
    <mergeCell ref="E1444:F1444"/>
    <mergeCell ref="B1455:D1455"/>
    <mergeCell ref="A1412:A1429"/>
    <mergeCell ref="E1418:F1418"/>
    <mergeCell ref="B1429:D1429"/>
    <mergeCell ref="B1356:D1356"/>
    <mergeCell ref="A1360:A1377"/>
    <mergeCell ref="E1366:F1366"/>
    <mergeCell ref="B1377:D1377"/>
    <mergeCell ref="B1382:D1382"/>
    <mergeCell ref="A1386:A1403"/>
    <mergeCell ref="E1392:F1392"/>
    <mergeCell ref="B1403:D1403"/>
    <mergeCell ref="B1408:D1408"/>
    <mergeCell ref="B1251:D1251"/>
    <mergeCell ref="A1255:A1272"/>
    <mergeCell ref="E1261:F1261"/>
    <mergeCell ref="B1272:D1272"/>
    <mergeCell ref="B1277:D1277"/>
    <mergeCell ref="A1281:A1298"/>
    <mergeCell ref="E1287:F1287"/>
    <mergeCell ref="B1298:D1298"/>
    <mergeCell ref="B1303:D1303"/>
    <mergeCell ref="B1225:D1225"/>
    <mergeCell ref="A1229:A1246"/>
    <mergeCell ref="E1235:F1235"/>
    <mergeCell ref="B1246:D1246"/>
    <mergeCell ref="B1095:D1095"/>
    <mergeCell ref="A1099:A1116"/>
    <mergeCell ref="E1105:F1105"/>
    <mergeCell ref="B1116:D1116"/>
    <mergeCell ref="B1121:D1121"/>
    <mergeCell ref="A1125:A1142"/>
    <mergeCell ref="E1131:F1131"/>
    <mergeCell ref="B1142:D1142"/>
    <mergeCell ref="A1203:A1220"/>
    <mergeCell ref="E1209:F1209"/>
    <mergeCell ref="B1220:D1220"/>
    <mergeCell ref="B1147:D1147"/>
    <mergeCell ref="A1151:A1168"/>
    <mergeCell ref="E1157:F1157"/>
    <mergeCell ref="B1168:D1168"/>
    <mergeCell ref="B1173:D1173"/>
    <mergeCell ref="A1177:A1194"/>
    <mergeCell ref="E1183:F1183"/>
    <mergeCell ref="B1194:D1194"/>
    <mergeCell ref="B1199:D1199"/>
    <mergeCell ref="A1021:A1038"/>
    <mergeCell ref="E1027:F1027"/>
    <mergeCell ref="B1038:D1038"/>
    <mergeCell ref="B1043:D1043"/>
    <mergeCell ref="A1047:A1064"/>
    <mergeCell ref="E1053:F1053"/>
    <mergeCell ref="B1064:D1064"/>
    <mergeCell ref="B1069:D1069"/>
    <mergeCell ref="A1073:A1090"/>
    <mergeCell ref="E1079:F1079"/>
    <mergeCell ref="B1090:D1090"/>
    <mergeCell ref="B965:D965"/>
    <mergeCell ref="A969:A986"/>
    <mergeCell ref="E975:F975"/>
    <mergeCell ref="B986:D986"/>
    <mergeCell ref="B991:D991"/>
    <mergeCell ref="A995:A1012"/>
    <mergeCell ref="E1001:F1001"/>
    <mergeCell ref="B1012:D1012"/>
    <mergeCell ref="B1017:D1017"/>
    <mergeCell ref="A916:A933"/>
    <mergeCell ref="E922:F922"/>
    <mergeCell ref="B933:D933"/>
    <mergeCell ref="B938:D938"/>
    <mergeCell ref="A942:A959"/>
    <mergeCell ref="E948:F948"/>
    <mergeCell ref="B959:D959"/>
    <mergeCell ref="B860:D860"/>
    <mergeCell ref="A864:A881"/>
    <mergeCell ref="E870:F870"/>
    <mergeCell ref="B881:D881"/>
    <mergeCell ref="B886:D886"/>
    <mergeCell ref="A890:A907"/>
    <mergeCell ref="E896:F896"/>
    <mergeCell ref="B907:D907"/>
    <mergeCell ref="B912:D912"/>
    <mergeCell ref="B54:D54"/>
    <mergeCell ref="A58:A75"/>
    <mergeCell ref="E64:F64"/>
    <mergeCell ref="B75:D75"/>
    <mergeCell ref="B80:D80"/>
    <mergeCell ref="B2:D2"/>
    <mergeCell ref="A6:A23"/>
    <mergeCell ref="E12:F12"/>
    <mergeCell ref="B23:D23"/>
    <mergeCell ref="B49:D49"/>
    <mergeCell ref="A32:A49"/>
    <mergeCell ref="E38:F38"/>
    <mergeCell ref="B28:D28"/>
    <mergeCell ref="B132:D132"/>
    <mergeCell ref="A136:A153"/>
    <mergeCell ref="E142:F142"/>
    <mergeCell ref="B153:D153"/>
    <mergeCell ref="B158:D158"/>
    <mergeCell ref="A84:A101"/>
    <mergeCell ref="E90:F90"/>
    <mergeCell ref="B101:D101"/>
    <mergeCell ref="B106:D106"/>
    <mergeCell ref="A110:A127"/>
    <mergeCell ref="E116:F116"/>
    <mergeCell ref="B127:D127"/>
    <mergeCell ref="B210:D210"/>
    <mergeCell ref="A214:A231"/>
    <mergeCell ref="E220:F220"/>
    <mergeCell ref="B231:D231"/>
    <mergeCell ref="B236:D236"/>
    <mergeCell ref="A162:A179"/>
    <mergeCell ref="E168:F168"/>
    <mergeCell ref="B179:D179"/>
    <mergeCell ref="B184:D184"/>
    <mergeCell ref="A188:A205"/>
    <mergeCell ref="E194:F194"/>
    <mergeCell ref="B205:D205"/>
    <mergeCell ref="B288:D288"/>
    <mergeCell ref="A292:A309"/>
    <mergeCell ref="E298:F298"/>
    <mergeCell ref="B309:D309"/>
    <mergeCell ref="B315:D315"/>
    <mergeCell ref="A240:A257"/>
    <mergeCell ref="E246:F246"/>
    <mergeCell ref="B257:D257"/>
    <mergeCell ref="B262:D262"/>
    <mergeCell ref="A266:A283"/>
    <mergeCell ref="E272:F272"/>
    <mergeCell ref="B283:D283"/>
    <mergeCell ref="B366:D366"/>
    <mergeCell ref="A370:A387"/>
    <mergeCell ref="E376:F376"/>
    <mergeCell ref="B387:D387"/>
    <mergeCell ref="B392:D392"/>
    <mergeCell ref="A319:A336"/>
    <mergeCell ref="E325:F325"/>
    <mergeCell ref="B336:D336"/>
    <mergeCell ref="B341:D341"/>
    <mergeCell ref="A345:A361"/>
    <mergeCell ref="E351:F351"/>
    <mergeCell ref="B361:D361"/>
    <mergeCell ref="B444:D444"/>
    <mergeCell ref="A448:A465"/>
    <mergeCell ref="E454:F454"/>
    <mergeCell ref="B465:D465"/>
    <mergeCell ref="B470:D470"/>
    <mergeCell ref="A396:A413"/>
    <mergeCell ref="E402:F402"/>
    <mergeCell ref="B413:D413"/>
    <mergeCell ref="B418:D418"/>
    <mergeCell ref="A422:A439"/>
    <mergeCell ref="E428:F428"/>
    <mergeCell ref="B439:D439"/>
    <mergeCell ref="B522:D522"/>
    <mergeCell ref="A526:A543"/>
    <mergeCell ref="E532:F532"/>
    <mergeCell ref="B543:D543"/>
    <mergeCell ref="B548:D548"/>
    <mergeCell ref="A474:A491"/>
    <mergeCell ref="E480:F480"/>
    <mergeCell ref="B491:D491"/>
    <mergeCell ref="B496:D496"/>
    <mergeCell ref="A500:A517"/>
    <mergeCell ref="E506:F506"/>
    <mergeCell ref="B517:D517"/>
    <mergeCell ref="B600:D600"/>
    <mergeCell ref="A604:A621"/>
    <mergeCell ref="E610:F610"/>
    <mergeCell ref="B621:D621"/>
    <mergeCell ref="B626:D626"/>
    <mergeCell ref="A552:A569"/>
    <mergeCell ref="E558:F558"/>
    <mergeCell ref="B569:D569"/>
    <mergeCell ref="B574:D574"/>
    <mergeCell ref="A578:A595"/>
    <mergeCell ref="E584:F584"/>
    <mergeCell ref="B595:D595"/>
    <mergeCell ref="B678:D678"/>
    <mergeCell ref="A682:A699"/>
    <mergeCell ref="E688:F688"/>
    <mergeCell ref="B699:D699"/>
    <mergeCell ref="B704:D704"/>
    <mergeCell ref="A630:A647"/>
    <mergeCell ref="E636:F636"/>
    <mergeCell ref="B647:D647"/>
    <mergeCell ref="B652:D652"/>
    <mergeCell ref="A656:A673"/>
    <mergeCell ref="E662:F662"/>
    <mergeCell ref="B673:D673"/>
    <mergeCell ref="B756:D756"/>
    <mergeCell ref="A760:A777"/>
    <mergeCell ref="E766:F766"/>
    <mergeCell ref="B777:D777"/>
    <mergeCell ref="B782:D782"/>
    <mergeCell ref="A708:A725"/>
    <mergeCell ref="E714:F714"/>
    <mergeCell ref="B725:D725"/>
    <mergeCell ref="B730:D730"/>
    <mergeCell ref="A734:A751"/>
    <mergeCell ref="E740:F740"/>
    <mergeCell ref="B751:D751"/>
    <mergeCell ref="B834:D834"/>
    <mergeCell ref="A838:A855"/>
    <mergeCell ref="E844:F844"/>
    <mergeCell ref="B855:D855"/>
    <mergeCell ref="A786:A803"/>
    <mergeCell ref="E792:F792"/>
    <mergeCell ref="B803:D803"/>
    <mergeCell ref="B808:D808"/>
    <mergeCell ref="A812:A829"/>
    <mergeCell ref="E818:F818"/>
    <mergeCell ref="B829:D829"/>
    <mergeCell ref="B1487:D1487"/>
    <mergeCell ref="A1491:A1508"/>
    <mergeCell ref="E1497:F1497"/>
    <mergeCell ref="B1508:D1508"/>
    <mergeCell ref="B1513:D1513"/>
    <mergeCell ref="A1517:A1534"/>
    <mergeCell ref="E1523:F1523"/>
    <mergeCell ref="B1534:D1534"/>
    <mergeCell ref="B1460:D1460"/>
    <mergeCell ref="A1464:A1481"/>
    <mergeCell ref="E1470:F1470"/>
    <mergeCell ref="B1481:D1481"/>
    <mergeCell ref="A2040:A2057"/>
    <mergeCell ref="E2046:F2046"/>
    <mergeCell ref="B2057:D2057"/>
    <mergeCell ref="B2062:D2062"/>
    <mergeCell ref="A1857:A1874"/>
    <mergeCell ref="E1863:F1863"/>
    <mergeCell ref="B1874:D1874"/>
    <mergeCell ref="B1879:D1879"/>
    <mergeCell ref="B1957:D1957"/>
    <mergeCell ref="A1961:A1978"/>
    <mergeCell ref="E1967:F1967"/>
    <mergeCell ref="B1978:D1978"/>
    <mergeCell ref="A1883:A1900"/>
    <mergeCell ref="E1889:F1889"/>
    <mergeCell ref="B1900:D1900"/>
    <mergeCell ref="B1905:D1905"/>
    <mergeCell ref="A1909:A1926"/>
    <mergeCell ref="E1915:F1915"/>
    <mergeCell ref="B1926:D1926"/>
    <mergeCell ref="B1931:D1931"/>
    <mergeCell ref="A1935:A1952"/>
    <mergeCell ref="E1941:F1941"/>
    <mergeCell ref="B1952:D1952"/>
    <mergeCell ref="B2686:D2686"/>
    <mergeCell ref="A2690:A2707"/>
    <mergeCell ref="E2696:F2696"/>
    <mergeCell ref="B2707:D2707"/>
    <mergeCell ref="B2140:D2140"/>
    <mergeCell ref="A2144:A2161"/>
    <mergeCell ref="E2150:F2150"/>
    <mergeCell ref="B2161:D2161"/>
    <mergeCell ref="B1984:D1984"/>
    <mergeCell ref="A1988:A2005"/>
    <mergeCell ref="E1994:F1994"/>
    <mergeCell ref="B2005:D2005"/>
    <mergeCell ref="B2010:D2010"/>
    <mergeCell ref="A2014:A2031"/>
    <mergeCell ref="E2020:F2020"/>
    <mergeCell ref="B2031:D2031"/>
    <mergeCell ref="A2092:A2109"/>
    <mergeCell ref="E2098:F2098"/>
    <mergeCell ref="B2109:D2109"/>
    <mergeCell ref="B2114:D2114"/>
    <mergeCell ref="A2118:A2135"/>
    <mergeCell ref="E2124:F2124"/>
    <mergeCell ref="B2135:D2135"/>
    <mergeCell ref="B2036:D2036"/>
    <mergeCell ref="A3055:A3072"/>
    <mergeCell ref="E3061:F3061"/>
    <mergeCell ref="B3072:D3072"/>
    <mergeCell ref="B3077:D3077"/>
    <mergeCell ref="A3081:A3098"/>
    <mergeCell ref="B2843:D2843"/>
    <mergeCell ref="A2847:A2864"/>
    <mergeCell ref="E2853:F2853"/>
    <mergeCell ref="B2864:D2864"/>
    <mergeCell ref="B2869:D2869"/>
    <mergeCell ref="A2873:A2890"/>
    <mergeCell ref="E2879:F2879"/>
    <mergeCell ref="B2890:D2890"/>
    <mergeCell ref="B2895:D2895"/>
    <mergeCell ref="E3087:F3087"/>
    <mergeCell ref="B3098:D3098"/>
    <mergeCell ref="B2999:D2999"/>
    <mergeCell ref="A3003:A3020"/>
    <mergeCell ref="E3009:F3009"/>
    <mergeCell ref="B3020:D3020"/>
    <mergeCell ref="B3025:D3025"/>
    <mergeCell ref="A3029:A3046"/>
    <mergeCell ref="E3035:F3035"/>
    <mergeCell ref="B3046:D3046"/>
    <mergeCell ref="B2973:D2973"/>
    <mergeCell ref="A2977:A2994"/>
    <mergeCell ref="E2983:F2983"/>
    <mergeCell ref="B2994:D2994"/>
    <mergeCell ref="A2899:A2916"/>
    <mergeCell ref="E2905:F2905"/>
    <mergeCell ref="B2916:D2916"/>
    <mergeCell ref="B2921:D2921"/>
    <mergeCell ref="A2925:A2942"/>
    <mergeCell ref="E2931:F2931"/>
    <mergeCell ref="B2942:D2942"/>
    <mergeCell ref="B2947:D2947"/>
    <mergeCell ref="A2951:A2968"/>
    <mergeCell ref="E2957:F2957"/>
    <mergeCell ref="B2968:D2968"/>
    <mergeCell ref="B3675:D3675"/>
    <mergeCell ref="A3679:A3696"/>
    <mergeCell ref="E3685:F3685"/>
    <mergeCell ref="B3696:D3696"/>
    <mergeCell ref="B3701:D3701"/>
    <mergeCell ref="A3705:A3722"/>
    <mergeCell ref="E3711:F3711"/>
    <mergeCell ref="B3722:D3722"/>
    <mergeCell ref="B3649:D3649"/>
    <mergeCell ref="A3653:A3670"/>
    <mergeCell ref="E3659:F3659"/>
    <mergeCell ref="B3670:D3670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724EF-5169-4156-A6FC-4F3AA00D247F}">
  <dimension ref="B1:X450"/>
  <sheetViews>
    <sheetView zoomScale="108" workbookViewId="0">
      <pane xSplit="2" ySplit="4" topLeftCell="G246" activePane="bottomRight" state="frozen"/>
      <selection pane="topRight" activeCell="C1" sqref="C1"/>
      <selection pane="bottomLeft" activeCell="A5" sqref="A5"/>
      <selection pane="bottomRight" activeCell="N252" sqref="N252"/>
    </sheetView>
  </sheetViews>
  <sheetFormatPr defaultRowHeight="14.5" x14ac:dyDescent="0.35"/>
  <cols>
    <col min="1" max="1" width="3.1796875" customWidth="1"/>
    <col min="2" max="2" width="15.6328125" style="119" bestFit="1" customWidth="1"/>
    <col min="3" max="3" width="9.81640625" style="120" bestFit="1" customWidth="1"/>
    <col min="4" max="4" width="26.26953125" style="120" bestFit="1" customWidth="1"/>
    <col min="5" max="5" width="15.6328125" bestFit="1" customWidth="1"/>
    <col min="6" max="6" width="34" style="120" bestFit="1" customWidth="1"/>
    <col min="7" max="7" width="15.54296875" style="121" bestFit="1" customWidth="1"/>
    <col min="8" max="8" width="14.6328125" bestFit="1" customWidth="1"/>
    <col min="9" max="9" width="14.90625" bestFit="1" customWidth="1"/>
    <col min="10" max="10" width="2.54296875" customWidth="1"/>
    <col min="11" max="11" width="12.26953125" style="123" customWidth="1"/>
    <col min="12" max="12" width="9.81640625" bestFit="1" customWidth="1"/>
    <col min="13" max="13" width="14.81640625" bestFit="1" customWidth="1"/>
    <col min="14" max="14" width="22.6328125" bestFit="1" customWidth="1"/>
    <col min="15" max="15" width="2.54296875" customWidth="1"/>
    <col min="16" max="16" width="12.26953125" style="121" bestFit="1" customWidth="1"/>
    <col min="17" max="17" width="9.81640625" bestFit="1" customWidth="1"/>
    <col min="18" max="18" width="13.54296875" bestFit="1" customWidth="1"/>
    <col min="19" max="19" width="22.90625" bestFit="1" customWidth="1"/>
    <col min="20" max="20" width="3.1796875" customWidth="1"/>
    <col min="21" max="21" width="12.26953125" style="121" bestFit="1" customWidth="1"/>
    <col min="22" max="22" width="15.453125" style="118" bestFit="1" customWidth="1"/>
    <col min="23" max="23" width="2.453125" customWidth="1"/>
    <col min="24" max="24" width="17.7265625" bestFit="1" customWidth="1"/>
  </cols>
  <sheetData>
    <row r="1" spans="2:24" ht="15" thickBot="1" x14ac:dyDescent="0.4">
      <c r="J1" s="122"/>
      <c r="O1" s="122"/>
      <c r="S1" s="121"/>
      <c r="T1" s="122"/>
      <c r="W1" s="122"/>
    </row>
    <row r="2" spans="2:24" ht="15" thickBot="1" x14ac:dyDescent="0.4">
      <c r="H2" s="178" t="s">
        <v>0</v>
      </c>
      <c r="I2" s="179"/>
      <c r="J2" s="179"/>
      <c r="K2" s="179"/>
      <c r="L2" s="179"/>
      <c r="M2" s="179"/>
      <c r="N2" s="179"/>
      <c r="O2" s="180"/>
      <c r="P2" s="124"/>
      <c r="Q2" s="125"/>
      <c r="R2" s="124"/>
      <c r="S2" s="126"/>
      <c r="T2" s="125"/>
      <c r="W2" s="122"/>
    </row>
    <row r="3" spans="2:24" ht="15" thickBot="1" x14ac:dyDescent="0.4">
      <c r="B3" s="181" t="s">
        <v>77</v>
      </c>
      <c r="C3" s="183" t="s">
        <v>78</v>
      </c>
      <c r="D3" s="183" t="s">
        <v>64</v>
      </c>
      <c r="E3" s="183" t="s">
        <v>79</v>
      </c>
      <c r="F3" s="183" t="s">
        <v>80</v>
      </c>
      <c r="G3" s="186" t="s">
        <v>81</v>
      </c>
      <c r="H3" s="187"/>
      <c r="I3" s="188"/>
      <c r="J3" s="189"/>
      <c r="K3" s="192" t="s">
        <v>82</v>
      </c>
      <c r="L3" s="193"/>
      <c r="M3" s="194"/>
      <c r="N3" s="195" t="s">
        <v>83</v>
      </c>
      <c r="O3" s="189"/>
      <c r="P3" s="192" t="s">
        <v>84</v>
      </c>
      <c r="Q3" s="193"/>
      <c r="R3" s="194"/>
      <c r="S3" s="195" t="s">
        <v>83</v>
      </c>
      <c r="T3" s="189"/>
      <c r="U3" s="197" t="s">
        <v>85</v>
      </c>
      <c r="V3" s="198"/>
      <c r="W3" s="189"/>
      <c r="X3" s="183" t="s">
        <v>86</v>
      </c>
    </row>
    <row r="4" spans="2:24" ht="15" thickBot="1" x14ac:dyDescent="0.4">
      <c r="B4" s="182"/>
      <c r="C4" s="184"/>
      <c r="D4" s="184"/>
      <c r="E4" s="184"/>
      <c r="F4" s="185"/>
      <c r="G4" s="127" t="s">
        <v>87</v>
      </c>
      <c r="H4" s="128" t="s">
        <v>88</v>
      </c>
      <c r="I4" s="128" t="s">
        <v>89</v>
      </c>
      <c r="J4" s="190"/>
      <c r="K4" s="129" t="s">
        <v>87</v>
      </c>
      <c r="L4" s="128" t="s">
        <v>88</v>
      </c>
      <c r="M4" s="128" t="s">
        <v>89</v>
      </c>
      <c r="N4" s="196"/>
      <c r="O4" s="190"/>
      <c r="P4" s="127" t="s">
        <v>87</v>
      </c>
      <c r="Q4" s="128" t="s">
        <v>88</v>
      </c>
      <c r="R4" s="128" t="s">
        <v>89</v>
      </c>
      <c r="S4" s="196"/>
      <c r="T4" s="190"/>
      <c r="U4" s="127" t="s">
        <v>87</v>
      </c>
      <c r="V4" s="130" t="s">
        <v>89</v>
      </c>
      <c r="W4" s="190"/>
      <c r="X4" s="185"/>
    </row>
    <row r="5" spans="2:24" x14ac:dyDescent="0.35">
      <c r="B5" s="131" t="s">
        <v>90</v>
      </c>
      <c r="C5" s="132" t="s">
        <v>93</v>
      </c>
      <c r="D5" s="132" t="s">
        <v>94</v>
      </c>
      <c r="E5" s="133" t="s">
        <v>59</v>
      </c>
      <c r="F5" s="133" t="s">
        <v>50</v>
      </c>
      <c r="G5" s="134">
        <v>5000</v>
      </c>
      <c r="H5" s="135">
        <v>2445</v>
      </c>
      <c r="I5" s="135">
        <f>G5*H5</f>
        <v>12225000</v>
      </c>
      <c r="J5" s="190"/>
      <c r="K5" s="144">
        <v>3000</v>
      </c>
      <c r="L5" s="137">
        <f>H5</f>
        <v>2445</v>
      </c>
      <c r="M5" s="135">
        <f>K5*L5</f>
        <v>7335000</v>
      </c>
      <c r="N5" s="138" t="s">
        <v>131</v>
      </c>
      <c r="O5" s="190"/>
      <c r="P5" s="136">
        <v>0</v>
      </c>
      <c r="Q5" s="137">
        <f>H5</f>
        <v>2445</v>
      </c>
      <c r="R5" s="135">
        <f>P5*Q5</f>
        <v>0</v>
      </c>
      <c r="S5" s="139" t="s">
        <v>92</v>
      </c>
      <c r="T5" s="190"/>
      <c r="U5" s="134">
        <f t="shared" ref="U5:U36" si="0">G5-K5-P5</f>
        <v>2000</v>
      </c>
      <c r="V5" s="135">
        <f t="shared" ref="V5:V36" si="1">I5-M5-R5</f>
        <v>4890000</v>
      </c>
      <c r="W5" s="190"/>
      <c r="X5" s="133"/>
    </row>
    <row r="6" spans="2:24" x14ac:dyDescent="0.35">
      <c r="B6" s="140" t="s">
        <v>91</v>
      </c>
      <c r="C6" s="141" t="s">
        <v>96</v>
      </c>
      <c r="D6" s="142" t="s">
        <v>97</v>
      </c>
      <c r="E6" s="143" t="s">
        <v>59</v>
      </c>
      <c r="F6" s="143" t="s">
        <v>50</v>
      </c>
      <c r="G6" s="144">
        <v>5000</v>
      </c>
      <c r="H6" s="145">
        <v>2445</v>
      </c>
      <c r="I6" s="145">
        <f>G6*H6</f>
        <v>12225000</v>
      </c>
      <c r="J6" s="190"/>
      <c r="K6" s="144">
        <v>3000</v>
      </c>
      <c r="L6" s="146">
        <f>H6</f>
        <v>2445</v>
      </c>
      <c r="M6" s="147">
        <f>K6*L6</f>
        <v>7335000</v>
      </c>
      <c r="N6" s="138" t="s">
        <v>131</v>
      </c>
      <c r="O6" s="190"/>
      <c r="P6" s="148">
        <v>2000</v>
      </c>
      <c r="Q6" s="146">
        <f>H6</f>
        <v>2445</v>
      </c>
      <c r="R6" s="147">
        <f>P6*Q6</f>
        <v>4890000</v>
      </c>
      <c r="S6" s="149" t="s">
        <v>654</v>
      </c>
      <c r="T6" s="190"/>
      <c r="U6" s="148">
        <f t="shared" si="0"/>
        <v>0</v>
      </c>
      <c r="V6" s="147">
        <f t="shared" si="1"/>
        <v>0</v>
      </c>
      <c r="W6" s="190"/>
      <c r="X6" s="150"/>
    </row>
    <row r="7" spans="2:24" x14ac:dyDescent="0.35">
      <c r="B7" s="140" t="s">
        <v>100</v>
      </c>
      <c r="C7" s="141" t="s">
        <v>101</v>
      </c>
      <c r="D7" s="142" t="s">
        <v>102</v>
      </c>
      <c r="E7" s="143" t="s">
        <v>59</v>
      </c>
      <c r="F7" s="143" t="s">
        <v>103</v>
      </c>
      <c r="G7" s="144">
        <v>5000</v>
      </c>
      <c r="H7" s="145">
        <v>2445</v>
      </c>
      <c r="I7" s="145">
        <f t="shared" ref="I7" si="2">G7*H7</f>
        <v>12225000</v>
      </c>
      <c r="J7" s="190"/>
      <c r="K7" s="144">
        <v>3000</v>
      </c>
      <c r="L7" s="146">
        <f t="shared" ref="L7:L67" si="3">H7</f>
        <v>2445</v>
      </c>
      <c r="M7" s="147">
        <f t="shared" ref="M7:M67" si="4">K7*L7</f>
        <v>7335000</v>
      </c>
      <c r="N7" s="138" t="s">
        <v>129</v>
      </c>
      <c r="O7" s="190"/>
      <c r="P7" s="148">
        <v>1960</v>
      </c>
      <c r="Q7" s="146">
        <f t="shared" ref="Q7:Q70" si="5">H7</f>
        <v>2445</v>
      </c>
      <c r="R7" s="147">
        <f t="shared" ref="R7:R70" si="6">P7*Q7</f>
        <v>4792200</v>
      </c>
      <c r="S7" s="138" t="s">
        <v>689</v>
      </c>
      <c r="T7" s="190"/>
      <c r="U7" s="148">
        <f t="shared" si="0"/>
        <v>40</v>
      </c>
      <c r="V7" s="147">
        <f t="shared" si="1"/>
        <v>97800</v>
      </c>
      <c r="W7" s="190"/>
      <c r="X7" s="150" t="s">
        <v>693</v>
      </c>
    </row>
    <row r="8" spans="2:24" x14ac:dyDescent="0.35">
      <c r="B8" s="140" t="s">
        <v>106</v>
      </c>
      <c r="C8" s="150" t="s">
        <v>107</v>
      </c>
      <c r="D8" s="143" t="s">
        <v>108</v>
      </c>
      <c r="E8" s="143" t="s">
        <v>59</v>
      </c>
      <c r="F8" s="143" t="s">
        <v>50</v>
      </c>
      <c r="G8" s="144">
        <v>5000</v>
      </c>
      <c r="H8" s="145">
        <v>2445</v>
      </c>
      <c r="I8" s="145">
        <f t="shared" ref="I8:I70" si="7">G8*H8</f>
        <v>12225000</v>
      </c>
      <c r="J8" s="190"/>
      <c r="K8" s="144">
        <v>3000</v>
      </c>
      <c r="L8" s="146">
        <f t="shared" si="3"/>
        <v>2445</v>
      </c>
      <c r="M8" s="147">
        <f t="shared" si="4"/>
        <v>7335000</v>
      </c>
      <c r="N8" s="138" t="s">
        <v>132</v>
      </c>
      <c r="O8" s="190"/>
      <c r="P8" s="148">
        <v>2000</v>
      </c>
      <c r="Q8" s="146">
        <f>H8</f>
        <v>2445</v>
      </c>
      <c r="R8" s="147">
        <f>P8*Q8</f>
        <v>4890000</v>
      </c>
      <c r="S8" s="149" t="s">
        <v>654</v>
      </c>
      <c r="T8" s="190"/>
      <c r="U8" s="148">
        <f t="shared" si="0"/>
        <v>0</v>
      </c>
      <c r="V8" s="147">
        <f t="shared" si="1"/>
        <v>0</v>
      </c>
      <c r="W8" s="190"/>
      <c r="X8" s="143"/>
    </row>
    <row r="9" spans="2:24" x14ac:dyDescent="0.35">
      <c r="B9" s="140" t="s">
        <v>110</v>
      </c>
      <c r="C9" s="151" t="s">
        <v>111</v>
      </c>
      <c r="D9" s="143" t="s">
        <v>112</v>
      </c>
      <c r="E9" s="143" t="s">
        <v>59</v>
      </c>
      <c r="F9" s="143" t="s">
        <v>50</v>
      </c>
      <c r="G9" s="144">
        <v>5000</v>
      </c>
      <c r="H9" s="145">
        <v>2445</v>
      </c>
      <c r="I9" s="145">
        <f t="shared" si="7"/>
        <v>12225000</v>
      </c>
      <c r="J9" s="190"/>
      <c r="K9" s="144">
        <v>3000</v>
      </c>
      <c r="L9" s="146">
        <f t="shared" si="3"/>
        <v>2445</v>
      </c>
      <c r="M9" s="147">
        <f t="shared" si="4"/>
        <v>7335000</v>
      </c>
      <c r="N9" s="138" t="s">
        <v>132</v>
      </c>
      <c r="O9" s="190"/>
      <c r="P9" s="148">
        <v>2000</v>
      </c>
      <c r="Q9" s="146">
        <f t="shared" si="5"/>
        <v>2445</v>
      </c>
      <c r="R9" s="147">
        <f t="shared" si="6"/>
        <v>4890000</v>
      </c>
      <c r="S9" s="138" t="s">
        <v>653</v>
      </c>
      <c r="T9" s="190"/>
      <c r="U9" s="148">
        <f t="shared" si="0"/>
        <v>0</v>
      </c>
      <c r="V9" s="147">
        <f t="shared" si="1"/>
        <v>0</v>
      </c>
      <c r="W9" s="190"/>
      <c r="X9" s="143"/>
    </row>
    <row r="10" spans="2:24" x14ac:dyDescent="0.35">
      <c r="B10" s="172" t="s">
        <v>121</v>
      </c>
      <c r="C10" s="150" t="s">
        <v>116</v>
      </c>
      <c r="D10" s="143" t="s">
        <v>123</v>
      </c>
      <c r="E10" s="143" t="s">
        <v>119</v>
      </c>
      <c r="F10" s="143" t="s">
        <v>120</v>
      </c>
      <c r="G10" s="144">
        <v>1932.57</v>
      </c>
      <c r="H10" s="145">
        <v>2438</v>
      </c>
      <c r="I10" s="145">
        <f t="shared" si="7"/>
        <v>4711605.66</v>
      </c>
      <c r="J10" s="190"/>
      <c r="K10" s="144">
        <v>1932.57</v>
      </c>
      <c r="L10" s="146">
        <f t="shared" si="3"/>
        <v>2438</v>
      </c>
      <c r="M10" s="147">
        <f t="shared" si="4"/>
        <v>4711605.66</v>
      </c>
      <c r="N10" s="138" t="s">
        <v>130</v>
      </c>
      <c r="O10" s="190"/>
      <c r="P10" s="148">
        <v>0</v>
      </c>
      <c r="Q10" s="146">
        <f t="shared" si="5"/>
        <v>2438</v>
      </c>
      <c r="R10" s="147">
        <f t="shared" si="6"/>
        <v>0</v>
      </c>
      <c r="S10" s="138" t="s">
        <v>92</v>
      </c>
      <c r="T10" s="190"/>
      <c r="U10" s="148">
        <f t="shared" si="0"/>
        <v>0</v>
      </c>
      <c r="V10" s="147">
        <f t="shared" si="1"/>
        <v>0</v>
      </c>
      <c r="W10" s="190"/>
      <c r="X10" s="143"/>
    </row>
    <row r="11" spans="2:24" x14ac:dyDescent="0.35">
      <c r="B11" s="173"/>
      <c r="C11" s="143" t="s">
        <v>96</v>
      </c>
      <c r="D11" s="142" t="s">
        <v>124</v>
      </c>
      <c r="E11" s="143" t="s">
        <v>119</v>
      </c>
      <c r="F11" s="143" t="s">
        <v>120</v>
      </c>
      <c r="G11" s="144">
        <v>1910.37</v>
      </c>
      <c r="H11" s="145">
        <v>2438</v>
      </c>
      <c r="I11" s="145">
        <f t="shared" si="7"/>
        <v>4657482.0599999996</v>
      </c>
      <c r="J11" s="190"/>
      <c r="K11" s="144">
        <v>1910.37</v>
      </c>
      <c r="L11" s="146">
        <f t="shared" si="3"/>
        <v>2438</v>
      </c>
      <c r="M11" s="147">
        <f t="shared" si="4"/>
        <v>4657482.0599999996</v>
      </c>
      <c r="N11" s="138" t="s">
        <v>130</v>
      </c>
      <c r="O11" s="190"/>
      <c r="P11" s="148">
        <v>0</v>
      </c>
      <c r="Q11" s="146">
        <f>H11</f>
        <v>2438</v>
      </c>
      <c r="R11" s="147">
        <f>P11*Q11</f>
        <v>0</v>
      </c>
      <c r="S11" s="138" t="s">
        <v>92</v>
      </c>
      <c r="T11" s="190"/>
      <c r="U11" s="148">
        <f t="shared" si="0"/>
        <v>0</v>
      </c>
      <c r="V11" s="147">
        <f t="shared" si="1"/>
        <v>0</v>
      </c>
      <c r="W11" s="190"/>
      <c r="X11" s="143"/>
    </row>
    <row r="12" spans="2:24" x14ac:dyDescent="0.35">
      <c r="B12" s="173"/>
      <c r="C12" s="143" t="s">
        <v>117</v>
      </c>
      <c r="D12" s="142" t="s">
        <v>125</v>
      </c>
      <c r="E12" s="143" t="s">
        <v>119</v>
      </c>
      <c r="F12" s="143" t="s">
        <v>120</v>
      </c>
      <c r="G12" s="144">
        <v>2050.61</v>
      </c>
      <c r="H12" s="145">
        <v>2438</v>
      </c>
      <c r="I12" s="145">
        <f t="shared" si="7"/>
        <v>4999387.1800000006</v>
      </c>
      <c r="J12" s="190"/>
      <c r="K12" s="144">
        <v>2050.61</v>
      </c>
      <c r="L12" s="146">
        <f t="shared" si="3"/>
        <v>2438</v>
      </c>
      <c r="M12" s="147">
        <f t="shared" si="4"/>
        <v>4999387.1800000006</v>
      </c>
      <c r="N12" s="138" t="s">
        <v>130</v>
      </c>
      <c r="O12" s="190"/>
      <c r="P12" s="148">
        <v>0</v>
      </c>
      <c r="Q12" s="146">
        <f>H12</f>
        <v>2438</v>
      </c>
      <c r="R12" s="147">
        <f>P12*Q12</f>
        <v>0</v>
      </c>
      <c r="S12" s="138" t="s">
        <v>92</v>
      </c>
      <c r="T12" s="190"/>
      <c r="U12" s="148">
        <f t="shared" si="0"/>
        <v>0</v>
      </c>
      <c r="V12" s="147">
        <f t="shared" si="1"/>
        <v>0</v>
      </c>
      <c r="W12" s="190"/>
      <c r="X12" s="143"/>
    </row>
    <row r="13" spans="2:24" x14ac:dyDescent="0.35">
      <c r="B13" s="173"/>
      <c r="C13" s="143" t="s">
        <v>118</v>
      </c>
      <c r="D13" s="140" t="s">
        <v>126</v>
      </c>
      <c r="E13" s="143" t="s">
        <v>119</v>
      </c>
      <c r="F13" s="143" t="s">
        <v>120</v>
      </c>
      <c r="G13" s="144">
        <v>2053.88</v>
      </c>
      <c r="H13" s="145">
        <v>2438</v>
      </c>
      <c r="I13" s="145">
        <f t="shared" si="7"/>
        <v>5007359.4400000004</v>
      </c>
      <c r="J13" s="190"/>
      <c r="K13" s="144">
        <v>2053.88</v>
      </c>
      <c r="L13" s="146">
        <f t="shared" si="3"/>
        <v>2438</v>
      </c>
      <c r="M13" s="147">
        <f t="shared" si="4"/>
        <v>5007359.4400000004</v>
      </c>
      <c r="N13" s="138" t="s">
        <v>130</v>
      </c>
      <c r="O13" s="190"/>
      <c r="P13" s="148">
        <v>0</v>
      </c>
      <c r="Q13" s="146">
        <f t="shared" si="5"/>
        <v>2438</v>
      </c>
      <c r="R13" s="147">
        <f t="shared" si="6"/>
        <v>0</v>
      </c>
      <c r="S13" s="138" t="s">
        <v>92</v>
      </c>
      <c r="T13" s="190"/>
      <c r="U13" s="148">
        <f t="shared" si="0"/>
        <v>0</v>
      </c>
      <c r="V13" s="147">
        <f t="shared" si="1"/>
        <v>0</v>
      </c>
      <c r="W13" s="190"/>
      <c r="X13" s="143"/>
    </row>
    <row r="14" spans="2:24" x14ac:dyDescent="0.35">
      <c r="B14" s="173"/>
      <c r="C14" s="143" t="s">
        <v>101</v>
      </c>
      <c r="D14" s="142" t="s">
        <v>127</v>
      </c>
      <c r="E14" s="143" t="s">
        <v>119</v>
      </c>
      <c r="F14" s="143" t="s">
        <v>120</v>
      </c>
      <c r="G14" s="144">
        <v>2076.31</v>
      </c>
      <c r="H14" s="145">
        <v>2438</v>
      </c>
      <c r="I14" s="145">
        <f t="shared" si="7"/>
        <v>5062043.78</v>
      </c>
      <c r="J14" s="190"/>
      <c r="K14" s="144">
        <v>2076.31</v>
      </c>
      <c r="L14" s="146">
        <f t="shared" si="3"/>
        <v>2438</v>
      </c>
      <c r="M14" s="147">
        <f t="shared" si="4"/>
        <v>5062043.78</v>
      </c>
      <c r="N14" s="138" t="s">
        <v>130</v>
      </c>
      <c r="O14" s="190"/>
      <c r="P14" s="148">
        <v>0</v>
      </c>
      <c r="Q14" s="146">
        <f>H14</f>
        <v>2438</v>
      </c>
      <c r="R14" s="147">
        <f>P14*Q14</f>
        <v>0</v>
      </c>
      <c r="S14" s="138" t="s">
        <v>92</v>
      </c>
      <c r="T14" s="190"/>
      <c r="U14" s="148">
        <f t="shared" si="0"/>
        <v>0</v>
      </c>
      <c r="V14" s="147">
        <f t="shared" si="1"/>
        <v>0</v>
      </c>
      <c r="W14" s="190"/>
      <c r="X14" s="143"/>
    </row>
    <row r="15" spans="2:24" x14ac:dyDescent="0.35">
      <c r="B15" s="173"/>
      <c r="C15" s="143" t="s">
        <v>107</v>
      </c>
      <c r="D15" s="142" t="s">
        <v>122</v>
      </c>
      <c r="E15" s="143" t="s">
        <v>119</v>
      </c>
      <c r="F15" s="143" t="s">
        <v>120</v>
      </c>
      <c r="G15" s="144">
        <v>1922.94</v>
      </c>
      <c r="H15" s="145">
        <v>2438</v>
      </c>
      <c r="I15" s="145">
        <f t="shared" si="7"/>
        <v>4688127.72</v>
      </c>
      <c r="J15" s="190"/>
      <c r="K15" s="144">
        <v>1922.94</v>
      </c>
      <c r="L15" s="146">
        <f t="shared" si="3"/>
        <v>2438</v>
      </c>
      <c r="M15" s="147">
        <f t="shared" si="4"/>
        <v>4688127.72</v>
      </c>
      <c r="N15" s="138" t="s">
        <v>130</v>
      </c>
      <c r="O15" s="190"/>
      <c r="P15" s="148">
        <v>0</v>
      </c>
      <c r="Q15" s="146">
        <f>H15</f>
        <v>2438</v>
      </c>
      <c r="R15" s="147">
        <f>P15*Q15</f>
        <v>0</v>
      </c>
      <c r="S15" s="138" t="s">
        <v>92</v>
      </c>
      <c r="T15" s="190"/>
      <c r="U15" s="152">
        <f t="shared" si="0"/>
        <v>0</v>
      </c>
      <c r="V15" s="147">
        <f t="shared" si="1"/>
        <v>0</v>
      </c>
      <c r="W15" s="190"/>
      <c r="X15" s="143"/>
    </row>
    <row r="16" spans="2:24" x14ac:dyDescent="0.35">
      <c r="B16" s="174"/>
      <c r="C16" s="141" t="s">
        <v>111</v>
      </c>
      <c r="D16" s="142" t="s">
        <v>128</v>
      </c>
      <c r="E16" s="143" t="s">
        <v>119</v>
      </c>
      <c r="F16" s="143" t="s">
        <v>120</v>
      </c>
      <c r="G16" s="144">
        <v>1927.04</v>
      </c>
      <c r="H16" s="145">
        <v>2438</v>
      </c>
      <c r="I16" s="145">
        <f t="shared" si="7"/>
        <v>4698123.5199999996</v>
      </c>
      <c r="J16" s="190"/>
      <c r="K16" s="144">
        <v>1927.04</v>
      </c>
      <c r="L16" s="146">
        <f t="shared" si="3"/>
        <v>2438</v>
      </c>
      <c r="M16" s="147">
        <f t="shared" si="4"/>
        <v>4698123.5199999996</v>
      </c>
      <c r="N16" s="138" t="s">
        <v>130</v>
      </c>
      <c r="O16" s="190"/>
      <c r="P16" s="148">
        <v>0</v>
      </c>
      <c r="Q16" s="146">
        <f>H16</f>
        <v>2438</v>
      </c>
      <c r="R16" s="147">
        <f>P16*Q16</f>
        <v>0</v>
      </c>
      <c r="S16" s="138" t="s">
        <v>92</v>
      </c>
      <c r="T16" s="190"/>
      <c r="U16" s="152">
        <f t="shared" si="0"/>
        <v>0</v>
      </c>
      <c r="V16" s="147">
        <f t="shared" si="1"/>
        <v>0</v>
      </c>
      <c r="W16" s="190"/>
      <c r="X16" s="143"/>
    </row>
    <row r="17" spans="2:24" x14ac:dyDescent="0.35">
      <c r="B17" s="140" t="s">
        <v>134</v>
      </c>
      <c r="C17" s="141" t="s">
        <v>135</v>
      </c>
      <c r="D17" s="140" t="s">
        <v>136</v>
      </c>
      <c r="E17" s="141" t="s">
        <v>59</v>
      </c>
      <c r="F17" s="143" t="s">
        <v>50</v>
      </c>
      <c r="G17" s="144">
        <v>5000</v>
      </c>
      <c r="H17" s="145">
        <v>2445</v>
      </c>
      <c r="I17" s="145">
        <f t="shared" si="7"/>
        <v>12225000</v>
      </c>
      <c r="J17" s="190"/>
      <c r="K17" s="144">
        <v>3000</v>
      </c>
      <c r="L17" s="146">
        <f t="shared" si="3"/>
        <v>2445</v>
      </c>
      <c r="M17" s="147">
        <f t="shared" si="4"/>
        <v>7335000</v>
      </c>
      <c r="N17" s="138" t="s">
        <v>182</v>
      </c>
      <c r="O17" s="190"/>
      <c r="P17" s="148">
        <v>2000</v>
      </c>
      <c r="Q17" s="146">
        <f>H17</f>
        <v>2445</v>
      </c>
      <c r="R17" s="147">
        <f>P17*Q17</f>
        <v>4890000</v>
      </c>
      <c r="S17" s="138" t="s">
        <v>652</v>
      </c>
      <c r="T17" s="190"/>
      <c r="U17" s="148">
        <f t="shared" si="0"/>
        <v>0</v>
      </c>
      <c r="V17" s="147">
        <f t="shared" si="1"/>
        <v>0</v>
      </c>
      <c r="W17" s="190"/>
      <c r="X17" s="143"/>
    </row>
    <row r="18" spans="2:24" x14ac:dyDescent="0.35">
      <c r="B18" s="140" t="s">
        <v>142</v>
      </c>
      <c r="C18" s="143" t="s">
        <v>143</v>
      </c>
      <c r="D18" s="143" t="s">
        <v>144</v>
      </c>
      <c r="E18" s="141" t="s">
        <v>59</v>
      </c>
      <c r="F18" s="143" t="s">
        <v>50</v>
      </c>
      <c r="G18" s="144">
        <v>5000</v>
      </c>
      <c r="H18" s="145">
        <v>2445</v>
      </c>
      <c r="I18" s="145">
        <f t="shared" si="7"/>
        <v>12225000</v>
      </c>
      <c r="J18" s="190"/>
      <c r="K18" s="144">
        <v>3000</v>
      </c>
      <c r="L18" s="146">
        <f t="shared" si="3"/>
        <v>2445</v>
      </c>
      <c r="M18" s="147">
        <f t="shared" si="4"/>
        <v>7335000</v>
      </c>
      <c r="N18" s="138" t="s">
        <v>182</v>
      </c>
      <c r="O18" s="190"/>
      <c r="P18" s="148">
        <v>2000</v>
      </c>
      <c r="Q18" s="146">
        <f t="shared" si="5"/>
        <v>2445</v>
      </c>
      <c r="R18" s="147">
        <f t="shared" si="6"/>
        <v>4890000</v>
      </c>
      <c r="S18" s="138" t="s">
        <v>652</v>
      </c>
      <c r="T18" s="190"/>
      <c r="U18" s="148">
        <f t="shared" si="0"/>
        <v>0</v>
      </c>
      <c r="V18" s="147">
        <f t="shared" si="1"/>
        <v>0</v>
      </c>
      <c r="W18" s="190"/>
      <c r="X18" s="143"/>
    </row>
    <row r="19" spans="2:24" x14ac:dyDescent="0.35">
      <c r="B19" s="140" t="s">
        <v>148</v>
      </c>
      <c r="C19" s="143" t="s">
        <v>149</v>
      </c>
      <c r="D19" s="141" t="s">
        <v>150</v>
      </c>
      <c r="E19" s="143" t="s">
        <v>151</v>
      </c>
      <c r="F19" s="143" t="s">
        <v>50</v>
      </c>
      <c r="G19" s="144">
        <v>5200</v>
      </c>
      <c r="H19" s="145">
        <v>2445</v>
      </c>
      <c r="I19" s="145">
        <f t="shared" si="7"/>
        <v>12714000</v>
      </c>
      <c r="J19" s="190"/>
      <c r="K19" s="144">
        <v>3120</v>
      </c>
      <c r="L19" s="146">
        <f t="shared" si="3"/>
        <v>2445</v>
      </c>
      <c r="M19" s="147">
        <f t="shared" si="4"/>
        <v>7628400</v>
      </c>
      <c r="N19" s="138" t="s">
        <v>182</v>
      </c>
      <c r="O19" s="190"/>
      <c r="P19" s="148">
        <v>2080</v>
      </c>
      <c r="Q19" s="146">
        <f t="shared" si="5"/>
        <v>2445</v>
      </c>
      <c r="R19" s="147">
        <f t="shared" si="6"/>
        <v>5085600</v>
      </c>
      <c r="S19" s="138" t="s">
        <v>653</v>
      </c>
      <c r="T19" s="190"/>
      <c r="U19" s="148">
        <f t="shared" si="0"/>
        <v>0</v>
      </c>
      <c r="V19" s="147">
        <f t="shared" si="1"/>
        <v>0</v>
      </c>
      <c r="W19" s="190"/>
      <c r="X19" s="143"/>
    </row>
    <row r="20" spans="2:24" x14ac:dyDescent="0.35">
      <c r="B20" s="140" t="s">
        <v>156</v>
      </c>
      <c r="C20" s="151" t="s">
        <v>157</v>
      </c>
      <c r="D20" s="143" t="s">
        <v>158</v>
      </c>
      <c r="E20" s="143" t="s">
        <v>59</v>
      </c>
      <c r="F20" s="143" t="s">
        <v>103</v>
      </c>
      <c r="G20" s="144">
        <v>5000</v>
      </c>
      <c r="H20" s="145">
        <v>2445</v>
      </c>
      <c r="I20" s="145">
        <f t="shared" si="7"/>
        <v>12225000</v>
      </c>
      <c r="J20" s="190"/>
      <c r="K20" s="144">
        <v>3000</v>
      </c>
      <c r="L20" s="146">
        <f t="shared" si="3"/>
        <v>2445</v>
      </c>
      <c r="M20" s="147">
        <f t="shared" si="4"/>
        <v>7335000</v>
      </c>
      <c r="N20" s="138" t="s">
        <v>181</v>
      </c>
      <c r="O20" s="190"/>
      <c r="P20" s="148">
        <v>2000</v>
      </c>
      <c r="Q20" s="146">
        <f t="shared" si="5"/>
        <v>2445</v>
      </c>
      <c r="R20" s="147">
        <f t="shared" si="6"/>
        <v>4890000</v>
      </c>
      <c r="S20" s="138" t="s">
        <v>694</v>
      </c>
      <c r="T20" s="190"/>
      <c r="U20" s="148">
        <f t="shared" si="0"/>
        <v>0</v>
      </c>
      <c r="V20" s="147">
        <f t="shared" si="1"/>
        <v>0</v>
      </c>
      <c r="W20" s="190"/>
      <c r="X20" s="143"/>
    </row>
    <row r="21" spans="2:24" x14ac:dyDescent="0.35">
      <c r="B21" s="140" t="s">
        <v>161</v>
      </c>
      <c r="C21" s="151" t="s">
        <v>162</v>
      </c>
      <c r="D21" s="142" t="s">
        <v>163</v>
      </c>
      <c r="E21" s="143" t="s">
        <v>59</v>
      </c>
      <c r="F21" s="143" t="s">
        <v>103</v>
      </c>
      <c r="G21" s="144">
        <v>5000</v>
      </c>
      <c r="H21" s="145">
        <v>2445</v>
      </c>
      <c r="I21" s="145">
        <f t="shared" si="7"/>
        <v>12225000</v>
      </c>
      <c r="J21" s="190"/>
      <c r="K21" s="144">
        <v>3000</v>
      </c>
      <c r="L21" s="146">
        <f t="shared" si="3"/>
        <v>2445</v>
      </c>
      <c r="M21" s="147">
        <f t="shared" si="4"/>
        <v>7335000</v>
      </c>
      <c r="N21" s="138" t="s">
        <v>181</v>
      </c>
      <c r="O21" s="190"/>
      <c r="P21" s="148">
        <v>2000</v>
      </c>
      <c r="Q21" s="146">
        <f t="shared" si="5"/>
        <v>2445</v>
      </c>
      <c r="R21" s="147">
        <f t="shared" si="6"/>
        <v>4890000</v>
      </c>
      <c r="S21" s="138" t="s">
        <v>689</v>
      </c>
      <c r="T21" s="190"/>
      <c r="U21" s="148">
        <f t="shared" si="0"/>
        <v>0</v>
      </c>
      <c r="V21" s="147">
        <f t="shared" si="1"/>
        <v>0</v>
      </c>
      <c r="W21" s="190"/>
      <c r="X21" s="143"/>
    </row>
    <row r="22" spans="2:24" x14ac:dyDescent="0.35">
      <c r="B22" s="140" t="s">
        <v>166</v>
      </c>
      <c r="C22" s="143" t="s">
        <v>167</v>
      </c>
      <c r="D22" s="143" t="s">
        <v>168</v>
      </c>
      <c r="E22" s="143" t="s">
        <v>59</v>
      </c>
      <c r="F22" s="143" t="s">
        <v>103</v>
      </c>
      <c r="G22" s="144">
        <v>5000</v>
      </c>
      <c r="H22" s="145">
        <v>2445</v>
      </c>
      <c r="I22" s="145">
        <f t="shared" si="7"/>
        <v>12225000</v>
      </c>
      <c r="J22" s="190"/>
      <c r="K22" s="144">
        <v>3000</v>
      </c>
      <c r="L22" s="146">
        <f t="shared" si="3"/>
        <v>2445</v>
      </c>
      <c r="M22" s="147">
        <f t="shared" si="4"/>
        <v>7335000</v>
      </c>
      <c r="N22" s="138" t="s">
        <v>181</v>
      </c>
      <c r="O22" s="190"/>
      <c r="P22" s="148">
        <v>2000</v>
      </c>
      <c r="Q22" s="146">
        <f t="shared" si="5"/>
        <v>2445</v>
      </c>
      <c r="R22" s="147">
        <f t="shared" si="6"/>
        <v>4890000</v>
      </c>
      <c r="S22" s="138" t="s">
        <v>689</v>
      </c>
      <c r="T22" s="190"/>
      <c r="U22" s="148">
        <f t="shared" si="0"/>
        <v>0</v>
      </c>
      <c r="V22" s="147">
        <f t="shared" si="1"/>
        <v>0</v>
      </c>
      <c r="W22" s="190"/>
      <c r="X22" s="143"/>
    </row>
    <row r="23" spans="2:24" x14ac:dyDescent="0.35">
      <c r="B23" s="140" t="s">
        <v>171</v>
      </c>
      <c r="C23" s="143" t="s">
        <v>167</v>
      </c>
      <c r="D23" s="142" t="s">
        <v>176</v>
      </c>
      <c r="E23" s="143" t="s">
        <v>119</v>
      </c>
      <c r="F23" s="143" t="s">
        <v>103</v>
      </c>
      <c r="G23" s="144">
        <v>1818</v>
      </c>
      <c r="H23" s="145">
        <v>2445</v>
      </c>
      <c r="I23" s="145">
        <f t="shared" si="7"/>
        <v>4445010</v>
      </c>
      <c r="J23" s="190"/>
      <c r="K23" s="144">
        <f t="shared" ref="K23:K28" si="8">G23</f>
        <v>1818</v>
      </c>
      <c r="L23" s="146">
        <f t="shared" si="3"/>
        <v>2445</v>
      </c>
      <c r="M23" s="147">
        <f t="shared" si="4"/>
        <v>4445010</v>
      </c>
      <c r="N23" s="138" t="s">
        <v>538</v>
      </c>
      <c r="O23" s="190"/>
      <c r="P23" s="148">
        <v>0</v>
      </c>
      <c r="Q23" s="146">
        <f t="shared" si="5"/>
        <v>2445</v>
      </c>
      <c r="R23" s="147">
        <f t="shared" si="6"/>
        <v>0</v>
      </c>
      <c r="S23" s="138" t="s">
        <v>92</v>
      </c>
      <c r="T23" s="190"/>
      <c r="U23" s="148">
        <f t="shared" si="0"/>
        <v>0</v>
      </c>
      <c r="V23" s="147">
        <f t="shared" si="1"/>
        <v>0</v>
      </c>
      <c r="W23" s="190"/>
      <c r="X23" s="143"/>
    </row>
    <row r="24" spans="2:24" x14ac:dyDescent="0.35">
      <c r="B24" s="140" t="s">
        <v>172</v>
      </c>
      <c r="C24" s="143" t="s">
        <v>162</v>
      </c>
      <c r="D24" s="142" t="s">
        <v>177</v>
      </c>
      <c r="E24" s="143" t="s">
        <v>119</v>
      </c>
      <c r="F24" s="143" t="s">
        <v>103</v>
      </c>
      <c r="G24" s="144">
        <v>1820</v>
      </c>
      <c r="H24" s="145">
        <v>2445</v>
      </c>
      <c r="I24" s="145">
        <f t="shared" si="7"/>
        <v>4449900</v>
      </c>
      <c r="J24" s="190"/>
      <c r="K24" s="144">
        <f t="shared" si="8"/>
        <v>1820</v>
      </c>
      <c r="L24" s="146">
        <f t="shared" si="3"/>
        <v>2445</v>
      </c>
      <c r="M24" s="147">
        <f t="shared" si="4"/>
        <v>4449900</v>
      </c>
      <c r="N24" s="138" t="s">
        <v>787</v>
      </c>
      <c r="O24" s="190"/>
      <c r="P24" s="148">
        <v>0</v>
      </c>
      <c r="Q24" s="146">
        <f t="shared" si="5"/>
        <v>2445</v>
      </c>
      <c r="R24" s="147">
        <f t="shared" si="6"/>
        <v>0</v>
      </c>
      <c r="S24" s="138" t="s">
        <v>92</v>
      </c>
      <c r="T24" s="190"/>
      <c r="U24" s="148">
        <f t="shared" si="0"/>
        <v>0</v>
      </c>
      <c r="V24" s="147">
        <f t="shared" si="1"/>
        <v>0</v>
      </c>
      <c r="W24" s="190"/>
      <c r="X24" s="143"/>
    </row>
    <row r="25" spans="2:24" x14ac:dyDescent="0.35">
      <c r="B25" s="140" t="s">
        <v>173</v>
      </c>
      <c r="C25" s="143" t="s">
        <v>135</v>
      </c>
      <c r="D25" s="142" t="s">
        <v>178</v>
      </c>
      <c r="E25" s="143" t="s">
        <v>119</v>
      </c>
      <c r="F25" s="143" t="s">
        <v>103</v>
      </c>
      <c r="G25" s="144">
        <v>1817</v>
      </c>
      <c r="H25" s="145">
        <v>2445</v>
      </c>
      <c r="I25" s="145">
        <f t="shared" si="7"/>
        <v>4442565</v>
      </c>
      <c r="J25" s="190"/>
      <c r="K25" s="144">
        <f t="shared" si="8"/>
        <v>1817</v>
      </c>
      <c r="L25" s="146">
        <f t="shared" ref="L25:L26" si="9">H25</f>
        <v>2445</v>
      </c>
      <c r="M25" s="147">
        <f t="shared" ref="M25:M26" si="10">K25*L25</f>
        <v>4442565</v>
      </c>
      <c r="N25" s="138" t="s">
        <v>538</v>
      </c>
      <c r="O25" s="190"/>
      <c r="P25" s="148">
        <v>0</v>
      </c>
      <c r="Q25" s="146">
        <f t="shared" si="5"/>
        <v>2445</v>
      </c>
      <c r="R25" s="147">
        <f t="shared" si="6"/>
        <v>0</v>
      </c>
      <c r="S25" s="138" t="s">
        <v>92</v>
      </c>
      <c r="T25" s="190"/>
      <c r="U25" s="148">
        <f t="shared" si="0"/>
        <v>0</v>
      </c>
      <c r="V25" s="147">
        <f t="shared" si="1"/>
        <v>0</v>
      </c>
      <c r="W25" s="190"/>
      <c r="X25" s="143"/>
    </row>
    <row r="26" spans="2:24" x14ac:dyDescent="0.35">
      <c r="B26" s="140" t="s">
        <v>174</v>
      </c>
      <c r="C26" s="143" t="s">
        <v>143</v>
      </c>
      <c r="D26" s="143" t="s">
        <v>180</v>
      </c>
      <c r="E26" s="143" t="s">
        <v>119</v>
      </c>
      <c r="F26" s="143" t="s">
        <v>103</v>
      </c>
      <c r="G26" s="144">
        <v>1817</v>
      </c>
      <c r="H26" s="145">
        <v>2445</v>
      </c>
      <c r="I26" s="145">
        <f t="shared" si="7"/>
        <v>4442565</v>
      </c>
      <c r="J26" s="190"/>
      <c r="K26" s="144">
        <f t="shared" si="8"/>
        <v>1817</v>
      </c>
      <c r="L26" s="146">
        <f t="shared" si="9"/>
        <v>2445</v>
      </c>
      <c r="M26" s="147">
        <f t="shared" si="10"/>
        <v>4442565</v>
      </c>
      <c r="N26" s="138" t="s">
        <v>539</v>
      </c>
      <c r="O26" s="190"/>
      <c r="P26" s="148">
        <v>0</v>
      </c>
      <c r="Q26" s="146">
        <f t="shared" si="5"/>
        <v>2445</v>
      </c>
      <c r="R26" s="147">
        <f t="shared" si="6"/>
        <v>0</v>
      </c>
      <c r="S26" s="138" t="s">
        <v>92</v>
      </c>
      <c r="T26" s="190"/>
      <c r="U26" s="148">
        <f t="shared" si="0"/>
        <v>0</v>
      </c>
      <c r="V26" s="147">
        <f t="shared" si="1"/>
        <v>0</v>
      </c>
      <c r="W26" s="190"/>
      <c r="X26" s="143"/>
    </row>
    <row r="27" spans="2:24" x14ac:dyDescent="0.35">
      <c r="B27" s="140" t="s">
        <v>175</v>
      </c>
      <c r="C27" s="153" t="s">
        <v>157</v>
      </c>
      <c r="D27" s="153" t="s">
        <v>179</v>
      </c>
      <c r="E27" s="143" t="s">
        <v>119</v>
      </c>
      <c r="F27" s="143" t="s">
        <v>103</v>
      </c>
      <c r="G27" s="144">
        <v>1818</v>
      </c>
      <c r="H27" s="145">
        <v>2445</v>
      </c>
      <c r="I27" s="145">
        <f t="shared" si="7"/>
        <v>4445010</v>
      </c>
      <c r="J27" s="190"/>
      <c r="K27" s="144">
        <f t="shared" si="8"/>
        <v>1818</v>
      </c>
      <c r="L27" s="146">
        <f t="shared" ref="L27" si="11">H27</f>
        <v>2445</v>
      </c>
      <c r="M27" s="147">
        <f t="shared" ref="M27" si="12">K27*L27</f>
        <v>4445010</v>
      </c>
      <c r="N27" s="138" t="s">
        <v>538</v>
      </c>
      <c r="O27" s="190"/>
      <c r="P27" s="148">
        <v>0</v>
      </c>
      <c r="Q27" s="146">
        <f t="shared" si="5"/>
        <v>2445</v>
      </c>
      <c r="R27" s="147">
        <f t="shared" si="6"/>
        <v>0</v>
      </c>
      <c r="S27" s="138" t="s">
        <v>92</v>
      </c>
      <c r="T27" s="190"/>
      <c r="U27" s="148">
        <f t="shared" si="0"/>
        <v>0</v>
      </c>
      <c r="V27" s="147">
        <f t="shared" si="1"/>
        <v>0</v>
      </c>
      <c r="W27" s="190"/>
      <c r="X27" s="143"/>
    </row>
    <row r="28" spans="2:24" x14ac:dyDescent="0.35">
      <c r="B28" s="172" t="s">
        <v>183</v>
      </c>
      <c r="C28" s="143" t="s">
        <v>149</v>
      </c>
      <c r="D28" s="142"/>
      <c r="E28" s="143" t="s">
        <v>119</v>
      </c>
      <c r="F28" s="143" t="s">
        <v>120</v>
      </c>
      <c r="G28" s="144">
        <v>2205.84</v>
      </c>
      <c r="H28" s="145">
        <v>2438</v>
      </c>
      <c r="I28" s="145">
        <f t="shared" si="7"/>
        <v>5377837.9199999999</v>
      </c>
      <c r="J28" s="190"/>
      <c r="K28" s="144">
        <f t="shared" si="8"/>
        <v>2205.84</v>
      </c>
      <c r="L28" s="146">
        <f t="shared" si="3"/>
        <v>2438</v>
      </c>
      <c r="M28" s="147">
        <f t="shared" si="4"/>
        <v>5377837.9199999999</v>
      </c>
      <c r="N28" s="138" t="s">
        <v>212</v>
      </c>
      <c r="O28" s="190"/>
      <c r="P28" s="148">
        <v>0</v>
      </c>
      <c r="Q28" s="146">
        <f t="shared" si="5"/>
        <v>2438</v>
      </c>
      <c r="R28" s="147">
        <f t="shared" si="6"/>
        <v>0</v>
      </c>
      <c r="S28" s="138" t="s">
        <v>92</v>
      </c>
      <c r="T28" s="190"/>
      <c r="U28" s="148">
        <f t="shared" si="0"/>
        <v>0</v>
      </c>
      <c r="V28" s="147">
        <f t="shared" si="1"/>
        <v>0</v>
      </c>
      <c r="W28" s="190"/>
      <c r="X28" s="143"/>
    </row>
    <row r="29" spans="2:24" x14ac:dyDescent="0.35">
      <c r="B29" s="173"/>
      <c r="C29" s="153" t="s">
        <v>43</v>
      </c>
      <c r="D29" s="153" t="s">
        <v>184</v>
      </c>
      <c r="E29" s="143" t="s">
        <v>119</v>
      </c>
      <c r="F29" s="143" t="s">
        <v>120</v>
      </c>
      <c r="G29" s="144">
        <v>2193.52</v>
      </c>
      <c r="H29" s="145">
        <v>2438</v>
      </c>
      <c r="I29" s="145">
        <f t="shared" si="7"/>
        <v>5347801.76</v>
      </c>
      <c r="J29" s="190"/>
      <c r="K29" s="144">
        <f t="shared" ref="K29:K32" si="13">G29</f>
        <v>2193.52</v>
      </c>
      <c r="L29" s="146">
        <f t="shared" ref="L29:L35" si="14">H29</f>
        <v>2438</v>
      </c>
      <c r="M29" s="147">
        <f t="shared" ref="M29:M35" si="15">K29*L29</f>
        <v>5347801.76</v>
      </c>
      <c r="N29" s="138" t="s">
        <v>212</v>
      </c>
      <c r="O29" s="190"/>
      <c r="P29" s="148">
        <v>0</v>
      </c>
      <c r="Q29" s="146">
        <f t="shared" si="5"/>
        <v>2438</v>
      </c>
      <c r="R29" s="147">
        <f t="shared" si="6"/>
        <v>0</v>
      </c>
      <c r="S29" s="138" t="s">
        <v>92</v>
      </c>
      <c r="T29" s="190"/>
      <c r="U29" s="148">
        <f t="shared" si="0"/>
        <v>0</v>
      </c>
      <c r="V29" s="147">
        <f t="shared" si="1"/>
        <v>0</v>
      </c>
      <c r="W29" s="190"/>
      <c r="X29" s="143"/>
    </row>
    <row r="30" spans="2:24" x14ac:dyDescent="0.35">
      <c r="B30" s="173"/>
      <c r="C30" s="143" t="s">
        <v>185</v>
      </c>
      <c r="D30" s="153" t="s">
        <v>184</v>
      </c>
      <c r="E30" s="143" t="s">
        <v>119</v>
      </c>
      <c r="F30" s="143" t="s">
        <v>120</v>
      </c>
      <c r="G30" s="144">
        <v>2193.9699999999998</v>
      </c>
      <c r="H30" s="145">
        <v>2438</v>
      </c>
      <c r="I30" s="145">
        <f t="shared" si="7"/>
        <v>5348898.8599999994</v>
      </c>
      <c r="J30" s="190"/>
      <c r="K30" s="144">
        <f t="shared" si="13"/>
        <v>2193.9699999999998</v>
      </c>
      <c r="L30" s="146">
        <f t="shared" si="14"/>
        <v>2438</v>
      </c>
      <c r="M30" s="147">
        <f t="shared" si="15"/>
        <v>5348898.8599999994</v>
      </c>
      <c r="N30" s="138" t="s">
        <v>212</v>
      </c>
      <c r="O30" s="190"/>
      <c r="P30" s="148">
        <v>0</v>
      </c>
      <c r="Q30" s="146">
        <f>H30</f>
        <v>2438</v>
      </c>
      <c r="R30" s="147">
        <f>P30*Q30</f>
        <v>0</v>
      </c>
      <c r="S30" s="138" t="s">
        <v>92</v>
      </c>
      <c r="T30" s="190"/>
      <c r="U30" s="148">
        <f t="shared" si="0"/>
        <v>0</v>
      </c>
      <c r="V30" s="147">
        <f t="shared" si="1"/>
        <v>0</v>
      </c>
      <c r="W30" s="190"/>
      <c r="X30" s="143"/>
    </row>
    <row r="31" spans="2:24" x14ac:dyDescent="0.35">
      <c r="B31" s="173"/>
      <c r="C31" s="143" t="s">
        <v>186</v>
      </c>
      <c r="D31" s="153" t="s">
        <v>184</v>
      </c>
      <c r="E31" s="143" t="s">
        <v>119</v>
      </c>
      <c r="F31" s="143" t="s">
        <v>120</v>
      </c>
      <c r="G31" s="144">
        <v>2207.23</v>
      </c>
      <c r="H31" s="145">
        <v>2438</v>
      </c>
      <c r="I31" s="145">
        <f t="shared" si="7"/>
        <v>5381226.7400000002</v>
      </c>
      <c r="J31" s="190"/>
      <c r="K31" s="144">
        <f t="shared" si="13"/>
        <v>2207.23</v>
      </c>
      <c r="L31" s="146">
        <f t="shared" si="14"/>
        <v>2438</v>
      </c>
      <c r="M31" s="147">
        <f t="shared" si="15"/>
        <v>5381226.7400000002</v>
      </c>
      <c r="N31" s="138" t="s">
        <v>212</v>
      </c>
      <c r="O31" s="190"/>
      <c r="P31" s="148">
        <v>0</v>
      </c>
      <c r="Q31" s="146">
        <f t="shared" si="5"/>
        <v>2438</v>
      </c>
      <c r="R31" s="147">
        <f t="shared" si="6"/>
        <v>0</v>
      </c>
      <c r="S31" s="138" t="s">
        <v>92</v>
      </c>
      <c r="T31" s="190"/>
      <c r="U31" s="148">
        <f t="shared" si="0"/>
        <v>0</v>
      </c>
      <c r="V31" s="147">
        <f t="shared" si="1"/>
        <v>0</v>
      </c>
      <c r="W31" s="190"/>
      <c r="X31" s="143"/>
    </row>
    <row r="32" spans="2:24" x14ac:dyDescent="0.35">
      <c r="B32" s="174"/>
      <c r="C32" s="143" t="s">
        <v>187</v>
      </c>
      <c r="D32" s="153" t="s">
        <v>184</v>
      </c>
      <c r="E32" s="143" t="s">
        <v>119</v>
      </c>
      <c r="F32" s="143" t="s">
        <v>120</v>
      </c>
      <c r="G32" s="144">
        <v>2228.13</v>
      </c>
      <c r="H32" s="145">
        <v>2438</v>
      </c>
      <c r="I32" s="145">
        <f t="shared" si="7"/>
        <v>5432180.9400000004</v>
      </c>
      <c r="J32" s="190"/>
      <c r="K32" s="144">
        <f t="shared" si="13"/>
        <v>2228.13</v>
      </c>
      <c r="L32" s="146">
        <f t="shared" si="14"/>
        <v>2438</v>
      </c>
      <c r="M32" s="147">
        <f t="shared" si="15"/>
        <v>5432180.9400000004</v>
      </c>
      <c r="N32" s="138" t="s">
        <v>212</v>
      </c>
      <c r="O32" s="190"/>
      <c r="P32" s="148">
        <v>0</v>
      </c>
      <c r="Q32" s="146">
        <f t="shared" si="5"/>
        <v>2438</v>
      </c>
      <c r="R32" s="147">
        <f t="shared" si="6"/>
        <v>0</v>
      </c>
      <c r="S32" s="138" t="s">
        <v>92</v>
      </c>
      <c r="T32" s="190"/>
      <c r="U32" s="154">
        <f t="shared" si="0"/>
        <v>0</v>
      </c>
      <c r="V32" s="155">
        <f t="shared" si="1"/>
        <v>0</v>
      </c>
      <c r="W32" s="190"/>
      <c r="X32" s="143"/>
    </row>
    <row r="33" spans="2:24" x14ac:dyDescent="0.35">
      <c r="B33" s="140" t="s">
        <v>190</v>
      </c>
      <c r="C33" s="143" t="s">
        <v>188</v>
      </c>
      <c r="D33" s="142" t="s">
        <v>189</v>
      </c>
      <c r="E33" s="143" t="s">
        <v>119</v>
      </c>
      <c r="F33" s="143" t="s">
        <v>103</v>
      </c>
      <c r="G33" s="144">
        <v>1817</v>
      </c>
      <c r="H33" s="145">
        <v>2445</v>
      </c>
      <c r="I33" s="145">
        <f t="shared" si="7"/>
        <v>4442565</v>
      </c>
      <c r="J33" s="190"/>
      <c r="K33" s="144">
        <f>G33</f>
        <v>1817</v>
      </c>
      <c r="L33" s="146">
        <f t="shared" si="14"/>
        <v>2445</v>
      </c>
      <c r="M33" s="147">
        <f t="shared" si="15"/>
        <v>4442565</v>
      </c>
      <c r="N33" s="138" t="s">
        <v>539</v>
      </c>
      <c r="O33" s="190"/>
      <c r="P33" s="148">
        <v>0</v>
      </c>
      <c r="Q33" s="146">
        <f t="shared" si="5"/>
        <v>2445</v>
      </c>
      <c r="R33" s="147">
        <f t="shared" si="6"/>
        <v>0</v>
      </c>
      <c r="S33" s="138" t="s">
        <v>92</v>
      </c>
      <c r="T33" s="190"/>
      <c r="U33" s="148">
        <f t="shared" si="0"/>
        <v>0</v>
      </c>
      <c r="V33" s="147">
        <f t="shared" si="1"/>
        <v>0</v>
      </c>
      <c r="W33" s="190"/>
      <c r="X33" s="143"/>
    </row>
    <row r="34" spans="2:24" x14ac:dyDescent="0.35">
      <c r="B34" s="140" t="s">
        <v>191</v>
      </c>
      <c r="C34" s="143" t="s">
        <v>192</v>
      </c>
      <c r="D34" s="142" t="s">
        <v>193</v>
      </c>
      <c r="E34" s="143" t="s">
        <v>119</v>
      </c>
      <c r="F34" s="143" t="s">
        <v>103</v>
      </c>
      <c r="G34" s="144">
        <v>1818</v>
      </c>
      <c r="H34" s="145">
        <v>2445</v>
      </c>
      <c r="I34" s="145">
        <f t="shared" si="7"/>
        <v>4445010</v>
      </c>
      <c r="J34" s="190"/>
      <c r="K34" s="144">
        <f>G34</f>
        <v>1818</v>
      </c>
      <c r="L34" s="146">
        <f t="shared" si="14"/>
        <v>2445</v>
      </c>
      <c r="M34" s="147">
        <f t="shared" si="15"/>
        <v>4445010</v>
      </c>
      <c r="N34" s="138" t="s">
        <v>539</v>
      </c>
      <c r="O34" s="190"/>
      <c r="P34" s="148">
        <v>0</v>
      </c>
      <c r="Q34" s="146">
        <f t="shared" si="5"/>
        <v>2445</v>
      </c>
      <c r="R34" s="147">
        <f t="shared" si="6"/>
        <v>0</v>
      </c>
      <c r="S34" s="138" t="s">
        <v>92</v>
      </c>
      <c r="T34" s="190"/>
      <c r="U34" s="148">
        <f t="shared" si="0"/>
        <v>0</v>
      </c>
      <c r="V34" s="147">
        <f t="shared" si="1"/>
        <v>0</v>
      </c>
      <c r="W34" s="190"/>
      <c r="X34" s="143"/>
    </row>
    <row r="35" spans="2:24" x14ac:dyDescent="0.35">
      <c r="B35" s="140" t="s">
        <v>194</v>
      </c>
      <c r="C35" s="150" t="s">
        <v>198</v>
      </c>
      <c r="D35" s="143" t="s">
        <v>199</v>
      </c>
      <c r="E35" s="143" t="s">
        <v>59</v>
      </c>
      <c r="F35" s="143" t="s">
        <v>200</v>
      </c>
      <c r="G35" s="144">
        <v>5000</v>
      </c>
      <c r="H35" s="145">
        <v>2450</v>
      </c>
      <c r="I35" s="145">
        <f t="shared" si="7"/>
        <v>12250000</v>
      </c>
      <c r="J35" s="190"/>
      <c r="K35" s="144">
        <v>5000</v>
      </c>
      <c r="L35" s="146">
        <f t="shared" si="14"/>
        <v>2450</v>
      </c>
      <c r="M35" s="147">
        <f t="shared" si="15"/>
        <v>12250000</v>
      </c>
      <c r="N35" s="138" t="s">
        <v>657</v>
      </c>
      <c r="O35" s="190"/>
      <c r="P35" s="148">
        <v>0</v>
      </c>
      <c r="Q35" s="146">
        <f t="shared" si="5"/>
        <v>2450</v>
      </c>
      <c r="R35" s="147">
        <f t="shared" si="6"/>
        <v>0</v>
      </c>
      <c r="S35" s="138" t="s">
        <v>92</v>
      </c>
      <c r="T35" s="190"/>
      <c r="U35" s="148">
        <f t="shared" si="0"/>
        <v>0</v>
      </c>
      <c r="V35" s="147">
        <f t="shared" si="1"/>
        <v>0</v>
      </c>
      <c r="W35" s="190"/>
      <c r="X35" s="143"/>
    </row>
    <row r="36" spans="2:24" x14ac:dyDescent="0.35">
      <c r="B36" s="140" t="s">
        <v>195</v>
      </c>
      <c r="C36" s="143" t="s">
        <v>201</v>
      </c>
      <c r="D36" s="140" t="s">
        <v>202</v>
      </c>
      <c r="E36" s="143" t="s">
        <v>151</v>
      </c>
      <c r="F36" s="143" t="s">
        <v>200</v>
      </c>
      <c r="G36" s="144">
        <v>5000</v>
      </c>
      <c r="H36" s="145">
        <v>2450</v>
      </c>
      <c r="I36" s="145">
        <f t="shared" si="7"/>
        <v>12250000</v>
      </c>
      <c r="J36" s="190"/>
      <c r="K36" s="144">
        <v>5000</v>
      </c>
      <c r="L36" s="146">
        <f t="shared" si="3"/>
        <v>2450</v>
      </c>
      <c r="M36" s="147">
        <f t="shared" si="4"/>
        <v>12250000</v>
      </c>
      <c r="N36" s="138" t="s">
        <v>656</v>
      </c>
      <c r="O36" s="190"/>
      <c r="P36" s="148">
        <v>0</v>
      </c>
      <c r="Q36" s="146">
        <f t="shared" si="5"/>
        <v>2450</v>
      </c>
      <c r="R36" s="147">
        <f t="shared" si="6"/>
        <v>0</v>
      </c>
      <c r="S36" s="138" t="s">
        <v>92</v>
      </c>
      <c r="T36" s="190"/>
      <c r="U36" s="148">
        <f t="shared" si="0"/>
        <v>0</v>
      </c>
      <c r="V36" s="147">
        <f t="shared" si="1"/>
        <v>0</v>
      </c>
      <c r="W36" s="190"/>
      <c r="X36" s="143"/>
    </row>
    <row r="37" spans="2:24" hidden="1" x14ac:dyDescent="0.35">
      <c r="B37" s="140" t="s">
        <v>196</v>
      </c>
      <c r="C37" s="143"/>
      <c r="D37" s="140"/>
      <c r="E37" s="143"/>
      <c r="F37" s="143"/>
      <c r="G37" s="144">
        <v>0</v>
      </c>
      <c r="H37" s="145">
        <v>0</v>
      </c>
      <c r="I37" s="145">
        <f t="shared" si="7"/>
        <v>0</v>
      </c>
      <c r="J37" s="190"/>
      <c r="K37" s="144">
        <v>0</v>
      </c>
      <c r="L37" s="146">
        <f t="shared" si="3"/>
        <v>0</v>
      </c>
      <c r="M37" s="147">
        <f t="shared" si="4"/>
        <v>0</v>
      </c>
      <c r="N37" s="138" t="s">
        <v>92</v>
      </c>
      <c r="O37" s="190"/>
      <c r="P37" s="148">
        <v>0</v>
      </c>
      <c r="Q37" s="146">
        <f t="shared" si="5"/>
        <v>0</v>
      </c>
      <c r="R37" s="147">
        <f t="shared" si="6"/>
        <v>0</v>
      </c>
      <c r="S37" s="138" t="s">
        <v>92</v>
      </c>
      <c r="T37" s="190"/>
      <c r="U37" s="148">
        <f t="shared" ref="U37:U68" si="16">G37-K37-P37</f>
        <v>0</v>
      </c>
      <c r="V37" s="147">
        <f t="shared" ref="V37:V68" si="17">I37-M37-R37</f>
        <v>0</v>
      </c>
      <c r="W37" s="190"/>
      <c r="X37" s="143"/>
    </row>
    <row r="38" spans="2:24" x14ac:dyDescent="0.35">
      <c r="B38" s="140" t="s">
        <v>197</v>
      </c>
      <c r="C38" s="143" t="s">
        <v>203</v>
      </c>
      <c r="D38" s="140" t="s">
        <v>204</v>
      </c>
      <c r="E38" s="143" t="s">
        <v>151</v>
      </c>
      <c r="F38" s="143" t="s">
        <v>200</v>
      </c>
      <c r="G38" s="144">
        <v>5000</v>
      </c>
      <c r="H38" s="145">
        <v>2450</v>
      </c>
      <c r="I38" s="145">
        <f t="shared" si="7"/>
        <v>12250000</v>
      </c>
      <c r="J38" s="190"/>
      <c r="K38" s="144">
        <v>5000</v>
      </c>
      <c r="L38" s="146">
        <f t="shared" si="3"/>
        <v>2450</v>
      </c>
      <c r="M38" s="147">
        <f t="shared" si="4"/>
        <v>12250000</v>
      </c>
      <c r="N38" s="138" t="s">
        <v>655</v>
      </c>
      <c r="O38" s="190"/>
      <c r="P38" s="148">
        <v>0</v>
      </c>
      <c r="Q38" s="146">
        <f>H38</f>
        <v>2450</v>
      </c>
      <c r="R38" s="147">
        <f>P38*Q38</f>
        <v>0</v>
      </c>
      <c r="S38" s="138" t="s">
        <v>92</v>
      </c>
      <c r="T38" s="190"/>
      <c r="U38" s="148">
        <f t="shared" si="16"/>
        <v>0</v>
      </c>
      <c r="V38" s="147">
        <f t="shared" si="17"/>
        <v>0</v>
      </c>
      <c r="W38" s="190"/>
      <c r="X38" s="143"/>
    </row>
    <row r="39" spans="2:24" x14ac:dyDescent="0.35">
      <c r="B39" s="140" t="s">
        <v>213</v>
      </c>
      <c r="C39" s="143" t="s">
        <v>186</v>
      </c>
      <c r="D39" s="140" t="s">
        <v>214</v>
      </c>
      <c r="E39" s="143" t="s">
        <v>151</v>
      </c>
      <c r="F39" s="143" t="s">
        <v>103</v>
      </c>
      <c r="G39" s="144">
        <v>5500</v>
      </c>
      <c r="H39" s="145">
        <v>2450</v>
      </c>
      <c r="I39" s="145">
        <f t="shared" si="7"/>
        <v>13475000</v>
      </c>
      <c r="J39" s="190"/>
      <c r="K39" s="144">
        <v>3300</v>
      </c>
      <c r="L39" s="146">
        <f t="shared" si="3"/>
        <v>2450</v>
      </c>
      <c r="M39" s="147">
        <f t="shared" si="4"/>
        <v>8085000</v>
      </c>
      <c r="N39" s="138" t="s">
        <v>358</v>
      </c>
      <c r="O39" s="190"/>
      <c r="P39" s="148">
        <v>2200</v>
      </c>
      <c r="Q39" s="146">
        <f t="shared" si="5"/>
        <v>2450</v>
      </c>
      <c r="R39" s="147">
        <f t="shared" si="6"/>
        <v>5390000</v>
      </c>
      <c r="S39" s="138" t="s">
        <v>738</v>
      </c>
      <c r="T39" s="190"/>
      <c r="U39" s="148">
        <f t="shared" si="16"/>
        <v>0</v>
      </c>
      <c r="V39" s="147">
        <f t="shared" si="17"/>
        <v>0</v>
      </c>
      <c r="W39" s="190"/>
      <c r="X39" s="143"/>
    </row>
    <row r="40" spans="2:24" x14ac:dyDescent="0.35">
      <c r="B40" s="140" t="s">
        <v>218</v>
      </c>
      <c r="C40" s="143" t="s">
        <v>43</v>
      </c>
      <c r="D40" s="140" t="s">
        <v>219</v>
      </c>
      <c r="E40" s="143" t="s">
        <v>59</v>
      </c>
      <c r="F40" s="143" t="s">
        <v>103</v>
      </c>
      <c r="G40" s="144">
        <v>5400</v>
      </c>
      <c r="H40" s="145">
        <v>2450</v>
      </c>
      <c r="I40" s="145">
        <f t="shared" si="7"/>
        <v>13230000</v>
      </c>
      <c r="J40" s="190"/>
      <c r="K40" s="144">
        <v>3240</v>
      </c>
      <c r="L40" s="146">
        <f t="shared" si="3"/>
        <v>2450</v>
      </c>
      <c r="M40" s="147">
        <f t="shared" si="4"/>
        <v>7938000</v>
      </c>
      <c r="N40" s="138" t="s">
        <v>352</v>
      </c>
      <c r="O40" s="190"/>
      <c r="P40" s="148">
        <v>2160</v>
      </c>
      <c r="Q40" s="146">
        <f>H40</f>
        <v>2450</v>
      </c>
      <c r="R40" s="147">
        <f>P40*Q40</f>
        <v>5292000</v>
      </c>
      <c r="S40" s="138" t="s">
        <v>739</v>
      </c>
      <c r="T40" s="190"/>
      <c r="U40" s="148">
        <f t="shared" si="16"/>
        <v>0</v>
      </c>
      <c r="V40" s="147">
        <f t="shared" si="17"/>
        <v>0</v>
      </c>
      <c r="W40" s="190"/>
      <c r="X40" s="143"/>
    </row>
    <row r="41" spans="2:24" x14ac:dyDescent="0.35">
      <c r="B41" s="140" t="s">
        <v>222</v>
      </c>
      <c r="C41" s="143" t="s">
        <v>223</v>
      </c>
      <c r="D41" s="140" t="s">
        <v>224</v>
      </c>
      <c r="E41" s="143" t="s">
        <v>59</v>
      </c>
      <c r="F41" s="143" t="s">
        <v>103</v>
      </c>
      <c r="G41" s="144">
        <v>5400</v>
      </c>
      <c r="H41" s="145">
        <v>2450</v>
      </c>
      <c r="I41" s="145">
        <f t="shared" si="7"/>
        <v>13230000</v>
      </c>
      <c r="J41" s="190"/>
      <c r="K41" s="144">
        <v>3240</v>
      </c>
      <c r="L41" s="146">
        <f t="shared" ref="L41:L42" si="18">H41</f>
        <v>2450</v>
      </c>
      <c r="M41" s="147">
        <f t="shared" ref="M41:M42" si="19">K41*L41</f>
        <v>7938000</v>
      </c>
      <c r="N41" s="138" t="s">
        <v>348</v>
      </c>
      <c r="O41" s="190"/>
      <c r="P41" s="148">
        <v>2120</v>
      </c>
      <c r="Q41" s="146">
        <f>H41</f>
        <v>2450</v>
      </c>
      <c r="R41" s="147">
        <f>P41*Q41</f>
        <v>5194000</v>
      </c>
      <c r="S41" s="138" t="s">
        <v>694</v>
      </c>
      <c r="T41" s="190"/>
      <c r="U41" s="148">
        <f t="shared" si="16"/>
        <v>40</v>
      </c>
      <c r="V41" s="147">
        <f t="shared" si="17"/>
        <v>98000</v>
      </c>
      <c r="W41" s="190"/>
      <c r="X41" s="143" t="s">
        <v>693</v>
      </c>
    </row>
    <row r="42" spans="2:24" x14ac:dyDescent="0.35">
      <c r="B42" s="140" t="s">
        <v>227</v>
      </c>
      <c r="C42" s="143" t="s">
        <v>192</v>
      </c>
      <c r="D42" s="143" t="s">
        <v>228</v>
      </c>
      <c r="E42" s="143" t="s">
        <v>151</v>
      </c>
      <c r="F42" s="143" t="s">
        <v>103</v>
      </c>
      <c r="G42" s="144">
        <v>5500</v>
      </c>
      <c r="H42" s="145">
        <v>2450</v>
      </c>
      <c r="I42" s="145">
        <f t="shared" si="7"/>
        <v>13475000</v>
      </c>
      <c r="J42" s="190"/>
      <c r="K42" s="144">
        <v>3300</v>
      </c>
      <c r="L42" s="146">
        <f t="shared" si="18"/>
        <v>2450</v>
      </c>
      <c r="M42" s="147">
        <f t="shared" si="19"/>
        <v>8085000</v>
      </c>
      <c r="N42" s="138" t="s">
        <v>358</v>
      </c>
      <c r="O42" s="190"/>
      <c r="P42" s="148">
        <v>2200</v>
      </c>
      <c r="Q42" s="146">
        <f>H42</f>
        <v>2450</v>
      </c>
      <c r="R42" s="147">
        <f>P42*Q42</f>
        <v>5390000</v>
      </c>
      <c r="S42" s="138" t="s">
        <v>802</v>
      </c>
      <c r="T42" s="190"/>
      <c r="U42" s="152">
        <f t="shared" si="16"/>
        <v>0</v>
      </c>
      <c r="V42" s="147">
        <f t="shared" si="17"/>
        <v>0</v>
      </c>
      <c r="W42" s="190"/>
      <c r="X42" s="143"/>
    </row>
    <row r="43" spans="2:24" x14ac:dyDescent="0.35">
      <c r="B43" s="140" t="s">
        <v>231</v>
      </c>
      <c r="C43" s="143" t="s">
        <v>232</v>
      </c>
      <c r="D43" s="140" t="s">
        <v>233</v>
      </c>
      <c r="E43" s="143" t="s">
        <v>59</v>
      </c>
      <c r="F43" s="143" t="s">
        <v>103</v>
      </c>
      <c r="G43" s="144">
        <v>5400</v>
      </c>
      <c r="H43" s="145">
        <v>2450</v>
      </c>
      <c r="I43" s="145">
        <f t="shared" si="7"/>
        <v>13230000</v>
      </c>
      <c r="J43" s="190"/>
      <c r="K43" s="144">
        <v>3240</v>
      </c>
      <c r="L43" s="146">
        <f t="shared" ref="L43" si="20">H43</f>
        <v>2450</v>
      </c>
      <c r="M43" s="147">
        <f t="shared" ref="M43" si="21">K43*L43</f>
        <v>7938000</v>
      </c>
      <c r="N43" s="138" t="s">
        <v>352</v>
      </c>
      <c r="O43" s="190"/>
      <c r="P43" s="148">
        <v>2160</v>
      </c>
      <c r="Q43" s="146">
        <f t="shared" si="5"/>
        <v>2450</v>
      </c>
      <c r="R43" s="147">
        <f t="shared" si="6"/>
        <v>5292000</v>
      </c>
      <c r="S43" s="138" t="s">
        <v>738</v>
      </c>
      <c r="T43" s="190"/>
      <c r="U43" s="152">
        <f t="shared" si="16"/>
        <v>0</v>
      </c>
      <c r="V43" s="147">
        <f t="shared" si="17"/>
        <v>0</v>
      </c>
      <c r="W43" s="190"/>
      <c r="X43" s="143"/>
    </row>
    <row r="44" spans="2:24" x14ac:dyDescent="0.35">
      <c r="B44" s="140" t="s">
        <v>237</v>
      </c>
      <c r="C44" s="143" t="s">
        <v>238</v>
      </c>
      <c r="D44" s="142" t="s">
        <v>239</v>
      </c>
      <c r="E44" s="143" t="s">
        <v>59</v>
      </c>
      <c r="F44" s="143" t="s">
        <v>103</v>
      </c>
      <c r="G44" s="144">
        <v>5400</v>
      </c>
      <c r="H44" s="145">
        <v>2450</v>
      </c>
      <c r="I44" s="145">
        <f t="shared" si="7"/>
        <v>13230000</v>
      </c>
      <c r="J44" s="190"/>
      <c r="K44" s="144">
        <v>3240</v>
      </c>
      <c r="L44" s="146">
        <f t="shared" ref="L44:L45" si="22">H44</f>
        <v>2450</v>
      </c>
      <c r="M44" s="147">
        <f t="shared" ref="M44:M45" si="23">K44*L44</f>
        <v>7938000</v>
      </c>
      <c r="N44" s="138" t="s">
        <v>351</v>
      </c>
      <c r="O44" s="190"/>
      <c r="P44" s="148">
        <v>2160</v>
      </c>
      <c r="Q44" s="146">
        <f>H44</f>
        <v>2450</v>
      </c>
      <c r="R44" s="147">
        <f>P44*Q44</f>
        <v>5292000</v>
      </c>
      <c r="S44" s="138" t="s">
        <v>739</v>
      </c>
      <c r="T44" s="190"/>
      <c r="U44" s="152">
        <f t="shared" si="16"/>
        <v>0</v>
      </c>
      <c r="V44" s="147">
        <f t="shared" si="17"/>
        <v>0</v>
      </c>
      <c r="W44" s="190"/>
      <c r="X44" s="143"/>
    </row>
    <row r="45" spans="2:24" x14ac:dyDescent="0.35">
      <c r="B45" s="140" t="s">
        <v>242</v>
      </c>
      <c r="C45" s="143" t="s">
        <v>243</v>
      </c>
      <c r="D45" s="142" t="s">
        <v>244</v>
      </c>
      <c r="E45" s="143" t="s">
        <v>59</v>
      </c>
      <c r="F45" s="143" t="s">
        <v>103</v>
      </c>
      <c r="G45" s="144">
        <v>5400</v>
      </c>
      <c r="H45" s="145">
        <v>2450</v>
      </c>
      <c r="I45" s="145">
        <f t="shared" si="7"/>
        <v>13230000</v>
      </c>
      <c r="J45" s="190"/>
      <c r="K45" s="144">
        <v>3240</v>
      </c>
      <c r="L45" s="146">
        <f t="shared" si="22"/>
        <v>2450</v>
      </c>
      <c r="M45" s="147">
        <f t="shared" si="23"/>
        <v>7938000</v>
      </c>
      <c r="N45" s="138" t="s">
        <v>352</v>
      </c>
      <c r="O45" s="190"/>
      <c r="P45" s="148">
        <v>2160</v>
      </c>
      <c r="Q45" s="146">
        <f t="shared" si="5"/>
        <v>2450</v>
      </c>
      <c r="R45" s="147">
        <f t="shared" si="6"/>
        <v>5292000</v>
      </c>
      <c r="S45" s="138" t="s">
        <v>690</v>
      </c>
      <c r="T45" s="190"/>
      <c r="U45" s="148">
        <f t="shared" si="16"/>
        <v>0</v>
      </c>
      <c r="V45" s="147">
        <f t="shared" si="17"/>
        <v>0</v>
      </c>
      <c r="W45" s="190"/>
      <c r="X45" s="143"/>
    </row>
    <row r="46" spans="2:24" x14ac:dyDescent="0.35">
      <c r="B46" s="140" t="s">
        <v>247</v>
      </c>
      <c r="C46" s="143" t="s">
        <v>248</v>
      </c>
      <c r="D46" s="142" t="s">
        <v>249</v>
      </c>
      <c r="E46" s="143" t="s">
        <v>59</v>
      </c>
      <c r="F46" s="143" t="s">
        <v>103</v>
      </c>
      <c r="G46" s="144">
        <v>5400</v>
      </c>
      <c r="H46" s="145">
        <v>2450</v>
      </c>
      <c r="I46" s="145">
        <f t="shared" si="7"/>
        <v>13230000</v>
      </c>
      <c r="J46" s="190"/>
      <c r="K46" s="144">
        <v>3240</v>
      </c>
      <c r="L46" s="146">
        <f t="shared" si="3"/>
        <v>2450</v>
      </c>
      <c r="M46" s="147">
        <f t="shared" si="4"/>
        <v>7938000</v>
      </c>
      <c r="N46" s="138" t="s">
        <v>351</v>
      </c>
      <c r="O46" s="190"/>
      <c r="P46" s="148">
        <v>2160</v>
      </c>
      <c r="Q46" s="146">
        <f t="shared" si="5"/>
        <v>2450</v>
      </c>
      <c r="R46" s="147">
        <f t="shared" si="6"/>
        <v>5292000</v>
      </c>
      <c r="S46" s="138" t="s">
        <v>690</v>
      </c>
      <c r="T46" s="190"/>
      <c r="U46" s="148">
        <f t="shared" si="16"/>
        <v>0</v>
      </c>
      <c r="V46" s="147">
        <f t="shared" si="17"/>
        <v>0</v>
      </c>
      <c r="W46" s="190"/>
      <c r="X46" s="143"/>
    </row>
    <row r="47" spans="2:24" x14ac:dyDescent="0.35">
      <c r="B47" s="140" t="s">
        <v>252</v>
      </c>
      <c r="C47" s="143" t="s">
        <v>253</v>
      </c>
      <c r="D47" s="142" t="s">
        <v>254</v>
      </c>
      <c r="E47" s="143" t="s">
        <v>59</v>
      </c>
      <c r="F47" s="143" t="s">
        <v>103</v>
      </c>
      <c r="G47" s="144">
        <v>5400</v>
      </c>
      <c r="H47" s="145">
        <v>2450</v>
      </c>
      <c r="I47" s="145">
        <f t="shared" si="7"/>
        <v>13230000</v>
      </c>
      <c r="J47" s="190"/>
      <c r="K47" s="144">
        <v>3240</v>
      </c>
      <c r="L47" s="146">
        <f t="shared" si="3"/>
        <v>2450</v>
      </c>
      <c r="M47" s="147">
        <f t="shared" si="4"/>
        <v>7938000</v>
      </c>
      <c r="N47" s="138" t="s">
        <v>351</v>
      </c>
      <c r="O47" s="190"/>
      <c r="P47" s="148">
        <v>2160</v>
      </c>
      <c r="Q47" s="146">
        <f t="shared" si="5"/>
        <v>2450</v>
      </c>
      <c r="R47" s="147">
        <f t="shared" si="6"/>
        <v>5292000</v>
      </c>
      <c r="S47" s="138" t="s">
        <v>802</v>
      </c>
      <c r="T47" s="190"/>
      <c r="U47" s="152">
        <f t="shared" si="16"/>
        <v>0</v>
      </c>
      <c r="V47" s="147">
        <f t="shared" si="17"/>
        <v>0</v>
      </c>
      <c r="W47" s="190"/>
      <c r="X47" s="143"/>
    </row>
    <row r="48" spans="2:24" x14ac:dyDescent="0.35">
      <c r="B48" s="140" t="s">
        <v>257</v>
      </c>
      <c r="C48" s="143" t="s">
        <v>187</v>
      </c>
      <c r="D48" s="142" t="s">
        <v>258</v>
      </c>
      <c r="E48" s="143" t="s">
        <v>59</v>
      </c>
      <c r="F48" s="143" t="s">
        <v>103</v>
      </c>
      <c r="G48" s="144">
        <v>5400</v>
      </c>
      <c r="H48" s="145">
        <v>2450</v>
      </c>
      <c r="I48" s="145">
        <f t="shared" si="7"/>
        <v>13230000</v>
      </c>
      <c r="J48" s="190"/>
      <c r="K48" s="144">
        <v>3240</v>
      </c>
      <c r="L48" s="146">
        <f t="shared" si="3"/>
        <v>2450</v>
      </c>
      <c r="M48" s="147">
        <f t="shared" si="4"/>
        <v>7938000</v>
      </c>
      <c r="N48" s="138" t="s">
        <v>348</v>
      </c>
      <c r="O48" s="190"/>
      <c r="P48" s="148">
        <v>2160</v>
      </c>
      <c r="Q48" s="146">
        <f t="shared" si="5"/>
        <v>2450</v>
      </c>
      <c r="R48" s="147">
        <f t="shared" si="6"/>
        <v>5292000</v>
      </c>
      <c r="S48" s="138" t="s">
        <v>694</v>
      </c>
      <c r="T48" s="190"/>
      <c r="U48" s="152">
        <f t="shared" si="16"/>
        <v>0</v>
      </c>
      <c r="V48" s="147">
        <f t="shared" si="17"/>
        <v>0</v>
      </c>
      <c r="W48" s="190"/>
      <c r="X48" s="143"/>
    </row>
    <row r="49" spans="2:24" x14ac:dyDescent="0.35">
      <c r="B49" s="140" t="s">
        <v>261</v>
      </c>
      <c r="C49" s="143" t="s">
        <v>185</v>
      </c>
      <c r="D49" s="142" t="s">
        <v>262</v>
      </c>
      <c r="E49" s="143" t="s">
        <v>59</v>
      </c>
      <c r="F49" s="143" t="s">
        <v>103</v>
      </c>
      <c r="G49" s="144">
        <v>5400</v>
      </c>
      <c r="H49" s="145">
        <v>2450</v>
      </c>
      <c r="I49" s="145">
        <f t="shared" si="7"/>
        <v>13230000</v>
      </c>
      <c r="J49" s="190"/>
      <c r="K49" s="144">
        <v>3240</v>
      </c>
      <c r="L49" s="146">
        <f t="shared" ref="L49:L50" si="24">H49</f>
        <v>2450</v>
      </c>
      <c r="M49" s="147">
        <f t="shared" ref="M49:M50" si="25">K49*L49</f>
        <v>7938000</v>
      </c>
      <c r="N49" s="138" t="s">
        <v>348</v>
      </c>
      <c r="O49" s="190"/>
      <c r="P49" s="148">
        <v>2160</v>
      </c>
      <c r="Q49" s="146">
        <f t="shared" si="5"/>
        <v>2450</v>
      </c>
      <c r="R49" s="147">
        <f t="shared" si="6"/>
        <v>5292000</v>
      </c>
      <c r="S49" s="138" t="s">
        <v>800</v>
      </c>
      <c r="T49" s="190"/>
      <c r="U49" s="152">
        <f t="shared" si="16"/>
        <v>0</v>
      </c>
      <c r="V49" s="147">
        <f t="shared" si="17"/>
        <v>0</v>
      </c>
      <c r="W49" s="190"/>
      <c r="X49" s="143"/>
    </row>
    <row r="50" spans="2:24" x14ac:dyDescent="0.35">
      <c r="B50" s="140" t="s">
        <v>265</v>
      </c>
      <c r="C50" s="143" t="s">
        <v>266</v>
      </c>
      <c r="D50" s="142" t="s">
        <v>267</v>
      </c>
      <c r="E50" s="143" t="s">
        <v>268</v>
      </c>
      <c r="F50" s="143" t="s">
        <v>103</v>
      </c>
      <c r="G50" s="144">
        <v>5500</v>
      </c>
      <c r="H50" s="145">
        <v>2450</v>
      </c>
      <c r="I50" s="145">
        <f t="shared" si="7"/>
        <v>13475000</v>
      </c>
      <c r="J50" s="190"/>
      <c r="K50" s="144">
        <v>3300</v>
      </c>
      <c r="L50" s="146">
        <f t="shared" si="24"/>
        <v>2450</v>
      </c>
      <c r="M50" s="147">
        <f t="shared" si="25"/>
        <v>8085000</v>
      </c>
      <c r="N50" s="138" t="s">
        <v>358</v>
      </c>
      <c r="O50" s="190"/>
      <c r="P50" s="148">
        <v>2140</v>
      </c>
      <c r="Q50" s="146">
        <f t="shared" si="5"/>
        <v>2450</v>
      </c>
      <c r="R50" s="147">
        <f t="shared" si="6"/>
        <v>5243000</v>
      </c>
      <c r="S50" s="138" t="s">
        <v>800</v>
      </c>
      <c r="T50" s="190"/>
      <c r="U50" s="152">
        <f t="shared" si="16"/>
        <v>60</v>
      </c>
      <c r="V50" s="147">
        <f t="shared" si="17"/>
        <v>147000</v>
      </c>
      <c r="W50" s="190"/>
      <c r="X50" s="143" t="s">
        <v>801</v>
      </c>
    </row>
    <row r="51" spans="2:24" x14ac:dyDescent="0.35">
      <c r="B51" s="140" t="s">
        <v>273</v>
      </c>
      <c r="C51" s="143" t="s">
        <v>274</v>
      </c>
      <c r="D51" s="143" t="s">
        <v>275</v>
      </c>
      <c r="E51" s="143" t="s">
        <v>59</v>
      </c>
      <c r="F51" s="143" t="s">
        <v>103</v>
      </c>
      <c r="G51" s="144">
        <v>5400</v>
      </c>
      <c r="H51" s="145">
        <v>2450</v>
      </c>
      <c r="I51" s="145">
        <f t="shared" si="7"/>
        <v>13230000</v>
      </c>
      <c r="J51" s="190"/>
      <c r="K51" s="144">
        <v>3240</v>
      </c>
      <c r="L51" s="146">
        <f t="shared" si="3"/>
        <v>2450</v>
      </c>
      <c r="M51" s="147">
        <f t="shared" si="4"/>
        <v>7938000</v>
      </c>
      <c r="N51" s="138" t="s">
        <v>350</v>
      </c>
      <c r="O51" s="190"/>
      <c r="P51" s="148">
        <v>2160</v>
      </c>
      <c r="Q51" s="146">
        <f t="shared" si="5"/>
        <v>2450</v>
      </c>
      <c r="R51" s="147">
        <f t="shared" si="6"/>
        <v>5292000</v>
      </c>
      <c r="S51" s="138" t="s">
        <v>691</v>
      </c>
      <c r="T51" s="190"/>
      <c r="U51" s="152">
        <f t="shared" si="16"/>
        <v>0</v>
      </c>
      <c r="V51" s="147">
        <f t="shared" si="17"/>
        <v>0</v>
      </c>
      <c r="W51" s="190"/>
      <c r="X51" s="143"/>
    </row>
    <row r="52" spans="2:24" x14ac:dyDescent="0.35">
      <c r="B52" s="140" t="s">
        <v>278</v>
      </c>
      <c r="C52" s="156" t="s">
        <v>279</v>
      </c>
      <c r="D52" s="142" t="s">
        <v>280</v>
      </c>
      <c r="E52" s="143" t="s">
        <v>59</v>
      </c>
      <c r="F52" s="143" t="s">
        <v>103</v>
      </c>
      <c r="G52" s="144">
        <v>5400</v>
      </c>
      <c r="H52" s="145">
        <v>2450</v>
      </c>
      <c r="I52" s="145">
        <f t="shared" si="7"/>
        <v>13230000</v>
      </c>
      <c r="J52" s="190"/>
      <c r="K52" s="144">
        <v>3240</v>
      </c>
      <c r="L52" s="146">
        <f t="shared" ref="L52:L53" si="26">H52</f>
        <v>2450</v>
      </c>
      <c r="M52" s="147">
        <f t="shared" ref="M52:M53" si="27">K52*L52</f>
        <v>7938000</v>
      </c>
      <c r="N52" s="138" t="s">
        <v>350</v>
      </c>
      <c r="O52" s="190"/>
      <c r="P52" s="148">
        <v>2160</v>
      </c>
      <c r="Q52" s="146">
        <f>H52</f>
        <v>2450</v>
      </c>
      <c r="R52" s="147">
        <f>P52*Q52</f>
        <v>5292000</v>
      </c>
      <c r="S52" s="138" t="s">
        <v>739</v>
      </c>
      <c r="T52" s="190"/>
      <c r="U52" s="152">
        <f t="shared" si="16"/>
        <v>0</v>
      </c>
      <c r="V52" s="147">
        <f t="shared" si="17"/>
        <v>0</v>
      </c>
      <c r="W52" s="190"/>
      <c r="X52" s="143"/>
    </row>
    <row r="53" spans="2:24" x14ac:dyDescent="0.35">
      <c r="B53" s="140" t="s">
        <v>283</v>
      </c>
      <c r="C53" s="153" t="s">
        <v>188</v>
      </c>
      <c r="D53" s="142" t="s">
        <v>284</v>
      </c>
      <c r="E53" s="143" t="s">
        <v>59</v>
      </c>
      <c r="F53" s="143" t="s">
        <v>200</v>
      </c>
      <c r="G53" s="144">
        <v>5000</v>
      </c>
      <c r="H53" s="145">
        <v>2450</v>
      </c>
      <c r="I53" s="145">
        <f t="shared" si="7"/>
        <v>12250000</v>
      </c>
      <c r="J53" s="190"/>
      <c r="K53" s="144">
        <v>5000</v>
      </c>
      <c r="L53" s="146">
        <f t="shared" si="26"/>
        <v>2450</v>
      </c>
      <c r="M53" s="147">
        <f t="shared" si="27"/>
        <v>12250000</v>
      </c>
      <c r="N53" s="138" t="s">
        <v>658</v>
      </c>
      <c r="O53" s="190"/>
      <c r="P53" s="148">
        <v>0</v>
      </c>
      <c r="Q53" s="146">
        <f t="shared" si="5"/>
        <v>2450</v>
      </c>
      <c r="R53" s="147">
        <f t="shared" si="6"/>
        <v>0</v>
      </c>
      <c r="S53" s="138" t="s">
        <v>92</v>
      </c>
      <c r="T53" s="190"/>
      <c r="U53" s="152">
        <f t="shared" si="16"/>
        <v>0</v>
      </c>
      <c r="V53" s="147">
        <f t="shared" si="17"/>
        <v>0</v>
      </c>
      <c r="W53" s="190"/>
      <c r="X53" s="143"/>
    </row>
    <row r="54" spans="2:24" x14ac:dyDescent="0.35">
      <c r="B54" s="140" t="s">
        <v>287</v>
      </c>
      <c r="C54" s="143" t="s">
        <v>288</v>
      </c>
      <c r="D54" s="142" t="s">
        <v>289</v>
      </c>
      <c r="E54" s="143" t="s">
        <v>59</v>
      </c>
      <c r="F54" s="143" t="s">
        <v>103</v>
      </c>
      <c r="G54" s="144">
        <v>5400</v>
      </c>
      <c r="H54" s="145">
        <v>2450</v>
      </c>
      <c r="I54" s="145">
        <f t="shared" si="7"/>
        <v>13230000</v>
      </c>
      <c r="J54" s="190"/>
      <c r="K54" s="144">
        <v>3240</v>
      </c>
      <c r="L54" s="146">
        <f t="shared" ref="L54" si="28">H54</f>
        <v>2450</v>
      </c>
      <c r="M54" s="147">
        <f t="shared" ref="M54" si="29">K54*L54</f>
        <v>7938000</v>
      </c>
      <c r="N54" s="138" t="s">
        <v>350</v>
      </c>
      <c r="O54" s="190"/>
      <c r="P54" s="148">
        <v>2120</v>
      </c>
      <c r="Q54" s="146">
        <f t="shared" ref="Q54" si="30">H54</f>
        <v>2450</v>
      </c>
      <c r="R54" s="147">
        <f t="shared" ref="R54" si="31">P54*Q54</f>
        <v>5194000</v>
      </c>
      <c r="S54" s="138" t="s">
        <v>802</v>
      </c>
      <c r="T54" s="190"/>
      <c r="U54" s="148">
        <f t="shared" si="16"/>
        <v>40</v>
      </c>
      <c r="V54" s="147">
        <f t="shared" si="17"/>
        <v>98000</v>
      </c>
      <c r="W54" s="190"/>
      <c r="X54" s="143" t="s">
        <v>693</v>
      </c>
    </row>
    <row r="55" spans="2:24" x14ac:dyDescent="0.35">
      <c r="B55" s="140" t="s">
        <v>292</v>
      </c>
      <c r="C55" s="143" t="s">
        <v>293</v>
      </c>
      <c r="D55" s="142" t="s">
        <v>294</v>
      </c>
      <c r="E55" s="143" t="s">
        <v>59</v>
      </c>
      <c r="F55" s="143" t="s">
        <v>103</v>
      </c>
      <c r="G55" s="144">
        <v>5400</v>
      </c>
      <c r="H55" s="145">
        <v>2450</v>
      </c>
      <c r="I55" s="145">
        <f t="shared" si="7"/>
        <v>13230000</v>
      </c>
      <c r="J55" s="190"/>
      <c r="K55" s="144">
        <v>3240</v>
      </c>
      <c r="L55" s="146">
        <f t="shared" si="3"/>
        <v>2450</v>
      </c>
      <c r="M55" s="147">
        <f t="shared" si="4"/>
        <v>7938000</v>
      </c>
      <c r="N55" s="138" t="s">
        <v>349</v>
      </c>
      <c r="O55" s="190"/>
      <c r="P55" s="148">
        <v>2160</v>
      </c>
      <c r="Q55" s="146">
        <f t="shared" si="5"/>
        <v>2450</v>
      </c>
      <c r="R55" s="147">
        <f t="shared" si="6"/>
        <v>5292000</v>
      </c>
      <c r="S55" s="138" t="s">
        <v>694</v>
      </c>
      <c r="T55" s="190"/>
      <c r="U55" s="148">
        <f t="shared" si="16"/>
        <v>0</v>
      </c>
      <c r="V55" s="147">
        <f t="shared" si="17"/>
        <v>0</v>
      </c>
      <c r="W55" s="190"/>
      <c r="X55" s="143"/>
    </row>
    <row r="56" spans="2:24" x14ac:dyDescent="0.35">
      <c r="B56" s="140" t="s">
        <v>298</v>
      </c>
      <c r="C56" s="153" t="s">
        <v>299</v>
      </c>
      <c r="D56" s="143" t="s">
        <v>300</v>
      </c>
      <c r="E56" s="143" t="s">
        <v>59</v>
      </c>
      <c r="F56" s="143" t="s">
        <v>103</v>
      </c>
      <c r="G56" s="144">
        <v>5400</v>
      </c>
      <c r="H56" s="145">
        <v>2450</v>
      </c>
      <c r="I56" s="145">
        <f t="shared" si="7"/>
        <v>13230000</v>
      </c>
      <c r="J56" s="190"/>
      <c r="K56" s="144">
        <v>3240</v>
      </c>
      <c r="L56" s="146">
        <f t="shared" ref="L56:L57" si="32">H56</f>
        <v>2450</v>
      </c>
      <c r="M56" s="147">
        <f t="shared" ref="M56:M57" si="33">K56*L56</f>
        <v>7938000</v>
      </c>
      <c r="N56" s="138" t="s">
        <v>349</v>
      </c>
      <c r="O56" s="190"/>
      <c r="P56" s="148">
        <v>2160</v>
      </c>
      <c r="Q56" s="146">
        <f t="shared" ref="Q56" si="34">H56</f>
        <v>2450</v>
      </c>
      <c r="R56" s="147">
        <f t="shared" ref="R56" si="35">P56*Q56</f>
        <v>5292000</v>
      </c>
      <c r="S56" s="138" t="s">
        <v>738</v>
      </c>
      <c r="T56" s="190"/>
      <c r="U56" s="148">
        <f t="shared" si="16"/>
        <v>0</v>
      </c>
      <c r="V56" s="147">
        <f t="shared" si="17"/>
        <v>0</v>
      </c>
      <c r="W56" s="190"/>
      <c r="X56" s="143"/>
    </row>
    <row r="57" spans="2:24" x14ac:dyDescent="0.35">
      <c r="B57" s="140" t="s">
        <v>303</v>
      </c>
      <c r="C57" s="143" t="s">
        <v>304</v>
      </c>
      <c r="D57" s="140" t="s">
        <v>305</v>
      </c>
      <c r="E57" s="143" t="s">
        <v>59</v>
      </c>
      <c r="F57" s="143" t="s">
        <v>103</v>
      </c>
      <c r="G57" s="144">
        <v>5400</v>
      </c>
      <c r="H57" s="145">
        <v>2450</v>
      </c>
      <c r="I57" s="145">
        <f t="shared" si="7"/>
        <v>13230000</v>
      </c>
      <c r="J57" s="190"/>
      <c r="K57" s="144">
        <v>3240</v>
      </c>
      <c r="L57" s="146">
        <f t="shared" si="32"/>
        <v>2450</v>
      </c>
      <c r="M57" s="147">
        <f t="shared" si="33"/>
        <v>7938000</v>
      </c>
      <c r="N57" s="138" t="s">
        <v>349</v>
      </c>
      <c r="O57" s="190"/>
      <c r="P57" s="148">
        <v>2160</v>
      </c>
      <c r="Q57" s="146">
        <f t="shared" ref="Q57" si="36">H57</f>
        <v>2450</v>
      </c>
      <c r="R57" s="147">
        <f t="shared" ref="R57" si="37">P57*Q57</f>
        <v>5292000</v>
      </c>
      <c r="S57" s="138" t="s">
        <v>691</v>
      </c>
      <c r="T57" s="190"/>
      <c r="U57" s="148">
        <f t="shared" si="16"/>
        <v>0</v>
      </c>
      <c r="V57" s="147">
        <f t="shared" si="17"/>
        <v>0</v>
      </c>
      <c r="W57" s="190"/>
      <c r="X57" s="143"/>
    </row>
    <row r="58" spans="2:24" x14ac:dyDescent="0.35">
      <c r="B58" s="140" t="s">
        <v>308</v>
      </c>
      <c r="C58" s="143" t="s">
        <v>309</v>
      </c>
      <c r="D58" s="140" t="s">
        <v>310</v>
      </c>
      <c r="E58" s="143" t="s">
        <v>59</v>
      </c>
      <c r="F58" s="143" t="s">
        <v>103</v>
      </c>
      <c r="G58" s="144">
        <v>5400</v>
      </c>
      <c r="H58" s="145">
        <v>2450</v>
      </c>
      <c r="I58" s="145">
        <f t="shared" si="7"/>
        <v>13230000</v>
      </c>
      <c r="J58" s="190"/>
      <c r="K58" s="144">
        <v>3240</v>
      </c>
      <c r="L58" s="146">
        <f t="shared" si="3"/>
        <v>2450</v>
      </c>
      <c r="M58" s="147">
        <f t="shared" si="4"/>
        <v>7938000</v>
      </c>
      <c r="N58" s="138" t="s">
        <v>359</v>
      </c>
      <c r="O58" s="190"/>
      <c r="P58" s="148">
        <v>2100</v>
      </c>
      <c r="Q58" s="146">
        <f t="shared" si="5"/>
        <v>2450</v>
      </c>
      <c r="R58" s="147">
        <f t="shared" si="6"/>
        <v>5145000</v>
      </c>
      <c r="S58" s="138" t="s">
        <v>824</v>
      </c>
      <c r="T58" s="190"/>
      <c r="U58" s="148">
        <f t="shared" si="16"/>
        <v>60</v>
      </c>
      <c r="V58" s="147">
        <f t="shared" si="17"/>
        <v>147000</v>
      </c>
      <c r="W58" s="190"/>
      <c r="X58" s="143"/>
    </row>
    <row r="59" spans="2:24" x14ac:dyDescent="0.35">
      <c r="B59" s="140" t="s">
        <v>314</v>
      </c>
      <c r="C59" s="143" t="s">
        <v>118</v>
      </c>
      <c r="D59" s="143" t="s">
        <v>315</v>
      </c>
      <c r="E59" s="143" t="s">
        <v>59</v>
      </c>
      <c r="F59" s="143" t="s">
        <v>103</v>
      </c>
      <c r="G59" s="144">
        <v>5400</v>
      </c>
      <c r="H59" s="145">
        <v>2450</v>
      </c>
      <c r="I59" s="145">
        <f t="shared" si="7"/>
        <v>13230000</v>
      </c>
      <c r="J59" s="190"/>
      <c r="K59" s="144">
        <v>3240</v>
      </c>
      <c r="L59" s="146">
        <f t="shared" ref="L59" si="38">H59</f>
        <v>2450</v>
      </c>
      <c r="M59" s="147">
        <f t="shared" ref="M59" si="39">K59*L59</f>
        <v>7938000</v>
      </c>
      <c r="N59" s="138" t="s">
        <v>360</v>
      </c>
      <c r="O59" s="190"/>
      <c r="P59" s="148">
        <v>2160</v>
      </c>
      <c r="Q59" s="146">
        <f t="shared" ref="Q59" si="40">H59</f>
        <v>2450</v>
      </c>
      <c r="R59" s="147">
        <f t="shared" ref="R59" si="41">P59*Q59</f>
        <v>5292000</v>
      </c>
      <c r="S59" s="138" t="s">
        <v>691</v>
      </c>
      <c r="T59" s="190"/>
      <c r="U59" s="148">
        <f t="shared" si="16"/>
        <v>0</v>
      </c>
      <c r="V59" s="147">
        <f t="shared" si="17"/>
        <v>0</v>
      </c>
      <c r="W59" s="190"/>
      <c r="X59" s="143"/>
    </row>
    <row r="60" spans="2:24" x14ac:dyDescent="0.35">
      <c r="B60" s="140" t="s">
        <v>319</v>
      </c>
      <c r="C60" s="151" t="s">
        <v>117</v>
      </c>
      <c r="D60" s="142" t="s">
        <v>320</v>
      </c>
      <c r="E60" s="143" t="s">
        <v>59</v>
      </c>
      <c r="F60" s="143" t="s">
        <v>103</v>
      </c>
      <c r="G60" s="144">
        <v>5400</v>
      </c>
      <c r="H60" s="145">
        <v>2450</v>
      </c>
      <c r="I60" s="145">
        <f t="shared" si="7"/>
        <v>13230000</v>
      </c>
      <c r="J60" s="190"/>
      <c r="K60" s="144">
        <v>3240</v>
      </c>
      <c r="L60" s="146">
        <f t="shared" ref="L60:L62" si="42">H60</f>
        <v>2450</v>
      </c>
      <c r="M60" s="147">
        <f t="shared" ref="M60:M62" si="43">K60*L60</f>
        <v>7938000</v>
      </c>
      <c r="N60" s="138" t="s">
        <v>360</v>
      </c>
      <c r="O60" s="190"/>
      <c r="P60" s="148">
        <v>2160</v>
      </c>
      <c r="Q60" s="146">
        <f t="shared" ref="Q60:Q61" si="44">H60</f>
        <v>2450</v>
      </c>
      <c r="R60" s="147">
        <f t="shared" ref="R60:R61" si="45">P60*Q60</f>
        <v>5292000</v>
      </c>
      <c r="S60" s="138" t="s">
        <v>690</v>
      </c>
      <c r="T60" s="190"/>
      <c r="U60" s="148">
        <f t="shared" si="16"/>
        <v>0</v>
      </c>
      <c r="V60" s="147">
        <f t="shared" si="17"/>
        <v>0</v>
      </c>
      <c r="W60" s="190"/>
      <c r="X60" s="143"/>
    </row>
    <row r="61" spans="2:24" x14ac:dyDescent="0.35">
      <c r="B61" s="140" t="s">
        <v>323</v>
      </c>
      <c r="C61" s="143" t="s">
        <v>324</v>
      </c>
      <c r="D61" s="140" t="s">
        <v>325</v>
      </c>
      <c r="E61" s="143" t="s">
        <v>59</v>
      </c>
      <c r="F61" s="143" t="s">
        <v>103</v>
      </c>
      <c r="G61" s="144">
        <v>5400</v>
      </c>
      <c r="H61" s="145">
        <v>2450</v>
      </c>
      <c r="I61" s="145">
        <f t="shared" si="7"/>
        <v>13230000</v>
      </c>
      <c r="J61" s="190"/>
      <c r="K61" s="144">
        <v>3240</v>
      </c>
      <c r="L61" s="146">
        <f t="shared" si="42"/>
        <v>2450</v>
      </c>
      <c r="M61" s="147">
        <f t="shared" si="43"/>
        <v>7938000</v>
      </c>
      <c r="N61" s="138" t="s">
        <v>360</v>
      </c>
      <c r="O61" s="190"/>
      <c r="P61" s="148">
        <v>2160</v>
      </c>
      <c r="Q61" s="146">
        <f t="shared" si="44"/>
        <v>2450</v>
      </c>
      <c r="R61" s="147">
        <f t="shared" si="45"/>
        <v>5292000</v>
      </c>
      <c r="S61" s="138" t="s">
        <v>690</v>
      </c>
      <c r="T61" s="190"/>
      <c r="U61" s="148">
        <f t="shared" si="16"/>
        <v>0</v>
      </c>
      <c r="V61" s="147">
        <f t="shared" si="17"/>
        <v>0</v>
      </c>
      <c r="W61" s="190"/>
      <c r="X61" s="143"/>
    </row>
    <row r="62" spans="2:24" x14ac:dyDescent="0.35">
      <c r="B62" s="140" t="s">
        <v>328</v>
      </c>
      <c r="C62" s="143" t="s">
        <v>304</v>
      </c>
      <c r="D62" s="142" t="s">
        <v>332</v>
      </c>
      <c r="E62" s="143" t="s">
        <v>119</v>
      </c>
      <c r="F62" s="143" t="s">
        <v>103</v>
      </c>
      <c r="G62" s="144">
        <v>1820</v>
      </c>
      <c r="H62" s="145">
        <v>2450</v>
      </c>
      <c r="I62" s="145">
        <f t="shared" si="7"/>
        <v>4459000</v>
      </c>
      <c r="J62" s="190"/>
      <c r="K62" s="144">
        <f>G62</f>
        <v>1820</v>
      </c>
      <c r="L62" s="146">
        <f t="shared" si="42"/>
        <v>2450</v>
      </c>
      <c r="M62" s="147">
        <f t="shared" si="43"/>
        <v>4459000</v>
      </c>
      <c r="N62" s="138" t="s">
        <v>788</v>
      </c>
      <c r="O62" s="190"/>
      <c r="P62" s="148">
        <v>0</v>
      </c>
      <c r="Q62" s="146">
        <f t="shared" si="5"/>
        <v>2450</v>
      </c>
      <c r="R62" s="147">
        <f t="shared" si="6"/>
        <v>0</v>
      </c>
      <c r="S62" s="138" t="s">
        <v>92</v>
      </c>
      <c r="T62" s="190"/>
      <c r="U62" s="148">
        <f t="shared" si="16"/>
        <v>0</v>
      </c>
      <c r="V62" s="147">
        <f t="shared" si="17"/>
        <v>0</v>
      </c>
      <c r="W62" s="190"/>
      <c r="X62" s="143"/>
    </row>
    <row r="63" spans="2:24" x14ac:dyDescent="0.35">
      <c r="B63" s="140" t="s">
        <v>329</v>
      </c>
      <c r="C63" s="143" t="s">
        <v>333</v>
      </c>
      <c r="D63" s="140" t="s">
        <v>334</v>
      </c>
      <c r="E63" s="143" t="s">
        <v>119</v>
      </c>
      <c r="F63" s="143" t="s">
        <v>103</v>
      </c>
      <c r="G63" s="144">
        <v>1820</v>
      </c>
      <c r="H63" s="145">
        <v>2450</v>
      </c>
      <c r="I63" s="145">
        <f t="shared" si="7"/>
        <v>4459000</v>
      </c>
      <c r="J63" s="190"/>
      <c r="K63" s="144">
        <f>G63</f>
        <v>1820</v>
      </c>
      <c r="L63" s="146">
        <f t="shared" si="3"/>
        <v>2450</v>
      </c>
      <c r="M63" s="147">
        <f t="shared" si="4"/>
        <v>4459000</v>
      </c>
      <c r="N63" s="138" t="s">
        <v>539</v>
      </c>
      <c r="O63" s="190"/>
      <c r="P63" s="148">
        <v>0</v>
      </c>
      <c r="Q63" s="146">
        <f t="shared" si="5"/>
        <v>2450</v>
      </c>
      <c r="R63" s="147">
        <f t="shared" si="6"/>
        <v>0</v>
      </c>
      <c r="S63" s="138" t="s">
        <v>92</v>
      </c>
      <c r="T63" s="190"/>
      <c r="U63" s="152">
        <f t="shared" si="16"/>
        <v>0</v>
      </c>
      <c r="V63" s="147">
        <f t="shared" si="17"/>
        <v>0</v>
      </c>
      <c r="W63" s="190"/>
      <c r="X63" s="143"/>
    </row>
    <row r="64" spans="2:24" x14ac:dyDescent="0.35">
      <c r="B64" s="140" t="s">
        <v>330</v>
      </c>
      <c r="C64" s="143" t="s">
        <v>324</v>
      </c>
      <c r="D64" s="140" t="s">
        <v>335</v>
      </c>
      <c r="E64" s="143" t="s">
        <v>119</v>
      </c>
      <c r="F64" s="143" t="s">
        <v>103</v>
      </c>
      <c r="G64" s="144">
        <v>1817</v>
      </c>
      <c r="H64" s="145">
        <v>2450</v>
      </c>
      <c r="I64" s="145">
        <f t="shared" si="7"/>
        <v>4451650</v>
      </c>
      <c r="J64" s="190"/>
      <c r="K64" s="144">
        <f>G64</f>
        <v>1817</v>
      </c>
      <c r="L64" s="146">
        <f t="shared" si="3"/>
        <v>2450</v>
      </c>
      <c r="M64" s="147">
        <f t="shared" si="4"/>
        <v>4451650</v>
      </c>
      <c r="N64" s="138" t="s">
        <v>788</v>
      </c>
      <c r="O64" s="190"/>
      <c r="P64" s="148">
        <v>0</v>
      </c>
      <c r="Q64" s="146">
        <f t="shared" si="5"/>
        <v>2450</v>
      </c>
      <c r="R64" s="147">
        <f t="shared" si="6"/>
        <v>0</v>
      </c>
      <c r="S64" s="138" t="s">
        <v>92</v>
      </c>
      <c r="T64" s="190"/>
      <c r="U64" s="148">
        <f t="shared" si="16"/>
        <v>0</v>
      </c>
      <c r="V64" s="147">
        <f t="shared" si="17"/>
        <v>0</v>
      </c>
      <c r="W64" s="190"/>
      <c r="X64" s="143"/>
    </row>
    <row r="65" spans="2:24" x14ac:dyDescent="0.35">
      <c r="B65" s="140" t="s">
        <v>331</v>
      </c>
      <c r="C65" s="143" t="s">
        <v>293</v>
      </c>
      <c r="D65" s="142" t="s">
        <v>336</v>
      </c>
      <c r="E65" s="143" t="s">
        <v>119</v>
      </c>
      <c r="F65" s="143" t="s">
        <v>103</v>
      </c>
      <c r="G65" s="144">
        <v>1820</v>
      </c>
      <c r="H65" s="145">
        <v>2450</v>
      </c>
      <c r="I65" s="145">
        <f t="shared" si="7"/>
        <v>4459000</v>
      </c>
      <c r="J65" s="190"/>
      <c r="K65" s="144">
        <f t="shared" ref="K65:K66" si="46">G65</f>
        <v>1820</v>
      </c>
      <c r="L65" s="146">
        <f t="shared" ref="L65:L66" si="47">H65</f>
        <v>2450</v>
      </c>
      <c r="M65" s="147">
        <f t="shared" ref="M65:M66" si="48">K65*L65</f>
        <v>4459000</v>
      </c>
      <c r="N65" s="138" t="s">
        <v>787</v>
      </c>
      <c r="O65" s="190"/>
      <c r="P65" s="148">
        <v>0</v>
      </c>
      <c r="Q65" s="146">
        <f t="shared" si="5"/>
        <v>2450</v>
      </c>
      <c r="R65" s="147">
        <f t="shared" si="6"/>
        <v>0</v>
      </c>
      <c r="S65" s="138" t="s">
        <v>92</v>
      </c>
      <c r="T65" s="190"/>
      <c r="U65" s="148">
        <f t="shared" si="16"/>
        <v>0</v>
      </c>
      <c r="V65" s="147">
        <f t="shared" si="17"/>
        <v>0</v>
      </c>
      <c r="W65" s="190"/>
      <c r="X65" s="143"/>
    </row>
    <row r="66" spans="2:24" x14ac:dyDescent="0.35">
      <c r="B66" s="140" t="s">
        <v>337</v>
      </c>
      <c r="C66" s="143" t="s">
        <v>338</v>
      </c>
      <c r="D66" s="142" t="s">
        <v>343</v>
      </c>
      <c r="E66" s="143" t="s">
        <v>119</v>
      </c>
      <c r="F66" s="143" t="s">
        <v>103</v>
      </c>
      <c r="G66" s="144">
        <v>1820</v>
      </c>
      <c r="H66" s="145">
        <v>2450</v>
      </c>
      <c r="I66" s="145">
        <f t="shared" si="7"/>
        <v>4459000</v>
      </c>
      <c r="J66" s="190"/>
      <c r="K66" s="144">
        <f t="shared" si="46"/>
        <v>1820</v>
      </c>
      <c r="L66" s="146">
        <f t="shared" si="47"/>
        <v>2450</v>
      </c>
      <c r="M66" s="147">
        <f t="shared" si="48"/>
        <v>4459000</v>
      </c>
      <c r="N66" s="138" t="s">
        <v>787</v>
      </c>
      <c r="O66" s="190"/>
      <c r="P66" s="148">
        <v>0</v>
      </c>
      <c r="Q66" s="146">
        <f t="shared" si="5"/>
        <v>2450</v>
      </c>
      <c r="R66" s="147">
        <f t="shared" si="6"/>
        <v>0</v>
      </c>
      <c r="S66" s="138" t="s">
        <v>92</v>
      </c>
      <c r="T66" s="190"/>
      <c r="U66" s="148">
        <f t="shared" si="16"/>
        <v>0</v>
      </c>
      <c r="V66" s="147">
        <f t="shared" si="17"/>
        <v>0</v>
      </c>
      <c r="W66" s="190"/>
      <c r="X66" s="143"/>
    </row>
    <row r="67" spans="2:24" x14ac:dyDescent="0.35">
      <c r="B67" s="140" t="s">
        <v>339</v>
      </c>
      <c r="C67" s="143" t="s">
        <v>288</v>
      </c>
      <c r="D67" s="142" t="s">
        <v>344</v>
      </c>
      <c r="E67" s="143" t="s">
        <v>119</v>
      </c>
      <c r="F67" s="143" t="s">
        <v>103</v>
      </c>
      <c r="G67" s="144">
        <v>1820</v>
      </c>
      <c r="H67" s="145">
        <v>2445</v>
      </c>
      <c r="I67" s="145">
        <f t="shared" si="7"/>
        <v>4449900</v>
      </c>
      <c r="J67" s="190"/>
      <c r="K67" s="144">
        <f>G67</f>
        <v>1820</v>
      </c>
      <c r="L67" s="146">
        <f t="shared" si="3"/>
        <v>2445</v>
      </c>
      <c r="M67" s="147">
        <f t="shared" si="4"/>
        <v>4449900</v>
      </c>
      <c r="N67" s="138" t="s">
        <v>624</v>
      </c>
      <c r="O67" s="190"/>
      <c r="P67" s="148">
        <v>0</v>
      </c>
      <c r="Q67" s="146">
        <f t="shared" si="5"/>
        <v>2445</v>
      </c>
      <c r="R67" s="147">
        <f t="shared" si="6"/>
        <v>0</v>
      </c>
      <c r="S67" s="138" t="s">
        <v>92</v>
      </c>
      <c r="T67" s="190"/>
      <c r="U67" s="148">
        <f t="shared" si="16"/>
        <v>0</v>
      </c>
      <c r="V67" s="147">
        <f t="shared" si="17"/>
        <v>0</v>
      </c>
      <c r="W67" s="190"/>
      <c r="X67" s="143"/>
    </row>
    <row r="68" spans="2:24" x14ac:dyDescent="0.35">
      <c r="B68" s="140" t="s">
        <v>340</v>
      </c>
      <c r="C68" s="143" t="s">
        <v>232</v>
      </c>
      <c r="D68" s="142" t="s">
        <v>345</v>
      </c>
      <c r="E68" s="143" t="s">
        <v>119</v>
      </c>
      <c r="F68" s="143" t="s">
        <v>103</v>
      </c>
      <c r="G68" s="144">
        <v>1817</v>
      </c>
      <c r="H68" s="145">
        <v>2445</v>
      </c>
      <c r="I68" s="145">
        <f t="shared" si="7"/>
        <v>4442565</v>
      </c>
      <c r="J68" s="190"/>
      <c r="K68" s="144">
        <f>G68</f>
        <v>1817</v>
      </c>
      <c r="L68" s="146">
        <f t="shared" ref="L68" si="49">H68</f>
        <v>2445</v>
      </c>
      <c r="M68" s="147">
        <f t="shared" ref="M68" si="50">K68*L68</f>
        <v>4442565</v>
      </c>
      <c r="N68" s="138" t="s">
        <v>624</v>
      </c>
      <c r="O68" s="190"/>
      <c r="P68" s="148">
        <v>0</v>
      </c>
      <c r="Q68" s="146">
        <f t="shared" si="5"/>
        <v>2445</v>
      </c>
      <c r="R68" s="147">
        <f t="shared" si="6"/>
        <v>0</v>
      </c>
      <c r="S68" s="138" t="s">
        <v>92</v>
      </c>
      <c r="T68" s="190"/>
      <c r="U68" s="148">
        <f t="shared" si="16"/>
        <v>0</v>
      </c>
      <c r="V68" s="147">
        <f t="shared" si="17"/>
        <v>0</v>
      </c>
      <c r="W68" s="190"/>
      <c r="X68" s="143"/>
    </row>
    <row r="69" spans="2:24" x14ac:dyDescent="0.35">
      <c r="B69" s="140" t="s">
        <v>341</v>
      </c>
      <c r="C69" s="143" t="s">
        <v>309</v>
      </c>
      <c r="D69" s="142" t="s">
        <v>346</v>
      </c>
      <c r="E69" s="143" t="s">
        <v>119</v>
      </c>
      <c r="F69" s="143" t="s">
        <v>103</v>
      </c>
      <c r="G69" s="144">
        <v>1882</v>
      </c>
      <c r="H69" s="145">
        <v>2445</v>
      </c>
      <c r="I69" s="145">
        <f t="shared" si="7"/>
        <v>4601490</v>
      </c>
      <c r="J69" s="190"/>
      <c r="K69" s="144">
        <f>G69</f>
        <v>1882</v>
      </c>
      <c r="L69" s="146">
        <f t="shared" ref="L69" si="51">H69</f>
        <v>2445</v>
      </c>
      <c r="M69" s="147">
        <f t="shared" ref="M69" si="52">K69*L69</f>
        <v>4601490</v>
      </c>
      <c r="N69" s="138" t="s">
        <v>624</v>
      </c>
      <c r="O69" s="190"/>
      <c r="P69" s="148">
        <v>0</v>
      </c>
      <c r="Q69" s="146">
        <f t="shared" si="5"/>
        <v>2445</v>
      </c>
      <c r="R69" s="147">
        <f t="shared" si="6"/>
        <v>0</v>
      </c>
      <c r="S69" s="138" t="s">
        <v>92</v>
      </c>
      <c r="T69" s="190"/>
      <c r="U69" s="148">
        <f t="shared" ref="U69:U131" si="53">G69-K69-P69</f>
        <v>0</v>
      </c>
      <c r="V69" s="147">
        <f t="shared" ref="V69:V131" si="54">I69-M69-R69</f>
        <v>0</v>
      </c>
      <c r="W69" s="190"/>
      <c r="X69" s="143"/>
    </row>
    <row r="70" spans="2:24" x14ac:dyDescent="0.35">
      <c r="B70" s="140" t="s">
        <v>342</v>
      </c>
      <c r="C70" s="143" t="s">
        <v>279</v>
      </c>
      <c r="D70" s="143" t="s">
        <v>347</v>
      </c>
      <c r="E70" s="143" t="s">
        <v>119</v>
      </c>
      <c r="F70" s="143" t="s">
        <v>103</v>
      </c>
      <c r="G70" s="144">
        <v>1820</v>
      </c>
      <c r="H70" s="145">
        <v>2445</v>
      </c>
      <c r="I70" s="145">
        <f t="shared" si="7"/>
        <v>4449900</v>
      </c>
      <c r="J70" s="190"/>
      <c r="K70" s="144">
        <f>G70</f>
        <v>1820</v>
      </c>
      <c r="L70" s="146">
        <f t="shared" ref="L70" si="55">H70</f>
        <v>2445</v>
      </c>
      <c r="M70" s="147">
        <f t="shared" ref="M70" si="56">K70*L70</f>
        <v>4449900</v>
      </c>
      <c r="N70" s="138" t="s">
        <v>624</v>
      </c>
      <c r="O70" s="190"/>
      <c r="P70" s="148">
        <v>0</v>
      </c>
      <c r="Q70" s="146">
        <f t="shared" si="5"/>
        <v>2445</v>
      </c>
      <c r="R70" s="147">
        <f t="shared" si="6"/>
        <v>0</v>
      </c>
      <c r="S70" s="138" t="s">
        <v>92</v>
      </c>
      <c r="T70" s="190"/>
      <c r="U70" s="148">
        <f t="shared" si="53"/>
        <v>0</v>
      </c>
      <c r="V70" s="147">
        <f t="shared" si="54"/>
        <v>0</v>
      </c>
      <c r="W70" s="190"/>
      <c r="X70" s="143"/>
    </row>
    <row r="71" spans="2:24" x14ac:dyDescent="0.35">
      <c r="B71" s="172" t="s">
        <v>353</v>
      </c>
      <c r="C71" s="143" t="s">
        <v>238</v>
      </c>
      <c r="D71" s="142" t="s">
        <v>184</v>
      </c>
      <c r="E71" s="175" t="s">
        <v>119</v>
      </c>
      <c r="F71" s="175" t="s">
        <v>120</v>
      </c>
      <c r="G71" s="144">
        <v>2220.6799999999998</v>
      </c>
      <c r="H71" s="145">
        <v>2438</v>
      </c>
      <c r="I71" s="145">
        <f t="shared" ref="I71:I134" si="57">G71*H71</f>
        <v>5414017.8399999999</v>
      </c>
      <c r="J71" s="190"/>
      <c r="K71" s="144">
        <f>G71</f>
        <v>2220.6799999999998</v>
      </c>
      <c r="L71" s="146">
        <f t="shared" ref="L71:L134" si="58">H71</f>
        <v>2438</v>
      </c>
      <c r="M71" s="147">
        <f t="shared" ref="M71:M134" si="59">K71*L71</f>
        <v>5414017.8399999999</v>
      </c>
      <c r="N71" s="138" t="s">
        <v>532</v>
      </c>
      <c r="O71" s="190"/>
      <c r="P71" s="148">
        <v>0</v>
      </c>
      <c r="Q71" s="146">
        <f t="shared" ref="Q71:Q133" si="60">H71</f>
        <v>2438</v>
      </c>
      <c r="R71" s="147">
        <f t="shared" ref="R71:R133" si="61">P71*Q71</f>
        <v>0</v>
      </c>
      <c r="S71" s="138" t="s">
        <v>92</v>
      </c>
      <c r="T71" s="190"/>
      <c r="U71" s="148">
        <f t="shared" si="53"/>
        <v>0</v>
      </c>
      <c r="V71" s="147">
        <f t="shared" si="54"/>
        <v>0</v>
      </c>
      <c r="W71" s="190"/>
      <c r="X71" s="143"/>
    </row>
    <row r="72" spans="2:24" x14ac:dyDescent="0.35">
      <c r="B72" s="174"/>
      <c r="C72" s="143" t="s">
        <v>274</v>
      </c>
      <c r="D72" s="142" t="s">
        <v>354</v>
      </c>
      <c r="E72" s="177"/>
      <c r="F72" s="177"/>
      <c r="G72" s="144">
        <v>2067.17</v>
      </c>
      <c r="H72" s="145">
        <v>2438</v>
      </c>
      <c r="I72" s="145">
        <f t="shared" si="57"/>
        <v>5039760.46</v>
      </c>
      <c r="J72" s="190"/>
      <c r="K72" s="144">
        <f t="shared" ref="K72:K75" si="62">G72</f>
        <v>2067.17</v>
      </c>
      <c r="L72" s="146">
        <f t="shared" ref="L72:L75" si="63">H72</f>
        <v>2438</v>
      </c>
      <c r="M72" s="147">
        <f t="shared" ref="M72:M75" si="64">K72*L72</f>
        <v>5039760.46</v>
      </c>
      <c r="N72" s="138" t="s">
        <v>532</v>
      </c>
      <c r="O72" s="190"/>
      <c r="P72" s="148">
        <v>0</v>
      </c>
      <c r="Q72" s="146">
        <f t="shared" si="60"/>
        <v>2438</v>
      </c>
      <c r="R72" s="147">
        <f t="shared" si="61"/>
        <v>0</v>
      </c>
      <c r="S72" s="138" t="s">
        <v>92</v>
      </c>
      <c r="T72" s="190"/>
      <c r="U72" s="148">
        <f t="shared" si="53"/>
        <v>0</v>
      </c>
      <c r="V72" s="147">
        <f t="shared" si="54"/>
        <v>0</v>
      </c>
      <c r="W72" s="190"/>
      <c r="X72" s="143"/>
    </row>
    <row r="73" spans="2:24" x14ac:dyDescent="0.35">
      <c r="B73" s="172" t="s">
        <v>355</v>
      </c>
      <c r="C73" s="143" t="s">
        <v>118</v>
      </c>
      <c r="D73" s="142" t="s">
        <v>356</v>
      </c>
      <c r="E73" s="175" t="s">
        <v>119</v>
      </c>
      <c r="F73" s="175" t="s">
        <v>120</v>
      </c>
      <c r="G73" s="144">
        <v>1930.61</v>
      </c>
      <c r="H73" s="145">
        <v>2438</v>
      </c>
      <c r="I73" s="145">
        <f t="shared" si="57"/>
        <v>4706827.18</v>
      </c>
      <c r="J73" s="190"/>
      <c r="K73" s="144">
        <f t="shared" si="62"/>
        <v>1930.61</v>
      </c>
      <c r="L73" s="146">
        <f t="shared" si="63"/>
        <v>2438</v>
      </c>
      <c r="M73" s="147">
        <f t="shared" si="64"/>
        <v>4706827.18</v>
      </c>
      <c r="N73" s="138" t="s">
        <v>532</v>
      </c>
      <c r="O73" s="190"/>
      <c r="P73" s="148">
        <v>0</v>
      </c>
      <c r="Q73" s="146">
        <f t="shared" si="60"/>
        <v>2438</v>
      </c>
      <c r="R73" s="147">
        <f t="shared" si="61"/>
        <v>0</v>
      </c>
      <c r="S73" s="138" t="s">
        <v>92</v>
      </c>
      <c r="T73" s="190"/>
      <c r="U73" s="148">
        <f t="shared" si="53"/>
        <v>0</v>
      </c>
      <c r="V73" s="147">
        <f t="shared" si="54"/>
        <v>0</v>
      </c>
      <c r="W73" s="190"/>
      <c r="X73" s="143"/>
    </row>
    <row r="74" spans="2:24" x14ac:dyDescent="0.35">
      <c r="B74" s="173"/>
      <c r="C74" s="143" t="s">
        <v>117</v>
      </c>
      <c r="D74" s="142" t="s">
        <v>184</v>
      </c>
      <c r="E74" s="176"/>
      <c r="F74" s="176"/>
      <c r="G74" s="144">
        <v>1928.3</v>
      </c>
      <c r="H74" s="145">
        <v>2438</v>
      </c>
      <c r="I74" s="145">
        <f t="shared" si="57"/>
        <v>4701195.3999999994</v>
      </c>
      <c r="J74" s="190"/>
      <c r="K74" s="144">
        <f t="shared" si="62"/>
        <v>1928.3</v>
      </c>
      <c r="L74" s="146">
        <f t="shared" si="63"/>
        <v>2438</v>
      </c>
      <c r="M74" s="147">
        <f t="shared" si="64"/>
        <v>4701195.3999999994</v>
      </c>
      <c r="N74" s="138" t="s">
        <v>532</v>
      </c>
      <c r="O74" s="190"/>
      <c r="P74" s="148">
        <v>0</v>
      </c>
      <c r="Q74" s="146">
        <f t="shared" si="60"/>
        <v>2438</v>
      </c>
      <c r="R74" s="147">
        <f t="shared" si="61"/>
        <v>0</v>
      </c>
      <c r="S74" s="138" t="s">
        <v>92</v>
      </c>
      <c r="T74" s="190"/>
      <c r="U74" s="148">
        <f t="shared" si="53"/>
        <v>0</v>
      </c>
      <c r="V74" s="147">
        <f t="shared" si="54"/>
        <v>0</v>
      </c>
      <c r="W74" s="190"/>
      <c r="X74" s="143"/>
    </row>
    <row r="75" spans="2:24" x14ac:dyDescent="0.35">
      <c r="B75" s="174"/>
      <c r="C75" s="143" t="s">
        <v>116</v>
      </c>
      <c r="D75" s="143" t="s">
        <v>357</v>
      </c>
      <c r="E75" s="177"/>
      <c r="F75" s="177"/>
      <c r="G75" s="144">
        <v>2203.31</v>
      </c>
      <c r="H75" s="145">
        <v>2438</v>
      </c>
      <c r="I75" s="145">
        <f t="shared" si="57"/>
        <v>5371669.7800000003</v>
      </c>
      <c r="J75" s="190"/>
      <c r="K75" s="144">
        <f t="shared" si="62"/>
        <v>2203.31</v>
      </c>
      <c r="L75" s="146">
        <f t="shared" si="63"/>
        <v>2438</v>
      </c>
      <c r="M75" s="147">
        <f t="shared" si="64"/>
        <v>5371669.7800000003</v>
      </c>
      <c r="N75" s="138" t="s">
        <v>532</v>
      </c>
      <c r="O75" s="190"/>
      <c r="P75" s="148">
        <v>0</v>
      </c>
      <c r="Q75" s="146">
        <f t="shared" si="60"/>
        <v>2438</v>
      </c>
      <c r="R75" s="147">
        <f t="shared" si="61"/>
        <v>0</v>
      </c>
      <c r="S75" s="138" t="s">
        <v>92</v>
      </c>
      <c r="T75" s="190"/>
      <c r="U75" s="148">
        <f t="shared" si="53"/>
        <v>0</v>
      </c>
      <c r="V75" s="147">
        <f t="shared" si="54"/>
        <v>0</v>
      </c>
      <c r="W75" s="190"/>
      <c r="X75" s="143"/>
    </row>
    <row r="76" spans="2:24" x14ac:dyDescent="0.35">
      <c r="B76" s="140" t="s">
        <v>361</v>
      </c>
      <c r="C76" s="143" t="s">
        <v>116</v>
      </c>
      <c r="D76" s="143" t="s">
        <v>362</v>
      </c>
      <c r="E76" s="143" t="s">
        <v>363</v>
      </c>
      <c r="F76" s="143" t="s">
        <v>103</v>
      </c>
      <c r="G76" s="144">
        <v>5400</v>
      </c>
      <c r="H76" s="145">
        <v>2445</v>
      </c>
      <c r="I76" s="145">
        <f t="shared" si="57"/>
        <v>13203000</v>
      </c>
      <c r="J76" s="190"/>
      <c r="K76" s="144">
        <v>3240</v>
      </c>
      <c r="L76" s="146">
        <f t="shared" si="58"/>
        <v>2445</v>
      </c>
      <c r="M76" s="147">
        <f t="shared" si="59"/>
        <v>7921800</v>
      </c>
      <c r="N76" s="138" t="s">
        <v>487</v>
      </c>
      <c r="O76" s="190"/>
      <c r="P76" s="148">
        <v>2160</v>
      </c>
      <c r="Q76" s="146">
        <f>H76</f>
        <v>2445</v>
      </c>
      <c r="R76" s="147">
        <f>P76*Q76</f>
        <v>5281200</v>
      </c>
      <c r="S76" s="138" t="s">
        <v>739</v>
      </c>
      <c r="T76" s="190"/>
      <c r="U76" s="148">
        <f t="shared" si="53"/>
        <v>0</v>
      </c>
      <c r="V76" s="147">
        <f t="shared" si="54"/>
        <v>0</v>
      </c>
      <c r="W76" s="190"/>
      <c r="X76" s="143"/>
    </row>
    <row r="77" spans="2:24" x14ac:dyDescent="0.35">
      <c r="B77" s="140" t="s">
        <v>368</v>
      </c>
      <c r="C77" s="143" t="s">
        <v>338</v>
      </c>
      <c r="D77" s="143" t="s">
        <v>369</v>
      </c>
      <c r="E77" s="143" t="s">
        <v>59</v>
      </c>
      <c r="F77" s="143" t="s">
        <v>103</v>
      </c>
      <c r="G77" s="144">
        <v>5400</v>
      </c>
      <c r="H77" s="145">
        <v>2445</v>
      </c>
      <c r="I77" s="145">
        <f t="shared" si="57"/>
        <v>13203000</v>
      </c>
      <c r="J77" s="190"/>
      <c r="K77" s="144">
        <v>3240</v>
      </c>
      <c r="L77" s="146">
        <f t="shared" ref="L77" si="65">H77</f>
        <v>2445</v>
      </c>
      <c r="M77" s="147">
        <f t="shared" ref="M77" si="66">K77*L77</f>
        <v>7921800</v>
      </c>
      <c r="N77" s="138" t="s">
        <v>487</v>
      </c>
      <c r="O77" s="190"/>
      <c r="P77" s="148">
        <v>2148.2399999999998</v>
      </c>
      <c r="Q77" s="146">
        <f t="shared" si="60"/>
        <v>2445</v>
      </c>
      <c r="R77" s="147">
        <f t="shared" si="61"/>
        <v>5252446.8</v>
      </c>
      <c r="S77" s="138" t="s">
        <v>691</v>
      </c>
      <c r="T77" s="190"/>
      <c r="U77" s="148">
        <f t="shared" si="53"/>
        <v>11.760000000000218</v>
      </c>
      <c r="V77" s="147">
        <f t="shared" si="54"/>
        <v>28753.200000000186</v>
      </c>
      <c r="W77" s="190"/>
      <c r="X77" s="143" t="s">
        <v>692</v>
      </c>
    </row>
    <row r="78" spans="2:24" x14ac:dyDescent="0.35">
      <c r="B78" s="140" t="s">
        <v>370</v>
      </c>
      <c r="C78" s="143" t="s">
        <v>333</v>
      </c>
      <c r="D78" s="140" t="s">
        <v>371</v>
      </c>
      <c r="E78" s="143" t="s">
        <v>59</v>
      </c>
      <c r="F78" s="143" t="s">
        <v>103</v>
      </c>
      <c r="G78" s="144">
        <v>5400</v>
      </c>
      <c r="H78" s="145">
        <v>2445</v>
      </c>
      <c r="I78" s="145">
        <f t="shared" si="57"/>
        <v>13203000</v>
      </c>
      <c r="J78" s="190"/>
      <c r="K78" s="144">
        <v>3240</v>
      </c>
      <c r="L78" s="146">
        <f t="shared" ref="L78:L79" si="67">H78</f>
        <v>2445</v>
      </c>
      <c r="M78" s="147">
        <f t="shared" ref="M78:M79" si="68">K78*L78</f>
        <v>7921800</v>
      </c>
      <c r="N78" s="138" t="s">
        <v>486</v>
      </c>
      <c r="O78" s="190"/>
      <c r="P78" s="148">
        <v>2160</v>
      </c>
      <c r="Q78" s="146">
        <f t="shared" si="60"/>
        <v>2445</v>
      </c>
      <c r="R78" s="147">
        <f t="shared" si="61"/>
        <v>5281200</v>
      </c>
      <c r="S78" s="138" t="s">
        <v>738</v>
      </c>
      <c r="T78" s="190"/>
      <c r="U78" s="148">
        <f t="shared" si="53"/>
        <v>0</v>
      </c>
      <c r="V78" s="147">
        <f t="shared" si="54"/>
        <v>0</v>
      </c>
      <c r="W78" s="190"/>
      <c r="X78" s="143"/>
    </row>
    <row r="79" spans="2:24" x14ac:dyDescent="0.35">
      <c r="B79" s="140" t="s">
        <v>376</v>
      </c>
      <c r="C79" s="143" t="s">
        <v>377</v>
      </c>
      <c r="D79" s="140" t="s">
        <v>378</v>
      </c>
      <c r="E79" s="143" t="s">
        <v>59</v>
      </c>
      <c r="F79" s="143" t="s">
        <v>103</v>
      </c>
      <c r="G79" s="144">
        <v>5400</v>
      </c>
      <c r="H79" s="145">
        <v>2445</v>
      </c>
      <c r="I79" s="145">
        <f t="shared" si="57"/>
        <v>13203000</v>
      </c>
      <c r="J79" s="190"/>
      <c r="K79" s="144">
        <v>3240</v>
      </c>
      <c r="L79" s="146">
        <f t="shared" si="67"/>
        <v>2445</v>
      </c>
      <c r="M79" s="147">
        <f t="shared" si="68"/>
        <v>7921800</v>
      </c>
      <c r="N79" s="138" t="s">
        <v>486</v>
      </c>
      <c r="O79" s="190"/>
      <c r="P79" s="148">
        <v>1930</v>
      </c>
      <c r="Q79" s="146">
        <f t="shared" si="60"/>
        <v>2445</v>
      </c>
      <c r="R79" s="147">
        <f t="shared" si="61"/>
        <v>4718850</v>
      </c>
      <c r="S79" s="138" t="s">
        <v>860</v>
      </c>
      <c r="T79" s="190"/>
      <c r="U79" s="148">
        <f t="shared" si="53"/>
        <v>230</v>
      </c>
      <c r="V79" s="147">
        <f t="shared" si="54"/>
        <v>562350</v>
      </c>
      <c r="W79" s="190"/>
      <c r="X79" s="143"/>
    </row>
    <row r="80" spans="2:24" x14ac:dyDescent="0.35">
      <c r="B80" s="140" t="s">
        <v>381</v>
      </c>
      <c r="C80" s="143" t="s">
        <v>382</v>
      </c>
      <c r="D80" s="142" t="s">
        <v>383</v>
      </c>
      <c r="E80" s="143" t="s">
        <v>384</v>
      </c>
      <c r="F80" s="143" t="s">
        <v>103</v>
      </c>
      <c r="G80" s="144">
        <v>5400</v>
      </c>
      <c r="H80" s="145">
        <v>2445</v>
      </c>
      <c r="I80" s="145">
        <f t="shared" si="57"/>
        <v>13203000</v>
      </c>
      <c r="J80" s="190"/>
      <c r="K80" s="144">
        <v>3240</v>
      </c>
      <c r="L80" s="146">
        <f t="shared" si="58"/>
        <v>2445</v>
      </c>
      <c r="M80" s="147">
        <f t="shared" si="59"/>
        <v>7921800</v>
      </c>
      <c r="N80" s="138" t="s">
        <v>510</v>
      </c>
      <c r="O80" s="190"/>
      <c r="P80" s="148">
        <v>1870</v>
      </c>
      <c r="Q80" s="146">
        <f t="shared" si="60"/>
        <v>2445</v>
      </c>
      <c r="R80" s="147">
        <f t="shared" si="61"/>
        <v>4572150</v>
      </c>
      <c r="S80" s="138" t="s">
        <v>858</v>
      </c>
      <c r="T80" s="190"/>
      <c r="U80" s="148">
        <f t="shared" si="53"/>
        <v>290</v>
      </c>
      <c r="V80" s="147">
        <f t="shared" si="54"/>
        <v>709050</v>
      </c>
      <c r="W80" s="190"/>
      <c r="X80" s="143"/>
    </row>
    <row r="81" spans="2:24" x14ac:dyDescent="0.35">
      <c r="B81" s="140" t="s">
        <v>388</v>
      </c>
      <c r="C81" s="143" t="s">
        <v>389</v>
      </c>
      <c r="D81" s="142" t="s">
        <v>390</v>
      </c>
      <c r="E81" s="143" t="s">
        <v>151</v>
      </c>
      <c r="F81" s="143" t="s">
        <v>103</v>
      </c>
      <c r="G81" s="144">
        <v>5500</v>
      </c>
      <c r="H81" s="145">
        <v>2445</v>
      </c>
      <c r="I81" s="145">
        <f t="shared" si="57"/>
        <v>13447500</v>
      </c>
      <c r="J81" s="190"/>
      <c r="K81" s="144">
        <v>3300</v>
      </c>
      <c r="L81" s="146">
        <f t="shared" si="58"/>
        <v>2445</v>
      </c>
      <c r="M81" s="147">
        <f t="shared" si="59"/>
        <v>8068500</v>
      </c>
      <c r="N81" s="138" t="s">
        <v>486</v>
      </c>
      <c r="O81" s="190"/>
      <c r="P81" s="148">
        <v>2200</v>
      </c>
      <c r="Q81" s="146">
        <f t="shared" si="60"/>
        <v>2445</v>
      </c>
      <c r="R81" s="147">
        <f t="shared" si="61"/>
        <v>5379000</v>
      </c>
      <c r="S81" s="138" t="s">
        <v>860</v>
      </c>
      <c r="T81" s="190"/>
      <c r="U81" s="148">
        <f t="shared" si="53"/>
        <v>0</v>
      </c>
      <c r="V81" s="147">
        <f t="shared" si="54"/>
        <v>0</v>
      </c>
      <c r="W81" s="190"/>
      <c r="X81" s="143"/>
    </row>
    <row r="82" spans="2:24" x14ac:dyDescent="0.35">
      <c r="B82" s="140" t="s">
        <v>393</v>
      </c>
      <c r="C82" s="143" t="s">
        <v>107</v>
      </c>
      <c r="D82" s="142" t="s">
        <v>394</v>
      </c>
      <c r="E82" s="143" t="s">
        <v>59</v>
      </c>
      <c r="F82" s="143" t="s">
        <v>103</v>
      </c>
      <c r="G82" s="144">
        <v>5400</v>
      </c>
      <c r="H82" s="145">
        <v>2445</v>
      </c>
      <c r="I82" s="145">
        <f t="shared" si="57"/>
        <v>13203000</v>
      </c>
      <c r="J82" s="190"/>
      <c r="K82" s="144">
        <v>3240</v>
      </c>
      <c r="L82" s="146">
        <f t="shared" ref="L82:L83" si="69">H82</f>
        <v>2445</v>
      </c>
      <c r="M82" s="147">
        <f t="shared" ref="M82:M83" si="70">K82*L82</f>
        <v>7921800</v>
      </c>
      <c r="N82" s="138" t="s">
        <v>487</v>
      </c>
      <c r="O82" s="190"/>
      <c r="P82" s="148">
        <v>2160</v>
      </c>
      <c r="Q82" s="146">
        <f t="shared" si="60"/>
        <v>2445</v>
      </c>
      <c r="R82" s="147">
        <f t="shared" si="61"/>
        <v>5281200</v>
      </c>
      <c r="S82" s="138" t="s">
        <v>858</v>
      </c>
      <c r="T82" s="190"/>
      <c r="U82" s="148">
        <f t="shared" si="53"/>
        <v>0</v>
      </c>
      <c r="V82" s="147">
        <f t="shared" si="54"/>
        <v>0</v>
      </c>
      <c r="W82" s="190"/>
      <c r="X82" s="143"/>
    </row>
    <row r="83" spans="2:24" x14ac:dyDescent="0.35">
      <c r="B83" s="140" t="s">
        <v>462</v>
      </c>
      <c r="C83" s="143" t="s">
        <v>111</v>
      </c>
      <c r="D83" s="142" t="s">
        <v>463</v>
      </c>
      <c r="E83" s="143" t="s">
        <v>363</v>
      </c>
      <c r="F83" s="143" t="s">
        <v>103</v>
      </c>
      <c r="G83" s="144">
        <v>5400</v>
      </c>
      <c r="H83" s="145">
        <v>2445</v>
      </c>
      <c r="I83" s="145">
        <f t="shared" si="57"/>
        <v>13203000</v>
      </c>
      <c r="J83" s="190"/>
      <c r="K83" s="144">
        <v>3240</v>
      </c>
      <c r="L83" s="146">
        <f t="shared" si="69"/>
        <v>2445</v>
      </c>
      <c r="M83" s="147">
        <f t="shared" si="70"/>
        <v>7921800</v>
      </c>
      <c r="N83" s="138" t="s">
        <v>510</v>
      </c>
      <c r="O83" s="190"/>
      <c r="P83" s="148">
        <v>2160</v>
      </c>
      <c r="Q83" s="146">
        <f t="shared" si="60"/>
        <v>2445</v>
      </c>
      <c r="R83" s="147">
        <f t="shared" si="61"/>
        <v>5281200</v>
      </c>
      <c r="S83" s="138" t="s">
        <v>858</v>
      </c>
      <c r="T83" s="190"/>
      <c r="U83" s="148">
        <f t="shared" si="53"/>
        <v>0</v>
      </c>
      <c r="V83" s="147">
        <f t="shared" si="54"/>
        <v>0</v>
      </c>
      <c r="W83" s="190"/>
      <c r="X83" s="143"/>
    </row>
    <row r="84" spans="2:24" x14ac:dyDescent="0.35">
      <c r="B84" s="140" t="s">
        <v>466</v>
      </c>
      <c r="C84" s="153" t="s">
        <v>96</v>
      </c>
      <c r="D84" s="142" t="s">
        <v>467</v>
      </c>
      <c r="E84" s="143" t="s">
        <v>480</v>
      </c>
      <c r="F84" s="143" t="s">
        <v>103</v>
      </c>
      <c r="G84" s="144">
        <v>6000</v>
      </c>
      <c r="H84" s="145">
        <v>2445</v>
      </c>
      <c r="I84" s="145">
        <f t="shared" si="57"/>
        <v>14670000</v>
      </c>
      <c r="J84" s="190"/>
      <c r="K84" s="144">
        <v>3600</v>
      </c>
      <c r="L84" s="146">
        <f t="shared" si="58"/>
        <v>2445</v>
      </c>
      <c r="M84" s="147">
        <f t="shared" si="59"/>
        <v>8802000</v>
      </c>
      <c r="N84" s="138" t="s">
        <v>511</v>
      </c>
      <c r="O84" s="190"/>
      <c r="P84" s="148">
        <v>2400</v>
      </c>
      <c r="Q84" s="146">
        <f t="shared" si="60"/>
        <v>2445</v>
      </c>
      <c r="R84" s="147">
        <f t="shared" si="61"/>
        <v>5868000</v>
      </c>
      <c r="S84" s="138" t="s">
        <v>859</v>
      </c>
      <c r="T84" s="190"/>
      <c r="U84" s="148">
        <f t="shared" si="53"/>
        <v>0</v>
      </c>
      <c r="V84" s="147">
        <f t="shared" si="54"/>
        <v>0</v>
      </c>
      <c r="W84" s="190"/>
      <c r="X84" s="143"/>
    </row>
    <row r="85" spans="2:24" x14ac:dyDescent="0.35">
      <c r="B85" s="140" t="s">
        <v>469</v>
      </c>
      <c r="C85" s="143" t="s">
        <v>162</v>
      </c>
      <c r="D85" s="142" t="s">
        <v>470</v>
      </c>
      <c r="E85" s="143" t="s">
        <v>59</v>
      </c>
      <c r="F85" s="143" t="s">
        <v>103</v>
      </c>
      <c r="G85" s="144">
        <v>5400</v>
      </c>
      <c r="H85" s="145">
        <v>2445</v>
      </c>
      <c r="I85" s="145">
        <f t="shared" si="57"/>
        <v>13203000</v>
      </c>
      <c r="J85" s="190"/>
      <c r="K85" s="144">
        <v>3240</v>
      </c>
      <c r="L85" s="146">
        <f t="shared" ref="L85" si="71">H85</f>
        <v>2445</v>
      </c>
      <c r="M85" s="147">
        <f t="shared" ref="M85" si="72">K85*L85</f>
        <v>7921800</v>
      </c>
      <c r="N85" s="138" t="s">
        <v>510</v>
      </c>
      <c r="O85" s="190"/>
      <c r="P85" s="148">
        <v>2160</v>
      </c>
      <c r="Q85" s="146">
        <f t="shared" si="60"/>
        <v>2445</v>
      </c>
      <c r="R85" s="147">
        <f t="shared" si="61"/>
        <v>5281200</v>
      </c>
      <c r="S85" s="138" t="s">
        <v>825</v>
      </c>
      <c r="T85" s="190"/>
      <c r="U85" s="148">
        <f t="shared" si="53"/>
        <v>0</v>
      </c>
      <c r="V85" s="147">
        <f t="shared" si="54"/>
        <v>0</v>
      </c>
      <c r="W85" s="190"/>
      <c r="X85" s="143"/>
    </row>
    <row r="86" spans="2:24" x14ac:dyDescent="0.35">
      <c r="B86" s="140" t="s">
        <v>472</v>
      </c>
      <c r="C86" s="143" t="s">
        <v>473</v>
      </c>
      <c r="D86" s="140" t="s">
        <v>474</v>
      </c>
      <c r="E86" s="143" t="s">
        <v>475</v>
      </c>
      <c r="F86" s="143" t="s">
        <v>103</v>
      </c>
      <c r="G86" s="144">
        <v>5900</v>
      </c>
      <c r="H86" s="145">
        <v>2520</v>
      </c>
      <c r="I86" s="145">
        <f t="shared" si="57"/>
        <v>14868000</v>
      </c>
      <c r="J86" s="190"/>
      <c r="K86" s="144">
        <v>3540</v>
      </c>
      <c r="L86" s="146">
        <f t="shared" si="58"/>
        <v>2520</v>
      </c>
      <c r="M86" s="147">
        <f t="shared" si="59"/>
        <v>8920800</v>
      </c>
      <c r="N86" s="138" t="s">
        <v>511</v>
      </c>
      <c r="O86" s="190"/>
      <c r="P86" s="148">
        <v>2360</v>
      </c>
      <c r="Q86" s="146">
        <f t="shared" si="60"/>
        <v>2520</v>
      </c>
      <c r="R86" s="147">
        <f t="shared" si="61"/>
        <v>5947200</v>
      </c>
      <c r="S86" s="138" t="s">
        <v>825</v>
      </c>
      <c r="T86" s="190"/>
      <c r="U86" s="148">
        <f t="shared" si="53"/>
        <v>0</v>
      </c>
      <c r="V86" s="147">
        <f t="shared" si="54"/>
        <v>0</v>
      </c>
      <c r="W86" s="190"/>
      <c r="X86" s="143"/>
    </row>
    <row r="87" spans="2:24" x14ac:dyDescent="0.35">
      <c r="B87" s="140" t="s">
        <v>481</v>
      </c>
      <c r="C87" s="143" t="s">
        <v>162</v>
      </c>
      <c r="D87" s="142" t="s">
        <v>163</v>
      </c>
      <c r="E87" s="143" t="s">
        <v>503</v>
      </c>
      <c r="F87" s="143" t="s">
        <v>50</v>
      </c>
      <c r="G87" s="144">
        <v>1869</v>
      </c>
      <c r="H87" s="145">
        <v>2520</v>
      </c>
      <c r="I87" s="145">
        <f t="shared" si="57"/>
        <v>4709880</v>
      </c>
      <c r="J87" s="190"/>
      <c r="K87" s="144">
        <f>G87</f>
        <v>1869</v>
      </c>
      <c r="L87" s="146">
        <f t="shared" si="58"/>
        <v>2520</v>
      </c>
      <c r="M87" s="147">
        <f t="shared" si="59"/>
        <v>4709880</v>
      </c>
      <c r="N87" s="138" t="s">
        <v>623</v>
      </c>
      <c r="O87" s="190"/>
      <c r="P87" s="148">
        <v>0</v>
      </c>
      <c r="Q87" s="146">
        <f t="shared" si="60"/>
        <v>2520</v>
      </c>
      <c r="R87" s="147">
        <f t="shared" si="61"/>
        <v>0</v>
      </c>
      <c r="S87" s="138" t="s">
        <v>92</v>
      </c>
      <c r="T87" s="190"/>
      <c r="U87" s="148">
        <f t="shared" si="53"/>
        <v>0</v>
      </c>
      <c r="V87" s="147">
        <f t="shared" si="54"/>
        <v>0</v>
      </c>
      <c r="W87" s="190"/>
      <c r="X87" s="143"/>
    </row>
    <row r="88" spans="2:24" x14ac:dyDescent="0.35">
      <c r="B88" s="140" t="s">
        <v>482</v>
      </c>
      <c r="C88" s="143" t="s">
        <v>143</v>
      </c>
      <c r="D88" s="142" t="s">
        <v>144</v>
      </c>
      <c r="E88" s="143" t="s">
        <v>503</v>
      </c>
      <c r="F88" s="143" t="s">
        <v>50</v>
      </c>
      <c r="G88" s="144">
        <v>1881</v>
      </c>
      <c r="H88" s="145">
        <v>2520</v>
      </c>
      <c r="I88" s="145">
        <f t="shared" si="57"/>
        <v>4740120</v>
      </c>
      <c r="J88" s="190"/>
      <c r="K88" s="144">
        <f>G88</f>
        <v>1881</v>
      </c>
      <c r="L88" s="146">
        <f t="shared" ref="L88:L90" si="73">H88</f>
        <v>2520</v>
      </c>
      <c r="M88" s="147">
        <f t="shared" ref="M88:M90" si="74">K88*L88</f>
        <v>4740120</v>
      </c>
      <c r="N88" s="138" t="s">
        <v>623</v>
      </c>
      <c r="O88" s="190"/>
      <c r="P88" s="148">
        <v>0</v>
      </c>
      <c r="Q88" s="146">
        <f t="shared" si="60"/>
        <v>2520</v>
      </c>
      <c r="R88" s="147">
        <f t="shared" si="61"/>
        <v>0</v>
      </c>
      <c r="S88" s="138" t="s">
        <v>92</v>
      </c>
      <c r="T88" s="190"/>
      <c r="U88" s="148">
        <f t="shared" si="53"/>
        <v>0</v>
      </c>
      <c r="V88" s="147">
        <f t="shared" si="54"/>
        <v>0</v>
      </c>
      <c r="W88" s="190"/>
      <c r="X88" s="143"/>
    </row>
    <row r="89" spans="2:24" x14ac:dyDescent="0.35">
      <c r="B89" s="140" t="s">
        <v>483</v>
      </c>
      <c r="C89" s="143" t="s">
        <v>473</v>
      </c>
      <c r="D89" s="142" t="s">
        <v>485</v>
      </c>
      <c r="E89" s="143" t="s">
        <v>503</v>
      </c>
      <c r="F89" s="143" t="s">
        <v>50</v>
      </c>
      <c r="G89" s="144">
        <v>1867</v>
      </c>
      <c r="H89" s="145">
        <v>2520</v>
      </c>
      <c r="I89" s="145">
        <f t="shared" si="57"/>
        <v>4704840</v>
      </c>
      <c r="J89" s="190"/>
      <c r="K89" s="144">
        <f>G89</f>
        <v>1867</v>
      </c>
      <c r="L89" s="146">
        <f t="shared" si="73"/>
        <v>2520</v>
      </c>
      <c r="M89" s="147">
        <f t="shared" si="74"/>
        <v>4704840</v>
      </c>
      <c r="N89" s="138" t="s">
        <v>623</v>
      </c>
      <c r="O89" s="190"/>
      <c r="P89" s="148">
        <v>0</v>
      </c>
      <c r="Q89" s="146">
        <f t="shared" si="60"/>
        <v>2520</v>
      </c>
      <c r="R89" s="147">
        <f t="shared" si="61"/>
        <v>0</v>
      </c>
      <c r="S89" s="138" t="s">
        <v>92</v>
      </c>
      <c r="T89" s="190"/>
      <c r="U89" s="148">
        <f t="shared" si="53"/>
        <v>0</v>
      </c>
      <c r="V89" s="147">
        <f t="shared" si="54"/>
        <v>0</v>
      </c>
      <c r="W89" s="190"/>
      <c r="X89" s="143"/>
    </row>
    <row r="90" spans="2:24" x14ac:dyDescent="0.35">
      <c r="B90" s="140" t="s">
        <v>484</v>
      </c>
      <c r="C90" s="143" t="s">
        <v>101</v>
      </c>
      <c r="D90" s="142" t="s">
        <v>102</v>
      </c>
      <c r="E90" s="143" t="s">
        <v>503</v>
      </c>
      <c r="F90" s="143" t="s">
        <v>50</v>
      </c>
      <c r="G90" s="144">
        <v>1878</v>
      </c>
      <c r="H90" s="145">
        <v>2520</v>
      </c>
      <c r="I90" s="145">
        <f t="shared" si="57"/>
        <v>4732560</v>
      </c>
      <c r="J90" s="190"/>
      <c r="K90" s="144">
        <f>G90</f>
        <v>1878</v>
      </c>
      <c r="L90" s="146">
        <f t="shared" si="73"/>
        <v>2520</v>
      </c>
      <c r="M90" s="147">
        <f t="shared" si="74"/>
        <v>4732560</v>
      </c>
      <c r="N90" s="138" t="s">
        <v>623</v>
      </c>
      <c r="O90" s="190"/>
      <c r="P90" s="148">
        <v>0</v>
      </c>
      <c r="Q90" s="146">
        <f t="shared" si="60"/>
        <v>2520</v>
      </c>
      <c r="R90" s="147">
        <f t="shared" si="61"/>
        <v>0</v>
      </c>
      <c r="S90" s="138" t="s">
        <v>92</v>
      </c>
      <c r="T90" s="190"/>
      <c r="U90" s="148">
        <f t="shared" si="53"/>
        <v>0</v>
      </c>
      <c r="V90" s="147">
        <f t="shared" si="54"/>
        <v>0</v>
      </c>
      <c r="W90" s="190"/>
      <c r="X90" s="143"/>
    </row>
    <row r="91" spans="2:24" x14ac:dyDescent="0.35">
      <c r="B91" s="140" t="s">
        <v>488</v>
      </c>
      <c r="C91" s="143" t="s">
        <v>101</v>
      </c>
      <c r="D91" s="143" t="s">
        <v>489</v>
      </c>
      <c r="E91" s="143" t="s">
        <v>475</v>
      </c>
      <c r="F91" s="143" t="s">
        <v>103</v>
      </c>
      <c r="G91" s="144">
        <v>5900</v>
      </c>
      <c r="H91" s="145">
        <v>2520</v>
      </c>
      <c r="I91" s="145">
        <f t="shared" si="57"/>
        <v>14868000</v>
      </c>
      <c r="J91" s="190"/>
      <c r="K91" s="144">
        <v>3540</v>
      </c>
      <c r="L91" s="146">
        <f t="shared" ref="L91" si="75">H91</f>
        <v>2520</v>
      </c>
      <c r="M91" s="147">
        <f t="shared" ref="M91" si="76">K91*L91</f>
        <v>8920800</v>
      </c>
      <c r="N91" s="138" t="s">
        <v>512</v>
      </c>
      <c r="O91" s="190"/>
      <c r="P91" s="148">
        <v>2295.06</v>
      </c>
      <c r="Q91" s="146">
        <f t="shared" si="60"/>
        <v>2520</v>
      </c>
      <c r="R91" s="147">
        <f t="shared" si="61"/>
        <v>5783551.2000000002</v>
      </c>
      <c r="S91" s="138" t="s">
        <v>825</v>
      </c>
      <c r="T91" s="190"/>
      <c r="U91" s="148">
        <f t="shared" si="53"/>
        <v>64.940000000000055</v>
      </c>
      <c r="V91" s="147">
        <f t="shared" si="54"/>
        <v>163648.79999999981</v>
      </c>
      <c r="W91" s="190"/>
      <c r="X91" s="143"/>
    </row>
    <row r="92" spans="2:24" x14ac:dyDescent="0.35">
      <c r="B92" s="140" t="s">
        <v>492</v>
      </c>
      <c r="C92" s="143" t="s">
        <v>493</v>
      </c>
      <c r="D92" s="142" t="s">
        <v>494</v>
      </c>
      <c r="E92" s="143" t="s">
        <v>59</v>
      </c>
      <c r="F92" s="143" t="s">
        <v>103</v>
      </c>
      <c r="G92" s="144">
        <v>5400</v>
      </c>
      <c r="H92" s="145">
        <v>2520</v>
      </c>
      <c r="I92" s="145">
        <f t="shared" si="57"/>
        <v>13608000</v>
      </c>
      <c r="J92" s="190"/>
      <c r="K92" s="144">
        <v>3240</v>
      </c>
      <c r="L92" s="146">
        <f t="shared" si="58"/>
        <v>2520</v>
      </c>
      <c r="M92" s="147">
        <f t="shared" si="59"/>
        <v>8164800</v>
      </c>
      <c r="N92" s="138" t="s">
        <v>513</v>
      </c>
      <c r="O92" s="190"/>
      <c r="P92" s="148">
        <v>1990</v>
      </c>
      <c r="Q92" s="146">
        <f t="shared" si="60"/>
        <v>2520</v>
      </c>
      <c r="R92" s="147">
        <f t="shared" si="61"/>
        <v>5014800</v>
      </c>
      <c r="S92" s="138" t="s">
        <v>859</v>
      </c>
      <c r="T92" s="190"/>
      <c r="U92" s="148">
        <f t="shared" si="53"/>
        <v>170</v>
      </c>
      <c r="V92" s="147">
        <f t="shared" si="54"/>
        <v>428400</v>
      </c>
      <c r="W92" s="190"/>
      <c r="X92" s="143"/>
    </row>
    <row r="93" spans="2:24" x14ac:dyDescent="0.35">
      <c r="B93" s="140" t="s">
        <v>497</v>
      </c>
      <c r="C93" s="143" t="s">
        <v>143</v>
      </c>
      <c r="D93" s="143" t="s">
        <v>498</v>
      </c>
      <c r="E93" s="143" t="s">
        <v>59</v>
      </c>
      <c r="F93" s="143" t="s">
        <v>103</v>
      </c>
      <c r="G93" s="144">
        <v>5400</v>
      </c>
      <c r="H93" s="145">
        <v>2520</v>
      </c>
      <c r="I93" s="145">
        <f t="shared" si="57"/>
        <v>13608000</v>
      </c>
      <c r="J93" s="190"/>
      <c r="K93" s="144">
        <v>3240</v>
      </c>
      <c r="L93" s="146">
        <f t="shared" si="58"/>
        <v>2520</v>
      </c>
      <c r="M93" s="147">
        <f t="shared" si="59"/>
        <v>8164800</v>
      </c>
      <c r="N93" s="138" t="s">
        <v>513</v>
      </c>
      <c r="O93" s="190"/>
      <c r="P93" s="148">
        <v>2160</v>
      </c>
      <c r="Q93" s="146">
        <f t="shared" si="60"/>
        <v>2520</v>
      </c>
      <c r="R93" s="147">
        <f t="shared" si="61"/>
        <v>5443200</v>
      </c>
      <c r="S93" s="138" t="s">
        <v>859</v>
      </c>
      <c r="T93" s="190"/>
      <c r="U93" s="148">
        <f t="shared" si="53"/>
        <v>0</v>
      </c>
      <c r="V93" s="147">
        <f t="shared" si="54"/>
        <v>0</v>
      </c>
      <c r="W93" s="190"/>
      <c r="X93" s="143"/>
    </row>
    <row r="94" spans="2:24" x14ac:dyDescent="0.35">
      <c r="B94" s="140" t="s">
        <v>500</v>
      </c>
      <c r="C94" s="143" t="s">
        <v>157</v>
      </c>
      <c r="D94" s="142" t="s">
        <v>158</v>
      </c>
      <c r="E94" s="143" t="s">
        <v>503</v>
      </c>
      <c r="F94" s="143" t="s">
        <v>50</v>
      </c>
      <c r="G94" s="144">
        <v>1859</v>
      </c>
      <c r="H94" s="145">
        <v>2520</v>
      </c>
      <c r="I94" s="145">
        <f t="shared" si="57"/>
        <v>4684680</v>
      </c>
      <c r="J94" s="190"/>
      <c r="K94" s="144">
        <f>G94</f>
        <v>1859</v>
      </c>
      <c r="L94" s="146">
        <f t="shared" si="58"/>
        <v>2520</v>
      </c>
      <c r="M94" s="147">
        <f t="shared" si="59"/>
        <v>4684680</v>
      </c>
      <c r="N94" s="138" t="s">
        <v>740</v>
      </c>
      <c r="O94" s="190"/>
      <c r="P94" s="148">
        <v>0</v>
      </c>
      <c r="Q94" s="146">
        <f t="shared" si="60"/>
        <v>2520</v>
      </c>
      <c r="R94" s="147">
        <f t="shared" si="61"/>
        <v>0</v>
      </c>
      <c r="S94" s="138" t="s">
        <v>92</v>
      </c>
      <c r="T94" s="190"/>
      <c r="U94" s="148">
        <f t="shared" si="53"/>
        <v>0</v>
      </c>
      <c r="V94" s="147">
        <f t="shared" si="54"/>
        <v>0</v>
      </c>
      <c r="W94" s="190"/>
      <c r="X94" s="143"/>
    </row>
    <row r="95" spans="2:24" x14ac:dyDescent="0.35">
      <c r="B95" s="140" t="s">
        <v>501</v>
      </c>
      <c r="C95" s="143" t="s">
        <v>135</v>
      </c>
      <c r="D95" s="142" t="s">
        <v>136</v>
      </c>
      <c r="E95" s="143" t="s">
        <v>503</v>
      </c>
      <c r="F95" s="143" t="s">
        <v>50</v>
      </c>
      <c r="G95" s="144">
        <v>1870</v>
      </c>
      <c r="H95" s="145">
        <v>2520</v>
      </c>
      <c r="I95" s="145">
        <f t="shared" si="57"/>
        <v>4712400</v>
      </c>
      <c r="J95" s="190"/>
      <c r="K95" s="144">
        <f>G95</f>
        <v>1870</v>
      </c>
      <c r="L95" s="146">
        <f t="shared" si="58"/>
        <v>2520</v>
      </c>
      <c r="M95" s="147">
        <f t="shared" si="59"/>
        <v>4712400</v>
      </c>
      <c r="N95" s="138" t="s">
        <v>740</v>
      </c>
      <c r="O95" s="190"/>
      <c r="P95" s="148">
        <v>0</v>
      </c>
      <c r="Q95" s="146">
        <f t="shared" si="60"/>
        <v>2520</v>
      </c>
      <c r="R95" s="147">
        <f t="shared" si="61"/>
        <v>0</v>
      </c>
      <c r="S95" s="138" t="s">
        <v>92</v>
      </c>
      <c r="T95" s="190"/>
      <c r="U95" s="148">
        <f t="shared" si="53"/>
        <v>0</v>
      </c>
      <c r="V95" s="147">
        <f t="shared" si="54"/>
        <v>0</v>
      </c>
      <c r="W95" s="190"/>
      <c r="X95" s="143"/>
    </row>
    <row r="96" spans="2:24" x14ac:dyDescent="0.35">
      <c r="B96" s="140" t="s">
        <v>502</v>
      </c>
      <c r="C96" s="143" t="s">
        <v>167</v>
      </c>
      <c r="D96" s="142" t="s">
        <v>504</v>
      </c>
      <c r="E96" s="143" t="s">
        <v>503</v>
      </c>
      <c r="F96" s="143" t="s">
        <v>50</v>
      </c>
      <c r="G96" s="144">
        <v>1866</v>
      </c>
      <c r="H96" s="145">
        <v>2520</v>
      </c>
      <c r="I96" s="145">
        <f t="shared" si="57"/>
        <v>4702320</v>
      </c>
      <c r="J96" s="190"/>
      <c r="K96" s="144">
        <f>G96</f>
        <v>1866</v>
      </c>
      <c r="L96" s="146">
        <f t="shared" si="58"/>
        <v>2520</v>
      </c>
      <c r="M96" s="147">
        <f t="shared" si="59"/>
        <v>4702320</v>
      </c>
      <c r="N96" s="138" t="s">
        <v>740</v>
      </c>
      <c r="O96" s="190"/>
      <c r="P96" s="148">
        <v>0</v>
      </c>
      <c r="Q96" s="146">
        <f t="shared" si="60"/>
        <v>2520</v>
      </c>
      <c r="R96" s="147">
        <f t="shared" si="61"/>
        <v>0</v>
      </c>
      <c r="S96" s="138" t="s">
        <v>92</v>
      </c>
      <c r="T96" s="190"/>
      <c r="U96" s="148">
        <f t="shared" si="53"/>
        <v>0</v>
      </c>
      <c r="V96" s="147">
        <f t="shared" si="54"/>
        <v>0</v>
      </c>
      <c r="W96" s="190"/>
      <c r="X96" s="143"/>
    </row>
    <row r="97" spans="2:24" x14ac:dyDescent="0.35">
      <c r="B97" s="172" t="s">
        <v>506</v>
      </c>
      <c r="C97" s="143" t="s">
        <v>377</v>
      </c>
      <c r="D97" s="142" t="s">
        <v>507</v>
      </c>
      <c r="E97" s="175" t="s">
        <v>119</v>
      </c>
      <c r="F97" s="175" t="s">
        <v>120</v>
      </c>
      <c r="G97" s="144">
        <v>1918.76</v>
      </c>
      <c r="H97" s="145">
        <v>2506</v>
      </c>
      <c r="I97" s="145">
        <f t="shared" si="57"/>
        <v>4808412.5599999996</v>
      </c>
      <c r="J97" s="190"/>
      <c r="K97" s="144">
        <f t="shared" ref="K97:K101" si="77">G97</f>
        <v>1918.76</v>
      </c>
      <c r="L97" s="146">
        <f t="shared" ref="L97:L101" si="78">H97</f>
        <v>2506</v>
      </c>
      <c r="M97" s="147">
        <f t="shared" ref="M97:M101" si="79">K97*L97</f>
        <v>4808412.5599999996</v>
      </c>
      <c r="N97" s="138" t="s">
        <v>532</v>
      </c>
      <c r="O97" s="190"/>
      <c r="P97" s="148">
        <v>0</v>
      </c>
      <c r="Q97" s="146">
        <f t="shared" si="60"/>
        <v>2506</v>
      </c>
      <c r="R97" s="147">
        <f t="shared" si="61"/>
        <v>0</v>
      </c>
      <c r="S97" s="138" t="s">
        <v>92</v>
      </c>
      <c r="T97" s="190"/>
      <c r="U97" s="148">
        <f t="shared" si="53"/>
        <v>0</v>
      </c>
      <c r="V97" s="147">
        <f t="shared" si="54"/>
        <v>0</v>
      </c>
      <c r="W97" s="190"/>
      <c r="X97" s="143"/>
    </row>
    <row r="98" spans="2:24" x14ac:dyDescent="0.35">
      <c r="B98" s="173"/>
      <c r="C98" s="143" t="s">
        <v>382</v>
      </c>
      <c r="D98" s="142" t="s">
        <v>508</v>
      </c>
      <c r="E98" s="176"/>
      <c r="F98" s="176"/>
      <c r="G98" s="144">
        <v>1939.63</v>
      </c>
      <c r="H98" s="145">
        <v>2506</v>
      </c>
      <c r="I98" s="145">
        <f t="shared" si="57"/>
        <v>4860712.78</v>
      </c>
      <c r="J98" s="190"/>
      <c r="K98" s="144">
        <f t="shared" si="77"/>
        <v>1939.63</v>
      </c>
      <c r="L98" s="146">
        <f t="shared" si="78"/>
        <v>2506</v>
      </c>
      <c r="M98" s="147">
        <f t="shared" si="79"/>
        <v>4860712.78</v>
      </c>
      <c r="N98" s="138" t="s">
        <v>532</v>
      </c>
      <c r="O98" s="190"/>
      <c r="P98" s="148">
        <v>0</v>
      </c>
      <c r="Q98" s="146">
        <f t="shared" si="60"/>
        <v>2506</v>
      </c>
      <c r="R98" s="147">
        <f t="shared" si="61"/>
        <v>0</v>
      </c>
      <c r="S98" s="138" t="s">
        <v>92</v>
      </c>
      <c r="T98" s="190"/>
      <c r="U98" s="148">
        <f t="shared" si="53"/>
        <v>0</v>
      </c>
      <c r="V98" s="147">
        <f t="shared" si="54"/>
        <v>0</v>
      </c>
      <c r="W98" s="190"/>
      <c r="X98" s="143"/>
    </row>
    <row r="99" spans="2:24" x14ac:dyDescent="0.35">
      <c r="B99" s="173"/>
      <c r="C99" s="143" t="s">
        <v>111</v>
      </c>
      <c r="D99" s="142" t="s">
        <v>112</v>
      </c>
      <c r="E99" s="176"/>
      <c r="F99" s="176"/>
      <c r="G99" s="144">
        <v>1933.36</v>
      </c>
      <c r="H99" s="145">
        <v>2506</v>
      </c>
      <c r="I99" s="145">
        <f t="shared" si="57"/>
        <v>4845000.16</v>
      </c>
      <c r="J99" s="190"/>
      <c r="K99" s="144">
        <f t="shared" si="77"/>
        <v>1933.36</v>
      </c>
      <c r="L99" s="146">
        <f t="shared" si="78"/>
        <v>2506</v>
      </c>
      <c r="M99" s="147">
        <f t="shared" si="79"/>
        <v>4845000.16</v>
      </c>
      <c r="N99" s="138" t="s">
        <v>532</v>
      </c>
      <c r="O99" s="190"/>
      <c r="P99" s="148">
        <v>0</v>
      </c>
      <c r="Q99" s="146">
        <f t="shared" si="60"/>
        <v>2506</v>
      </c>
      <c r="R99" s="147">
        <f t="shared" si="61"/>
        <v>0</v>
      </c>
      <c r="S99" s="138" t="s">
        <v>92</v>
      </c>
      <c r="T99" s="190"/>
      <c r="U99" s="148">
        <f t="shared" si="53"/>
        <v>0</v>
      </c>
      <c r="V99" s="147">
        <f t="shared" si="54"/>
        <v>0</v>
      </c>
      <c r="W99" s="190"/>
      <c r="X99" s="143"/>
    </row>
    <row r="100" spans="2:24" x14ac:dyDescent="0.35">
      <c r="B100" s="173"/>
      <c r="C100" s="143" t="s">
        <v>107</v>
      </c>
      <c r="D100" s="142" t="s">
        <v>108</v>
      </c>
      <c r="E100" s="176"/>
      <c r="F100" s="176"/>
      <c r="G100" s="144">
        <v>2051.81</v>
      </c>
      <c r="H100" s="145">
        <v>2506</v>
      </c>
      <c r="I100" s="145">
        <f t="shared" si="57"/>
        <v>5141835.8599999994</v>
      </c>
      <c r="J100" s="190"/>
      <c r="K100" s="144">
        <f t="shared" si="77"/>
        <v>2051.81</v>
      </c>
      <c r="L100" s="146">
        <f t="shared" si="78"/>
        <v>2506</v>
      </c>
      <c r="M100" s="147">
        <f t="shared" si="79"/>
        <v>5141835.8599999994</v>
      </c>
      <c r="N100" s="138" t="s">
        <v>532</v>
      </c>
      <c r="O100" s="190"/>
      <c r="P100" s="148">
        <v>0</v>
      </c>
      <c r="Q100" s="146">
        <f t="shared" si="60"/>
        <v>2506</v>
      </c>
      <c r="R100" s="147">
        <f t="shared" si="61"/>
        <v>0</v>
      </c>
      <c r="S100" s="138" t="s">
        <v>92</v>
      </c>
      <c r="T100" s="190"/>
      <c r="U100" s="148">
        <f t="shared" si="53"/>
        <v>0</v>
      </c>
      <c r="V100" s="147">
        <f t="shared" si="54"/>
        <v>0</v>
      </c>
      <c r="W100" s="190"/>
      <c r="X100" s="143"/>
    </row>
    <row r="101" spans="2:24" x14ac:dyDescent="0.35">
      <c r="B101" s="174"/>
      <c r="C101" s="143" t="s">
        <v>96</v>
      </c>
      <c r="D101" s="142" t="s">
        <v>97</v>
      </c>
      <c r="E101" s="177"/>
      <c r="F101" s="177"/>
      <c r="G101" s="144">
        <v>1955.41</v>
      </c>
      <c r="H101" s="145">
        <v>2506</v>
      </c>
      <c r="I101" s="145">
        <f t="shared" si="57"/>
        <v>4900257.46</v>
      </c>
      <c r="J101" s="190"/>
      <c r="K101" s="144">
        <f t="shared" si="77"/>
        <v>1955.41</v>
      </c>
      <c r="L101" s="146">
        <f t="shared" si="78"/>
        <v>2506</v>
      </c>
      <c r="M101" s="147">
        <f t="shared" si="79"/>
        <v>4900257.46</v>
      </c>
      <c r="N101" s="138" t="s">
        <v>532</v>
      </c>
      <c r="O101" s="190"/>
      <c r="P101" s="148">
        <v>0</v>
      </c>
      <c r="Q101" s="146">
        <f t="shared" si="60"/>
        <v>2506</v>
      </c>
      <c r="R101" s="147">
        <f t="shared" si="61"/>
        <v>0</v>
      </c>
      <c r="S101" s="138" t="s">
        <v>92</v>
      </c>
      <c r="T101" s="190"/>
      <c r="U101" s="148">
        <f t="shared" si="53"/>
        <v>0</v>
      </c>
      <c r="V101" s="147">
        <f t="shared" si="54"/>
        <v>0</v>
      </c>
      <c r="W101" s="190"/>
      <c r="X101" s="143"/>
    </row>
    <row r="102" spans="2:24" x14ac:dyDescent="0.35">
      <c r="B102" s="140" t="s">
        <v>509</v>
      </c>
      <c r="C102" s="143" t="s">
        <v>187</v>
      </c>
      <c r="D102" s="143" t="s">
        <v>258</v>
      </c>
      <c r="E102" s="143" t="s">
        <v>119</v>
      </c>
      <c r="F102" s="143" t="s">
        <v>50</v>
      </c>
      <c r="G102" s="144">
        <v>1865</v>
      </c>
      <c r="H102" s="145">
        <v>2520</v>
      </c>
      <c r="I102" s="145">
        <f t="shared" si="57"/>
        <v>4699800</v>
      </c>
      <c r="J102" s="190"/>
      <c r="K102" s="144">
        <f>G102</f>
        <v>1865</v>
      </c>
      <c r="L102" s="146">
        <f t="shared" si="58"/>
        <v>2520</v>
      </c>
      <c r="M102" s="147">
        <f t="shared" si="59"/>
        <v>4699800</v>
      </c>
      <c r="N102" s="138" t="s">
        <v>710</v>
      </c>
      <c r="O102" s="190"/>
      <c r="P102" s="148">
        <v>0</v>
      </c>
      <c r="Q102" s="146">
        <f t="shared" si="60"/>
        <v>2520</v>
      </c>
      <c r="R102" s="147">
        <f t="shared" si="61"/>
        <v>0</v>
      </c>
      <c r="S102" s="138" t="s">
        <v>92</v>
      </c>
      <c r="T102" s="190"/>
      <c r="U102" s="148">
        <f t="shared" si="53"/>
        <v>0</v>
      </c>
      <c r="V102" s="147">
        <f t="shared" si="54"/>
        <v>0</v>
      </c>
      <c r="W102" s="190"/>
      <c r="X102" s="143"/>
    </row>
    <row r="103" spans="2:24" x14ac:dyDescent="0.35">
      <c r="B103" s="140" t="s">
        <v>514</v>
      </c>
      <c r="C103" s="143" t="s">
        <v>515</v>
      </c>
      <c r="D103" s="142" t="s">
        <v>516</v>
      </c>
      <c r="E103" s="143" t="s">
        <v>59</v>
      </c>
      <c r="F103" s="143" t="s">
        <v>103</v>
      </c>
      <c r="G103" s="144">
        <v>5400</v>
      </c>
      <c r="H103" s="145">
        <v>2520</v>
      </c>
      <c r="I103" s="145">
        <f t="shared" si="57"/>
        <v>13608000</v>
      </c>
      <c r="J103" s="190"/>
      <c r="K103" s="144">
        <v>3240</v>
      </c>
      <c r="L103" s="146">
        <f t="shared" si="58"/>
        <v>2520</v>
      </c>
      <c r="M103" s="147">
        <f t="shared" si="59"/>
        <v>8164800</v>
      </c>
      <c r="N103" s="138" t="s">
        <v>533</v>
      </c>
      <c r="O103" s="190"/>
      <c r="P103" s="148">
        <v>2120</v>
      </c>
      <c r="Q103" s="146">
        <f t="shared" si="60"/>
        <v>2520</v>
      </c>
      <c r="R103" s="147">
        <f t="shared" si="61"/>
        <v>5342400</v>
      </c>
      <c r="S103" s="138" t="s">
        <v>861</v>
      </c>
      <c r="T103" s="190"/>
      <c r="U103" s="148">
        <f t="shared" si="53"/>
        <v>40</v>
      </c>
      <c r="V103" s="147">
        <f t="shared" si="54"/>
        <v>100800</v>
      </c>
      <c r="W103" s="190"/>
      <c r="X103" s="143"/>
    </row>
    <row r="104" spans="2:24" x14ac:dyDescent="0.35">
      <c r="B104" s="140" t="s">
        <v>518</v>
      </c>
      <c r="C104" s="143" t="s">
        <v>521</v>
      </c>
      <c r="D104" s="143" t="s">
        <v>522</v>
      </c>
      <c r="E104" s="143" t="s">
        <v>523</v>
      </c>
      <c r="F104" s="143" t="s">
        <v>200</v>
      </c>
      <c r="G104" s="144">
        <v>5300</v>
      </c>
      <c r="H104" s="145">
        <v>2550</v>
      </c>
      <c r="I104" s="145">
        <f t="shared" si="57"/>
        <v>13515000</v>
      </c>
      <c r="J104" s="190"/>
      <c r="K104" s="144">
        <v>5300</v>
      </c>
      <c r="L104" s="146">
        <f t="shared" si="58"/>
        <v>2550</v>
      </c>
      <c r="M104" s="147">
        <f t="shared" si="59"/>
        <v>13515000</v>
      </c>
      <c r="N104" s="138" t="s">
        <v>862</v>
      </c>
      <c r="O104" s="190"/>
      <c r="P104" s="148">
        <v>0</v>
      </c>
      <c r="Q104" s="146">
        <f t="shared" si="60"/>
        <v>2550</v>
      </c>
      <c r="R104" s="147">
        <f t="shared" si="61"/>
        <v>0</v>
      </c>
      <c r="S104" s="138" t="s">
        <v>92</v>
      </c>
      <c r="T104" s="190"/>
      <c r="U104" s="148">
        <f t="shared" si="53"/>
        <v>0</v>
      </c>
      <c r="V104" s="147">
        <f t="shared" si="54"/>
        <v>0</v>
      </c>
      <c r="W104" s="190"/>
      <c r="X104" s="143"/>
    </row>
    <row r="105" spans="2:24" x14ac:dyDescent="0.35">
      <c r="B105" s="140" t="s">
        <v>519</v>
      </c>
      <c r="C105" s="143" t="s">
        <v>167</v>
      </c>
      <c r="D105" s="143" t="s">
        <v>528</v>
      </c>
      <c r="E105" s="143" t="s">
        <v>523</v>
      </c>
      <c r="F105" s="143" t="s">
        <v>200</v>
      </c>
      <c r="G105" s="144">
        <v>5200</v>
      </c>
      <c r="H105" s="145">
        <v>2550</v>
      </c>
      <c r="I105" s="145">
        <f t="shared" si="57"/>
        <v>13260000</v>
      </c>
      <c r="J105" s="190"/>
      <c r="K105" s="144">
        <v>0</v>
      </c>
      <c r="L105" s="146">
        <f t="shared" si="58"/>
        <v>2550</v>
      </c>
      <c r="M105" s="147">
        <f t="shared" si="59"/>
        <v>0</v>
      </c>
      <c r="N105" s="138" t="s">
        <v>92</v>
      </c>
      <c r="O105" s="190"/>
      <c r="P105" s="148">
        <v>0</v>
      </c>
      <c r="Q105" s="146">
        <f t="shared" si="60"/>
        <v>2550</v>
      </c>
      <c r="R105" s="147">
        <f t="shared" si="61"/>
        <v>0</v>
      </c>
      <c r="S105" s="138" t="s">
        <v>92</v>
      </c>
      <c r="T105" s="190"/>
      <c r="U105" s="148">
        <f t="shared" si="53"/>
        <v>5200</v>
      </c>
      <c r="V105" s="147">
        <f t="shared" si="54"/>
        <v>13260000</v>
      </c>
      <c r="W105" s="190"/>
      <c r="X105" s="143"/>
    </row>
    <row r="106" spans="2:24" x14ac:dyDescent="0.35">
      <c r="B106" s="140" t="s">
        <v>520</v>
      </c>
      <c r="C106" s="143" t="s">
        <v>157</v>
      </c>
      <c r="D106" s="142" t="s">
        <v>530</v>
      </c>
      <c r="E106" s="143" t="s">
        <v>523</v>
      </c>
      <c r="F106" s="143" t="s">
        <v>200</v>
      </c>
      <c r="G106" s="144">
        <v>5300</v>
      </c>
      <c r="H106" s="145">
        <v>2550</v>
      </c>
      <c r="I106" s="145">
        <f t="shared" ref="I106" si="80">G106*H106</f>
        <v>13515000</v>
      </c>
      <c r="J106" s="190"/>
      <c r="K106" s="144">
        <v>5300</v>
      </c>
      <c r="L106" s="146">
        <f t="shared" si="58"/>
        <v>2550</v>
      </c>
      <c r="M106" s="147">
        <f t="shared" si="59"/>
        <v>13515000</v>
      </c>
      <c r="N106" s="138" t="s">
        <v>886</v>
      </c>
      <c r="O106" s="190"/>
      <c r="P106" s="148">
        <v>0</v>
      </c>
      <c r="Q106" s="146">
        <f t="shared" si="60"/>
        <v>2550</v>
      </c>
      <c r="R106" s="147">
        <f t="shared" si="61"/>
        <v>0</v>
      </c>
      <c r="S106" s="138" t="s">
        <v>92</v>
      </c>
      <c r="T106" s="190"/>
      <c r="U106" s="148">
        <f t="shared" si="53"/>
        <v>0</v>
      </c>
      <c r="V106" s="147">
        <f t="shared" si="54"/>
        <v>0</v>
      </c>
      <c r="W106" s="190"/>
      <c r="X106" s="143"/>
    </row>
    <row r="107" spans="2:24" x14ac:dyDescent="0.35">
      <c r="B107" s="140" t="s">
        <v>534</v>
      </c>
      <c r="C107" s="143" t="s">
        <v>187</v>
      </c>
      <c r="D107" s="140" t="s">
        <v>535</v>
      </c>
      <c r="E107" s="143" t="s">
        <v>523</v>
      </c>
      <c r="F107" s="143" t="s">
        <v>200</v>
      </c>
      <c r="G107" s="144">
        <v>5200</v>
      </c>
      <c r="H107" s="145">
        <v>2550</v>
      </c>
      <c r="I107" s="145">
        <f t="shared" si="57"/>
        <v>13260000</v>
      </c>
      <c r="J107" s="190"/>
      <c r="K107" s="144">
        <v>5200</v>
      </c>
      <c r="L107" s="146">
        <f t="shared" si="58"/>
        <v>2550</v>
      </c>
      <c r="M107" s="147">
        <f t="shared" si="59"/>
        <v>13260000</v>
      </c>
      <c r="N107" s="138" t="s">
        <v>887</v>
      </c>
      <c r="O107" s="190"/>
      <c r="P107" s="148">
        <v>0</v>
      </c>
      <c r="Q107" s="146">
        <f t="shared" si="60"/>
        <v>2550</v>
      </c>
      <c r="R107" s="147">
        <f t="shared" si="61"/>
        <v>0</v>
      </c>
      <c r="S107" s="138" t="s">
        <v>92</v>
      </c>
      <c r="T107" s="190"/>
      <c r="U107" s="148">
        <f t="shared" si="53"/>
        <v>0</v>
      </c>
      <c r="V107" s="147">
        <f t="shared" si="54"/>
        <v>0</v>
      </c>
      <c r="W107" s="190"/>
      <c r="X107" s="143"/>
    </row>
    <row r="108" spans="2:24" x14ac:dyDescent="0.35">
      <c r="B108" s="140" t="s">
        <v>541</v>
      </c>
      <c r="C108" s="143" t="s">
        <v>149</v>
      </c>
      <c r="D108" s="140" t="s">
        <v>540</v>
      </c>
      <c r="E108" s="143" t="s">
        <v>523</v>
      </c>
      <c r="F108" s="143" t="s">
        <v>200</v>
      </c>
      <c r="G108" s="144">
        <v>5200</v>
      </c>
      <c r="H108" s="145">
        <v>2550</v>
      </c>
      <c r="I108" s="145">
        <f t="shared" si="57"/>
        <v>13260000</v>
      </c>
      <c r="J108" s="190"/>
      <c r="K108" s="144">
        <v>5200</v>
      </c>
      <c r="L108" s="146">
        <f t="shared" si="58"/>
        <v>2550</v>
      </c>
      <c r="M108" s="147">
        <f t="shared" si="59"/>
        <v>13260000</v>
      </c>
      <c r="N108" s="138" t="s">
        <v>891</v>
      </c>
      <c r="O108" s="190"/>
      <c r="P108" s="148">
        <v>0</v>
      </c>
      <c r="Q108" s="146">
        <f t="shared" si="60"/>
        <v>2550</v>
      </c>
      <c r="R108" s="147">
        <f t="shared" si="61"/>
        <v>0</v>
      </c>
      <c r="S108" s="138" t="s">
        <v>92</v>
      </c>
      <c r="T108" s="190"/>
      <c r="U108" s="148">
        <f t="shared" si="53"/>
        <v>0</v>
      </c>
      <c r="V108" s="147">
        <f t="shared" si="54"/>
        <v>0</v>
      </c>
      <c r="W108" s="190"/>
      <c r="X108" s="143"/>
    </row>
    <row r="109" spans="2:24" x14ac:dyDescent="0.35">
      <c r="B109" s="140" t="s">
        <v>543</v>
      </c>
      <c r="C109" s="143" t="s">
        <v>186</v>
      </c>
      <c r="D109" s="142" t="s">
        <v>553</v>
      </c>
      <c r="E109" s="143" t="s">
        <v>384</v>
      </c>
      <c r="F109" s="143" t="s">
        <v>200</v>
      </c>
      <c r="G109" s="144">
        <v>5200</v>
      </c>
      <c r="H109" s="145">
        <v>2550</v>
      </c>
      <c r="I109" s="145">
        <f t="shared" si="57"/>
        <v>13260000</v>
      </c>
      <c r="J109" s="190"/>
      <c r="K109" s="144">
        <v>5200</v>
      </c>
      <c r="L109" s="146">
        <f t="shared" ref="L109" si="81">H109</f>
        <v>2550</v>
      </c>
      <c r="M109" s="147">
        <f t="shared" ref="M109" si="82">K109*L109</f>
        <v>13260000</v>
      </c>
      <c r="N109" s="138" t="s">
        <v>888</v>
      </c>
      <c r="O109" s="190"/>
      <c r="P109" s="148">
        <v>0</v>
      </c>
      <c r="Q109" s="146">
        <f t="shared" si="60"/>
        <v>2550</v>
      </c>
      <c r="R109" s="147">
        <f t="shared" si="61"/>
        <v>0</v>
      </c>
      <c r="S109" s="138" t="s">
        <v>92</v>
      </c>
      <c r="T109" s="190"/>
      <c r="U109" s="148">
        <f t="shared" si="53"/>
        <v>0</v>
      </c>
      <c r="V109" s="147">
        <f t="shared" si="54"/>
        <v>0</v>
      </c>
      <c r="W109" s="190"/>
      <c r="X109" s="143"/>
    </row>
    <row r="110" spans="2:24" x14ac:dyDescent="0.35">
      <c r="B110" s="140" t="s">
        <v>544</v>
      </c>
      <c r="C110" s="143" t="s">
        <v>223</v>
      </c>
      <c r="D110" s="142" t="s">
        <v>554</v>
      </c>
      <c r="E110" s="143" t="s">
        <v>384</v>
      </c>
      <c r="F110" s="143" t="s">
        <v>200</v>
      </c>
      <c r="G110" s="144">
        <v>5200</v>
      </c>
      <c r="H110" s="145">
        <v>2550</v>
      </c>
      <c r="I110" s="145">
        <f t="shared" ref="I110" si="83">G110*H110</f>
        <v>13260000</v>
      </c>
      <c r="J110" s="190"/>
      <c r="K110" s="144">
        <v>5200</v>
      </c>
      <c r="L110" s="146">
        <f t="shared" si="58"/>
        <v>2550</v>
      </c>
      <c r="M110" s="147">
        <f t="shared" si="59"/>
        <v>13260000</v>
      </c>
      <c r="N110" s="138" t="s">
        <v>889</v>
      </c>
      <c r="O110" s="190"/>
      <c r="P110" s="148">
        <v>0</v>
      </c>
      <c r="Q110" s="146">
        <f t="shared" si="60"/>
        <v>2550</v>
      </c>
      <c r="R110" s="147">
        <f t="shared" si="61"/>
        <v>0</v>
      </c>
      <c r="S110" s="138" t="s">
        <v>92</v>
      </c>
      <c r="T110" s="190"/>
      <c r="U110" s="148">
        <f t="shared" si="53"/>
        <v>0</v>
      </c>
      <c r="V110" s="147">
        <f t="shared" si="54"/>
        <v>0</v>
      </c>
      <c r="W110" s="190"/>
      <c r="X110" s="143"/>
    </row>
    <row r="111" spans="2:24" x14ac:dyDescent="0.35">
      <c r="B111" s="140" t="s">
        <v>545</v>
      </c>
      <c r="C111" s="143" t="s">
        <v>238</v>
      </c>
      <c r="D111" s="142" t="s">
        <v>239</v>
      </c>
      <c r="E111" s="143" t="s">
        <v>119</v>
      </c>
      <c r="F111" s="143" t="s">
        <v>557</v>
      </c>
      <c r="G111" s="144">
        <v>1613</v>
      </c>
      <c r="H111" s="145">
        <v>2510</v>
      </c>
      <c r="I111" s="145">
        <f t="shared" si="57"/>
        <v>4048630</v>
      </c>
      <c r="J111" s="190"/>
      <c r="K111" s="144">
        <f t="shared" ref="K111:K119" si="84">G111</f>
        <v>1613</v>
      </c>
      <c r="L111" s="146">
        <f t="shared" ref="L111" si="85">H111</f>
        <v>2510</v>
      </c>
      <c r="M111" s="147">
        <f t="shared" ref="M111" si="86">K111*L111</f>
        <v>4048630</v>
      </c>
      <c r="N111" s="138" t="s">
        <v>709</v>
      </c>
      <c r="O111" s="190"/>
      <c r="P111" s="148">
        <v>0</v>
      </c>
      <c r="Q111" s="146">
        <f t="shared" si="60"/>
        <v>2510</v>
      </c>
      <c r="R111" s="147">
        <f t="shared" si="61"/>
        <v>0</v>
      </c>
      <c r="S111" s="138" t="s">
        <v>92</v>
      </c>
      <c r="T111" s="190"/>
      <c r="U111" s="148">
        <f t="shared" si="53"/>
        <v>0</v>
      </c>
      <c r="V111" s="147">
        <f t="shared" si="54"/>
        <v>0</v>
      </c>
      <c r="W111" s="190"/>
      <c r="X111" s="143"/>
    </row>
    <row r="112" spans="2:24" x14ac:dyDescent="0.35">
      <c r="B112" s="140" t="s">
        <v>546</v>
      </c>
      <c r="C112" s="143" t="s">
        <v>279</v>
      </c>
      <c r="D112" s="142" t="s">
        <v>280</v>
      </c>
      <c r="E112" s="143" t="s">
        <v>119</v>
      </c>
      <c r="F112" s="143" t="s">
        <v>557</v>
      </c>
      <c r="G112" s="144">
        <v>1600</v>
      </c>
      <c r="H112" s="145">
        <v>2510</v>
      </c>
      <c r="I112" s="145">
        <f t="shared" si="57"/>
        <v>4016000</v>
      </c>
      <c r="J112" s="190"/>
      <c r="K112" s="144">
        <f t="shared" si="84"/>
        <v>1600</v>
      </c>
      <c r="L112" s="146">
        <f t="shared" ref="L112" si="87">H112</f>
        <v>2510</v>
      </c>
      <c r="M112" s="147">
        <f t="shared" ref="M112" si="88">K112*L112</f>
        <v>4016000</v>
      </c>
      <c r="N112" s="138" t="s">
        <v>709</v>
      </c>
      <c r="O112" s="190"/>
      <c r="P112" s="148">
        <v>0</v>
      </c>
      <c r="Q112" s="146">
        <f t="shared" si="60"/>
        <v>2510</v>
      </c>
      <c r="R112" s="147">
        <f t="shared" si="61"/>
        <v>0</v>
      </c>
      <c r="S112" s="138" t="s">
        <v>92</v>
      </c>
      <c r="T112" s="190"/>
      <c r="U112" s="148">
        <f t="shared" si="53"/>
        <v>0</v>
      </c>
      <c r="V112" s="147">
        <f t="shared" si="54"/>
        <v>0</v>
      </c>
      <c r="W112" s="190"/>
      <c r="X112" s="143"/>
    </row>
    <row r="113" spans="2:24" x14ac:dyDescent="0.35">
      <c r="B113" s="140" t="s">
        <v>547</v>
      </c>
      <c r="C113" s="143" t="s">
        <v>324</v>
      </c>
      <c r="D113" s="142" t="s">
        <v>325</v>
      </c>
      <c r="E113" s="143" t="s">
        <v>119</v>
      </c>
      <c r="F113" s="143" t="s">
        <v>557</v>
      </c>
      <c r="G113" s="144">
        <v>1606</v>
      </c>
      <c r="H113" s="145">
        <v>2510</v>
      </c>
      <c r="I113" s="145">
        <f t="shared" si="57"/>
        <v>4031060</v>
      </c>
      <c r="J113" s="190"/>
      <c r="K113" s="144">
        <f t="shared" si="84"/>
        <v>1606</v>
      </c>
      <c r="L113" s="146">
        <f t="shared" si="58"/>
        <v>2510</v>
      </c>
      <c r="M113" s="147">
        <f t="shared" si="59"/>
        <v>4031060</v>
      </c>
      <c r="N113" s="138" t="s">
        <v>709</v>
      </c>
      <c r="O113" s="190"/>
      <c r="P113" s="148">
        <v>0</v>
      </c>
      <c r="Q113" s="146">
        <f t="shared" si="60"/>
        <v>2510</v>
      </c>
      <c r="R113" s="147">
        <f t="shared" si="61"/>
        <v>0</v>
      </c>
      <c r="S113" s="138" t="s">
        <v>92</v>
      </c>
      <c r="T113" s="190"/>
      <c r="U113" s="148">
        <f t="shared" si="53"/>
        <v>0</v>
      </c>
      <c r="V113" s="147">
        <f t="shared" si="54"/>
        <v>0</v>
      </c>
      <c r="W113" s="190"/>
      <c r="X113" s="143"/>
    </row>
    <row r="114" spans="2:24" x14ac:dyDescent="0.35">
      <c r="B114" s="140" t="s">
        <v>548</v>
      </c>
      <c r="C114" s="143" t="s">
        <v>117</v>
      </c>
      <c r="D114" s="142" t="s">
        <v>320</v>
      </c>
      <c r="E114" s="143" t="s">
        <v>119</v>
      </c>
      <c r="F114" s="143" t="s">
        <v>557</v>
      </c>
      <c r="G114" s="144">
        <v>1614</v>
      </c>
      <c r="H114" s="145">
        <v>2510</v>
      </c>
      <c r="I114" s="145">
        <f t="shared" si="57"/>
        <v>4051140</v>
      </c>
      <c r="J114" s="190"/>
      <c r="K114" s="144">
        <f t="shared" si="84"/>
        <v>1614</v>
      </c>
      <c r="L114" s="146">
        <f t="shared" ref="L114" si="89">H114</f>
        <v>2510</v>
      </c>
      <c r="M114" s="147">
        <f t="shared" ref="M114" si="90">K114*L114</f>
        <v>4051140</v>
      </c>
      <c r="N114" s="138" t="s">
        <v>709</v>
      </c>
      <c r="O114" s="190"/>
      <c r="P114" s="148">
        <v>0</v>
      </c>
      <c r="Q114" s="146">
        <f t="shared" si="60"/>
        <v>2510</v>
      </c>
      <c r="R114" s="147">
        <f t="shared" si="61"/>
        <v>0</v>
      </c>
      <c r="S114" s="138" t="s">
        <v>92</v>
      </c>
      <c r="T114" s="190"/>
      <c r="U114" s="148">
        <f t="shared" si="53"/>
        <v>0</v>
      </c>
      <c r="V114" s="147">
        <f t="shared" si="54"/>
        <v>0</v>
      </c>
      <c r="W114" s="190"/>
      <c r="X114" s="143"/>
    </row>
    <row r="115" spans="2:24" x14ac:dyDescent="0.35">
      <c r="B115" s="140" t="s">
        <v>549</v>
      </c>
      <c r="C115" s="143" t="s">
        <v>293</v>
      </c>
      <c r="D115" s="142" t="s">
        <v>294</v>
      </c>
      <c r="E115" s="143" t="s">
        <v>119</v>
      </c>
      <c r="F115" s="143" t="s">
        <v>557</v>
      </c>
      <c r="G115" s="144">
        <v>1602</v>
      </c>
      <c r="H115" s="145">
        <v>2510</v>
      </c>
      <c r="I115" s="145">
        <f t="shared" si="57"/>
        <v>4021020</v>
      </c>
      <c r="J115" s="190"/>
      <c r="K115" s="144">
        <f t="shared" si="84"/>
        <v>1602</v>
      </c>
      <c r="L115" s="146">
        <f t="shared" ref="L115" si="91">H115</f>
        <v>2510</v>
      </c>
      <c r="M115" s="147">
        <f t="shared" ref="M115" si="92">K115*L115</f>
        <v>4021020</v>
      </c>
      <c r="N115" s="138" t="s">
        <v>709</v>
      </c>
      <c r="O115" s="190"/>
      <c r="P115" s="148">
        <v>0</v>
      </c>
      <c r="Q115" s="146">
        <f t="shared" si="60"/>
        <v>2510</v>
      </c>
      <c r="R115" s="147">
        <f t="shared" si="61"/>
        <v>0</v>
      </c>
      <c r="S115" s="138" t="s">
        <v>92</v>
      </c>
      <c r="T115" s="190"/>
      <c r="U115" s="148">
        <f t="shared" si="53"/>
        <v>0</v>
      </c>
      <c r="V115" s="147">
        <f t="shared" si="54"/>
        <v>0</v>
      </c>
      <c r="W115" s="190"/>
      <c r="X115" s="143"/>
    </row>
    <row r="116" spans="2:24" x14ac:dyDescent="0.35">
      <c r="B116" s="140" t="s">
        <v>550</v>
      </c>
      <c r="C116" s="143" t="s">
        <v>43</v>
      </c>
      <c r="D116" s="142" t="s">
        <v>219</v>
      </c>
      <c r="E116" s="143" t="s">
        <v>119</v>
      </c>
      <c r="F116" s="143" t="s">
        <v>557</v>
      </c>
      <c r="G116" s="144">
        <v>1607</v>
      </c>
      <c r="H116" s="145">
        <v>2510</v>
      </c>
      <c r="I116" s="145">
        <f t="shared" si="57"/>
        <v>4033570</v>
      </c>
      <c r="J116" s="190"/>
      <c r="K116" s="144">
        <f t="shared" si="84"/>
        <v>1607</v>
      </c>
      <c r="L116" s="146">
        <f t="shared" ref="L116" si="93">H116</f>
        <v>2510</v>
      </c>
      <c r="M116" s="147">
        <f t="shared" ref="M116" si="94">K116*L116</f>
        <v>4033570</v>
      </c>
      <c r="N116" s="138" t="s">
        <v>709</v>
      </c>
      <c r="O116" s="190"/>
      <c r="P116" s="148">
        <v>0</v>
      </c>
      <c r="Q116" s="146">
        <f t="shared" si="60"/>
        <v>2510</v>
      </c>
      <c r="R116" s="147">
        <f t="shared" si="61"/>
        <v>0</v>
      </c>
      <c r="S116" s="138" t="s">
        <v>92</v>
      </c>
      <c r="T116" s="190"/>
      <c r="U116" s="148">
        <f t="shared" si="53"/>
        <v>0</v>
      </c>
      <c r="V116" s="147">
        <f t="shared" si="54"/>
        <v>0</v>
      </c>
      <c r="W116" s="190"/>
      <c r="X116" s="143"/>
    </row>
    <row r="117" spans="2:24" x14ac:dyDescent="0.35">
      <c r="B117" s="140" t="s">
        <v>551</v>
      </c>
      <c r="C117" s="143" t="s">
        <v>304</v>
      </c>
      <c r="D117" s="142" t="s">
        <v>305</v>
      </c>
      <c r="E117" s="143" t="s">
        <v>119</v>
      </c>
      <c r="F117" s="143" t="s">
        <v>557</v>
      </c>
      <c r="G117" s="144">
        <v>1611</v>
      </c>
      <c r="H117" s="145">
        <v>2510</v>
      </c>
      <c r="I117" s="145">
        <f t="shared" si="57"/>
        <v>4043610</v>
      </c>
      <c r="J117" s="190"/>
      <c r="K117" s="144">
        <f t="shared" si="84"/>
        <v>1611</v>
      </c>
      <c r="L117" s="146">
        <f t="shared" ref="L117" si="95">H117</f>
        <v>2510</v>
      </c>
      <c r="M117" s="147">
        <f t="shared" ref="M117" si="96">K117*L117</f>
        <v>4043610</v>
      </c>
      <c r="N117" s="138" t="s">
        <v>709</v>
      </c>
      <c r="O117" s="190"/>
      <c r="P117" s="148">
        <v>0</v>
      </c>
      <c r="Q117" s="146">
        <f t="shared" si="60"/>
        <v>2510</v>
      </c>
      <c r="R117" s="147">
        <f t="shared" si="61"/>
        <v>0</v>
      </c>
      <c r="S117" s="138" t="s">
        <v>92</v>
      </c>
      <c r="T117" s="190"/>
      <c r="U117" s="148">
        <f t="shared" si="53"/>
        <v>0</v>
      </c>
      <c r="V117" s="147">
        <f t="shared" si="54"/>
        <v>0</v>
      </c>
      <c r="W117" s="190"/>
      <c r="X117" s="143"/>
    </row>
    <row r="118" spans="2:24" x14ac:dyDescent="0.35">
      <c r="B118" s="140" t="s">
        <v>552</v>
      </c>
      <c r="C118" s="143" t="s">
        <v>288</v>
      </c>
      <c r="D118" s="142" t="s">
        <v>559</v>
      </c>
      <c r="E118" s="143" t="s">
        <v>119</v>
      </c>
      <c r="F118" s="143" t="s">
        <v>557</v>
      </c>
      <c r="G118" s="144">
        <v>1622</v>
      </c>
      <c r="H118" s="145">
        <v>2510</v>
      </c>
      <c r="I118" s="145">
        <f t="shared" si="57"/>
        <v>4071220</v>
      </c>
      <c r="J118" s="190"/>
      <c r="K118" s="144">
        <f t="shared" si="84"/>
        <v>1622</v>
      </c>
      <c r="L118" s="146">
        <f t="shared" si="58"/>
        <v>2510</v>
      </c>
      <c r="M118" s="147">
        <f t="shared" si="59"/>
        <v>4071220</v>
      </c>
      <c r="N118" s="138" t="s">
        <v>815</v>
      </c>
      <c r="O118" s="190"/>
      <c r="P118" s="148">
        <v>0</v>
      </c>
      <c r="Q118" s="146">
        <f t="shared" si="60"/>
        <v>2510</v>
      </c>
      <c r="R118" s="147">
        <f t="shared" si="61"/>
        <v>0</v>
      </c>
      <c r="S118" s="138" t="s">
        <v>92</v>
      </c>
      <c r="T118" s="190"/>
      <c r="U118" s="148">
        <f t="shared" si="53"/>
        <v>0</v>
      </c>
      <c r="V118" s="147">
        <f t="shared" si="54"/>
        <v>0</v>
      </c>
      <c r="W118" s="190"/>
      <c r="X118" s="143"/>
    </row>
    <row r="119" spans="2:24" x14ac:dyDescent="0.35">
      <c r="B119" s="140" t="s">
        <v>560</v>
      </c>
      <c r="C119" s="143" t="s">
        <v>333</v>
      </c>
      <c r="D119" s="142" t="s">
        <v>561</v>
      </c>
      <c r="E119" s="143" t="s">
        <v>119</v>
      </c>
      <c r="F119" s="143" t="s">
        <v>557</v>
      </c>
      <c r="G119" s="144">
        <v>1618</v>
      </c>
      <c r="H119" s="145">
        <v>2510</v>
      </c>
      <c r="I119" s="145">
        <f t="shared" si="57"/>
        <v>4061180</v>
      </c>
      <c r="J119" s="190"/>
      <c r="K119" s="144">
        <f t="shared" si="84"/>
        <v>1618</v>
      </c>
      <c r="L119" s="146">
        <f t="shared" ref="L119" si="97">H119</f>
        <v>2510</v>
      </c>
      <c r="M119" s="147">
        <f t="shared" ref="M119" si="98">K119*L119</f>
        <v>4061180</v>
      </c>
      <c r="N119" s="138" t="s">
        <v>815</v>
      </c>
      <c r="O119" s="190"/>
      <c r="P119" s="148">
        <v>0</v>
      </c>
      <c r="Q119" s="146">
        <f t="shared" si="60"/>
        <v>2510</v>
      </c>
      <c r="R119" s="147">
        <f t="shared" si="61"/>
        <v>0</v>
      </c>
      <c r="S119" s="138" t="s">
        <v>92</v>
      </c>
      <c r="T119" s="190"/>
      <c r="U119" s="148">
        <f t="shared" si="53"/>
        <v>0</v>
      </c>
      <c r="V119" s="147">
        <f t="shared" si="54"/>
        <v>0</v>
      </c>
      <c r="W119" s="190"/>
      <c r="X119" s="143"/>
    </row>
    <row r="120" spans="2:24" x14ac:dyDescent="0.35">
      <c r="B120" s="140" t="s">
        <v>562</v>
      </c>
      <c r="C120" s="143" t="s">
        <v>232</v>
      </c>
      <c r="D120" s="142" t="s">
        <v>563</v>
      </c>
      <c r="E120" s="143" t="s">
        <v>119</v>
      </c>
      <c r="F120" s="143" t="s">
        <v>557</v>
      </c>
      <c r="G120" s="144">
        <v>1606</v>
      </c>
      <c r="H120" s="145">
        <v>2510</v>
      </c>
      <c r="I120" s="145">
        <f t="shared" si="57"/>
        <v>4031060</v>
      </c>
      <c r="J120" s="190"/>
      <c r="K120" s="144">
        <v>1596</v>
      </c>
      <c r="L120" s="146">
        <f t="shared" ref="L120:L121" si="99">H120</f>
        <v>2510</v>
      </c>
      <c r="M120" s="147">
        <f t="shared" ref="M120:M121" si="100">K120*L120</f>
        <v>4005960</v>
      </c>
      <c r="N120" s="138" t="s">
        <v>709</v>
      </c>
      <c r="O120" s="190"/>
      <c r="P120" s="148">
        <v>0</v>
      </c>
      <c r="Q120" s="146">
        <f t="shared" si="60"/>
        <v>2510</v>
      </c>
      <c r="R120" s="147">
        <f t="shared" si="61"/>
        <v>0</v>
      </c>
      <c r="S120" s="138" t="s">
        <v>92</v>
      </c>
      <c r="T120" s="190"/>
      <c r="U120" s="148">
        <f t="shared" si="53"/>
        <v>10</v>
      </c>
      <c r="V120" s="147">
        <f t="shared" si="54"/>
        <v>25100</v>
      </c>
      <c r="W120" s="190"/>
      <c r="X120" s="143"/>
    </row>
    <row r="121" spans="2:24" x14ac:dyDescent="0.35">
      <c r="B121" s="140" t="s">
        <v>564</v>
      </c>
      <c r="C121" s="143" t="s">
        <v>309</v>
      </c>
      <c r="D121" s="142" t="s">
        <v>310</v>
      </c>
      <c r="E121" s="143" t="s">
        <v>119</v>
      </c>
      <c r="F121" s="143" t="s">
        <v>557</v>
      </c>
      <c r="G121" s="144">
        <v>1674</v>
      </c>
      <c r="H121" s="145">
        <v>2510</v>
      </c>
      <c r="I121" s="145">
        <f t="shared" si="57"/>
        <v>4201740</v>
      </c>
      <c r="J121" s="190"/>
      <c r="K121" s="144">
        <f>G121</f>
        <v>1674</v>
      </c>
      <c r="L121" s="146">
        <f t="shared" si="99"/>
        <v>2510</v>
      </c>
      <c r="M121" s="147">
        <f t="shared" si="100"/>
        <v>4201740</v>
      </c>
      <c r="N121" s="138" t="s">
        <v>815</v>
      </c>
      <c r="O121" s="190"/>
      <c r="P121" s="148">
        <v>0</v>
      </c>
      <c r="Q121" s="146">
        <f t="shared" si="60"/>
        <v>2510</v>
      </c>
      <c r="R121" s="147">
        <f t="shared" si="61"/>
        <v>0</v>
      </c>
      <c r="S121" s="138" t="s">
        <v>92</v>
      </c>
      <c r="T121" s="190"/>
      <c r="U121" s="148">
        <f t="shared" si="53"/>
        <v>0</v>
      </c>
      <c r="V121" s="147">
        <f t="shared" si="54"/>
        <v>0</v>
      </c>
      <c r="W121" s="190"/>
      <c r="X121" s="143"/>
    </row>
    <row r="122" spans="2:24" x14ac:dyDescent="0.35">
      <c r="B122" s="140" t="s">
        <v>565</v>
      </c>
      <c r="C122" s="143" t="s">
        <v>299</v>
      </c>
      <c r="D122" s="142" t="s">
        <v>300</v>
      </c>
      <c r="E122" s="143" t="s">
        <v>119</v>
      </c>
      <c r="F122" s="143" t="s">
        <v>557</v>
      </c>
      <c r="G122" s="144">
        <v>1614</v>
      </c>
      <c r="H122" s="145">
        <v>2510</v>
      </c>
      <c r="I122" s="145">
        <f t="shared" si="57"/>
        <v>4051140</v>
      </c>
      <c r="J122" s="190"/>
      <c r="K122" s="144">
        <v>1596</v>
      </c>
      <c r="L122" s="146">
        <f t="shared" ref="L122:L124" si="101">H122</f>
        <v>2510</v>
      </c>
      <c r="M122" s="147">
        <f t="shared" ref="M122:M124" si="102">K122*L122</f>
        <v>4005960</v>
      </c>
      <c r="N122" s="138" t="s">
        <v>709</v>
      </c>
      <c r="O122" s="190"/>
      <c r="P122" s="148">
        <v>0</v>
      </c>
      <c r="Q122" s="146">
        <f t="shared" si="60"/>
        <v>2510</v>
      </c>
      <c r="R122" s="147">
        <f t="shared" si="61"/>
        <v>0</v>
      </c>
      <c r="S122" s="138" t="s">
        <v>92</v>
      </c>
      <c r="T122" s="190"/>
      <c r="U122" s="148">
        <f t="shared" si="53"/>
        <v>18</v>
      </c>
      <c r="V122" s="147">
        <f t="shared" si="54"/>
        <v>45180</v>
      </c>
      <c r="W122" s="190"/>
      <c r="X122" s="143"/>
    </row>
    <row r="123" spans="2:24" x14ac:dyDescent="0.35">
      <c r="B123" s="140" t="s">
        <v>566</v>
      </c>
      <c r="C123" s="143" t="s">
        <v>185</v>
      </c>
      <c r="D123" s="142" t="s">
        <v>262</v>
      </c>
      <c r="E123" s="143" t="s">
        <v>119</v>
      </c>
      <c r="F123" s="143" t="s">
        <v>557</v>
      </c>
      <c r="G123" s="144">
        <v>1616</v>
      </c>
      <c r="H123" s="145">
        <v>2510</v>
      </c>
      <c r="I123" s="145">
        <f t="shared" si="57"/>
        <v>4056160</v>
      </c>
      <c r="J123" s="190"/>
      <c r="K123" s="144">
        <f t="shared" ref="K123:K124" si="103">G123</f>
        <v>1616</v>
      </c>
      <c r="L123" s="146">
        <f t="shared" si="101"/>
        <v>2510</v>
      </c>
      <c r="M123" s="147">
        <f t="shared" si="102"/>
        <v>4056160</v>
      </c>
      <c r="N123" s="138" t="s">
        <v>815</v>
      </c>
      <c r="O123" s="190"/>
      <c r="P123" s="148">
        <v>0</v>
      </c>
      <c r="Q123" s="146">
        <f t="shared" si="60"/>
        <v>2510</v>
      </c>
      <c r="R123" s="147">
        <f t="shared" si="61"/>
        <v>0</v>
      </c>
      <c r="S123" s="138" t="s">
        <v>92</v>
      </c>
      <c r="T123" s="190"/>
      <c r="U123" s="148">
        <f t="shared" si="53"/>
        <v>0</v>
      </c>
      <c r="V123" s="147">
        <f t="shared" si="54"/>
        <v>0</v>
      </c>
      <c r="W123" s="190"/>
      <c r="X123" s="143"/>
    </row>
    <row r="124" spans="2:24" x14ac:dyDescent="0.35">
      <c r="B124" s="140" t="s">
        <v>567</v>
      </c>
      <c r="C124" s="143" t="s">
        <v>188</v>
      </c>
      <c r="D124" s="142" t="s">
        <v>284</v>
      </c>
      <c r="E124" s="143" t="s">
        <v>119</v>
      </c>
      <c r="F124" s="143" t="s">
        <v>557</v>
      </c>
      <c r="G124" s="144">
        <v>1613</v>
      </c>
      <c r="H124" s="145">
        <v>2510</v>
      </c>
      <c r="I124" s="145">
        <f t="shared" si="57"/>
        <v>4048630</v>
      </c>
      <c r="J124" s="190"/>
      <c r="K124" s="144">
        <f t="shared" si="103"/>
        <v>1613</v>
      </c>
      <c r="L124" s="146">
        <f t="shared" si="101"/>
        <v>2510</v>
      </c>
      <c r="M124" s="147">
        <f t="shared" si="102"/>
        <v>4048630</v>
      </c>
      <c r="N124" s="138" t="s">
        <v>815</v>
      </c>
      <c r="O124" s="190"/>
      <c r="P124" s="148">
        <v>0</v>
      </c>
      <c r="Q124" s="146">
        <f t="shared" si="60"/>
        <v>2510</v>
      </c>
      <c r="R124" s="147">
        <f t="shared" si="61"/>
        <v>0</v>
      </c>
      <c r="S124" s="138" t="s">
        <v>92</v>
      </c>
      <c r="T124" s="190"/>
      <c r="U124" s="148">
        <f t="shared" si="53"/>
        <v>0</v>
      </c>
      <c r="V124" s="147">
        <f t="shared" si="54"/>
        <v>0</v>
      </c>
      <c r="W124" s="190"/>
      <c r="X124" s="143"/>
    </row>
    <row r="125" spans="2:24" x14ac:dyDescent="0.35">
      <c r="B125" s="140" t="s">
        <v>568</v>
      </c>
      <c r="C125" s="143" t="s">
        <v>198</v>
      </c>
      <c r="D125" s="142" t="s">
        <v>199</v>
      </c>
      <c r="E125" s="143" t="s">
        <v>119</v>
      </c>
      <c r="F125" s="143" t="s">
        <v>557</v>
      </c>
      <c r="G125" s="144">
        <v>1608</v>
      </c>
      <c r="H125" s="145">
        <v>2510</v>
      </c>
      <c r="I125" s="145">
        <f t="shared" si="57"/>
        <v>4036080</v>
      </c>
      <c r="J125" s="190"/>
      <c r="K125" s="144">
        <v>1596</v>
      </c>
      <c r="L125" s="146">
        <f t="shared" ref="L125:L127" si="104">H125</f>
        <v>2510</v>
      </c>
      <c r="M125" s="147">
        <f t="shared" ref="M125:M127" si="105">K125*L125</f>
        <v>4005960</v>
      </c>
      <c r="N125" s="138" t="s">
        <v>709</v>
      </c>
      <c r="O125" s="190"/>
      <c r="P125" s="148">
        <v>0</v>
      </c>
      <c r="Q125" s="146">
        <f t="shared" si="60"/>
        <v>2510</v>
      </c>
      <c r="R125" s="147">
        <f t="shared" si="61"/>
        <v>0</v>
      </c>
      <c r="S125" s="138" t="s">
        <v>92</v>
      </c>
      <c r="T125" s="190"/>
      <c r="U125" s="148">
        <f t="shared" si="53"/>
        <v>12</v>
      </c>
      <c r="V125" s="147">
        <f t="shared" si="54"/>
        <v>30120</v>
      </c>
      <c r="W125" s="190"/>
      <c r="X125" s="143"/>
    </row>
    <row r="126" spans="2:24" x14ac:dyDescent="0.35">
      <c r="B126" s="140" t="s">
        <v>569</v>
      </c>
      <c r="C126" s="143" t="s">
        <v>338</v>
      </c>
      <c r="D126" s="142" t="s">
        <v>369</v>
      </c>
      <c r="E126" s="143" t="s">
        <v>119</v>
      </c>
      <c r="F126" s="143" t="s">
        <v>557</v>
      </c>
      <c r="G126" s="144">
        <v>1618</v>
      </c>
      <c r="H126" s="145">
        <v>2510</v>
      </c>
      <c r="I126" s="145">
        <f t="shared" si="57"/>
        <v>4061180</v>
      </c>
      <c r="J126" s="190"/>
      <c r="K126" s="144">
        <v>1596</v>
      </c>
      <c r="L126" s="146">
        <f t="shared" si="104"/>
        <v>2510</v>
      </c>
      <c r="M126" s="147">
        <f t="shared" si="105"/>
        <v>4005960</v>
      </c>
      <c r="N126" s="138" t="s">
        <v>709</v>
      </c>
      <c r="O126" s="190"/>
      <c r="P126" s="148">
        <v>0</v>
      </c>
      <c r="Q126" s="146">
        <f t="shared" si="60"/>
        <v>2510</v>
      </c>
      <c r="R126" s="147">
        <f t="shared" si="61"/>
        <v>0</v>
      </c>
      <c r="S126" s="138" t="s">
        <v>92</v>
      </c>
      <c r="T126" s="190"/>
      <c r="U126" s="148">
        <f t="shared" si="53"/>
        <v>22</v>
      </c>
      <c r="V126" s="147">
        <f t="shared" si="54"/>
        <v>55220</v>
      </c>
      <c r="W126" s="190"/>
      <c r="X126" s="143"/>
    </row>
    <row r="127" spans="2:24" x14ac:dyDescent="0.35">
      <c r="B127" s="140" t="s">
        <v>570</v>
      </c>
      <c r="C127" s="143" t="s">
        <v>253</v>
      </c>
      <c r="D127" s="143" t="s">
        <v>254</v>
      </c>
      <c r="E127" s="143" t="s">
        <v>119</v>
      </c>
      <c r="F127" s="143" t="s">
        <v>557</v>
      </c>
      <c r="G127" s="144">
        <v>1603</v>
      </c>
      <c r="H127" s="145">
        <v>2510</v>
      </c>
      <c r="I127" s="145">
        <f t="shared" si="57"/>
        <v>4023530</v>
      </c>
      <c r="J127" s="190"/>
      <c r="K127" s="144">
        <v>1596</v>
      </c>
      <c r="L127" s="146">
        <f t="shared" si="104"/>
        <v>2510</v>
      </c>
      <c r="M127" s="147">
        <f t="shared" si="105"/>
        <v>4005960</v>
      </c>
      <c r="N127" s="138" t="s">
        <v>709</v>
      </c>
      <c r="O127" s="190"/>
      <c r="P127" s="148">
        <v>0</v>
      </c>
      <c r="Q127" s="146">
        <f t="shared" si="60"/>
        <v>2510</v>
      </c>
      <c r="R127" s="147">
        <f t="shared" si="61"/>
        <v>0</v>
      </c>
      <c r="S127" s="138" t="s">
        <v>92</v>
      </c>
      <c r="T127" s="190"/>
      <c r="U127" s="148">
        <f t="shared" si="53"/>
        <v>7</v>
      </c>
      <c r="V127" s="147">
        <f t="shared" si="54"/>
        <v>17570</v>
      </c>
      <c r="W127" s="190"/>
      <c r="X127" s="143"/>
    </row>
    <row r="128" spans="2:24" x14ac:dyDescent="0.35">
      <c r="B128" s="140" t="s">
        <v>571</v>
      </c>
      <c r="C128" s="143" t="s">
        <v>118</v>
      </c>
      <c r="D128" s="142" t="s">
        <v>315</v>
      </c>
      <c r="E128" s="143" t="s">
        <v>119</v>
      </c>
      <c r="F128" s="143" t="s">
        <v>557</v>
      </c>
      <c r="G128" s="144">
        <v>1613</v>
      </c>
      <c r="H128" s="145">
        <v>2510</v>
      </c>
      <c r="I128" s="145">
        <f t="shared" si="57"/>
        <v>4048630</v>
      </c>
      <c r="J128" s="190"/>
      <c r="K128" s="144">
        <v>1596</v>
      </c>
      <c r="L128" s="146">
        <f t="shared" ref="L128:L129" si="106">H128</f>
        <v>2510</v>
      </c>
      <c r="M128" s="147">
        <f t="shared" ref="M128:M129" si="107">K128*L128</f>
        <v>4005960</v>
      </c>
      <c r="N128" s="138" t="s">
        <v>709</v>
      </c>
      <c r="O128" s="190"/>
      <c r="P128" s="148">
        <v>0</v>
      </c>
      <c r="Q128" s="146">
        <f>H128</f>
        <v>2510</v>
      </c>
      <c r="R128" s="147">
        <f>P128*Q128</f>
        <v>0</v>
      </c>
      <c r="S128" s="138" t="s">
        <v>92</v>
      </c>
      <c r="T128" s="190"/>
      <c r="U128" s="148">
        <f t="shared" si="53"/>
        <v>17</v>
      </c>
      <c r="V128" s="147">
        <f t="shared" si="54"/>
        <v>42670</v>
      </c>
      <c r="W128" s="190"/>
      <c r="X128" s="143"/>
    </row>
    <row r="129" spans="2:24" x14ac:dyDescent="0.35">
      <c r="B129" s="140" t="s">
        <v>572</v>
      </c>
      <c r="C129" s="143" t="s">
        <v>248</v>
      </c>
      <c r="D129" s="143" t="s">
        <v>249</v>
      </c>
      <c r="E129" s="143" t="s">
        <v>119</v>
      </c>
      <c r="F129" s="143" t="s">
        <v>557</v>
      </c>
      <c r="G129" s="144">
        <v>1611</v>
      </c>
      <c r="H129" s="145">
        <v>2510</v>
      </c>
      <c r="I129" s="145">
        <f t="shared" si="57"/>
        <v>4043610</v>
      </c>
      <c r="J129" s="190"/>
      <c r="K129" s="144">
        <v>1596</v>
      </c>
      <c r="L129" s="146">
        <f t="shared" si="106"/>
        <v>2510</v>
      </c>
      <c r="M129" s="147">
        <f t="shared" si="107"/>
        <v>4005960</v>
      </c>
      <c r="N129" s="138" t="s">
        <v>709</v>
      </c>
      <c r="O129" s="190"/>
      <c r="P129" s="148">
        <v>0</v>
      </c>
      <c r="Q129" s="146">
        <f t="shared" si="60"/>
        <v>2510</v>
      </c>
      <c r="R129" s="147">
        <f t="shared" si="61"/>
        <v>0</v>
      </c>
      <c r="S129" s="138" t="s">
        <v>92</v>
      </c>
      <c r="T129" s="190"/>
      <c r="U129" s="148">
        <f t="shared" si="53"/>
        <v>15</v>
      </c>
      <c r="V129" s="147">
        <f t="shared" si="54"/>
        <v>37650</v>
      </c>
      <c r="W129" s="190"/>
      <c r="X129" s="143"/>
    </row>
    <row r="130" spans="2:24" x14ac:dyDescent="0.35">
      <c r="B130" s="140" t="s">
        <v>573</v>
      </c>
      <c r="C130" s="143" t="s">
        <v>274</v>
      </c>
      <c r="D130" s="142" t="s">
        <v>275</v>
      </c>
      <c r="E130" s="143" t="s">
        <v>119</v>
      </c>
      <c r="F130" s="143" t="s">
        <v>557</v>
      </c>
      <c r="G130" s="144">
        <v>1614</v>
      </c>
      <c r="H130" s="145">
        <v>2510</v>
      </c>
      <c r="I130" s="145">
        <f t="shared" si="57"/>
        <v>4051140</v>
      </c>
      <c r="J130" s="190"/>
      <c r="K130" s="144">
        <v>1596</v>
      </c>
      <c r="L130" s="146">
        <f t="shared" ref="L130" si="108">H130</f>
        <v>2510</v>
      </c>
      <c r="M130" s="147">
        <f t="shared" ref="M130" si="109">K130*L130</f>
        <v>4005960</v>
      </c>
      <c r="N130" s="138" t="s">
        <v>709</v>
      </c>
      <c r="O130" s="190"/>
      <c r="P130" s="148">
        <v>0</v>
      </c>
      <c r="Q130" s="146">
        <f t="shared" si="60"/>
        <v>2510</v>
      </c>
      <c r="R130" s="147">
        <f t="shared" si="61"/>
        <v>0</v>
      </c>
      <c r="S130" s="138" t="s">
        <v>92</v>
      </c>
      <c r="T130" s="190"/>
      <c r="U130" s="148">
        <f t="shared" si="53"/>
        <v>18</v>
      </c>
      <c r="V130" s="147">
        <f t="shared" si="54"/>
        <v>45180</v>
      </c>
      <c r="W130" s="190"/>
      <c r="X130" s="143"/>
    </row>
    <row r="131" spans="2:24" x14ac:dyDescent="0.35">
      <c r="B131" s="140" t="s">
        <v>574</v>
      </c>
      <c r="C131" s="143" t="s">
        <v>243</v>
      </c>
      <c r="D131" s="143" t="s">
        <v>244</v>
      </c>
      <c r="E131" s="143" t="s">
        <v>119</v>
      </c>
      <c r="F131" s="143" t="s">
        <v>557</v>
      </c>
      <c r="G131" s="144">
        <v>1614</v>
      </c>
      <c r="H131" s="145">
        <v>2510</v>
      </c>
      <c r="I131" s="145">
        <f t="shared" si="57"/>
        <v>4051140</v>
      </c>
      <c r="J131" s="190"/>
      <c r="K131" s="144">
        <v>1596</v>
      </c>
      <c r="L131" s="146">
        <f t="shared" ref="L131" si="110">H131</f>
        <v>2510</v>
      </c>
      <c r="M131" s="147">
        <f t="shared" ref="M131" si="111">K131*L131</f>
        <v>4005960</v>
      </c>
      <c r="N131" s="138" t="s">
        <v>709</v>
      </c>
      <c r="O131" s="190"/>
      <c r="P131" s="148">
        <v>0</v>
      </c>
      <c r="Q131" s="146">
        <f t="shared" si="60"/>
        <v>2510</v>
      </c>
      <c r="R131" s="147">
        <f t="shared" si="61"/>
        <v>0</v>
      </c>
      <c r="S131" s="138" t="s">
        <v>92</v>
      </c>
      <c r="T131" s="190"/>
      <c r="U131" s="148">
        <f t="shared" si="53"/>
        <v>18</v>
      </c>
      <c r="V131" s="147">
        <f t="shared" si="54"/>
        <v>45180</v>
      </c>
      <c r="W131" s="190"/>
      <c r="X131" s="143"/>
    </row>
    <row r="132" spans="2:24" x14ac:dyDescent="0.35">
      <c r="B132" s="140" t="s">
        <v>575</v>
      </c>
      <c r="C132" s="143" t="s">
        <v>149</v>
      </c>
      <c r="D132" s="142" t="s">
        <v>150</v>
      </c>
      <c r="E132" s="143" t="s">
        <v>119</v>
      </c>
      <c r="F132" s="143" t="s">
        <v>120</v>
      </c>
      <c r="G132" s="144">
        <v>2068.35</v>
      </c>
      <c r="H132" s="145">
        <v>2506</v>
      </c>
      <c r="I132" s="145">
        <f t="shared" si="57"/>
        <v>5183285.0999999996</v>
      </c>
      <c r="J132" s="190"/>
      <c r="K132" s="144">
        <f>G132</f>
        <v>2068.35</v>
      </c>
      <c r="L132" s="146">
        <f t="shared" si="58"/>
        <v>2506</v>
      </c>
      <c r="M132" s="147">
        <f t="shared" si="59"/>
        <v>5183285.0999999996</v>
      </c>
      <c r="N132" s="138" t="s">
        <v>651</v>
      </c>
      <c r="O132" s="190"/>
      <c r="P132" s="148">
        <v>0</v>
      </c>
      <c r="Q132" s="146">
        <f t="shared" si="60"/>
        <v>2506</v>
      </c>
      <c r="R132" s="147">
        <f t="shared" si="61"/>
        <v>0</v>
      </c>
      <c r="S132" s="138" t="s">
        <v>92</v>
      </c>
      <c r="T132" s="190"/>
      <c r="U132" s="148">
        <f t="shared" ref="U132:U195" si="112">G132-K132-P132</f>
        <v>0</v>
      </c>
      <c r="V132" s="147">
        <f t="shared" ref="V132:V195" si="113">I132-M132-R132</f>
        <v>0</v>
      </c>
      <c r="W132" s="190"/>
      <c r="X132" s="143"/>
    </row>
    <row r="133" spans="2:24" x14ac:dyDescent="0.35">
      <c r="B133" s="172" t="s">
        <v>576</v>
      </c>
      <c r="C133" s="143" t="s">
        <v>186</v>
      </c>
      <c r="D133" s="142" t="s">
        <v>214</v>
      </c>
      <c r="E133" s="175" t="s">
        <v>119</v>
      </c>
      <c r="F133" s="175" t="s">
        <v>120</v>
      </c>
      <c r="G133" s="144">
        <v>1927.73</v>
      </c>
      <c r="H133" s="145">
        <v>2506</v>
      </c>
      <c r="I133" s="145">
        <f t="shared" si="57"/>
        <v>4830891.38</v>
      </c>
      <c r="J133" s="190"/>
      <c r="K133" s="144">
        <f>G133</f>
        <v>1927.73</v>
      </c>
      <c r="L133" s="146">
        <f t="shared" si="58"/>
        <v>2506</v>
      </c>
      <c r="M133" s="147">
        <f t="shared" si="59"/>
        <v>4830891.38</v>
      </c>
      <c r="N133" s="138" t="s">
        <v>651</v>
      </c>
      <c r="O133" s="190"/>
      <c r="P133" s="148">
        <v>0</v>
      </c>
      <c r="Q133" s="146">
        <f t="shared" si="60"/>
        <v>2506</v>
      </c>
      <c r="R133" s="147">
        <f t="shared" si="61"/>
        <v>0</v>
      </c>
      <c r="S133" s="138" t="s">
        <v>92</v>
      </c>
      <c r="T133" s="190"/>
      <c r="U133" s="148">
        <f t="shared" si="112"/>
        <v>0</v>
      </c>
      <c r="V133" s="147">
        <f t="shared" si="113"/>
        <v>0</v>
      </c>
      <c r="W133" s="190"/>
      <c r="X133" s="143"/>
    </row>
    <row r="134" spans="2:24" x14ac:dyDescent="0.35">
      <c r="B134" s="173"/>
      <c r="C134" s="143" t="s">
        <v>223</v>
      </c>
      <c r="D134" s="142" t="s">
        <v>224</v>
      </c>
      <c r="E134" s="176"/>
      <c r="F134" s="176"/>
      <c r="G134" s="144">
        <v>1871.17</v>
      </c>
      <c r="H134" s="145">
        <v>2506</v>
      </c>
      <c r="I134" s="145">
        <f t="shared" si="57"/>
        <v>4689152.0200000005</v>
      </c>
      <c r="J134" s="190"/>
      <c r="K134" s="144">
        <f>G134</f>
        <v>1871.17</v>
      </c>
      <c r="L134" s="146">
        <f t="shared" si="58"/>
        <v>2506</v>
      </c>
      <c r="M134" s="147">
        <f t="shared" si="59"/>
        <v>4689152.0200000005</v>
      </c>
      <c r="N134" s="138" t="s">
        <v>651</v>
      </c>
      <c r="O134" s="190"/>
      <c r="P134" s="148">
        <v>0</v>
      </c>
      <c r="Q134" s="146">
        <f t="shared" ref="Q134:Q195" si="114">H134</f>
        <v>2506</v>
      </c>
      <c r="R134" s="147">
        <f t="shared" ref="R134:R195" si="115">P134*Q134</f>
        <v>0</v>
      </c>
      <c r="S134" s="138" t="s">
        <v>92</v>
      </c>
      <c r="T134" s="190"/>
      <c r="U134" s="148">
        <f t="shared" si="112"/>
        <v>0</v>
      </c>
      <c r="V134" s="147">
        <f t="shared" si="113"/>
        <v>0</v>
      </c>
      <c r="W134" s="190"/>
      <c r="X134" s="143"/>
    </row>
    <row r="135" spans="2:24" x14ac:dyDescent="0.35">
      <c r="B135" s="174"/>
      <c r="C135" s="143" t="s">
        <v>201</v>
      </c>
      <c r="D135" s="142" t="s">
        <v>184</v>
      </c>
      <c r="E135" s="177"/>
      <c r="F135" s="177"/>
      <c r="G135" s="144">
        <v>2135</v>
      </c>
      <c r="H135" s="145">
        <v>2506</v>
      </c>
      <c r="I135" s="145">
        <f t="shared" ref="I135:I198" si="116">G135*H135</f>
        <v>5350310</v>
      </c>
      <c r="J135" s="190"/>
      <c r="K135" s="144">
        <f>G135</f>
        <v>2135</v>
      </c>
      <c r="L135" s="146">
        <f t="shared" ref="L135:L198" si="117">H135</f>
        <v>2506</v>
      </c>
      <c r="M135" s="147">
        <f t="shared" ref="M135:M198" si="118">K135*L135</f>
        <v>5350310</v>
      </c>
      <c r="N135" s="138" t="s">
        <v>651</v>
      </c>
      <c r="O135" s="190"/>
      <c r="P135" s="148">
        <v>0</v>
      </c>
      <c r="Q135" s="146">
        <f t="shared" si="114"/>
        <v>2506</v>
      </c>
      <c r="R135" s="147">
        <f t="shared" si="115"/>
        <v>0</v>
      </c>
      <c r="S135" s="138" t="s">
        <v>92</v>
      </c>
      <c r="T135" s="190"/>
      <c r="U135" s="148">
        <f t="shared" si="112"/>
        <v>0</v>
      </c>
      <c r="V135" s="147">
        <f t="shared" si="113"/>
        <v>0</v>
      </c>
      <c r="W135" s="190"/>
      <c r="X135" s="143"/>
    </row>
    <row r="136" spans="2:24" x14ac:dyDescent="0.35">
      <c r="B136" s="140" t="s">
        <v>577</v>
      </c>
      <c r="C136" s="143" t="s">
        <v>118</v>
      </c>
      <c r="D136" s="142" t="s">
        <v>820</v>
      </c>
      <c r="E136" s="143" t="s">
        <v>59</v>
      </c>
      <c r="F136" s="143" t="s">
        <v>103</v>
      </c>
      <c r="G136" s="144">
        <v>5500</v>
      </c>
      <c r="H136" s="145">
        <v>2520</v>
      </c>
      <c r="I136" s="145">
        <f t="shared" si="116"/>
        <v>13860000</v>
      </c>
      <c r="J136" s="190"/>
      <c r="K136" s="144">
        <v>3300</v>
      </c>
      <c r="L136" s="146">
        <f t="shared" si="117"/>
        <v>2520</v>
      </c>
      <c r="M136" s="147">
        <f t="shared" si="118"/>
        <v>8316000</v>
      </c>
      <c r="N136" s="138" t="s">
        <v>622</v>
      </c>
      <c r="O136" s="190"/>
      <c r="P136" s="148">
        <v>2100</v>
      </c>
      <c r="Q136" s="146">
        <f t="shared" si="114"/>
        <v>2520</v>
      </c>
      <c r="R136" s="147">
        <f t="shared" si="115"/>
        <v>5292000</v>
      </c>
      <c r="S136" s="138" t="s">
        <v>859</v>
      </c>
      <c r="T136" s="190"/>
      <c r="U136" s="148">
        <f t="shared" si="112"/>
        <v>100</v>
      </c>
      <c r="V136" s="147">
        <f t="shared" si="113"/>
        <v>252000</v>
      </c>
      <c r="W136" s="190"/>
      <c r="X136" s="143"/>
    </row>
    <row r="137" spans="2:24" x14ac:dyDescent="0.35">
      <c r="B137" s="140" t="s">
        <v>581</v>
      </c>
      <c r="C137" s="143" t="s">
        <v>116</v>
      </c>
      <c r="D137" s="142" t="s">
        <v>597</v>
      </c>
      <c r="E137" s="143" t="s">
        <v>598</v>
      </c>
      <c r="F137" s="143" t="s">
        <v>599</v>
      </c>
      <c r="G137" s="144">
        <v>5000</v>
      </c>
      <c r="H137" s="145">
        <v>2500</v>
      </c>
      <c r="I137" s="145">
        <f t="shared" si="116"/>
        <v>12500000</v>
      </c>
      <c r="J137" s="190"/>
      <c r="K137" s="144">
        <v>5000</v>
      </c>
      <c r="L137" s="146">
        <f t="shared" si="117"/>
        <v>2500</v>
      </c>
      <c r="M137" s="147">
        <f t="shared" si="118"/>
        <v>12500000</v>
      </c>
      <c r="N137" s="138" t="s">
        <v>627</v>
      </c>
      <c r="O137" s="190"/>
      <c r="P137" s="148">
        <v>0</v>
      </c>
      <c r="Q137" s="146">
        <f t="shared" si="114"/>
        <v>2500</v>
      </c>
      <c r="R137" s="147">
        <f t="shared" si="115"/>
        <v>0</v>
      </c>
      <c r="S137" s="138" t="s">
        <v>92</v>
      </c>
      <c r="T137" s="190"/>
      <c r="U137" s="148">
        <f t="shared" si="112"/>
        <v>0</v>
      </c>
      <c r="V137" s="147">
        <f t="shared" si="113"/>
        <v>0</v>
      </c>
      <c r="W137" s="190"/>
      <c r="X137" s="143"/>
    </row>
    <row r="138" spans="2:24" x14ac:dyDescent="0.35">
      <c r="B138" s="140" t="s">
        <v>582</v>
      </c>
      <c r="C138" s="143" t="s">
        <v>299</v>
      </c>
      <c r="D138" s="142" t="s">
        <v>583</v>
      </c>
      <c r="E138" s="143" t="s">
        <v>59</v>
      </c>
      <c r="F138" s="143" t="s">
        <v>103</v>
      </c>
      <c r="G138" s="144">
        <v>5500</v>
      </c>
      <c r="H138" s="145">
        <v>2520</v>
      </c>
      <c r="I138" s="145">
        <f t="shared" si="116"/>
        <v>13860000</v>
      </c>
      <c r="J138" s="190"/>
      <c r="K138" s="144">
        <v>3300</v>
      </c>
      <c r="L138" s="146">
        <f t="shared" ref="L138" si="119">H138</f>
        <v>2520</v>
      </c>
      <c r="M138" s="147">
        <f t="shared" ref="M138" si="120">K138*L138</f>
        <v>8316000</v>
      </c>
      <c r="N138" s="138" t="s">
        <v>622</v>
      </c>
      <c r="O138" s="190"/>
      <c r="P138" s="148">
        <v>2200</v>
      </c>
      <c r="Q138" s="146">
        <f t="shared" si="114"/>
        <v>2520</v>
      </c>
      <c r="R138" s="147">
        <f t="shared" si="115"/>
        <v>5544000</v>
      </c>
      <c r="S138" s="138" t="s">
        <v>860</v>
      </c>
      <c r="T138" s="190"/>
      <c r="U138" s="148">
        <f t="shared" si="112"/>
        <v>0</v>
      </c>
      <c r="V138" s="147">
        <f t="shared" si="113"/>
        <v>0</v>
      </c>
      <c r="W138" s="190"/>
      <c r="X138" s="143"/>
    </row>
    <row r="139" spans="2:24" x14ac:dyDescent="0.35">
      <c r="B139" s="140" t="s">
        <v>585</v>
      </c>
      <c r="C139" s="143" t="s">
        <v>248</v>
      </c>
      <c r="D139" s="142" t="s">
        <v>586</v>
      </c>
      <c r="E139" s="143" t="s">
        <v>59</v>
      </c>
      <c r="F139" s="143" t="s">
        <v>103</v>
      </c>
      <c r="G139" s="144">
        <v>5500</v>
      </c>
      <c r="H139" s="145">
        <v>2520</v>
      </c>
      <c r="I139" s="145">
        <f t="shared" si="116"/>
        <v>13860000</v>
      </c>
      <c r="J139" s="190"/>
      <c r="K139" s="144">
        <v>3300</v>
      </c>
      <c r="L139" s="146">
        <f t="shared" si="117"/>
        <v>2520</v>
      </c>
      <c r="M139" s="147">
        <f t="shared" si="118"/>
        <v>8316000</v>
      </c>
      <c r="N139" s="138" t="s">
        <v>682</v>
      </c>
      <c r="O139" s="190"/>
      <c r="P139" s="148">
        <v>2200</v>
      </c>
      <c r="Q139" s="146">
        <f t="shared" si="114"/>
        <v>2520</v>
      </c>
      <c r="R139" s="147">
        <f t="shared" si="115"/>
        <v>5544000</v>
      </c>
      <c r="S139" s="138" t="s">
        <v>861</v>
      </c>
      <c r="T139" s="190"/>
      <c r="U139" s="148">
        <f t="shared" si="112"/>
        <v>0</v>
      </c>
      <c r="V139" s="147">
        <f t="shared" si="113"/>
        <v>0</v>
      </c>
      <c r="W139" s="190"/>
      <c r="X139" s="143"/>
    </row>
    <row r="140" spans="2:24" x14ac:dyDescent="0.35">
      <c r="B140" s="140" t="s">
        <v>589</v>
      </c>
      <c r="C140" s="143" t="s">
        <v>198</v>
      </c>
      <c r="D140" s="140" t="s">
        <v>592</v>
      </c>
      <c r="E140" s="143" t="s">
        <v>59</v>
      </c>
      <c r="F140" s="143" t="s">
        <v>103</v>
      </c>
      <c r="G140" s="144">
        <v>5500</v>
      </c>
      <c r="H140" s="145">
        <v>2520</v>
      </c>
      <c r="I140" s="145">
        <f t="shared" si="116"/>
        <v>13860000</v>
      </c>
      <c r="J140" s="190"/>
      <c r="K140" s="144">
        <v>3300</v>
      </c>
      <c r="L140" s="146">
        <f t="shared" si="117"/>
        <v>2520</v>
      </c>
      <c r="M140" s="147">
        <f t="shared" si="118"/>
        <v>8316000</v>
      </c>
      <c r="N140" s="138" t="s">
        <v>682</v>
      </c>
      <c r="O140" s="190"/>
      <c r="P140" s="148">
        <v>2080</v>
      </c>
      <c r="Q140" s="146">
        <f t="shared" si="114"/>
        <v>2520</v>
      </c>
      <c r="R140" s="147">
        <f t="shared" si="115"/>
        <v>5241600</v>
      </c>
      <c r="S140" s="138" t="s">
        <v>860</v>
      </c>
      <c r="T140" s="190"/>
      <c r="U140" s="148">
        <f t="shared" si="112"/>
        <v>120</v>
      </c>
      <c r="V140" s="147">
        <f t="shared" si="113"/>
        <v>302400</v>
      </c>
      <c r="W140" s="190"/>
      <c r="X140" s="143"/>
    </row>
    <row r="141" spans="2:24" x14ac:dyDescent="0.35">
      <c r="B141" s="140" t="s">
        <v>590</v>
      </c>
      <c r="C141" s="143" t="s">
        <v>253</v>
      </c>
      <c r="D141" s="142" t="s">
        <v>594</v>
      </c>
      <c r="E141" s="143" t="s">
        <v>59</v>
      </c>
      <c r="F141" s="143" t="s">
        <v>103</v>
      </c>
      <c r="G141" s="144">
        <v>5500</v>
      </c>
      <c r="H141" s="145">
        <v>2520</v>
      </c>
      <c r="I141" s="145">
        <f t="shared" si="116"/>
        <v>13860000</v>
      </c>
      <c r="J141" s="190"/>
      <c r="K141" s="144">
        <v>3300</v>
      </c>
      <c r="L141" s="146">
        <f t="shared" ref="L141:L152" si="121">H141</f>
        <v>2520</v>
      </c>
      <c r="M141" s="147">
        <f t="shared" ref="M141:M152" si="122">K141*L141</f>
        <v>8316000</v>
      </c>
      <c r="N141" s="138" t="s">
        <v>622</v>
      </c>
      <c r="O141" s="190"/>
      <c r="P141" s="148">
        <v>2135.06</v>
      </c>
      <c r="Q141" s="146">
        <f t="shared" si="114"/>
        <v>2520</v>
      </c>
      <c r="R141" s="147">
        <f t="shared" si="115"/>
        <v>5380351.2000000002</v>
      </c>
      <c r="S141" s="138" t="s">
        <v>861</v>
      </c>
      <c r="T141" s="190"/>
      <c r="U141" s="148">
        <f t="shared" si="112"/>
        <v>64.940000000000055</v>
      </c>
      <c r="V141" s="147">
        <f t="shared" si="113"/>
        <v>163648.79999999981</v>
      </c>
      <c r="W141" s="190"/>
      <c r="X141" s="143"/>
    </row>
    <row r="142" spans="2:24" x14ac:dyDescent="0.35">
      <c r="B142" s="140" t="s">
        <v>591</v>
      </c>
      <c r="C142" s="143" t="s">
        <v>304</v>
      </c>
      <c r="D142" s="142" t="s">
        <v>607</v>
      </c>
      <c r="E142" s="143" t="s">
        <v>598</v>
      </c>
      <c r="F142" s="143" t="s">
        <v>599</v>
      </c>
      <c r="G142" s="144">
        <v>5000</v>
      </c>
      <c r="H142" s="145">
        <v>2500</v>
      </c>
      <c r="I142" s="145">
        <f t="shared" si="116"/>
        <v>12500000</v>
      </c>
      <c r="J142" s="190"/>
      <c r="K142" s="144">
        <v>5000</v>
      </c>
      <c r="L142" s="146">
        <f t="shared" si="121"/>
        <v>2500</v>
      </c>
      <c r="M142" s="147">
        <f t="shared" si="122"/>
        <v>12500000</v>
      </c>
      <c r="N142" s="138" t="s">
        <v>627</v>
      </c>
      <c r="O142" s="190"/>
      <c r="P142" s="148">
        <v>0</v>
      </c>
      <c r="Q142" s="146">
        <f t="shared" si="114"/>
        <v>2500</v>
      </c>
      <c r="R142" s="147">
        <f t="shared" si="115"/>
        <v>0</v>
      </c>
      <c r="S142" s="138" t="s">
        <v>92</v>
      </c>
      <c r="T142" s="190"/>
      <c r="U142" s="148">
        <f t="shared" si="112"/>
        <v>0</v>
      </c>
      <c r="V142" s="147">
        <f t="shared" si="113"/>
        <v>0</v>
      </c>
      <c r="W142" s="190"/>
      <c r="X142" s="143"/>
    </row>
    <row r="143" spans="2:24" x14ac:dyDescent="0.35">
      <c r="B143" s="140" t="s">
        <v>609</v>
      </c>
      <c r="C143" s="143" t="s">
        <v>238</v>
      </c>
      <c r="D143" s="142" t="s">
        <v>613</v>
      </c>
      <c r="E143" s="143" t="s">
        <v>598</v>
      </c>
      <c r="F143" s="143" t="s">
        <v>599</v>
      </c>
      <c r="G143" s="144">
        <v>5000</v>
      </c>
      <c r="H143" s="145">
        <v>2500</v>
      </c>
      <c r="I143" s="145">
        <f t="shared" si="116"/>
        <v>12500000</v>
      </c>
      <c r="J143" s="190"/>
      <c r="K143" s="144">
        <v>5000</v>
      </c>
      <c r="L143" s="146">
        <f t="shared" si="121"/>
        <v>2500</v>
      </c>
      <c r="M143" s="147">
        <f t="shared" si="122"/>
        <v>12500000</v>
      </c>
      <c r="N143" s="138" t="s">
        <v>627</v>
      </c>
      <c r="O143" s="190"/>
      <c r="P143" s="148">
        <v>0</v>
      </c>
      <c r="Q143" s="146">
        <f t="shared" si="114"/>
        <v>2500</v>
      </c>
      <c r="R143" s="147">
        <f t="shared" si="115"/>
        <v>0</v>
      </c>
      <c r="S143" s="138" t="s">
        <v>92</v>
      </c>
      <c r="T143" s="190"/>
      <c r="U143" s="148">
        <f t="shared" si="112"/>
        <v>0</v>
      </c>
      <c r="V143" s="147">
        <f t="shared" si="113"/>
        <v>0</v>
      </c>
      <c r="W143" s="190"/>
      <c r="X143" s="143"/>
    </row>
    <row r="144" spans="2:24" x14ac:dyDescent="0.35">
      <c r="B144" s="140" t="s">
        <v>610</v>
      </c>
      <c r="C144" s="143" t="s">
        <v>117</v>
      </c>
      <c r="D144" s="142" t="s">
        <v>615</v>
      </c>
      <c r="E144" s="143" t="s">
        <v>598</v>
      </c>
      <c r="F144" s="143" t="s">
        <v>599</v>
      </c>
      <c r="G144" s="144">
        <v>5000</v>
      </c>
      <c r="H144" s="145">
        <v>2500</v>
      </c>
      <c r="I144" s="145">
        <f t="shared" si="116"/>
        <v>12500000</v>
      </c>
      <c r="J144" s="190"/>
      <c r="K144" s="144">
        <v>5000</v>
      </c>
      <c r="L144" s="146">
        <f t="shared" si="121"/>
        <v>2500</v>
      </c>
      <c r="M144" s="147">
        <f t="shared" si="122"/>
        <v>12500000</v>
      </c>
      <c r="N144" s="138" t="s">
        <v>627</v>
      </c>
      <c r="O144" s="190"/>
      <c r="P144" s="148">
        <v>0</v>
      </c>
      <c r="Q144" s="146">
        <f t="shared" si="114"/>
        <v>2500</v>
      </c>
      <c r="R144" s="147">
        <f t="shared" si="115"/>
        <v>0</v>
      </c>
      <c r="S144" s="138" t="s">
        <v>92</v>
      </c>
      <c r="T144" s="190"/>
      <c r="U144" s="148">
        <f t="shared" si="112"/>
        <v>0</v>
      </c>
      <c r="V144" s="147">
        <f t="shared" si="113"/>
        <v>0</v>
      </c>
      <c r="W144" s="190"/>
      <c r="X144" s="143"/>
    </row>
    <row r="145" spans="2:24" x14ac:dyDescent="0.35">
      <c r="B145" s="140" t="s">
        <v>611</v>
      </c>
      <c r="C145" s="143" t="s">
        <v>324</v>
      </c>
      <c r="D145" s="142" t="s">
        <v>617</v>
      </c>
      <c r="E145" s="143" t="s">
        <v>598</v>
      </c>
      <c r="F145" s="143" t="s">
        <v>599</v>
      </c>
      <c r="G145" s="144">
        <v>5000</v>
      </c>
      <c r="H145" s="145">
        <v>2500</v>
      </c>
      <c r="I145" s="145">
        <f t="shared" ref="I145" si="123">G145*H145</f>
        <v>12500000</v>
      </c>
      <c r="J145" s="190"/>
      <c r="K145" s="144">
        <v>5000</v>
      </c>
      <c r="L145" s="146">
        <f t="shared" si="121"/>
        <v>2500</v>
      </c>
      <c r="M145" s="147">
        <f t="shared" si="122"/>
        <v>12500000</v>
      </c>
      <c r="N145" s="138" t="s">
        <v>627</v>
      </c>
      <c r="O145" s="190"/>
      <c r="P145" s="148">
        <v>0</v>
      </c>
      <c r="Q145" s="146">
        <f t="shared" si="114"/>
        <v>2500</v>
      </c>
      <c r="R145" s="147">
        <f t="shared" si="115"/>
        <v>0</v>
      </c>
      <c r="S145" s="138" t="s">
        <v>92</v>
      </c>
      <c r="T145" s="190"/>
      <c r="U145" s="148">
        <f t="shared" si="112"/>
        <v>0</v>
      </c>
      <c r="V145" s="147">
        <f t="shared" si="113"/>
        <v>0</v>
      </c>
      <c r="W145" s="190"/>
      <c r="X145" s="143"/>
    </row>
    <row r="146" spans="2:24" x14ac:dyDescent="0.35">
      <c r="B146" s="140" t="s">
        <v>612</v>
      </c>
      <c r="C146" s="143" t="s">
        <v>293</v>
      </c>
      <c r="D146" s="143" t="s">
        <v>618</v>
      </c>
      <c r="E146" s="143" t="s">
        <v>598</v>
      </c>
      <c r="F146" s="143" t="s">
        <v>599</v>
      </c>
      <c r="G146" s="144">
        <v>5000</v>
      </c>
      <c r="H146" s="145">
        <v>2500</v>
      </c>
      <c r="I146" s="145">
        <f t="shared" ref="I146" si="124">G146*H146</f>
        <v>12500000</v>
      </c>
      <c r="J146" s="190"/>
      <c r="K146" s="144">
        <v>5000</v>
      </c>
      <c r="L146" s="146">
        <f t="shared" si="121"/>
        <v>2500</v>
      </c>
      <c r="M146" s="147">
        <f t="shared" si="122"/>
        <v>12500000</v>
      </c>
      <c r="N146" s="138" t="s">
        <v>627</v>
      </c>
      <c r="O146" s="190"/>
      <c r="P146" s="148">
        <v>0</v>
      </c>
      <c r="Q146" s="146">
        <f t="shared" si="114"/>
        <v>2500</v>
      </c>
      <c r="R146" s="147">
        <f t="shared" si="115"/>
        <v>0</v>
      </c>
      <c r="S146" s="138" t="s">
        <v>92</v>
      </c>
      <c r="T146" s="190"/>
      <c r="U146" s="148">
        <f t="shared" si="112"/>
        <v>0</v>
      </c>
      <c r="V146" s="147">
        <f t="shared" si="113"/>
        <v>0</v>
      </c>
      <c r="W146" s="190"/>
      <c r="X146" s="143"/>
    </row>
    <row r="147" spans="2:24" x14ac:dyDescent="0.35">
      <c r="B147" s="140" t="s">
        <v>625</v>
      </c>
      <c r="C147" s="143" t="s">
        <v>243</v>
      </c>
      <c r="D147" s="142" t="s">
        <v>626</v>
      </c>
      <c r="E147" s="143" t="s">
        <v>598</v>
      </c>
      <c r="F147" s="143" t="s">
        <v>599</v>
      </c>
      <c r="G147" s="144">
        <v>5000</v>
      </c>
      <c r="H147" s="145">
        <v>2500</v>
      </c>
      <c r="I147" s="145">
        <f t="shared" si="116"/>
        <v>12500000</v>
      </c>
      <c r="J147" s="190"/>
      <c r="K147" s="144">
        <v>5000</v>
      </c>
      <c r="L147" s="146">
        <f t="shared" si="121"/>
        <v>2500</v>
      </c>
      <c r="M147" s="147">
        <f t="shared" si="122"/>
        <v>12500000</v>
      </c>
      <c r="N147" s="138" t="s">
        <v>627</v>
      </c>
      <c r="O147" s="190"/>
      <c r="P147" s="148">
        <v>0</v>
      </c>
      <c r="Q147" s="146">
        <f t="shared" si="114"/>
        <v>2500</v>
      </c>
      <c r="R147" s="147">
        <f t="shared" si="115"/>
        <v>0</v>
      </c>
      <c r="S147" s="138" t="s">
        <v>92</v>
      </c>
      <c r="T147" s="190"/>
      <c r="U147" s="148">
        <f t="shared" si="112"/>
        <v>0</v>
      </c>
      <c r="V147" s="147">
        <f t="shared" si="113"/>
        <v>0</v>
      </c>
      <c r="W147" s="190"/>
      <c r="X147" s="143"/>
    </row>
    <row r="148" spans="2:24" x14ac:dyDescent="0.35">
      <c r="B148" s="140" t="s">
        <v>630</v>
      </c>
      <c r="C148" s="143" t="s">
        <v>338</v>
      </c>
      <c r="D148" s="142" t="s">
        <v>631</v>
      </c>
      <c r="E148" s="143" t="s">
        <v>598</v>
      </c>
      <c r="F148" s="143" t="s">
        <v>599</v>
      </c>
      <c r="G148" s="144">
        <v>5000</v>
      </c>
      <c r="H148" s="145">
        <v>2500</v>
      </c>
      <c r="I148" s="145">
        <f t="shared" si="116"/>
        <v>12500000</v>
      </c>
      <c r="J148" s="190"/>
      <c r="K148" s="144">
        <v>5000</v>
      </c>
      <c r="L148" s="146">
        <f t="shared" si="121"/>
        <v>2500</v>
      </c>
      <c r="M148" s="147">
        <f t="shared" si="122"/>
        <v>12500000</v>
      </c>
      <c r="N148" s="138" t="s">
        <v>627</v>
      </c>
      <c r="O148" s="190"/>
      <c r="P148" s="148">
        <v>0</v>
      </c>
      <c r="Q148" s="146">
        <f t="shared" si="114"/>
        <v>2500</v>
      </c>
      <c r="R148" s="147">
        <f t="shared" si="115"/>
        <v>0</v>
      </c>
      <c r="S148" s="138" t="s">
        <v>92</v>
      </c>
      <c r="T148" s="190"/>
      <c r="U148" s="148">
        <f t="shared" si="112"/>
        <v>0</v>
      </c>
      <c r="V148" s="147">
        <f t="shared" si="113"/>
        <v>0</v>
      </c>
      <c r="W148" s="190"/>
      <c r="X148" s="143"/>
    </row>
    <row r="149" spans="2:24" x14ac:dyDescent="0.35">
      <c r="B149" s="140" t="s">
        <v>633</v>
      </c>
      <c r="C149" s="143" t="s">
        <v>274</v>
      </c>
      <c r="D149" s="142" t="s">
        <v>634</v>
      </c>
      <c r="E149" s="143" t="s">
        <v>598</v>
      </c>
      <c r="F149" s="143" t="s">
        <v>599</v>
      </c>
      <c r="G149" s="144">
        <v>5000</v>
      </c>
      <c r="H149" s="145">
        <v>2500</v>
      </c>
      <c r="I149" s="145">
        <f t="shared" si="116"/>
        <v>12500000</v>
      </c>
      <c r="J149" s="190"/>
      <c r="K149" s="144">
        <v>5000</v>
      </c>
      <c r="L149" s="146">
        <f t="shared" si="121"/>
        <v>2500</v>
      </c>
      <c r="M149" s="147">
        <f t="shared" si="122"/>
        <v>12500000</v>
      </c>
      <c r="N149" s="138" t="s">
        <v>627</v>
      </c>
      <c r="O149" s="190"/>
      <c r="P149" s="148">
        <v>0</v>
      </c>
      <c r="Q149" s="146">
        <f>H149</f>
        <v>2500</v>
      </c>
      <c r="R149" s="147">
        <f>P149*Q149</f>
        <v>0</v>
      </c>
      <c r="S149" s="138" t="s">
        <v>92</v>
      </c>
      <c r="T149" s="190"/>
      <c r="U149" s="148">
        <f t="shared" si="112"/>
        <v>0</v>
      </c>
      <c r="V149" s="147">
        <f t="shared" si="113"/>
        <v>0</v>
      </c>
      <c r="W149" s="190"/>
      <c r="X149" s="143"/>
    </row>
    <row r="150" spans="2:24" x14ac:dyDescent="0.35">
      <c r="B150" s="140" t="s">
        <v>636</v>
      </c>
      <c r="C150" s="143" t="s">
        <v>279</v>
      </c>
      <c r="D150" s="142" t="s">
        <v>637</v>
      </c>
      <c r="E150" s="143" t="s">
        <v>598</v>
      </c>
      <c r="F150" s="143" t="s">
        <v>599</v>
      </c>
      <c r="G150" s="144">
        <v>5000</v>
      </c>
      <c r="H150" s="145">
        <v>2500</v>
      </c>
      <c r="I150" s="145">
        <f t="shared" si="116"/>
        <v>12500000</v>
      </c>
      <c r="J150" s="190"/>
      <c r="K150" s="144">
        <v>5000</v>
      </c>
      <c r="L150" s="146">
        <f t="shared" si="121"/>
        <v>2500</v>
      </c>
      <c r="M150" s="147">
        <f t="shared" si="122"/>
        <v>12500000</v>
      </c>
      <c r="N150" s="138" t="s">
        <v>627</v>
      </c>
      <c r="O150" s="190"/>
      <c r="P150" s="148">
        <v>0</v>
      </c>
      <c r="Q150" s="146">
        <f t="shared" si="114"/>
        <v>2500</v>
      </c>
      <c r="R150" s="147">
        <f t="shared" si="115"/>
        <v>0</v>
      </c>
      <c r="S150" s="138" t="s">
        <v>92</v>
      </c>
      <c r="T150" s="190"/>
      <c r="U150" s="148">
        <f t="shared" si="112"/>
        <v>0</v>
      </c>
      <c r="V150" s="147">
        <f t="shared" si="113"/>
        <v>0</v>
      </c>
      <c r="W150" s="190"/>
      <c r="X150" s="143"/>
    </row>
    <row r="151" spans="2:24" x14ac:dyDescent="0.35">
      <c r="B151" s="140" t="s">
        <v>639</v>
      </c>
      <c r="C151" s="143" t="s">
        <v>135</v>
      </c>
      <c r="D151" s="142" t="s">
        <v>640</v>
      </c>
      <c r="E151" s="143" t="s">
        <v>598</v>
      </c>
      <c r="F151" s="143" t="s">
        <v>599</v>
      </c>
      <c r="G151" s="144">
        <v>5000</v>
      </c>
      <c r="H151" s="145">
        <v>2500</v>
      </c>
      <c r="I151" s="145">
        <f t="shared" si="116"/>
        <v>12500000</v>
      </c>
      <c r="J151" s="190"/>
      <c r="K151" s="144">
        <v>5000</v>
      </c>
      <c r="L151" s="146">
        <f t="shared" si="121"/>
        <v>2500</v>
      </c>
      <c r="M151" s="147">
        <f t="shared" si="122"/>
        <v>12500000</v>
      </c>
      <c r="N151" s="138" t="s">
        <v>627</v>
      </c>
      <c r="O151" s="190"/>
      <c r="P151" s="148">
        <v>0</v>
      </c>
      <c r="Q151" s="146">
        <f t="shared" si="114"/>
        <v>2500</v>
      </c>
      <c r="R151" s="147">
        <f t="shared" si="115"/>
        <v>0</v>
      </c>
      <c r="S151" s="138" t="s">
        <v>92</v>
      </c>
      <c r="T151" s="190"/>
      <c r="U151" s="148">
        <f t="shared" si="112"/>
        <v>0</v>
      </c>
      <c r="V151" s="147">
        <f t="shared" si="113"/>
        <v>0</v>
      </c>
      <c r="W151" s="190"/>
      <c r="X151" s="143"/>
    </row>
    <row r="152" spans="2:24" x14ac:dyDescent="0.35">
      <c r="B152" s="140" t="s">
        <v>643</v>
      </c>
      <c r="C152" s="143" t="s">
        <v>192</v>
      </c>
      <c r="D152" s="142" t="s">
        <v>644</v>
      </c>
      <c r="E152" s="143" t="s">
        <v>598</v>
      </c>
      <c r="F152" s="143" t="s">
        <v>599</v>
      </c>
      <c r="G152" s="144">
        <v>5000</v>
      </c>
      <c r="H152" s="145">
        <v>2500</v>
      </c>
      <c r="I152" s="145">
        <f t="shared" si="116"/>
        <v>12500000</v>
      </c>
      <c r="J152" s="190"/>
      <c r="K152" s="144">
        <v>5000</v>
      </c>
      <c r="L152" s="146">
        <f t="shared" si="121"/>
        <v>2500</v>
      </c>
      <c r="M152" s="147">
        <f t="shared" si="122"/>
        <v>12500000</v>
      </c>
      <c r="N152" s="138" t="s">
        <v>627</v>
      </c>
      <c r="O152" s="190"/>
      <c r="P152" s="148">
        <v>0</v>
      </c>
      <c r="Q152" s="146">
        <f t="shared" si="114"/>
        <v>2500</v>
      </c>
      <c r="R152" s="147">
        <f t="shared" si="115"/>
        <v>0</v>
      </c>
      <c r="S152" s="138" t="s">
        <v>92</v>
      </c>
      <c r="T152" s="190"/>
      <c r="U152" s="148">
        <f t="shared" si="112"/>
        <v>0</v>
      </c>
      <c r="V152" s="147">
        <f t="shared" si="113"/>
        <v>0</v>
      </c>
      <c r="W152" s="190"/>
      <c r="X152" s="143"/>
    </row>
    <row r="153" spans="2:24" x14ac:dyDescent="0.35">
      <c r="B153" s="172" t="s">
        <v>659</v>
      </c>
      <c r="C153" s="143" t="s">
        <v>192</v>
      </c>
      <c r="D153" s="142" t="s">
        <v>228</v>
      </c>
      <c r="E153" s="175" t="s">
        <v>119</v>
      </c>
      <c r="F153" s="175" t="s">
        <v>120</v>
      </c>
      <c r="G153" s="144">
        <v>1925.2</v>
      </c>
      <c r="H153" s="145">
        <v>2530</v>
      </c>
      <c r="I153" s="145">
        <f t="shared" si="116"/>
        <v>4870756</v>
      </c>
      <c r="J153" s="190"/>
      <c r="K153" s="144">
        <f>G153</f>
        <v>1925.2</v>
      </c>
      <c r="L153" s="146">
        <f t="shared" si="117"/>
        <v>2530</v>
      </c>
      <c r="M153" s="147">
        <f t="shared" si="118"/>
        <v>4870756</v>
      </c>
      <c r="N153" s="138" t="s">
        <v>688</v>
      </c>
      <c r="O153" s="190"/>
      <c r="P153" s="148">
        <v>0</v>
      </c>
      <c r="Q153" s="146">
        <f t="shared" si="114"/>
        <v>2530</v>
      </c>
      <c r="R153" s="147">
        <f t="shared" si="115"/>
        <v>0</v>
      </c>
      <c r="S153" s="138" t="s">
        <v>92</v>
      </c>
      <c r="T153" s="190"/>
      <c r="U153" s="148">
        <f t="shared" si="112"/>
        <v>0</v>
      </c>
      <c r="V153" s="147">
        <f t="shared" si="113"/>
        <v>0</v>
      </c>
      <c r="W153" s="190"/>
      <c r="X153" s="143"/>
    </row>
    <row r="154" spans="2:24" x14ac:dyDescent="0.35">
      <c r="B154" s="173"/>
      <c r="C154" s="143" t="s">
        <v>203</v>
      </c>
      <c r="D154" s="143" t="s">
        <v>184</v>
      </c>
      <c r="E154" s="176"/>
      <c r="F154" s="176"/>
      <c r="G154" s="144">
        <v>2092.84</v>
      </c>
      <c r="H154" s="145">
        <v>2530</v>
      </c>
      <c r="I154" s="145">
        <f t="shared" si="116"/>
        <v>5294885.2</v>
      </c>
      <c r="J154" s="190"/>
      <c r="K154" s="144">
        <f>G154</f>
        <v>2092.84</v>
      </c>
      <c r="L154" s="146">
        <f t="shared" si="117"/>
        <v>2530</v>
      </c>
      <c r="M154" s="147">
        <f t="shared" si="118"/>
        <v>5294885.2</v>
      </c>
      <c r="N154" s="138" t="s">
        <v>688</v>
      </c>
      <c r="O154" s="190"/>
      <c r="P154" s="148">
        <v>0</v>
      </c>
      <c r="Q154" s="146">
        <f t="shared" si="114"/>
        <v>2530</v>
      </c>
      <c r="R154" s="147">
        <f t="shared" si="115"/>
        <v>0</v>
      </c>
      <c r="S154" s="138" t="s">
        <v>92</v>
      </c>
      <c r="T154" s="190"/>
      <c r="U154" s="148">
        <f t="shared" si="112"/>
        <v>0</v>
      </c>
      <c r="V154" s="147">
        <f t="shared" si="113"/>
        <v>0</v>
      </c>
      <c r="W154" s="190"/>
      <c r="X154" s="143"/>
    </row>
    <row r="155" spans="2:24" x14ac:dyDescent="0.35">
      <c r="B155" s="174"/>
      <c r="C155" s="143" t="s">
        <v>266</v>
      </c>
      <c r="D155" s="157" t="s">
        <v>267</v>
      </c>
      <c r="E155" s="177"/>
      <c r="F155" s="177"/>
      <c r="G155" s="144">
        <v>1890.01</v>
      </c>
      <c r="H155" s="145">
        <v>2530</v>
      </c>
      <c r="I155" s="145">
        <f t="shared" si="116"/>
        <v>4781725.3</v>
      </c>
      <c r="J155" s="190"/>
      <c r="K155" s="144">
        <f>G155</f>
        <v>1890.01</v>
      </c>
      <c r="L155" s="146">
        <f t="shared" si="117"/>
        <v>2530</v>
      </c>
      <c r="M155" s="147">
        <f t="shared" si="118"/>
        <v>4781725.3</v>
      </c>
      <c r="N155" s="138" t="s">
        <v>688</v>
      </c>
      <c r="O155" s="190"/>
      <c r="P155" s="148">
        <v>0</v>
      </c>
      <c r="Q155" s="146">
        <f t="shared" si="114"/>
        <v>2530</v>
      </c>
      <c r="R155" s="147">
        <f t="shared" si="115"/>
        <v>0</v>
      </c>
      <c r="S155" s="138" t="s">
        <v>92</v>
      </c>
      <c r="T155" s="190"/>
      <c r="U155" s="148">
        <f t="shared" si="112"/>
        <v>0</v>
      </c>
      <c r="V155" s="147">
        <f t="shared" si="113"/>
        <v>0</v>
      </c>
      <c r="W155" s="190"/>
      <c r="X155" s="143"/>
    </row>
    <row r="156" spans="2:24" x14ac:dyDescent="0.35">
      <c r="B156" s="140" t="s">
        <v>660</v>
      </c>
      <c r="C156" s="143" t="s">
        <v>201</v>
      </c>
      <c r="D156" s="157" t="s">
        <v>661</v>
      </c>
      <c r="E156" s="143" t="s">
        <v>598</v>
      </c>
      <c r="F156" s="143" t="s">
        <v>599</v>
      </c>
      <c r="G156" s="144">
        <v>5000</v>
      </c>
      <c r="H156" s="145">
        <v>2500</v>
      </c>
      <c r="I156" s="145">
        <f t="shared" si="116"/>
        <v>12500000</v>
      </c>
      <c r="J156" s="190"/>
      <c r="K156" s="144">
        <v>5000</v>
      </c>
      <c r="L156" s="146">
        <f t="shared" si="117"/>
        <v>2500</v>
      </c>
      <c r="M156" s="147">
        <f t="shared" si="118"/>
        <v>12500000</v>
      </c>
      <c r="N156" s="138" t="s">
        <v>627</v>
      </c>
      <c r="O156" s="190"/>
      <c r="P156" s="148">
        <v>0</v>
      </c>
      <c r="Q156" s="146">
        <f t="shared" si="114"/>
        <v>2500</v>
      </c>
      <c r="R156" s="147">
        <f t="shared" si="115"/>
        <v>0</v>
      </c>
      <c r="S156" s="138" t="s">
        <v>92</v>
      </c>
      <c r="T156" s="190"/>
      <c r="U156" s="148">
        <f t="shared" si="112"/>
        <v>0</v>
      </c>
      <c r="V156" s="147">
        <f t="shared" si="113"/>
        <v>0</v>
      </c>
      <c r="W156" s="190"/>
      <c r="X156" s="143"/>
    </row>
    <row r="157" spans="2:24" x14ac:dyDescent="0.35">
      <c r="B157" s="140" t="s">
        <v>664</v>
      </c>
      <c r="C157" s="143" t="s">
        <v>232</v>
      </c>
      <c r="D157" s="157" t="s">
        <v>822</v>
      </c>
      <c r="E157" s="143" t="s">
        <v>598</v>
      </c>
      <c r="F157" s="143" t="s">
        <v>599</v>
      </c>
      <c r="G157" s="144">
        <v>5000</v>
      </c>
      <c r="H157" s="145">
        <v>2500</v>
      </c>
      <c r="I157" s="145">
        <f t="shared" si="116"/>
        <v>12500000</v>
      </c>
      <c r="J157" s="190"/>
      <c r="K157" s="144">
        <v>5000</v>
      </c>
      <c r="L157" s="146">
        <f t="shared" si="117"/>
        <v>2500</v>
      </c>
      <c r="M157" s="147">
        <f t="shared" si="118"/>
        <v>12500000</v>
      </c>
      <c r="N157" s="138" t="s">
        <v>627</v>
      </c>
      <c r="O157" s="190"/>
      <c r="P157" s="148">
        <v>0</v>
      </c>
      <c r="Q157" s="146">
        <f t="shared" si="114"/>
        <v>2500</v>
      </c>
      <c r="R157" s="147">
        <f t="shared" si="115"/>
        <v>0</v>
      </c>
      <c r="S157" s="138" t="s">
        <v>92</v>
      </c>
      <c r="T157" s="190"/>
      <c r="U157" s="148">
        <f t="shared" si="112"/>
        <v>0</v>
      </c>
      <c r="V157" s="147">
        <f t="shared" si="113"/>
        <v>0</v>
      </c>
      <c r="W157" s="190"/>
      <c r="X157" s="143"/>
    </row>
    <row r="158" spans="2:24" x14ac:dyDescent="0.35">
      <c r="B158" s="140" t="s">
        <v>667</v>
      </c>
      <c r="C158" s="143" t="s">
        <v>288</v>
      </c>
      <c r="D158" s="157" t="s">
        <v>668</v>
      </c>
      <c r="E158" s="143" t="s">
        <v>598</v>
      </c>
      <c r="F158" s="143" t="s">
        <v>599</v>
      </c>
      <c r="G158" s="144">
        <v>5000</v>
      </c>
      <c r="H158" s="145">
        <v>2500</v>
      </c>
      <c r="I158" s="145">
        <f t="shared" si="116"/>
        <v>12500000</v>
      </c>
      <c r="J158" s="190"/>
      <c r="K158" s="144">
        <v>5000</v>
      </c>
      <c r="L158" s="146">
        <f t="shared" si="117"/>
        <v>2500</v>
      </c>
      <c r="M158" s="147">
        <f t="shared" si="118"/>
        <v>12500000</v>
      </c>
      <c r="N158" s="138" t="s">
        <v>627</v>
      </c>
      <c r="O158" s="190"/>
      <c r="P158" s="148">
        <v>0</v>
      </c>
      <c r="Q158" s="146">
        <f t="shared" si="114"/>
        <v>2500</v>
      </c>
      <c r="R158" s="147">
        <f t="shared" si="115"/>
        <v>0</v>
      </c>
      <c r="S158" s="138" t="s">
        <v>92</v>
      </c>
      <c r="T158" s="190"/>
      <c r="U158" s="148">
        <f t="shared" si="112"/>
        <v>0</v>
      </c>
      <c r="V158" s="147">
        <f t="shared" si="113"/>
        <v>0</v>
      </c>
      <c r="W158" s="190"/>
      <c r="X158" s="143"/>
    </row>
    <row r="159" spans="2:24" x14ac:dyDescent="0.35">
      <c r="B159" s="140" t="s">
        <v>670</v>
      </c>
      <c r="C159" s="143" t="s">
        <v>188</v>
      </c>
      <c r="D159" s="142" t="s">
        <v>671</v>
      </c>
      <c r="E159" s="143" t="s">
        <v>598</v>
      </c>
      <c r="F159" s="143" t="s">
        <v>599</v>
      </c>
      <c r="G159" s="144">
        <v>5000</v>
      </c>
      <c r="H159" s="145">
        <v>2500</v>
      </c>
      <c r="I159" s="145">
        <f t="shared" si="116"/>
        <v>12500000</v>
      </c>
      <c r="J159" s="190"/>
      <c r="K159" s="144">
        <v>5000</v>
      </c>
      <c r="L159" s="146">
        <f t="shared" si="117"/>
        <v>2500</v>
      </c>
      <c r="M159" s="147">
        <f t="shared" si="118"/>
        <v>12500000</v>
      </c>
      <c r="N159" s="138" t="s">
        <v>627</v>
      </c>
      <c r="O159" s="190"/>
      <c r="P159" s="148">
        <v>0</v>
      </c>
      <c r="Q159" s="146">
        <f>H159</f>
        <v>2500</v>
      </c>
      <c r="R159" s="147">
        <f>P159*Q159</f>
        <v>0</v>
      </c>
      <c r="S159" s="138" t="s">
        <v>92</v>
      </c>
      <c r="T159" s="190"/>
      <c r="U159" s="148">
        <f t="shared" si="112"/>
        <v>0</v>
      </c>
      <c r="V159" s="147">
        <f t="shared" si="113"/>
        <v>0</v>
      </c>
      <c r="W159" s="190"/>
      <c r="X159" s="143"/>
    </row>
    <row r="160" spans="2:24" x14ac:dyDescent="0.35">
      <c r="B160" s="140" t="s">
        <v>674</v>
      </c>
      <c r="C160" s="143" t="s">
        <v>333</v>
      </c>
      <c r="D160" s="142" t="s">
        <v>675</v>
      </c>
      <c r="E160" s="143" t="s">
        <v>598</v>
      </c>
      <c r="F160" s="143" t="s">
        <v>599</v>
      </c>
      <c r="G160" s="144">
        <v>5000</v>
      </c>
      <c r="H160" s="145">
        <v>2500</v>
      </c>
      <c r="I160" s="145">
        <f t="shared" si="116"/>
        <v>12500000</v>
      </c>
      <c r="J160" s="190"/>
      <c r="K160" s="144">
        <v>5000</v>
      </c>
      <c r="L160" s="146">
        <f t="shared" si="117"/>
        <v>2500</v>
      </c>
      <c r="M160" s="147">
        <f t="shared" si="118"/>
        <v>12500000</v>
      </c>
      <c r="N160" s="138" t="s">
        <v>627</v>
      </c>
      <c r="O160" s="190"/>
      <c r="P160" s="148">
        <v>0</v>
      </c>
      <c r="Q160" s="146">
        <f>H160</f>
        <v>2500</v>
      </c>
      <c r="R160" s="147">
        <f>P160*Q160</f>
        <v>0</v>
      </c>
      <c r="S160" s="138" t="s">
        <v>92</v>
      </c>
      <c r="T160" s="190"/>
      <c r="U160" s="148">
        <f t="shared" si="112"/>
        <v>0</v>
      </c>
      <c r="V160" s="147">
        <f t="shared" si="113"/>
        <v>0</v>
      </c>
      <c r="W160" s="190"/>
      <c r="X160" s="143"/>
    </row>
    <row r="161" spans="2:24" x14ac:dyDescent="0.35">
      <c r="B161" s="140" t="s">
        <v>678</v>
      </c>
      <c r="C161" s="143" t="s">
        <v>203</v>
      </c>
      <c r="D161" s="142" t="s">
        <v>677</v>
      </c>
      <c r="E161" s="143" t="s">
        <v>598</v>
      </c>
      <c r="F161" s="143" t="s">
        <v>599</v>
      </c>
      <c r="G161" s="144">
        <v>5000</v>
      </c>
      <c r="H161" s="145">
        <v>2500</v>
      </c>
      <c r="I161" s="145">
        <f t="shared" si="116"/>
        <v>12500000</v>
      </c>
      <c r="J161" s="190"/>
      <c r="K161" s="144">
        <v>5000</v>
      </c>
      <c r="L161" s="146">
        <f t="shared" si="117"/>
        <v>2500</v>
      </c>
      <c r="M161" s="147">
        <f t="shared" si="118"/>
        <v>12500000</v>
      </c>
      <c r="N161" s="138" t="s">
        <v>627</v>
      </c>
      <c r="O161" s="190"/>
      <c r="P161" s="148">
        <v>0</v>
      </c>
      <c r="Q161" s="146">
        <f t="shared" si="114"/>
        <v>2500</v>
      </c>
      <c r="R161" s="147">
        <f t="shared" si="115"/>
        <v>0</v>
      </c>
      <c r="S161" s="138" t="s">
        <v>92</v>
      </c>
      <c r="T161" s="190"/>
      <c r="U161" s="148">
        <f t="shared" si="112"/>
        <v>0</v>
      </c>
      <c r="V161" s="147">
        <f t="shared" si="113"/>
        <v>0</v>
      </c>
      <c r="W161" s="190"/>
      <c r="X161" s="143"/>
    </row>
    <row r="162" spans="2:24" x14ac:dyDescent="0.35">
      <c r="B162" s="140" t="s">
        <v>680</v>
      </c>
      <c r="C162" s="143" t="s">
        <v>266</v>
      </c>
      <c r="D162" s="142" t="s">
        <v>681</v>
      </c>
      <c r="E162" s="143" t="s">
        <v>598</v>
      </c>
      <c r="F162" s="143" t="s">
        <v>599</v>
      </c>
      <c r="G162" s="144">
        <v>5000</v>
      </c>
      <c r="H162" s="145">
        <v>2500</v>
      </c>
      <c r="I162" s="145">
        <f t="shared" si="116"/>
        <v>12500000</v>
      </c>
      <c r="J162" s="190"/>
      <c r="K162" s="144">
        <v>5000</v>
      </c>
      <c r="L162" s="146">
        <f t="shared" si="117"/>
        <v>2500</v>
      </c>
      <c r="M162" s="147">
        <f t="shared" si="118"/>
        <v>12500000</v>
      </c>
      <c r="N162" s="138" t="s">
        <v>627</v>
      </c>
      <c r="O162" s="190"/>
      <c r="P162" s="148">
        <v>0</v>
      </c>
      <c r="Q162" s="146">
        <f t="shared" si="114"/>
        <v>2500</v>
      </c>
      <c r="R162" s="147">
        <f t="shared" si="115"/>
        <v>0</v>
      </c>
      <c r="S162" s="138" t="s">
        <v>92</v>
      </c>
      <c r="T162" s="190"/>
      <c r="U162" s="148">
        <f t="shared" si="112"/>
        <v>0</v>
      </c>
      <c r="V162" s="147">
        <f t="shared" si="113"/>
        <v>0</v>
      </c>
      <c r="W162" s="190"/>
      <c r="X162" s="143"/>
    </row>
    <row r="163" spans="2:24" x14ac:dyDescent="0.35">
      <c r="B163" s="140" t="s">
        <v>685</v>
      </c>
      <c r="C163" s="143" t="s">
        <v>185</v>
      </c>
      <c r="D163" s="142" t="s">
        <v>686</v>
      </c>
      <c r="E163" s="143" t="s">
        <v>598</v>
      </c>
      <c r="F163" s="143" t="s">
        <v>599</v>
      </c>
      <c r="G163" s="144">
        <v>5000</v>
      </c>
      <c r="H163" s="145">
        <v>2500</v>
      </c>
      <c r="I163" s="145">
        <f t="shared" si="116"/>
        <v>12500000</v>
      </c>
      <c r="J163" s="190"/>
      <c r="K163" s="144">
        <v>5000</v>
      </c>
      <c r="L163" s="146">
        <f t="shared" si="117"/>
        <v>2500</v>
      </c>
      <c r="M163" s="147">
        <f t="shared" si="118"/>
        <v>12500000</v>
      </c>
      <c r="N163" s="138" t="s">
        <v>627</v>
      </c>
      <c r="O163" s="190"/>
      <c r="P163" s="148">
        <v>0</v>
      </c>
      <c r="Q163" s="146">
        <f t="shared" si="114"/>
        <v>2500</v>
      </c>
      <c r="R163" s="147">
        <f t="shared" si="115"/>
        <v>0</v>
      </c>
      <c r="S163" s="138" t="s">
        <v>92</v>
      </c>
      <c r="T163" s="190"/>
      <c r="U163" s="148">
        <f t="shared" si="112"/>
        <v>0</v>
      </c>
      <c r="V163" s="147">
        <f t="shared" si="113"/>
        <v>0</v>
      </c>
      <c r="W163" s="190"/>
      <c r="X163" s="143"/>
    </row>
    <row r="164" spans="2:24" x14ac:dyDescent="0.35">
      <c r="B164" s="140" t="s">
        <v>695</v>
      </c>
      <c r="C164" s="143" t="s">
        <v>309</v>
      </c>
      <c r="D164" s="143" t="s">
        <v>699</v>
      </c>
      <c r="E164" s="143" t="s">
        <v>598</v>
      </c>
      <c r="F164" s="143" t="s">
        <v>599</v>
      </c>
      <c r="G164" s="144">
        <v>5000</v>
      </c>
      <c r="H164" s="145">
        <v>2500</v>
      </c>
      <c r="I164" s="145">
        <f t="shared" si="116"/>
        <v>12500000</v>
      </c>
      <c r="J164" s="190"/>
      <c r="K164" s="144">
        <v>5000</v>
      </c>
      <c r="L164" s="146">
        <f t="shared" si="117"/>
        <v>2500</v>
      </c>
      <c r="M164" s="147">
        <f t="shared" si="118"/>
        <v>12500000</v>
      </c>
      <c r="N164" s="138" t="s">
        <v>627</v>
      </c>
      <c r="O164" s="190"/>
      <c r="P164" s="148">
        <v>0</v>
      </c>
      <c r="Q164" s="146">
        <f t="shared" si="114"/>
        <v>2500</v>
      </c>
      <c r="R164" s="147">
        <f t="shared" si="115"/>
        <v>0</v>
      </c>
      <c r="S164" s="138" t="s">
        <v>92</v>
      </c>
      <c r="T164" s="190"/>
      <c r="U164" s="148">
        <f t="shared" si="112"/>
        <v>0</v>
      </c>
      <c r="V164" s="147">
        <f t="shared" si="113"/>
        <v>0</v>
      </c>
      <c r="W164" s="190"/>
      <c r="X164" s="143"/>
    </row>
    <row r="165" spans="2:24" x14ac:dyDescent="0.35">
      <c r="B165" s="140" t="s">
        <v>696</v>
      </c>
      <c r="C165" s="143" t="s">
        <v>162</v>
      </c>
      <c r="D165" s="142" t="s">
        <v>702</v>
      </c>
      <c r="E165" s="143" t="s">
        <v>151</v>
      </c>
      <c r="F165" s="143" t="s">
        <v>200</v>
      </c>
      <c r="G165" s="144">
        <v>5600</v>
      </c>
      <c r="H165" s="145">
        <v>2550</v>
      </c>
      <c r="I165" s="145">
        <f t="shared" si="116"/>
        <v>14280000</v>
      </c>
      <c r="J165" s="190"/>
      <c r="K165" s="144">
        <v>2800</v>
      </c>
      <c r="L165" s="146">
        <f t="shared" si="117"/>
        <v>2550</v>
      </c>
      <c r="M165" s="147">
        <f t="shared" si="118"/>
        <v>7140000</v>
      </c>
      <c r="N165" s="138" t="s">
        <v>717</v>
      </c>
      <c r="O165" s="190"/>
      <c r="P165" s="148">
        <v>0</v>
      </c>
      <c r="Q165" s="146">
        <f t="shared" si="114"/>
        <v>2550</v>
      </c>
      <c r="R165" s="147">
        <f t="shared" si="115"/>
        <v>0</v>
      </c>
      <c r="S165" s="138" t="s">
        <v>92</v>
      </c>
      <c r="T165" s="190"/>
      <c r="U165" s="148">
        <f t="shared" si="112"/>
        <v>2800</v>
      </c>
      <c r="V165" s="147">
        <f t="shared" si="113"/>
        <v>7140000</v>
      </c>
      <c r="W165" s="190"/>
      <c r="X165" s="143"/>
    </row>
    <row r="166" spans="2:24" x14ac:dyDescent="0.35">
      <c r="B166" s="140" t="s">
        <v>697</v>
      </c>
      <c r="C166" s="143" t="s">
        <v>223</v>
      </c>
      <c r="D166" s="142" t="s">
        <v>704</v>
      </c>
      <c r="E166" s="143" t="s">
        <v>59</v>
      </c>
      <c r="F166" s="143" t="s">
        <v>200</v>
      </c>
      <c r="G166" s="144">
        <v>5600</v>
      </c>
      <c r="H166" s="145">
        <v>2550</v>
      </c>
      <c r="I166" s="145">
        <f t="shared" si="116"/>
        <v>14280000</v>
      </c>
      <c r="J166" s="190"/>
      <c r="K166" s="144">
        <v>0</v>
      </c>
      <c r="L166" s="146">
        <f t="shared" si="117"/>
        <v>2550</v>
      </c>
      <c r="M166" s="147">
        <f t="shared" si="118"/>
        <v>0</v>
      </c>
      <c r="N166" s="138" t="s">
        <v>92</v>
      </c>
      <c r="O166" s="190"/>
      <c r="P166" s="148">
        <v>0</v>
      </c>
      <c r="Q166" s="146">
        <f t="shared" si="114"/>
        <v>2550</v>
      </c>
      <c r="R166" s="147">
        <f t="shared" si="115"/>
        <v>0</v>
      </c>
      <c r="S166" s="138" t="s">
        <v>92</v>
      </c>
      <c r="T166" s="190"/>
      <c r="U166" s="148">
        <f t="shared" si="112"/>
        <v>5600</v>
      </c>
      <c r="V166" s="147">
        <f t="shared" si="113"/>
        <v>14280000</v>
      </c>
      <c r="W166" s="190"/>
      <c r="X166" s="143"/>
    </row>
    <row r="167" spans="2:24" x14ac:dyDescent="0.35">
      <c r="B167" s="140" t="s">
        <v>698</v>
      </c>
      <c r="C167" s="143" t="s">
        <v>186</v>
      </c>
      <c r="D167" s="142" t="s">
        <v>707</v>
      </c>
      <c r="E167" s="143" t="s">
        <v>59</v>
      </c>
      <c r="F167" s="143" t="s">
        <v>200</v>
      </c>
      <c r="G167" s="144">
        <v>5600</v>
      </c>
      <c r="H167" s="145">
        <v>2550</v>
      </c>
      <c r="I167" s="145">
        <f t="shared" si="116"/>
        <v>14280000</v>
      </c>
      <c r="J167" s="190"/>
      <c r="K167" s="144">
        <v>2800</v>
      </c>
      <c r="L167" s="146">
        <f t="shared" ref="L167:L168" si="125">H167</f>
        <v>2550</v>
      </c>
      <c r="M167" s="147">
        <f t="shared" ref="M167:M168" si="126">K167*L167</f>
        <v>7140000</v>
      </c>
      <c r="N167" s="138" t="s">
        <v>717</v>
      </c>
      <c r="O167" s="190"/>
      <c r="P167" s="148">
        <v>0</v>
      </c>
      <c r="Q167" s="146">
        <f t="shared" si="114"/>
        <v>2550</v>
      </c>
      <c r="R167" s="147">
        <f t="shared" si="115"/>
        <v>0</v>
      </c>
      <c r="S167" s="138" t="s">
        <v>92</v>
      </c>
      <c r="T167" s="190"/>
      <c r="U167" s="148">
        <f t="shared" si="112"/>
        <v>2800</v>
      </c>
      <c r="V167" s="147">
        <f t="shared" si="113"/>
        <v>7140000</v>
      </c>
      <c r="W167" s="190"/>
      <c r="X167" s="143"/>
    </row>
    <row r="168" spans="2:24" x14ac:dyDescent="0.35">
      <c r="B168" s="140" t="s">
        <v>711</v>
      </c>
      <c r="C168" s="143" t="s">
        <v>111</v>
      </c>
      <c r="D168" s="142" t="s">
        <v>712</v>
      </c>
      <c r="E168" s="143" t="s">
        <v>59</v>
      </c>
      <c r="F168" s="143" t="s">
        <v>200</v>
      </c>
      <c r="G168" s="144">
        <v>5600</v>
      </c>
      <c r="H168" s="145">
        <v>2550</v>
      </c>
      <c r="I168" s="145">
        <f t="shared" si="116"/>
        <v>14280000</v>
      </c>
      <c r="J168" s="190"/>
      <c r="K168" s="144">
        <v>2800</v>
      </c>
      <c r="L168" s="146">
        <f t="shared" si="125"/>
        <v>2550</v>
      </c>
      <c r="M168" s="147">
        <f t="shared" si="126"/>
        <v>7140000</v>
      </c>
      <c r="N168" s="138" t="s">
        <v>717</v>
      </c>
      <c r="O168" s="190"/>
      <c r="P168" s="148">
        <v>0</v>
      </c>
      <c r="Q168" s="146">
        <f t="shared" si="114"/>
        <v>2550</v>
      </c>
      <c r="R168" s="147">
        <f t="shared" si="115"/>
        <v>0</v>
      </c>
      <c r="S168" s="138" t="s">
        <v>92</v>
      </c>
      <c r="T168" s="190"/>
      <c r="U168" s="148">
        <f t="shared" si="112"/>
        <v>2800</v>
      </c>
      <c r="V168" s="147">
        <f t="shared" si="113"/>
        <v>7140000</v>
      </c>
      <c r="W168" s="190"/>
      <c r="X168" s="143"/>
    </row>
    <row r="169" spans="2:24" x14ac:dyDescent="0.35">
      <c r="B169" s="140" t="s">
        <v>715</v>
      </c>
      <c r="C169" s="143" t="s">
        <v>382</v>
      </c>
      <c r="D169" s="142" t="s">
        <v>716</v>
      </c>
      <c r="E169" s="143" t="s">
        <v>59</v>
      </c>
      <c r="F169" s="143" t="s">
        <v>200</v>
      </c>
      <c r="G169" s="144">
        <v>5600</v>
      </c>
      <c r="H169" s="145">
        <v>2550</v>
      </c>
      <c r="I169" s="145">
        <f t="shared" si="116"/>
        <v>14280000</v>
      </c>
      <c r="J169" s="190"/>
      <c r="K169" s="144">
        <v>2800</v>
      </c>
      <c r="L169" s="146">
        <f t="shared" si="117"/>
        <v>2550</v>
      </c>
      <c r="M169" s="147">
        <f t="shared" si="118"/>
        <v>7140000</v>
      </c>
      <c r="N169" s="138" t="s">
        <v>741</v>
      </c>
      <c r="O169" s="190"/>
      <c r="P169" s="148">
        <v>0</v>
      </c>
      <c r="Q169" s="146">
        <f t="shared" si="114"/>
        <v>2550</v>
      </c>
      <c r="R169" s="147">
        <f t="shared" si="115"/>
        <v>0</v>
      </c>
      <c r="S169" s="138" t="s">
        <v>92</v>
      </c>
      <c r="T169" s="190"/>
      <c r="U169" s="148">
        <f t="shared" si="112"/>
        <v>2800</v>
      </c>
      <c r="V169" s="147">
        <f t="shared" si="113"/>
        <v>7140000</v>
      </c>
      <c r="W169" s="190"/>
      <c r="X169" s="143"/>
    </row>
    <row r="170" spans="2:24" x14ac:dyDescent="0.35">
      <c r="B170" s="140" t="s">
        <v>718</v>
      </c>
      <c r="C170" s="143" t="s">
        <v>719</v>
      </c>
      <c r="D170" s="142" t="s">
        <v>720</v>
      </c>
      <c r="E170" s="143" t="s">
        <v>59</v>
      </c>
      <c r="F170" s="143" t="s">
        <v>200</v>
      </c>
      <c r="G170" s="144">
        <v>5600</v>
      </c>
      <c r="H170" s="145">
        <v>2550</v>
      </c>
      <c r="I170" s="145">
        <f t="shared" si="116"/>
        <v>14280000</v>
      </c>
      <c r="J170" s="190"/>
      <c r="K170" s="144">
        <v>2800</v>
      </c>
      <c r="L170" s="146">
        <f t="shared" si="117"/>
        <v>2550</v>
      </c>
      <c r="M170" s="147">
        <f t="shared" si="118"/>
        <v>7140000</v>
      </c>
      <c r="N170" s="138" t="s">
        <v>741</v>
      </c>
      <c r="O170" s="190"/>
      <c r="P170" s="148">
        <v>0</v>
      </c>
      <c r="Q170" s="146">
        <f t="shared" si="114"/>
        <v>2550</v>
      </c>
      <c r="R170" s="147">
        <f t="shared" si="115"/>
        <v>0</v>
      </c>
      <c r="S170" s="138" t="s">
        <v>92</v>
      </c>
      <c r="T170" s="190"/>
      <c r="U170" s="148">
        <f t="shared" si="112"/>
        <v>2800</v>
      </c>
      <c r="V170" s="147">
        <f t="shared" si="113"/>
        <v>7140000</v>
      </c>
      <c r="W170" s="190"/>
      <c r="X170" s="143"/>
    </row>
    <row r="171" spans="2:24" x14ac:dyDescent="0.35">
      <c r="B171" s="140" t="s">
        <v>725</v>
      </c>
      <c r="C171" s="143" t="s">
        <v>515</v>
      </c>
      <c r="D171" s="142" t="s">
        <v>516</v>
      </c>
      <c r="E171" s="143" t="s">
        <v>119</v>
      </c>
      <c r="F171" s="143" t="s">
        <v>557</v>
      </c>
      <c r="G171" s="144">
        <v>1540</v>
      </c>
      <c r="H171" s="145">
        <v>2510</v>
      </c>
      <c r="I171" s="145">
        <f t="shared" si="116"/>
        <v>3865400</v>
      </c>
      <c r="J171" s="190"/>
      <c r="K171" s="144">
        <f t="shared" ref="K171:K173" si="127">G171</f>
        <v>1540</v>
      </c>
      <c r="L171" s="146">
        <f t="shared" si="117"/>
        <v>2510</v>
      </c>
      <c r="M171" s="147">
        <f t="shared" si="118"/>
        <v>3865400</v>
      </c>
      <c r="N171" s="138" t="s">
        <v>815</v>
      </c>
      <c r="O171" s="190"/>
      <c r="P171" s="148">
        <v>0</v>
      </c>
      <c r="Q171" s="146">
        <f t="shared" si="114"/>
        <v>2510</v>
      </c>
      <c r="R171" s="147">
        <f t="shared" si="115"/>
        <v>0</v>
      </c>
      <c r="S171" s="138" t="s">
        <v>92</v>
      </c>
      <c r="T171" s="190"/>
      <c r="U171" s="148">
        <f t="shared" si="112"/>
        <v>0</v>
      </c>
      <c r="V171" s="147">
        <f t="shared" si="113"/>
        <v>0</v>
      </c>
      <c r="W171" s="190"/>
      <c r="X171" s="143"/>
    </row>
    <row r="172" spans="2:24" x14ac:dyDescent="0.35">
      <c r="B172" s="140" t="s">
        <v>726</v>
      </c>
      <c r="C172" s="143" t="s">
        <v>493</v>
      </c>
      <c r="D172" s="142" t="s">
        <v>494</v>
      </c>
      <c r="E172" s="143" t="s">
        <v>119</v>
      </c>
      <c r="F172" s="143" t="s">
        <v>557</v>
      </c>
      <c r="G172" s="144">
        <v>1540</v>
      </c>
      <c r="H172" s="145">
        <v>2510</v>
      </c>
      <c r="I172" s="145">
        <f t="shared" si="116"/>
        <v>3865400</v>
      </c>
      <c r="J172" s="190"/>
      <c r="K172" s="144">
        <f t="shared" si="127"/>
        <v>1540</v>
      </c>
      <c r="L172" s="146">
        <f t="shared" si="117"/>
        <v>2510</v>
      </c>
      <c r="M172" s="147">
        <f t="shared" si="118"/>
        <v>3865400</v>
      </c>
      <c r="N172" s="138" t="s">
        <v>815</v>
      </c>
      <c r="O172" s="190"/>
      <c r="P172" s="148">
        <v>0</v>
      </c>
      <c r="Q172" s="146">
        <f t="shared" si="114"/>
        <v>2510</v>
      </c>
      <c r="R172" s="147">
        <f t="shared" si="115"/>
        <v>0</v>
      </c>
      <c r="S172" s="138" t="s">
        <v>92</v>
      </c>
      <c r="T172" s="190"/>
      <c r="U172" s="148">
        <f t="shared" si="112"/>
        <v>0</v>
      </c>
      <c r="V172" s="147">
        <f t="shared" si="113"/>
        <v>0</v>
      </c>
      <c r="W172" s="190"/>
      <c r="X172" s="143"/>
    </row>
    <row r="173" spans="2:24" x14ac:dyDescent="0.35">
      <c r="B173" s="140" t="s">
        <v>727</v>
      </c>
      <c r="C173" s="143" t="s">
        <v>143</v>
      </c>
      <c r="D173" s="143" t="s">
        <v>498</v>
      </c>
      <c r="E173" s="143" t="s">
        <v>119</v>
      </c>
      <c r="F173" s="143" t="s">
        <v>557</v>
      </c>
      <c r="G173" s="144">
        <v>1650</v>
      </c>
      <c r="H173" s="145">
        <v>2510</v>
      </c>
      <c r="I173" s="145">
        <f t="shared" si="116"/>
        <v>4141500</v>
      </c>
      <c r="J173" s="190"/>
      <c r="K173" s="144">
        <f t="shared" si="127"/>
        <v>1650</v>
      </c>
      <c r="L173" s="146">
        <f t="shared" si="117"/>
        <v>2510</v>
      </c>
      <c r="M173" s="147">
        <f t="shared" si="118"/>
        <v>4141500</v>
      </c>
      <c r="N173" s="138" t="s">
        <v>815</v>
      </c>
      <c r="O173" s="190"/>
      <c r="P173" s="148">
        <v>0</v>
      </c>
      <c r="Q173" s="146">
        <f t="shared" si="114"/>
        <v>2510</v>
      </c>
      <c r="R173" s="147">
        <f t="shared" si="115"/>
        <v>0</v>
      </c>
      <c r="S173" s="138" t="s">
        <v>92</v>
      </c>
      <c r="T173" s="190"/>
      <c r="U173" s="148">
        <f t="shared" si="112"/>
        <v>0</v>
      </c>
      <c r="V173" s="147">
        <f t="shared" si="113"/>
        <v>0</v>
      </c>
      <c r="W173" s="190"/>
      <c r="X173" s="143"/>
    </row>
    <row r="174" spans="2:24" x14ac:dyDescent="0.35">
      <c r="B174" s="172" t="s">
        <v>728</v>
      </c>
      <c r="C174" s="143" t="s">
        <v>377</v>
      </c>
      <c r="D174" s="143" t="s">
        <v>378</v>
      </c>
      <c r="E174" s="175" t="s">
        <v>119</v>
      </c>
      <c r="F174" s="175" t="s">
        <v>120</v>
      </c>
      <c r="G174" s="144">
        <v>1966.65</v>
      </c>
      <c r="H174" s="145">
        <v>2530</v>
      </c>
      <c r="I174" s="145">
        <f t="shared" si="116"/>
        <v>4975624.5</v>
      </c>
      <c r="J174" s="190"/>
      <c r="K174" s="144">
        <f>G174</f>
        <v>1966.65</v>
      </c>
      <c r="L174" s="146">
        <f t="shared" si="117"/>
        <v>2530</v>
      </c>
      <c r="M174" s="147">
        <f t="shared" si="118"/>
        <v>4975624.5</v>
      </c>
      <c r="N174" s="138" t="s">
        <v>786</v>
      </c>
      <c r="O174" s="190"/>
      <c r="P174" s="148">
        <v>0</v>
      </c>
      <c r="Q174" s="146">
        <f t="shared" si="114"/>
        <v>2530</v>
      </c>
      <c r="R174" s="147">
        <f t="shared" si="115"/>
        <v>0</v>
      </c>
      <c r="S174" s="138" t="s">
        <v>92</v>
      </c>
      <c r="T174" s="190"/>
      <c r="U174" s="148">
        <f t="shared" si="112"/>
        <v>0</v>
      </c>
      <c r="V174" s="147">
        <f t="shared" si="113"/>
        <v>0</v>
      </c>
      <c r="W174" s="190"/>
      <c r="X174" s="143"/>
    </row>
    <row r="175" spans="2:24" x14ac:dyDescent="0.35">
      <c r="B175" s="173"/>
      <c r="C175" s="143" t="s">
        <v>382</v>
      </c>
      <c r="D175" s="142" t="s">
        <v>383</v>
      </c>
      <c r="E175" s="176"/>
      <c r="F175" s="176"/>
      <c r="G175" s="144">
        <v>1972.11</v>
      </c>
      <c r="H175" s="145">
        <v>2530</v>
      </c>
      <c r="I175" s="145">
        <f t="shared" si="116"/>
        <v>4989438.3</v>
      </c>
      <c r="J175" s="190"/>
      <c r="K175" s="144">
        <f>G175</f>
        <v>1972.11</v>
      </c>
      <c r="L175" s="146">
        <f t="shared" si="117"/>
        <v>2530</v>
      </c>
      <c r="M175" s="147">
        <f t="shared" si="118"/>
        <v>4989438.3</v>
      </c>
      <c r="N175" s="138" t="s">
        <v>786</v>
      </c>
      <c r="O175" s="190"/>
      <c r="P175" s="148">
        <v>0</v>
      </c>
      <c r="Q175" s="146">
        <f>H175</f>
        <v>2530</v>
      </c>
      <c r="R175" s="147">
        <f>P175*Q175</f>
        <v>0</v>
      </c>
      <c r="S175" s="138" t="s">
        <v>92</v>
      </c>
      <c r="T175" s="190"/>
      <c r="U175" s="148">
        <f t="shared" si="112"/>
        <v>0</v>
      </c>
      <c r="V175" s="147">
        <f t="shared" si="113"/>
        <v>0</v>
      </c>
      <c r="W175" s="190"/>
      <c r="X175" s="143"/>
    </row>
    <row r="176" spans="2:24" x14ac:dyDescent="0.35">
      <c r="B176" s="174"/>
      <c r="C176" s="143" t="s">
        <v>162</v>
      </c>
      <c r="D176" s="142" t="s">
        <v>470</v>
      </c>
      <c r="E176" s="177"/>
      <c r="F176" s="177"/>
      <c r="G176" s="144">
        <v>1976.73</v>
      </c>
      <c r="H176" s="145">
        <v>2530</v>
      </c>
      <c r="I176" s="145">
        <f t="shared" si="116"/>
        <v>5001126.9000000004</v>
      </c>
      <c r="J176" s="190"/>
      <c r="K176" s="144">
        <f>G176</f>
        <v>1976.73</v>
      </c>
      <c r="L176" s="146">
        <f t="shared" si="117"/>
        <v>2530</v>
      </c>
      <c r="M176" s="147">
        <f t="shared" si="118"/>
        <v>5001126.9000000004</v>
      </c>
      <c r="N176" s="138" t="s">
        <v>786</v>
      </c>
      <c r="O176" s="190"/>
      <c r="P176" s="148">
        <v>0</v>
      </c>
      <c r="Q176" s="146">
        <f t="shared" si="114"/>
        <v>2530</v>
      </c>
      <c r="R176" s="147">
        <f t="shared" si="115"/>
        <v>0</v>
      </c>
      <c r="S176" s="138" t="s">
        <v>92</v>
      </c>
      <c r="T176" s="190"/>
      <c r="U176" s="148">
        <f t="shared" si="112"/>
        <v>0</v>
      </c>
      <c r="V176" s="147">
        <f t="shared" si="113"/>
        <v>0</v>
      </c>
      <c r="W176" s="190"/>
      <c r="X176" s="143"/>
    </row>
    <row r="177" spans="2:24" x14ac:dyDescent="0.35">
      <c r="B177" s="172" t="s">
        <v>729</v>
      </c>
      <c r="C177" s="143" t="s">
        <v>157</v>
      </c>
      <c r="D177" s="142" t="s">
        <v>530</v>
      </c>
      <c r="E177" s="175" t="s">
        <v>119</v>
      </c>
      <c r="F177" s="175" t="s">
        <v>120</v>
      </c>
      <c r="G177" s="144">
        <v>1858.78</v>
      </c>
      <c r="H177" s="145">
        <v>2530</v>
      </c>
      <c r="I177" s="145">
        <f t="shared" si="116"/>
        <v>4702713.4000000004</v>
      </c>
      <c r="J177" s="190"/>
      <c r="K177" s="144">
        <f>G177</f>
        <v>1858.78</v>
      </c>
      <c r="L177" s="146">
        <f t="shared" si="117"/>
        <v>2530</v>
      </c>
      <c r="M177" s="147">
        <f t="shared" si="118"/>
        <v>4702713.4000000004</v>
      </c>
      <c r="N177" s="138" t="s">
        <v>816</v>
      </c>
      <c r="O177" s="190"/>
      <c r="P177" s="148">
        <v>0</v>
      </c>
      <c r="Q177" s="146">
        <f>H177</f>
        <v>2530</v>
      </c>
      <c r="R177" s="147">
        <f>P177*Q177</f>
        <v>0</v>
      </c>
      <c r="S177" s="138" t="s">
        <v>92</v>
      </c>
      <c r="T177" s="190"/>
      <c r="U177" s="148">
        <f t="shared" si="112"/>
        <v>0</v>
      </c>
      <c r="V177" s="147">
        <f t="shared" si="113"/>
        <v>0</v>
      </c>
      <c r="W177" s="190"/>
      <c r="X177" s="143"/>
    </row>
    <row r="178" spans="2:24" x14ac:dyDescent="0.35">
      <c r="B178" s="173"/>
      <c r="C178" s="143" t="s">
        <v>167</v>
      </c>
      <c r="D178" s="142" t="s">
        <v>528</v>
      </c>
      <c r="E178" s="176"/>
      <c r="F178" s="176"/>
      <c r="G178" s="144">
        <v>1907.71</v>
      </c>
      <c r="H178" s="145">
        <v>2530</v>
      </c>
      <c r="I178" s="145">
        <f t="shared" si="116"/>
        <v>4826506.3</v>
      </c>
      <c r="J178" s="190"/>
      <c r="K178" s="144">
        <f t="shared" ref="K178:K180" si="128">G178</f>
        <v>1907.71</v>
      </c>
      <c r="L178" s="146">
        <f t="shared" ref="L178:L180" si="129">H178</f>
        <v>2530</v>
      </c>
      <c r="M178" s="147">
        <f t="shared" ref="M178:M180" si="130">K178*L178</f>
        <v>4826506.3</v>
      </c>
      <c r="N178" s="138" t="s">
        <v>816</v>
      </c>
      <c r="O178" s="190"/>
      <c r="P178" s="148">
        <v>0</v>
      </c>
      <c r="Q178" s="146">
        <f>H178</f>
        <v>2530</v>
      </c>
      <c r="R178" s="147">
        <f>P178*Q178</f>
        <v>0</v>
      </c>
      <c r="S178" s="138" t="s">
        <v>92</v>
      </c>
      <c r="T178" s="190"/>
      <c r="U178" s="148">
        <f t="shared" si="112"/>
        <v>0</v>
      </c>
      <c r="V178" s="147">
        <f t="shared" si="113"/>
        <v>0</v>
      </c>
      <c r="W178" s="190"/>
      <c r="X178" s="143"/>
    </row>
    <row r="179" spans="2:24" x14ac:dyDescent="0.35">
      <c r="B179" s="173"/>
      <c r="C179" s="143" t="s">
        <v>187</v>
      </c>
      <c r="D179" s="142" t="s">
        <v>535</v>
      </c>
      <c r="E179" s="176"/>
      <c r="F179" s="176"/>
      <c r="G179" s="144">
        <v>1885.24</v>
      </c>
      <c r="H179" s="145">
        <v>2530</v>
      </c>
      <c r="I179" s="145">
        <f t="shared" si="116"/>
        <v>4769657.2</v>
      </c>
      <c r="J179" s="190"/>
      <c r="K179" s="144">
        <f t="shared" si="128"/>
        <v>1885.24</v>
      </c>
      <c r="L179" s="146">
        <f t="shared" si="129"/>
        <v>2530</v>
      </c>
      <c r="M179" s="147">
        <f t="shared" si="130"/>
        <v>4769657.2</v>
      </c>
      <c r="N179" s="138" t="s">
        <v>816</v>
      </c>
      <c r="O179" s="190"/>
      <c r="P179" s="148">
        <v>0</v>
      </c>
      <c r="Q179" s="146">
        <f t="shared" si="114"/>
        <v>2530</v>
      </c>
      <c r="R179" s="147">
        <f t="shared" si="115"/>
        <v>0</v>
      </c>
      <c r="S179" s="138" t="s">
        <v>92</v>
      </c>
      <c r="T179" s="190"/>
      <c r="U179" s="148">
        <f t="shared" si="112"/>
        <v>0</v>
      </c>
      <c r="V179" s="147">
        <f t="shared" si="113"/>
        <v>0</v>
      </c>
      <c r="W179" s="190"/>
      <c r="X179" s="143"/>
    </row>
    <row r="180" spans="2:24" x14ac:dyDescent="0.35">
      <c r="B180" s="174"/>
      <c r="C180" s="143" t="s">
        <v>389</v>
      </c>
      <c r="D180" s="142" t="s">
        <v>390</v>
      </c>
      <c r="E180" s="177"/>
      <c r="F180" s="177"/>
      <c r="G180" s="144">
        <v>1854.93</v>
      </c>
      <c r="H180" s="145">
        <v>2530</v>
      </c>
      <c r="I180" s="145">
        <f t="shared" si="116"/>
        <v>4692972.9000000004</v>
      </c>
      <c r="J180" s="190"/>
      <c r="K180" s="144">
        <f t="shared" si="128"/>
        <v>1854.93</v>
      </c>
      <c r="L180" s="146">
        <f t="shared" si="129"/>
        <v>2530</v>
      </c>
      <c r="M180" s="147">
        <f t="shared" si="130"/>
        <v>4692972.9000000004</v>
      </c>
      <c r="N180" s="138" t="s">
        <v>816</v>
      </c>
      <c r="O180" s="190"/>
      <c r="P180" s="148">
        <v>0</v>
      </c>
      <c r="Q180" s="146">
        <f t="shared" si="114"/>
        <v>2530</v>
      </c>
      <c r="R180" s="147">
        <f t="shared" si="115"/>
        <v>0</v>
      </c>
      <c r="S180" s="138" t="s">
        <v>92</v>
      </c>
      <c r="T180" s="190"/>
      <c r="U180" s="148">
        <f t="shared" si="112"/>
        <v>0</v>
      </c>
      <c r="V180" s="147">
        <f t="shared" si="113"/>
        <v>0</v>
      </c>
      <c r="W180" s="190"/>
      <c r="X180" s="143"/>
    </row>
    <row r="181" spans="2:24" x14ac:dyDescent="0.35">
      <c r="B181" s="140" t="s">
        <v>731</v>
      </c>
      <c r="C181" s="143" t="s">
        <v>107</v>
      </c>
      <c r="D181" s="143" t="s">
        <v>394</v>
      </c>
      <c r="E181" s="143" t="s">
        <v>119</v>
      </c>
      <c r="F181" s="143" t="s">
        <v>557</v>
      </c>
      <c r="G181" s="144">
        <v>1540</v>
      </c>
      <c r="H181" s="145">
        <v>2510</v>
      </c>
      <c r="I181" s="145">
        <f t="shared" si="116"/>
        <v>3865400</v>
      </c>
      <c r="J181" s="190"/>
      <c r="K181" s="144">
        <f>G181</f>
        <v>1540</v>
      </c>
      <c r="L181" s="146">
        <f t="shared" si="117"/>
        <v>2510</v>
      </c>
      <c r="M181" s="147">
        <f t="shared" si="118"/>
        <v>3865400</v>
      </c>
      <c r="N181" s="138" t="s">
        <v>815</v>
      </c>
      <c r="O181" s="190"/>
      <c r="P181" s="148">
        <v>0</v>
      </c>
      <c r="Q181" s="146">
        <f t="shared" si="114"/>
        <v>2510</v>
      </c>
      <c r="R181" s="147">
        <f t="shared" si="115"/>
        <v>0</v>
      </c>
      <c r="S181" s="138" t="s">
        <v>92</v>
      </c>
      <c r="T181" s="190"/>
      <c r="U181" s="148">
        <f t="shared" si="112"/>
        <v>0</v>
      </c>
      <c r="V181" s="147">
        <f t="shared" si="113"/>
        <v>0</v>
      </c>
      <c r="W181" s="190"/>
      <c r="X181" s="143"/>
    </row>
    <row r="182" spans="2:24" x14ac:dyDescent="0.35">
      <c r="B182" s="140" t="s">
        <v>742</v>
      </c>
      <c r="C182" s="143" t="s">
        <v>521</v>
      </c>
      <c r="D182" s="157"/>
      <c r="E182" s="143" t="s">
        <v>119</v>
      </c>
      <c r="F182" s="143" t="s">
        <v>120</v>
      </c>
      <c r="G182" s="144">
        <v>1868.65</v>
      </c>
      <c r="H182" s="145">
        <v>2530</v>
      </c>
      <c r="I182" s="145">
        <f t="shared" si="116"/>
        <v>4727684.5</v>
      </c>
      <c r="J182" s="190"/>
      <c r="K182" s="144">
        <f>G182</f>
        <v>1868.65</v>
      </c>
      <c r="L182" s="146">
        <f t="shared" ref="L182" si="131">H182</f>
        <v>2530</v>
      </c>
      <c r="M182" s="147">
        <f t="shared" ref="M182" si="132">K182*L182</f>
        <v>4727684.5</v>
      </c>
      <c r="N182" s="138" t="s">
        <v>816</v>
      </c>
      <c r="O182" s="190"/>
      <c r="P182" s="148">
        <v>0</v>
      </c>
      <c r="Q182" s="146">
        <f t="shared" si="114"/>
        <v>2530</v>
      </c>
      <c r="R182" s="147">
        <f t="shared" si="115"/>
        <v>0</v>
      </c>
      <c r="S182" s="138" t="s">
        <v>92</v>
      </c>
      <c r="T182" s="190"/>
      <c r="U182" s="148">
        <f t="shared" si="112"/>
        <v>0</v>
      </c>
      <c r="V182" s="147">
        <f t="shared" si="113"/>
        <v>0</v>
      </c>
      <c r="W182" s="190"/>
      <c r="X182" s="143"/>
    </row>
    <row r="183" spans="2:24" x14ac:dyDescent="0.35">
      <c r="B183" s="140" t="s">
        <v>743</v>
      </c>
      <c r="C183" s="143" t="s">
        <v>157</v>
      </c>
      <c r="D183" s="142" t="s">
        <v>745</v>
      </c>
      <c r="E183" s="143" t="s">
        <v>59</v>
      </c>
      <c r="F183" s="143" t="s">
        <v>746</v>
      </c>
      <c r="G183" s="144">
        <v>5000</v>
      </c>
      <c r="H183" s="145">
        <v>2500</v>
      </c>
      <c r="I183" s="145">
        <f t="shared" si="116"/>
        <v>12500000</v>
      </c>
      <c r="J183" s="190"/>
      <c r="K183" s="144">
        <v>5000</v>
      </c>
      <c r="L183" s="146">
        <f t="shared" si="117"/>
        <v>2500</v>
      </c>
      <c r="M183" s="147">
        <f t="shared" si="118"/>
        <v>12500000</v>
      </c>
      <c r="N183" s="138" t="s">
        <v>748</v>
      </c>
      <c r="O183" s="190"/>
      <c r="P183" s="148">
        <v>0</v>
      </c>
      <c r="Q183" s="146">
        <f t="shared" si="114"/>
        <v>2500</v>
      </c>
      <c r="R183" s="147">
        <f t="shared" si="115"/>
        <v>0</v>
      </c>
      <c r="S183" s="138" t="s">
        <v>92</v>
      </c>
      <c r="T183" s="190"/>
      <c r="U183" s="148">
        <f t="shared" si="112"/>
        <v>0</v>
      </c>
      <c r="V183" s="147">
        <f t="shared" si="113"/>
        <v>0</v>
      </c>
      <c r="W183" s="190"/>
      <c r="X183" s="143"/>
    </row>
    <row r="184" spans="2:24" x14ac:dyDescent="0.35">
      <c r="B184" s="140" t="s">
        <v>744</v>
      </c>
      <c r="C184" s="143" t="s">
        <v>167</v>
      </c>
      <c r="D184" s="142" t="s">
        <v>747</v>
      </c>
      <c r="E184" s="143" t="s">
        <v>59</v>
      </c>
      <c r="F184" s="143" t="s">
        <v>746</v>
      </c>
      <c r="G184" s="144">
        <v>5000</v>
      </c>
      <c r="H184" s="145">
        <v>2500</v>
      </c>
      <c r="I184" s="145">
        <f t="shared" si="116"/>
        <v>12500000</v>
      </c>
      <c r="J184" s="190"/>
      <c r="K184" s="144">
        <v>5000</v>
      </c>
      <c r="L184" s="146">
        <f t="shared" si="117"/>
        <v>2500</v>
      </c>
      <c r="M184" s="147">
        <f t="shared" si="118"/>
        <v>12500000</v>
      </c>
      <c r="N184" s="138" t="s">
        <v>748</v>
      </c>
      <c r="O184" s="190"/>
      <c r="P184" s="148">
        <v>0</v>
      </c>
      <c r="Q184" s="146">
        <f t="shared" si="114"/>
        <v>2500</v>
      </c>
      <c r="R184" s="147">
        <f t="shared" si="115"/>
        <v>0</v>
      </c>
      <c r="S184" s="138" t="s">
        <v>92</v>
      </c>
      <c r="T184" s="190"/>
      <c r="U184" s="148">
        <f t="shared" si="112"/>
        <v>0</v>
      </c>
      <c r="V184" s="147">
        <f t="shared" si="113"/>
        <v>0</v>
      </c>
      <c r="W184" s="190"/>
      <c r="X184" s="143"/>
    </row>
    <row r="185" spans="2:24" x14ac:dyDescent="0.35">
      <c r="B185" s="140" t="s">
        <v>753</v>
      </c>
      <c r="C185" s="143" t="s">
        <v>107</v>
      </c>
      <c r="D185" s="142" t="s">
        <v>757</v>
      </c>
      <c r="E185" s="143" t="s">
        <v>59</v>
      </c>
      <c r="F185" s="143" t="s">
        <v>200</v>
      </c>
      <c r="G185" s="144">
        <v>5600</v>
      </c>
      <c r="H185" s="145">
        <v>2550</v>
      </c>
      <c r="I185" s="145">
        <f t="shared" si="116"/>
        <v>14280000</v>
      </c>
      <c r="J185" s="190"/>
      <c r="K185" s="144">
        <v>2800</v>
      </c>
      <c r="L185" s="146">
        <f t="shared" ref="L185:L186" si="133">H185</f>
        <v>2550</v>
      </c>
      <c r="M185" s="147">
        <f t="shared" ref="M185:M186" si="134">K185*L185</f>
        <v>7140000</v>
      </c>
      <c r="N185" s="138" t="s">
        <v>791</v>
      </c>
      <c r="O185" s="190"/>
      <c r="P185" s="148">
        <v>0</v>
      </c>
      <c r="Q185" s="146">
        <f t="shared" si="114"/>
        <v>2550</v>
      </c>
      <c r="R185" s="147">
        <f t="shared" si="115"/>
        <v>0</v>
      </c>
      <c r="S185" s="138" t="s">
        <v>92</v>
      </c>
      <c r="T185" s="190"/>
      <c r="U185" s="148">
        <f t="shared" si="112"/>
        <v>2800</v>
      </c>
      <c r="V185" s="147">
        <f t="shared" si="113"/>
        <v>7140000</v>
      </c>
      <c r="W185" s="190"/>
      <c r="X185" s="143"/>
    </row>
    <row r="186" spans="2:24" x14ac:dyDescent="0.35">
      <c r="B186" s="140" t="s">
        <v>754</v>
      </c>
      <c r="C186" s="143" t="s">
        <v>389</v>
      </c>
      <c r="D186" s="142" t="s">
        <v>758</v>
      </c>
      <c r="E186" s="143" t="s">
        <v>59</v>
      </c>
      <c r="F186" s="143" t="s">
        <v>200</v>
      </c>
      <c r="G186" s="144">
        <v>5600</v>
      </c>
      <c r="H186" s="145">
        <v>2550</v>
      </c>
      <c r="I186" s="145">
        <f t="shared" si="116"/>
        <v>14280000</v>
      </c>
      <c r="J186" s="190"/>
      <c r="K186" s="144">
        <v>2800</v>
      </c>
      <c r="L186" s="146">
        <f t="shared" si="133"/>
        <v>2550</v>
      </c>
      <c r="M186" s="147">
        <f t="shared" si="134"/>
        <v>7140000</v>
      </c>
      <c r="N186" s="138" t="s">
        <v>791</v>
      </c>
      <c r="O186" s="190"/>
      <c r="P186" s="148">
        <v>0</v>
      </c>
      <c r="Q186" s="146">
        <f t="shared" si="114"/>
        <v>2550</v>
      </c>
      <c r="R186" s="147">
        <f t="shared" si="115"/>
        <v>0</v>
      </c>
      <c r="S186" s="138" t="s">
        <v>92</v>
      </c>
      <c r="T186" s="190"/>
      <c r="U186" s="148">
        <f t="shared" si="112"/>
        <v>2800</v>
      </c>
      <c r="V186" s="147">
        <f t="shared" si="113"/>
        <v>7140000</v>
      </c>
      <c r="W186" s="190"/>
      <c r="X186" s="143"/>
    </row>
    <row r="187" spans="2:24" x14ac:dyDescent="0.35">
      <c r="B187" s="140" t="s">
        <v>755</v>
      </c>
      <c r="C187" s="143" t="s">
        <v>515</v>
      </c>
      <c r="D187" s="143" t="s">
        <v>759</v>
      </c>
      <c r="E187" s="143" t="s">
        <v>59</v>
      </c>
      <c r="F187" s="143" t="s">
        <v>200</v>
      </c>
      <c r="G187" s="144">
        <v>5600</v>
      </c>
      <c r="H187" s="145">
        <v>2550</v>
      </c>
      <c r="I187" s="145">
        <f t="shared" si="116"/>
        <v>14280000</v>
      </c>
      <c r="J187" s="190"/>
      <c r="K187" s="144">
        <v>2800</v>
      </c>
      <c r="L187" s="146">
        <f t="shared" si="117"/>
        <v>2550</v>
      </c>
      <c r="M187" s="147">
        <f t="shared" si="118"/>
        <v>7140000</v>
      </c>
      <c r="N187" s="138" t="s">
        <v>789</v>
      </c>
      <c r="O187" s="190"/>
      <c r="P187" s="148">
        <v>0</v>
      </c>
      <c r="Q187" s="146">
        <f t="shared" si="114"/>
        <v>2550</v>
      </c>
      <c r="R187" s="147">
        <f t="shared" si="115"/>
        <v>0</v>
      </c>
      <c r="S187" s="138" t="s">
        <v>92</v>
      </c>
      <c r="T187" s="190"/>
      <c r="U187" s="148">
        <f t="shared" si="112"/>
        <v>2800</v>
      </c>
      <c r="V187" s="147">
        <f t="shared" si="113"/>
        <v>7140000</v>
      </c>
      <c r="W187" s="190"/>
      <c r="X187" s="143"/>
    </row>
    <row r="188" spans="2:24" x14ac:dyDescent="0.35">
      <c r="B188" s="140" t="s">
        <v>756</v>
      </c>
      <c r="C188" s="143" t="s">
        <v>521</v>
      </c>
      <c r="D188" s="142" t="s">
        <v>760</v>
      </c>
      <c r="E188" s="143" t="s">
        <v>59</v>
      </c>
      <c r="F188" s="143" t="s">
        <v>200</v>
      </c>
      <c r="G188" s="144">
        <v>5600</v>
      </c>
      <c r="H188" s="145">
        <v>2550</v>
      </c>
      <c r="I188" s="145">
        <f t="shared" si="116"/>
        <v>14280000</v>
      </c>
      <c r="J188" s="190"/>
      <c r="K188" s="144">
        <v>2800</v>
      </c>
      <c r="L188" s="146">
        <f t="shared" si="117"/>
        <v>2550</v>
      </c>
      <c r="M188" s="147">
        <f t="shared" si="118"/>
        <v>7140000</v>
      </c>
      <c r="N188" s="138" t="s">
        <v>791</v>
      </c>
      <c r="O188" s="190"/>
      <c r="P188" s="148">
        <v>0</v>
      </c>
      <c r="Q188" s="146">
        <f t="shared" si="114"/>
        <v>2550</v>
      </c>
      <c r="R188" s="147">
        <f t="shared" si="115"/>
        <v>0</v>
      </c>
      <c r="S188" s="138" t="s">
        <v>92</v>
      </c>
      <c r="T188" s="190"/>
      <c r="U188" s="148">
        <f t="shared" si="112"/>
        <v>2800</v>
      </c>
      <c r="V188" s="147">
        <f t="shared" si="113"/>
        <v>7140000</v>
      </c>
      <c r="W188" s="190"/>
      <c r="X188" s="143"/>
    </row>
    <row r="189" spans="2:24" x14ac:dyDescent="0.35">
      <c r="B189" s="140" t="s">
        <v>766</v>
      </c>
      <c r="C189" s="143" t="s">
        <v>493</v>
      </c>
      <c r="D189" s="143" t="s">
        <v>767</v>
      </c>
      <c r="E189" s="143" t="s">
        <v>59</v>
      </c>
      <c r="F189" s="143" t="s">
        <v>200</v>
      </c>
      <c r="G189" s="144">
        <v>5600</v>
      </c>
      <c r="H189" s="145">
        <v>2550</v>
      </c>
      <c r="I189" s="145">
        <f t="shared" si="116"/>
        <v>14280000</v>
      </c>
      <c r="J189" s="190"/>
      <c r="K189" s="144">
        <v>2800</v>
      </c>
      <c r="L189" s="146">
        <f t="shared" ref="L189" si="135">H189</f>
        <v>2550</v>
      </c>
      <c r="M189" s="147">
        <f t="shared" ref="M189" si="136">K189*L189</f>
        <v>7140000</v>
      </c>
      <c r="N189" s="138" t="s">
        <v>789</v>
      </c>
      <c r="O189" s="190"/>
      <c r="P189" s="148">
        <v>0</v>
      </c>
      <c r="Q189" s="146">
        <f t="shared" si="114"/>
        <v>2550</v>
      </c>
      <c r="R189" s="147">
        <f t="shared" si="115"/>
        <v>0</v>
      </c>
      <c r="S189" s="138" t="s">
        <v>92</v>
      </c>
      <c r="T189" s="190"/>
      <c r="U189" s="148">
        <f t="shared" si="112"/>
        <v>2800</v>
      </c>
      <c r="V189" s="147">
        <f t="shared" si="113"/>
        <v>7140000</v>
      </c>
      <c r="W189" s="190"/>
      <c r="X189" s="143"/>
    </row>
    <row r="190" spans="2:24" x14ac:dyDescent="0.35">
      <c r="B190" s="140" t="s">
        <v>769</v>
      </c>
      <c r="C190" s="143" t="s">
        <v>149</v>
      </c>
      <c r="D190" s="143" t="s">
        <v>792</v>
      </c>
      <c r="E190" s="143" t="s">
        <v>59</v>
      </c>
      <c r="F190" s="143" t="s">
        <v>200</v>
      </c>
      <c r="G190" s="144">
        <v>5600</v>
      </c>
      <c r="H190" s="145">
        <v>2550</v>
      </c>
      <c r="I190" s="145">
        <f t="shared" si="116"/>
        <v>14280000</v>
      </c>
      <c r="J190" s="190"/>
      <c r="K190" s="144">
        <v>2800</v>
      </c>
      <c r="L190" s="146">
        <f t="shared" si="117"/>
        <v>2550</v>
      </c>
      <c r="M190" s="147">
        <f t="shared" si="118"/>
        <v>7140000</v>
      </c>
      <c r="N190" s="138" t="s">
        <v>817</v>
      </c>
      <c r="O190" s="190"/>
      <c r="P190" s="148">
        <v>0</v>
      </c>
      <c r="Q190" s="146">
        <f t="shared" si="114"/>
        <v>2550</v>
      </c>
      <c r="R190" s="147">
        <f t="shared" si="115"/>
        <v>0</v>
      </c>
      <c r="S190" s="138" t="s">
        <v>92</v>
      </c>
      <c r="T190" s="190"/>
      <c r="U190" s="148">
        <f t="shared" si="112"/>
        <v>2800</v>
      </c>
      <c r="V190" s="147">
        <f t="shared" si="113"/>
        <v>7140000</v>
      </c>
      <c r="W190" s="190"/>
      <c r="X190" s="143"/>
    </row>
    <row r="191" spans="2:24" x14ac:dyDescent="0.35">
      <c r="B191" s="140" t="s">
        <v>770</v>
      </c>
      <c r="C191" s="143" t="s">
        <v>101</v>
      </c>
      <c r="D191" s="143" t="s">
        <v>771</v>
      </c>
      <c r="E191" s="143" t="s">
        <v>384</v>
      </c>
      <c r="F191" s="143" t="s">
        <v>200</v>
      </c>
      <c r="G191" s="144">
        <v>5700</v>
      </c>
      <c r="H191" s="145">
        <v>2550</v>
      </c>
      <c r="I191" s="145">
        <f t="shared" si="116"/>
        <v>14535000</v>
      </c>
      <c r="J191" s="190"/>
      <c r="K191" s="144">
        <v>2850</v>
      </c>
      <c r="L191" s="146">
        <f t="shared" si="117"/>
        <v>2550</v>
      </c>
      <c r="M191" s="147">
        <f t="shared" si="118"/>
        <v>7267500</v>
      </c>
      <c r="N191" s="138" t="s">
        <v>790</v>
      </c>
      <c r="O191" s="190"/>
      <c r="P191" s="148">
        <v>0</v>
      </c>
      <c r="Q191" s="146">
        <f t="shared" si="114"/>
        <v>2550</v>
      </c>
      <c r="R191" s="147">
        <f t="shared" si="115"/>
        <v>0</v>
      </c>
      <c r="S191" s="138" t="s">
        <v>92</v>
      </c>
      <c r="T191" s="190"/>
      <c r="U191" s="148">
        <f t="shared" si="112"/>
        <v>2850</v>
      </c>
      <c r="V191" s="147">
        <f t="shared" si="113"/>
        <v>7267500</v>
      </c>
      <c r="W191" s="190"/>
      <c r="X191" s="143"/>
    </row>
    <row r="192" spans="2:24" x14ac:dyDescent="0.35">
      <c r="B192" s="140" t="s">
        <v>775</v>
      </c>
      <c r="C192" s="143" t="s">
        <v>143</v>
      </c>
      <c r="D192" s="143" t="s">
        <v>772</v>
      </c>
      <c r="E192" s="143" t="s">
        <v>384</v>
      </c>
      <c r="F192" s="143" t="s">
        <v>200</v>
      </c>
      <c r="G192" s="144">
        <v>5700</v>
      </c>
      <c r="H192" s="145">
        <v>2550</v>
      </c>
      <c r="I192" s="145">
        <f t="shared" ref="I192:I194" si="137">G192*H192</f>
        <v>14535000</v>
      </c>
      <c r="J192" s="190"/>
      <c r="K192" s="144">
        <v>2850</v>
      </c>
      <c r="L192" s="146">
        <f t="shared" si="117"/>
        <v>2550</v>
      </c>
      <c r="M192" s="147">
        <f t="shared" si="118"/>
        <v>7267500</v>
      </c>
      <c r="N192" s="138" t="s">
        <v>790</v>
      </c>
      <c r="O192" s="190"/>
      <c r="P192" s="148">
        <v>0</v>
      </c>
      <c r="Q192" s="146">
        <f t="shared" si="114"/>
        <v>2550</v>
      </c>
      <c r="R192" s="147">
        <f t="shared" si="115"/>
        <v>0</v>
      </c>
      <c r="S192" s="138" t="s">
        <v>92</v>
      </c>
      <c r="T192" s="190"/>
      <c r="U192" s="148">
        <f t="shared" si="112"/>
        <v>2850</v>
      </c>
      <c r="V192" s="147">
        <f t="shared" si="113"/>
        <v>7267500</v>
      </c>
      <c r="W192" s="190"/>
      <c r="X192" s="143"/>
    </row>
    <row r="193" spans="2:24" x14ac:dyDescent="0.35">
      <c r="B193" s="140" t="s">
        <v>776</v>
      </c>
      <c r="C193" s="143" t="s">
        <v>473</v>
      </c>
      <c r="D193" s="143" t="s">
        <v>773</v>
      </c>
      <c r="E193" s="143" t="s">
        <v>384</v>
      </c>
      <c r="F193" s="143" t="s">
        <v>200</v>
      </c>
      <c r="G193" s="144">
        <v>5700</v>
      </c>
      <c r="H193" s="145">
        <v>2550</v>
      </c>
      <c r="I193" s="145">
        <f t="shared" si="137"/>
        <v>14535000</v>
      </c>
      <c r="J193" s="190"/>
      <c r="K193" s="144">
        <v>2850</v>
      </c>
      <c r="L193" s="146">
        <f t="shared" ref="L193:L195" si="138">H193</f>
        <v>2550</v>
      </c>
      <c r="M193" s="147">
        <f t="shared" ref="M193:M195" si="139">K193*L193</f>
        <v>7267500</v>
      </c>
      <c r="N193" s="138" t="s">
        <v>789</v>
      </c>
      <c r="O193" s="190"/>
      <c r="P193" s="148">
        <v>0</v>
      </c>
      <c r="Q193" s="146">
        <f>H193</f>
        <v>2550</v>
      </c>
      <c r="R193" s="147">
        <f>P193*Q193</f>
        <v>0</v>
      </c>
      <c r="S193" s="138" t="s">
        <v>92</v>
      </c>
      <c r="T193" s="190"/>
      <c r="U193" s="148">
        <f t="shared" si="112"/>
        <v>2850</v>
      </c>
      <c r="V193" s="147">
        <f t="shared" si="113"/>
        <v>7267500</v>
      </c>
      <c r="W193" s="190"/>
      <c r="X193" s="143"/>
    </row>
    <row r="194" spans="2:24" x14ac:dyDescent="0.35">
      <c r="B194" s="140" t="s">
        <v>777</v>
      </c>
      <c r="C194" s="143" t="s">
        <v>778</v>
      </c>
      <c r="D194" s="157" t="s">
        <v>774</v>
      </c>
      <c r="E194" s="143" t="s">
        <v>384</v>
      </c>
      <c r="F194" s="143" t="s">
        <v>200</v>
      </c>
      <c r="G194" s="144">
        <v>5700</v>
      </c>
      <c r="H194" s="145">
        <v>2550</v>
      </c>
      <c r="I194" s="145">
        <f t="shared" si="137"/>
        <v>14535000</v>
      </c>
      <c r="J194" s="190"/>
      <c r="K194" s="144">
        <v>2850</v>
      </c>
      <c r="L194" s="146">
        <f t="shared" si="138"/>
        <v>2550</v>
      </c>
      <c r="M194" s="147">
        <f t="shared" si="139"/>
        <v>7267500</v>
      </c>
      <c r="N194" s="138" t="s">
        <v>790</v>
      </c>
      <c r="O194" s="190"/>
      <c r="P194" s="148">
        <v>0</v>
      </c>
      <c r="Q194" s="146">
        <f t="shared" si="114"/>
        <v>2550</v>
      </c>
      <c r="R194" s="147">
        <f t="shared" si="115"/>
        <v>0</v>
      </c>
      <c r="S194" s="138" t="s">
        <v>92</v>
      </c>
      <c r="T194" s="190"/>
      <c r="U194" s="148">
        <f t="shared" si="112"/>
        <v>2850</v>
      </c>
      <c r="V194" s="147">
        <f t="shared" si="113"/>
        <v>7267500</v>
      </c>
      <c r="W194" s="190"/>
      <c r="X194" s="143"/>
    </row>
    <row r="195" spans="2:24" x14ac:dyDescent="0.35">
      <c r="B195" s="140" t="s">
        <v>796</v>
      </c>
      <c r="C195" s="143" t="s">
        <v>96</v>
      </c>
      <c r="D195" s="157" t="s">
        <v>797</v>
      </c>
      <c r="E195" s="143" t="s">
        <v>59</v>
      </c>
      <c r="F195" s="143" t="s">
        <v>200</v>
      </c>
      <c r="G195" s="144">
        <v>5600</v>
      </c>
      <c r="H195" s="145">
        <v>2550</v>
      </c>
      <c r="I195" s="145">
        <f t="shared" si="116"/>
        <v>14280000</v>
      </c>
      <c r="J195" s="190"/>
      <c r="K195" s="144">
        <v>2800</v>
      </c>
      <c r="L195" s="146">
        <f t="shared" si="138"/>
        <v>2550</v>
      </c>
      <c r="M195" s="147">
        <f t="shared" si="139"/>
        <v>7140000</v>
      </c>
      <c r="N195" s="138" t="s">
        <v>817</v>
      </c>
      <c r="O195" s="190"/>
      <c r="P195" s="148">
        <v>0</v>
      </c>
      <c r="Q195" s="146">
        <f t="shared" si="114"/>
        <v>2550</v>
      </c>
      <c r="R195" s="147">
        <f t="shared" si="115"/>
        <v>0</v>
      </c>
      <c r="S195" s="138" t="s">
        <v>92</v>
      </c>
      <c r="T195" s="190"/>
      <c r="U195" s="148">
        <f t="shared" si="112"/>
        <v>2800</v>
      </c>
      <c r="V195" s="147">
        <f t="shared" si="113"/>
        <v>7140000</v>
      </c>
      <c r="W195" s="190"/>
      <c r="X195" s="143"/>
    </row>
    <row r="196" spans="2:24" x14ac:dyDescent="0.35">
      <c r="B196" s="172" t="s">
        <v>819</v>
      </c>
      <c r="C196" s="143" t="s">
        <v>149</v>
      </c>
      <c r="D196" s="143" t="s">
        <v>540</v>
      </c>
      <c r="E196" s="175" t="s">
        <v>119</v>
      </c>
      <c r="F196" s="175" t="s">
        <v>120</v>
      </c>
      <c r="G196" s="144">
        <v>1881.11</v>
      </c>
      <c r="H196" s="145">
        <v>2569</v>
      </c>
      <c r="I196" s="145">
        <f t="shared" si="116"/>
        <v>4832571.59</v>
      </c>
      <c r="J196" s="190"/>
      <c r="K196" s="144">
        <v>0</v>
      </c>
      <c r="L196" s="146">
        <f t="shared" si="117"/>
        <v>2569</v>
      </c>
      <c r="M196" s="147">
        <f t="shared" si="118"/>
        <v>0</v>
      </c>
      <c r="N196" s="138" t="s">
        <v>92</v>
      </c>
      <c r="O196" s="190"/>
      <c r="P196" s="148">
        <v>0</v>
      </c>
      <c r="Q196" s="146">
        <f>H196</f>
        <v>2569</v>
      </c>
      <c r="R196" s="147">
        <f>P196*Q196</f>
        <v>0</v>
      </c>
      <c r="S196" s="138" t="s">
        <v>92</v>
      </c>
      <c r="T196" s="190"/>
      <c r="U196" s="148">
        <f t="shared" ref="U196:U259" si="140">G196-K196-P196</f>
        <v>1881.11</v>
      </c>
      <c r="V196" s="147">
        <f t="shared" ref="V196:V259" si="141">I196-M196-R196</f>
        <v>4832571.59</v>
      </c>
      <c r="W196" s="190"/>
      <c r="X196" s="143"/>
    </row>
    <row r="197" spans="2:24" x14ac:dyDescent="0.35">
      <c r="B197" s="173"/>
      <c r="C197" s="143" t="s">
        <v>299</v>
      </c>
      <c r="D197" s="143" t="s">
        <v>583</v>
      </c>
      <c r="E197" s="176"/>
      <c r="F197" s="176"/>
      <c r="G197" s="144">
        <v>1878.52</v>
      </c>
      <c r="H197" s="145">
        <v>2569</v>
      </c>
      <c r="I197" s="145">
        <f t="shared" si="116"/>
        <v>4825917.88</v>
      </c>
      <c r="J197" s="190"/>
      <c r="K197" s="144">
        <v>0</v>
      </c>
      <c r="L197" s="146">
        <f t="shared" si="117"/>
        <v>2569</v>
      </c>
      <c r="M197" s="147">
        <f t="shared" si="118"/>
        <v>0</v>
      </c>
      <c r="N197" s="138" t="s">
        <v>92</v>
      </c>
      <c r="O197" s="190"/>
      <c r="P197" s="148">
        <v>0</v>
      </c>
      <c r="Q197" s="146">
        <f>H197</f>
        <v>2569</v>
      </c>
      <c r="R197" s="147">
        <f>P197*Q197</f>
        <v>0</v>
      </c>
      <c r="S197" s="138" t="s">
        <v>92</v>
      </c>
      <c r="T197" s="190"/>
      <c r="U197" s="148">
        <f t="shared" si="140"/>
        <v>1878.52</v>
      </c>
      <c r="V197" s="147">
        <f t="shared" si="141"/>
        <v>4825917.88</v>
      </c>
      <c r="W197" s="190"/>
      <c r="X197" s="143"/>
    </row>
    <row r="198" spans="2:24" x14ac:dyDescent="0.35">
      <c r="B198" s="173"/>
      <c r="C198" s="143" t="s">
        <v>279</v>
      </c>
      <c r="D198" s="142" t="s">
        <v>637</v>
      </c>
      <c r="E198" s="176"/>
      <c r="F198" s="176"/>
      <c r="G198" s="144">
        <v>1964.62</v>
      </c>
      <c r="H198" s="145">
        <v>2569</v>
      </c>
      <c r="I198" s="145">
        <f t="shared" si="116"/>
        <v>5047108.7799999993</v>
      </c>
      <c r="J198" s="190"/>
      <c r="K198" s="144">
        <v>0</v>
      </c>
      <c r="L198" s="146">
        <f t="shared" si="117"/>
        <v>2569</v>
      </c>
      <c r="M198" s="147">
        <f t="shared" si="118"/>
        <v>0</v>
      </c>
      <c r="N198" s="138" t="s">
        <v>92</v>
      </c>
      <c r="O198" s="190"/>
      <c r="P198" s="148">
        <v>0</v>
      </c>
      <c r="Q198" s="146">
        <f t="shared" ref="Q198:Q261" si="142">H198</f>
        <v>2569</v>
      </c>
      <c r="R198" s="147">
        <f t="shared" ref="R198:R261" si="143">P198*Q198</f>
        <v>0</v>
      </c>
      <c r="S198" s="138" t="s">
        <v>92</v>
      </c>
      <c r="T198" s="190"/>
      <c r="U198" s="148">
        <f t="shared" si="140"/>
        <v>1964.62</v>
      </c>
      <c r="V198" s="147">
        <f t="shared" si="141"/>
        <v>5047108.7799999993</v>
      </c>
      <c r="W198" s="190"/>
      <c r="X198" s="143"/>
    </row>
    <row r="199" spans="2:24" x14ac:dyDescent="0.35">
      <c r="B199" s="173"/>
      <c r="C199" s="143" t="s">
        <v>135</v>
      </c>
      <c r="D199" s="143" t="s">
        <v>640</v>
      </c>
      <c r="E199" s="176"/>
      <c r="F199" s="176"/>
      <c r="G199" s="144">
        <v>1910.79</v>
      </c>
      <c r="H199" s="145">
        <v>2569</v>
      </c>
      <c r="I199" s="145">
        <f t="shared" ref="I199:I262" si="144">G199*H199</f>
        <v>4908819.51</v>
      </c>
      <c r="J199" s="190"/>
      <c r="K199" s="144">
        <v>0</v>
      </c>
      <c r="L199" s="146">
        <f t="shared" ref="L199:L262" si="145">H199</f>
        <v>2569</v>
      </c>
      <c r="M199" s="147">
        <f t="shared" ref="M199:M262" si="146">K199*L199</f>
        <v>0</v>
      </c>
      <c r="N199" s="138" t="s">
        <v>92</v>
      </c>
      <c r="O199" s="190"/>
      <c r="P199" s="148">
        <v>0</v>
      </c>
      <c r="Q199" s="146">
        <f t="shared" si="142"/>
        <v>2569</v>
      </c>
      <c r="R199" s="147">
        <f t="shared" si="143"/>
        <v>0</v>
      </c>
      <c r="S199" s="138" t="s">
        <v>92</v>
      </c>
      <c r="T199" s="190"/>
      <c r="U199" s="148">
        <f t="shared" si="140"/>
        <v>1910.79</v>
      </c>
      <c r="V199" s="147">
        <f t="shared" si="141"/>
        <v>4908819.51</v>
      </c>
      <c r="W199" s="190"/>
      <c r="X199" s="143"/>
    </row>
    <row r="200" spans="2:24" x14ac:dyDescent="0.35">
      <c r="B200" s="173"/>
      <c r="C200" s="143" t="s">
        <v>118</v>
      </c>
      <c r="D200" s="143" t="s">
        <v>820</v>
      </c>
      <c r="E200" s="176"/>
      <c r="F200" s="176"/>
      <c r="G200" s="144">
        <v>1971.41</v>
      </c>
      <c r="H200" s="145">
        <v>2569</v>
      </c>
      <c r="I200" s="145">
        <f t="shared" si="144"/>
        <v>5064552.29</v>
      </c>
      <c r="J200" s="190"/>
      <c r="K200" s="144">
        <v>0</v>
      </c>
      <c r="L200" s="146">
        <f t="shared" si="145"/>
        <v>2569</v>
      </c>
      <c r="M200" s="147">
        <f t="shared" si="146"/>
        <v>0</v>
      </c>
      <c r="N200" s="138" t="s">
        <v>92</v>
      </c>
      <c r="O200" s="190"/>
      <c r="P200" s="148">
        <v>0</v>
      </c>
      <c r="Q200" s="146">
        <f t="shared" si="142"/>
        <v>2569</v>
      </c>
      <c r="R200" s="147">
        <f t="shared" si="143"/>
        <v>0</v>
      </c>
      <c r="S200" s="138" t="s">
        <v>92</v>
      </c>
      <c r="T200" s="190"/>
      <c r="U200" s="148">
        <f t="shared" si="140"/>
        <v>1971.41</v>
      </c>
      <c r="V200" s="147">
        <f t="shared" si="141"/>
        <v>5064552.29</v>
      </c>
      <c r="W200" s="190"/>
      <c r="X200" s="143"/>
    </row>
    <row r="201" spans="2:24" x14ac:dyDescent="0.35">
      <c r="B201" s="173"/>
      <c r="C201" s="143" t="s">
        <v>198</v>
      </c>
      <c r="D201" s="143" t="s">
        <v>592</v>
      </c>
      <c r="E201" s="176"/>
      <c r="F201" s="176"/>
      <c r="G201" s="144">
        <v>1926.33</v>
      </c>
      <c r="H201" s="145">
        <v>2569</v>
      </c>
      <c r="I201" s="145">
        <f t="shared" si="144"/>
        <v>4948741.7699999996</v>
      </c>
      <c r="J201" s="190"/>
      <c r="K201" s="144">
        <v>0</v>
      </c>
      <c r="L201" s="146">
        <f t="shared" si="145"/>
        <v>2569</v>
      </c>
      <c r="M201" s="147">
        <f t="shared" si="146"/>
        <v>0</v>
      </c>
      <c r="N201" s="138" t="s">
        <v>92</v>
      </c>
      <c r="O201" s="190"/>
      <c r="P201" s="148">
        <v>0</v>
      </c>
      <c r="Q201" s="146">
        <f t="shared" si="142"/>
        <v>2569</v>
      </c>
      <c r="R201" s="147">
        <f t="shared" si="143"/>
        <v>0</v>
      </c>
      <c r="S201" s="138" t="s">
        <v>92</v>
      </c>
      <c r="T201" s="190"/>
      <c r="U201" s="148">
        <f t="shared" si="140"/>
        <v>1926.33</v>
      </c>
      <c r="V201" s="147">
        <f t="shared" si="141"/>
        <v>4948741.7699999996</v>
      </c>
      <c r="W201" s="190"/>
      <c r="X201" s="143"/>
    </row>
    <row r="202" spans="2:24" x14ac:dyDescent="0.35">
      <c r="B202" s="173"/>
      <c r="C202" s="143" t="s">
        <v>192</v>
      </c>
      <c r="D202" s="143" t="s">
        <v>644</v>
      </c>
      <c r="E202" s="176"/>
      <c r="F202" s="176"/>
      <c r="G202" s="144">
        <v>1868.72</v>
      </c>
      <c r="H202" s="145">
        <v>2569</v>
      </c>
      <c r="I202" s="145">
        <f t="shared" si="144"/>
        <v>4800741.68</v>
      </c>
      <c r="J202" s="190"/>
      <c r="K202" s="144">
        <v>0</v>
      </c>
      <c r="L202" s="146">
        <f t="shared" si="145"/>
        <v>2569</v>
      </c>
      <c r="M202" s="147">
        <f t="shared" si="146"/>
        <v>0</v>
      </c>
      <c r="N202" s="138" t="s">
        <v>92</v>
      </c>
      <c r="O202" s="190"/>
      <c r="P202" s="148">
        <v>0</v>
      </c>
      <c r="Q202" s="146">
        <f t="shared" si="142"/>
        <v>2569</v>
      </c>
      <c r="R202" s="147">
        <f t="shared" si="143"/>
        <v>0</v>
      </c>
      <c r="S202" s="138" t="s">
        <v>92</v>
      </c>
      <c r="T202" s="190"/>
      <c r="U202" s="148">
        <f t="shared" si="140"/>
        <v>1868.72</v>
      </c>
      <c r="V202" s="147">
        <f t="shared" si="141"/>
        <v>4800741.68</v>
      </c>
      <c r="W202" s="190"/>
      <c r="X202" s="143"/>
    </row>
    <row r="203" spans="2:24" x14ac:dyDescent="0.35">
      <c r="B203" s="173"/>
      <c r="C203" s="143" t="s">
        <v>338</v>
      </c>
      <c r="D203" s="143" t="s">
        <v>631</v>
      </c>
      <c r="E203" s="176"/>
      <c r="F203" s="176"/>
      <c r="G203" s="144">
        <v>1968.19</v>
      </c>
      <c r="H203" s="145">
        <v>2569</v>
      </c>
      <c r="I203" s="145">
        <f t="shared" si="144"/>
        <v>5056280.1100000003</v>
      </c>
      <c r="J203" s="190"/>
      <c r="K203" s="144">
        <v>0</v>
      </c>
      <c r="L203" s="146">
        <f t="shared" si="145"/>
        <v>2569</v>
      </c>
      <c r="M203" s="147">
        <f t="shared" si="146"/>
        <v>0</v>
      </c>
      <c r="N203" s="138" t="s">
        <v>92</v>
      </c>
      <c r="O203" s="190"/>
      <c r="P203" s="148">
        <v>0</v>
      </c>
      <c r="Q203" s="146">
        <f t="shared" si="142"/>
        <v>2569</v>
      </c>
      <c r="R203" s="147">
        <f t="shared" si="143"/>
        <v>0</v>
      </c>
      <c r="S203" s="138" t="s">
        <v>92</v>
      </c>
      <c r="T203" s="190"/>
      <c r="U203" s="148">
        <f t="shared" si="140"/>
        <v>1968.19</v>
      </c>
      <c r="V203" s="147">
        <f t="shared" si="141"/>
        <v>5056280.1100000003</v>
      </c>
      <c r="W203" s="190"/>
      <c r="X203" s="143"/>
    </row>
    <row r="204" spans="2:24" x14ac:dyDescent="0.35">
      <c r="B204" s="173"/>
      <c r="C204" s="143" t="s">
        <v>253</v>
      </c>
      <c r="D204" s="142" t="s">
        <v>594</v>
      </c>
      <c r="E204" s="176"/>
      <c r="F204" s="176"/>
      <c r="G204" s="144">
        <v>1966.72</v>
      </c>
      <c r="H204" s="145">
        <v>2569</v>
      </c>
      <c r="I204" s="145">
        <f t="shared" si="144"/>
        <v>5052503.68</v>
      </c>
      <c r="J204" s="190"/>
      <c r="K204" s="144">
        <v>0</v>
      </c>
      <c r="L204" s="146">
        <f t="shared" si="145"/>
        <v>2569</v>
      </c>
      <c r="M204" s="147">
        <f t="shared" si="146"/>
        <v>0</v>
      </c>
      <c r="N204" s="138" t="s">
        <v>92</v>
      </c>
      <c r="O204" s="190"/>
      <c r="P204" s="148">
        <v>0</v>
      </c>
      <c r="Q204" s="146">
        <f t="shared" si="142"/>
        <v>2569</v>
      </c>
      <c r="R204" s="147">
        <f t="shared" si="143"/>
        <v>0</v>
      </c>
      <c r="S204" s="138" t="s">
        <v>92</v>
      </c>
      <c r="T204" s="190"/>
      <c r="U204" s="148">
        <f t="shared" si="140"/>
        <v>1966.72</v>
      </c>
      <c r="V204" s="147">
        <f t="shared" si="141"/>
        <v>5052503.68</v>
      </c>
      <c r="W204" s="190"/>
      <c r="X204" s="143"/>
    </row>
    <row r="205" spans="2:24" x14ac:dyDescent="0.35">
      <c r="B205" s="173"/>
      <c r="C205" s="143" t="s">
        <v>248</v>
      </c>
      <c r="D205" s="143" t="s">
        <v>586</v>
      </c>
      <c r="E205" s="176"/>
      <c r="F205" s="176"/>
      <c r="G205" s="144">
        <v>1889.58</v>
      </c>
      <c r="H205" s="145">
        <v>2569</v>
      </c>
      <c r="I205" s="145">
        <f t="shared" si="144"/>
        <v>4854331.0199999996</v>
      </c>
      <c r="J205" s="190"/>
      <c r="K205" s="144">
        <v>0</v>
      </c>
      <c r="L205" s="146">
        <f t="shared" si="145"/>
        <v>2569</v>
      </c>
      <c r="M205" s="147">
        <f t="shared" si="146"/>
        <v>0</v>
      </c>
      <c r="N205" s="138" t="s">
        <v>92</v>
      </c>
      <c r="O205" s="190"/>
      <c r="P205" s="148">
        <v>0</v>
      </c>
      <c r="Q205" s="146">
        <f t="shared" si="142"/>
        <v>2569</v>
      </c>
      <c r="R205" s="147">
        <f t="shared" si="143"/>
        <v>0</v>
      </c>
      <c r="S205" s="138" t="s">
        <v>92</v>
      </c>
      <c r="T205" s="190"/>
      <c r="U205" s="148">
        <f t="shared" si="140"/>
        <v>1889.58</v>
      </c>
      <c r="V205" s="147">
        <f t="shared" si="141"/>
        <v>4854331.0199999996</v>
      </c>
      <c r="W205" s="190"/>
      <c r="X205" s="143"/>
    </row>
    <row r="206" spans="2:24" x14ac:dyDescent="0.35">
      <c r="B206" s="174"/>
      <c r="C206" s="143" t="s">
        <v>201</v>
      </c>
      <c r="D206" s="143" t="s">
        <v>661</v>
      </c>
      <c r="E206" s="177"/>
      <c r="F206" s="177"/>
      <c r="G206" s="144">
        <v>1974.7</v>
      </c>
      <c r="H206" s="145">
        <v>2569</v>
      </c>
      <c r="I206" s="145">
        <f t="shared" si="144"/>
        <v>5073004.3</v>
      </c>
      <c r="J206" s="190"/>
      <c r="K206" s="144">
        <v>0</v>
      </c>
      <c r="L206" s="146">
        <f t="shared" si="145"/>
        <v>2569</v>
      </c>
      <c r="M206" s="147">
        <f t="shared" si="146"/>
        <v>0</v>
      </c>
      <c r="N206" s="138" t="s">
        <v>92</v>
      </c>
      <c r="O206" s="190"/>
      <c r="P206" s="148">
        <v>0</v>
      </c>
      <c r="Q206" s="146">
        <f t="shared" si="142"/>
        <v>2569</v>
      </c>
      <c r="R206" s="147">
        <f t="shared" si="143"/>
        <v>0</v>
      </c>
      <c r="S206" s="138" t="s">
        <v>92</v>
      </c>
      <c r="T206" s="190"/>
      <c r="U206" s="148">
        <f t="shared" si="140"/>
        <v>1974.7</v>
      </c>
      <c r="V206" s="147">
        <f t="shared" si="141"/>
        <v>5073004.3</v>
      </c>
      <c r="W206" s="190"/>
      <c r="X206" s="143"/>
    </row>
    <row r="207" spans="2:24" x14ac:dyDescent="0.35">
      <c r="B207" s="172" t="s">
        <v>821</v>
      </c>
      <c r="C207" s="143" t="s">
        <v>223</v>
      </c>
      <c r="D207" s="143" t="s">
        <v>704</v>
      </c>
      <c r="E207" s="175" t="s">
        <v>119</v>
      </c>
      <c r="F207" s="175" t="s">
        <v>120</v>
      </c>
      <c r="G207" s="144">
        <v>1891.33</v>
      </c>
      <c r="H207" s="145">
        <v>2569</v>
      </c>
      <c r="I207" s="145">
        <f t="shared" si="144"/>
        <v>4858826.7699999996</v>
      </c>
      <c r="J207" s="190"/>
      <c r="K207" s="144">
        <f>G207</f>
        <v>1891.33</v>
      </c>
      <c r="L207" s="146">
        <f t="shared" si="145"/>
        <v>2569</v>
      </c>
      <c r="M207" s="147">
        <f t="shared" si="146"/>
        <v>4858826.7699999996</v>
      </c>
      <c r="N207" s="138" t="s">
        <v>953</v>
      </c>
      <c r="O207" s="190"/>
      <c r="P207" s="148">
        <v>0</v>
      </c>
      <c r="Q207" s="146">
        <f t="shared" si="142"/>
        <v>2569</v>
      </c>
      <c r="R207" s="147">
        <f t="shared" si="143"/>
        <v>0</v>
      </c>
      <c r="S207" s="138" t="s">
        <v>92</v>
      </c>
      <c r="T207" s="190"/>
      <c r="U207" s="148">
        <f t="shared" si="140"/>
        <v>0</v>
      </c>
      <c r="V207" s="147">
        <f t="shared" si="141"/>
        <v>0</v>
      </c>
      <c r="W207" s="190"/>
      <c r="X207" s="143"/>
    </row>
    <row r="208" spans="2:24" x14ac:dyDescent="0.35">
      <c r="B208" s="173"/>
      <c r="C208" s="143" t="s">
        <v>293</v>
      </c>
      <c r="D208" s="143" t="s">
        <v>618</v>
      </c>
      <c r="E208" s="176"/>
      <c r="F208" s="176"/>
      <c r="G208" s="144">
        <v>1896.23</v>
      </c>
      <c r="H208" s="145">
        <v>2569</v>
      </c>
      <c r="I208" s="145">
        <f t="shared" si="144"/>
        <v>4871414.87</v>
      </c>
      <c r="J208" s="190"/>
      <c r="K208" s="144">
        <f t="shared" ref="K208:K219" si="147">G208</f>
        <v>1896.23</v>
      </c>
      <c r="L208" s="146">
        <f t="shared" ref="L208:L219" si="148">H208</f>
        <v>2569</v>
      </c>
      <c r="M208" s="147">
        <f t="shared" ref="M208:M219" si="149">K208*L208</f>
        <v>4871414.87</v>
      </c>
      <c r="N208" s="138" t="s">
        <v>953</v>
      </c>
      <c r="O208" s="190"/>
      <c r="P208" s="148">
        <v>0</v>
      </c>
      <c r="Q208" s="146">
        <f t="shared" si="142"/>
        <v>2569</v>
      </c>
      <c r="R208" s="147">
        <f t="shared" si="143"/>
        <v>0</v>
      </c>
      <c r="S208" s="138" t="s">
        <v>92</v>
      </c>
      <c r="T208" s="190"/>
      <c r="U208" s="148">
        <f t="shared" si="140"/>
        <v>0</v>
      </c>
      <c r="V208" s="147">
        <f t="shared" si="141"/>
        <v>0</v>
      </c>
      <c r="W208" s="190"/>
      <c r="X208" s="143"/>
    </row>
    <row r="209" spans="2:24" x14ac:dyDescent="0.35">
      <c r="B209" s="173"/>
      <c r="C209" s="143" t="s">
        <v>274</v>
      </c>
      <c r="D209" s="143" t="s">
        <v>634</v>
      </c>
      <c r="E209" s="176"/>
      <c r="F209" s="176"/>
      <c r="G209" s="144">
        <v>1970.36</v>
      </c>
      <c r="H209" s="145">
        <v>2569</v>
      </c>
      <c r="I209" s="145">
        <f t="shared" si="144"/>
        <v>5061854.84</v>
      </c>
      <c r="J209" s="190"/>
      <c r="K209" s="144">
        <f t="shared" si="147"/>
        <v>1970.36</v>
      </c>
      <c r="L209" s="146">
        <f t="shared" si="148"/>
        <v>2569</v>
      </c>
      <c r="M209" s="147">
        <f t="shared" si="149"/>
        <v>5061854.84</v>
      </c>
      <c r="N209" s="138" t="s">
        <v>953</v>
      </c>
      <c r="O209" s="190"/>
      <c r="P209" s="148">
        <v>0</v>
      </c>
      <c r="Q209" s="146">
        <f t="shared" si="142"/>
        <v>2569</v>
      </c>
      <c r="R209" s="147">
        <f t="shared" si="143"/>
        <v>0</v>
      </c>
      <c r="S209" s="138" t="s">
        <v>92</v>
      </c>
      <c r="T209" s="190"/>
      <c r="U209" s="148">
        <f t="shared" si="140"/>
        <v>0</v>
      </c>
      <c r="V209" s="147">
        <f t="shared" si="141"/>
        <v>0</v>
      </c>
      <c r="W209" s="190"/>
      <c r="X209" s="143"/>
    </row>
    <row r="210" spans="2:24" x14ac:dyDescent="0.35">
      <c r="B210" s="173"/>
      <c r="C210" s="143" t="s">
        <v>304</v>
      </c>
      <c r="D210" s="143" t="s">
        <v>607</v>
      </c>
      <c r="E210" s="176"/>
      <c r="F210" s="176"/>
      <c r="G210" s="144">
        <v>1893.29</v>
      </c>
      <c r="H210" s="145">
        <v>2569</v>
      </c>
      <c r="I210" s="145">
        <f t="shared" si="144"/>
        <v>4863862.01</v>
      </c>
      <c r="J210" s="190"/>
      <c r="K210" s="144">
        <f t="shared" si="147"/>
        <v>1893.29</v>
      </c>
      <c r="L210" s="146">
        <f t="shared" si="148"/>
        <v>2569</v>
      </c>
      <c r="M210" s="147">
        <f t="shared" si="149"/>
        <v>4863862.01</v>
      </c>
      <c r="N210" s="138" t="s">
        <v>953</v>
      </c>
      <c r="O210" s="190"/>
      <c r="P210" s="148">
        <v>0</v>
      </c>
      <c r="Q210" s="146">
        <f>H210</f>
        <v>2569</v>
      </c>
      <c r="R210" s="147">
        <f>P210*Q210</f>
        <v>0</v>
      </c>
      <c r="S210" s="138" t="s">
        <v>92</v>
      </c>
      <c r="T210" s="190"/>
      <c r="U210" s="148">
        <f t="shared" si="140"/>
        <v>0</v>
      </c>
      <c r="V210" s="147">
        <f t="shared" si="141"/>
        <v>0</v>
      </c>
      <c r="W210" s="190"/>
      <c r="X210" s="143"/>
    </row>
    <row r="211" spans="2:24" x14ac:dyDescent="0.35">
      <c r="B211" s="173"/>
      <c r="C211" s="143" t="s">
        <v>117</v>
      </c>
      <c r="D211" s="143" t="s">
        <v>615</v>
      </c>
      <c r="E211" s="176"/>
      <c r="F211" s="176"/>
      <c r="G211" s="144">
        <v>1890.28</v>
      </c>
      <c r="H211" s="145">
        <v>2569</v>
      </c>
      <c r="I211" s="145">
        <f t="shared" si="144"/>
        <v>4856129.32</v>
      </c>
      <c r="J211" s="190"/>
      <c r="K211" s="144">
        <f t="shared" si="147"/>
        <v>1890.28</v>
      </c>
      <c r="L211" s="146">
        <f t="shared" si="148"/>
        <v>2569</v>
      </c>
      <c r="M211" s="147">
        <f t="shared" si="149"/>
        <v>4856129.32</v>
      </c>
      <c r="N211" s="138" t="s">
        <v>953</v>
      </c>
      <c r="O211" s="190"/>
      <c r="P211" s="148">
        <v>0</v>
      </c>
      <c r="Q211" s="146">
        <f>H211</f>
        <v>2569</v>
      </c>
      <c r="R211" s="147">
        <f>P211*Q211</f>
        <v>0</v>
      </c>
      <c r="S211" s="138" t="s">
        <v>92</v>
      </c>
      <c r="T211" s="190"/>
      <c r="U211" s="148">
        <f t="shared" si="140"/>
        <v>0</v>
      </c>
      <c r="V211" s="147">
        <f t="shared" si="141"/>
        <v>0</v>
      </c>
      <c r="W211" s="190"/>
      <c r="X211" s="143"/>
    </row>
    <row r="212" spans="2:24" x14ac:dyDescent="0.35">
      <c r="B212" s="173"/>
      <c r="C212" s="143" t="s">
        <v>116</v>
      </c>
      <c r="D212" s="143" t="s">
        <v>597</v>
      </c>
      <c r="E212" s="176"/>
      <c r="F212" s="176"/>
      <c r="G212" s="144">
        <v>1896.58</v>
      </c>
      <c r="H212" s="145">
        <v>2569</v>
      </c>
      <c r="I212" s="145">
        <f t="shared" si="144"/>
        <v>4872314.0199999996</v>
      </c>
      <c r="J212" s="190"/>
      <c r="K212" s="144">
        <f t="shared" si="147"/>
        <v>1896.58</v>
      </c>
      <c r="L212" s="146">
        <f t="shared" si="148"/>
        <v>2569</v>
      </c>
      <c r="M212" s="147">
        <f t="shared" si="149"/>
        <v>4872314.0199999996</v>
      </c>
      <c r="N212" s="138" t="s">
        <v>953</v>
      </c>
      <c r="O212" s="190"/>
      <c r="P212" s="148">
        <v>0</v>
      </c>
      <c r="Q212" s="146">
        <f t="shared" si="142"/>
        <v>2569</v>
      </c>
      <c r="R212" s="147">
        <f t="shared" si="143"/>
        <v>0</v>
      </c>
      <c r="S212" s="138" t="s">
        <v>92</v>
      </c>
      <c r="T212" s="190"/>
      <c r="U212" s="148">
        <f t="shared" si="140"/>
        <v>0</v>
      </c>
      <c r="V212" s="147">
        <f t="shared" si="141"/>
        <v>0</v>
      </c>
      <c r="W212" s="190"/>
      <c r="X212" s="143"/>
    </row>
    <row r="213" spans="2:24" x14ac:dyDescent="0.35">
      <c r="B213" s="173"/>
      <c r="C213" s="143" t="s">
        <v>243</v>
      </c>
      <c r="D213" s="143" t="s">
        <v>626</v>
      </c>
      <c r="E213" s="176"/>
      <c r="F213" s="176"/>
      <c r="G213" s="144">
        <v>1873.48</v>
      </c>
      <c r="H213" s="145">
        <v>2569</v>
      </c>
      <c r="I213" s="145">
        <f t="shared" si="144"/>
        <v>4812970.12</v>
      </c>
      <c r="J213" s="190"/>
      <c r="K213" s="144">
        <f t="shared" si="147"/>
        <v>1873.48</v>
      </c>
      <c r="L213" s="146">
        <f t="shared" si="148"/>
        <v>2569</v>
      </c>
      <c r="M213" s="147">
        <f t="shared" si="149"/>
        <v>4812970.12</v>
      </c>
      <c r="N213" s="138" t="s">
        <v>953</v>
      </c>
      <c r="O213" s="190"/>
      <c r="P213" s="148">
        <v>0</v>
      </c>
      <c r="Q213" s="146">
        <f t="shared" si="142"/>
        <v>2569</v>
      </c>
      <c r="R213" s="147">
        <f t="shared" si="143"/>
        <v>0</v>
      </c>
      <c r="S213" s="138" t="s">
        <v>92</v>
      </c>
      <c r="T213" s="190"/>
      <c r="U213" s="148">
        <f t="shared" si="140"/>
        <v>0</v>
      </c>
      <c r="V213" s="147">
        <f t="shared" si="141"/>
        <v>0</v>
      </c>
      <c r="W213" s="190"/>
      <c r="X213" s="143"/>
    </row>
    <row r="214" spans="2:24" x14ac:dyDescent="0.35">
      <c r="B214" s="173"/>
      <c r="C214" s="143" t="s">
        <v>309</v>
      </c>
      <c r="D214" s="143" t="s">
        <v>699</v>
      </c>
      <c r="E214" s="176"/>
      <c r="F214" s="176"/>
      <c r="G214" s="144">
        <v>1955.31</v>
      </c>
      <c r="H214" s="145">
        <v>2569</v>
      </c>
      <c r="I214" s="145">
        <f t="shared" si="144"/>
        <v>5023191.3899999997</v>
      </c>
      <c r="J214" s="190"/>
      <c r="K214" s="144">
        <f t="shared" si="147"/>
        <v>1955.31</v>
      </c>
      <c r="L214" s="146">
        <f t="shared" si="148"/>
        <v>2569</v>
      </c>
      <c r="M214" s="147">
        <f t="shared" si="149"/>
        <v>5023191.3899999997</v>
      </c>
      <c r="N214" s="138" t="s">
        <v>953</v>
      </c>
      <c r="O214" s="190"/>
      <c r="P214" s="148">
        <v>0</v>
      </c>
      <c r="Q214" s="146">
        <f t="shared" si="142"/>
        <v>2569</v>
      </c>
      <c r="R214" s="147">
        <f t="shared" si="143"/>
        <v>0</v>
      </c>
      <c r="S214" s="138" t="s">
        <v>92</v>
      </c>
      <c r="T214" s="190"/>
      <c r="U214" s="148">
        <f t="shared" si="140"/>
        <v>0</v>
      </c>
      <c r="V214" s="147">
        <f t="shared" si="141"/>
        <v>0</v>
      </c>
      <c r="W214" s="190"/>
      <c r="X214" s="143"/>
    </row>
    <row r="215" spans="2:24" x14ac:dyDescent="0.35">
      <c r="B215" s="173"/>
      <c r="C215" s="143" t="s">
        <v>186</v>
      </c>
      <c r="D215" s="142" t="s">
        <v>707</v>
      </c>
      <c r="E215" s="176"/>
      <c r="F215" s="176"/>
      <c r="G215" s="144">
        <v>1865.71</v>
      </c>
      <c r="H215" s="145">
        <v>2569</v>
      </c>
      <c r="I215" s="145">
        <f t="shared" si="144"/>
        <v>4793008.99</v>
      </c>
      <c r="J215" s="190"/>
      <c r="K215" s="144">
        <f t="shared" si="147"/>
        <v>1865.71</v>
      </c>
      <c r="L215" s="146">
        <f t="shared" si="148"/>
        <v>2569</v>
      </c>
      <c r="M215" s="147">
        <f t="shared" si="149"/>
        <v>4793008.99</v>
      </c>
      <c r="N215" s="138" t="s">
        <v>953</v>
      </c>
      <c r="O215" s="190"/>
      <c r="P215" s="148">
        <v>0</v>
      </c>
      <c r="Q215" s="146">
        <f t="shared" si="142"/>
        <v>2569</v>
      </c>
      <c r="R215" s="147">
        <f t="shared" si="143"/>
        <v>0</v>
      </c>
      <c r="S215" s="138" t="s">
        <v>92</v>
      </c>
      <c r="T215" s="190"/>
      <c r="U215" s="148">
        <f t="shared" si="140"/>
        <v>0</v>
      </c>
      <c r="V215" s="147">
        <f t="shared" si="141"/>
        <v>0</v>
      </c>
      <c r="W215" s="190"/>
      <c r="X215" s="143"/>
    </row>
    <row r="216" spans="2:24" x14ac:dyDescent="0.35">
      <c r="B216" s="173"/>
      <c r="C216" s="143" t="s">
        <v>232</v>
      </c>
      <c r="D216" s="143" t="s">
        <v>822</v>
      </c>
      <c r="E216" s="176"/>
      <c r="F216" s="176"/>
      <c r="G216" s="144">
        <v>1951.39</v>
      </c>
      <c r="H216" s="145">
        <v>2569</v>
      </c>
      <c r="I216" s="145">
        <f t="shared" si="144"/>
        <v>5013120.91</v>
      </c>
      <c r="J216" s="190"/>
      <c r="K216" s="144">
        <f t="shared" si="147"/>
        <v>1951.39</v>
      </c>
      <c r="L216" s="146">
        <f t="shared" si="148"/>
        <v>2569</v>
      </c>
      <c r="M216" s="147">
        <f t="shared" si="149"/>
        <v>5013120.91</v>
      </c>
      <c r="N216" s="138" t="s">
        <v>953</v>
      </c>
      <c r="O216" s="190"/>
      <c r="P216" s="148">
        <v>0</v>
      </c>
      <c r="Q216" s="146">
        <f t="shared" si="142"/>
        <v>2569</v>
      </c>
      <c r="R216" s="147">
        <f t="shared" si="143"/>
        <v>0</v>
      </c>
      <c r="S216" s="138" t="s">
        <v>92</v>
      </c>
      <c r="T216" s="190"/>
      <c r="U216" s="148">
        <f t="shared" si="140"/>
        <v>0</v>
      </c>
      <c r="V216" s="147">
        <f t="shared" si="141"/>
        <v>0</v>
      </c>
      <c r="W216" s="190"/>
      <c r="X216" s="143"/>
    </row>
    <row r="217" spans="2:24" x14ac:dyDescent="0.35">
      <c r="B217" s="173"/>
      <c r="C217" s="143" t="s">
        <v>162</v>
      </c>
      <c r="D217" s="143" t="s">
        <v>702</v>
      </c>
      <c r="E217" s="176"/>
      <c r="F217" s="176"/>
      <c r="G217" s="144">
        <v>2002.56</v>
      </c>
      <c r="H217" s="145">
        <v>2569</v>
      </c>
      <c r="I217" s="145">
        <f t="shared" si="144"/>
        <v>5144576.6399999997</v>
      </c>
      <c r="J217" s="190"/>
      <c r="K217" s="144">
        <f t="shared" si="147"/>
        <v>2002.56</v>
      </c>
      <c r="L217" s="146">
        <f t="shared" si="148"/>
        <v>2569</v>
      </c>
      <c r="M217" s="147">
        <f t="shared" si="149"/>
        <v>5144576.6399999997</v>
      </c>
      <c r="N217" s="138" t="s">
        <v>953</v>
      </c>
      <c r="O217" s="190"/>
      <c r="P217" s="148">
        <v>0</v>
      </c>
      <c r="Q217" s="146">
        <f t="shared" si="142"/>
        <v>2569</v>
      </c>
      <c r="R217" s="147">
        <f t="shared" si="143"/>
        <v>0</v>
      </c>
      <c r="S217" s="138" t="s">
        <v>92</v>
      </c>
      <c r="T217" s="190"/>
      <c r="U217" s="148">
        <f t="shared" si="140"/>
        <v>0</v>
      </c>
      <c r="V217" s="147">
        <f t="shared" si="141"/>
        <v>0</v>
      </c>
      <c r="W217" s="190"/>
      <c r="X217" s="143"/>
    </row>
    <row r="218" spans="2:24" x14ac:dyDescent="0.35">
      <c r="B218" s="173"/>
      <c r="C218" s="143" t="s">
        <v>238</v>
      </c>
      <c r="D218" s="143" t="s">
        <v>613</v>
      </c>
      <c r="E218" s="176"/>
      <c r="F218" s="176"/>
      <c r="G218" s="144">
        <v>1842.89</v>
      </c>
      <c r="H218" s="145">
        <v>2569</v>
      </c>
      <c r="I218" s="145">
        <f t="shared" si="144"/>
        <v>4734384.41</v>
      </c>
      <c r="J218" s="190"/>
      <c r="K218" s="144">
        <f t="shared" si="147"/>
        <v>1842.89</v>
      </c>
      <c r="L218" s="146">
        <f t="shared" si="148"/>
        <v>2569</v>
      </c>
      <c r="M218" s="147">
        <f t="shared" si="149"/>
        <v>4734384.41</v>
      </c>
      <c r="N218" s="138" t="s">
        <v>953</v>
      </c>
      <c r="O218" s="190"/>
      <c r="P218" s="148">
        <v>0</v>
      </c>
      <c r="Q218" s="146">
        <f t="shared" si="142"/>
        <v>2569</v>
      </c>
      <c r="R218" s="147">
        <f t="shared" si="143"/>
        <v>0</v>
      </c>
      <c r="S218" s="138" t="s">
        <v>92</v>
      </c>
      <c r="T218" s="190"/>
      <c r="U218" s="148">
        <f t="shared" si="140"/>
        <v>0</v>
      </c>
      <c r="V218" s="147">
        <f t="shared" si="141"/>
        <v>0</v>
      </c>
      <c r="W218" s="190"/>
      <c r="X218" s="143"/>
    </row>
    <row r="219" spans="2:24" x14ac:dyDescent="0.35">
      <c r="B219" s="174"/>
      <c r="C219" s="143" t="s">
        <v>333</v>
      </c>
      <c r="D219" s="142" t="s">
        <v>675</v>
      </c>
      <c r="E219" s="177"/>
      <c r="F219" s="177"/>
      <c r="G219" s="144">
        <v>1968.96</v>
      </c>
      <c r="H219" s="145">
        <v>2569</v>
      </c>
      <c r="I219" s="145">
        <f t="shared" si="144"/>
        <v>5058258.24</v>
      </c>
      <c r="J219" s="190"/>
      <c r="K219" s="144">
        <f t="shared" si="147"/>
        <v>1968.96</v>
      </c>
      <c r="L219" s="146">
        <f t="shared" si="148"/>
        <v>2569</v>
      </c>
      <c r="M219" s="147">
        <f t="shared" si="149"/>
        <v>5058258.24</v>
      </c>
      <c r="N219" s="138" t="s">
        <v>953</v>
      </c>
      <c r="O219" s="190"/>
      <c r="P219" s="148">
        <v>0</v>
      </c>
      <c r="Q219" s="146">
        <f t="shared" si="142"/>
        <v>2569</v>
      </c>
      <c r="R219" s="147">
        <f t="shared" si="143"/>
        <v>0</v>
      </c>
      <c r="S219" s="138" t="s">
        <v>92</v>
      </c>
      <c r="T219" s="190"/>
      <c r="U219" s="148">
        <f t="shared" si="140"/>
        <v>0</v>
      </c>
      <c r="V219" s="147">
        <f t="shared" si="141"/>
        <v>0</v>
      </c>
      <c r="W219" s="190"/>
      <c r="X219" s="143"/>
    </row>
    <row r="220" spans="2:24" x14ac:dyDescent="0.35">
      <c r="B220" s="140" t="s">
        <v>826</v>
      </c>
      <c r="C220" s="143" t="s">
        <v>223</v>
      </c>
      <c r="D220" s="142" t="s">
        <v>827</v>
      </c>
      <c r="E220" s="143" t="s">
        <v>384</v>
      </c>
      <c r="F220" s="143" t="s">
        <v>200</v>
      </c>
      <c r="G220" s="144">
        <v>6400</v>
      </c>
      <c r="H220" s="145">
        <v>2600</v>
      </c>
      <c r="I220" s="145">
        <f t="shared" si="144"/>
        <v>16640000</v>
      </c>
      <c r="J220" s="190"/>
      <c r="K220" s="144">
        <v>3200</v>
      </c>
      <c r="L220" s="146">
        <f t="shared" si="145"/>
        <v>2600</v>
      </c>
      <c r="M220" s="147">
        <f t="shared" si="146"/>
        <v>8320000</v>
      </c>
      <c r="N220" s="138" t="s">
        <v>885</v>
      </c>
      <c r="O220" s="190"/>
      <c r="P220" s="148">
        <v>0</v>
      </c>
      <c r="Q220" s="146">
        <f t="shared" si="142"/>
        <v>2600</v>
      </c>
      <c r="R220" s="147">
        <f t="shared" si="143"/>
        <v>0</v>
      </c>
      <c r="S220" s="138" t="s">
        <v>92</v>
      </c>
      <c r="T220" s="190"/>
      <c r="U220" s="148">
        <f t="shared" si="140"/>
        <v>3200</v>
      </c>
      <c r="V220" s="147">
        <f t="shared" si="141"/>
        <v>8320000</v>
      </c>
      <c r="W220" s="190"/>
      <c r="X220" s="143"/>
    </row>
    <row r="221" spans="2:24" x14ac:dyDescent="0.35">
      <c r="B221" s="140" t="s">
        <v>830</v>
      </c>
      <c r="C221" s="143" t="s">
        <v>135</v>
      </c>
      <c r="D221" s="142" t="s">
        <v>831</v>
      </c>
      <c r="E221" s="143" t="s">
        <v>384</v>
      </c>
      <c r="F221" s="143" t="s">
        <v>200</v>
      </c>
      <c r="G221" s="144">
        <v>6400</v>
      </c>
      <c r="H221" s="145">
        <v>2600</v>
      </c>
      <c r="I221" s="145">
        <f t="shared" si="144"/>
        <v>16640000</v>
      </c>
      <c r="J221" s="190"/>
      <c r="K221" s="144">
        <v>3200</v>
      </c>
      <c r="L221" s="146">
        <f t="shared" si="145"/>
        <v>2600</v>
      </c>
      <c r="M221" s="147">
        <f t="shared" si="146"/>
        <v>8320000</v>
      </c>
      <c r="N221" s="138" t="s">
        <v>885</v>
      </c>
      <c r="O221" s="190"/>
      <c r="P221" s="148">
        <v>0</v>
      </c>
      <c r="Q221" s="146">
        <f t="shared" si="142"/>
        <v>2600</v>
      </c>
      <c r="R221" s="147">
        <f t="shared" si="143"/>
        <v>0</v>
      </c>
      <c r="S221" s="138" t="s">
        <v>92</v>
      </c>
      <c r="T221" s="190"/>
      <c r="U221" s="148">
        <f t="shared" si="140"/>
        <v>3200</v>
      </c>
      <c r="V221" s="147">
        <f t="shared" si="141"/>
        <v>8320000</v>
      </c>
      <c r="W221" s="190"/>
      <c r="X221" s="143"/>
    </row>
    <row r="222" spans="2:24" x14ac:dyDescent="0.35">
      <c r="B222" s="140" t="s">
        <v>833</v>
      </c>
      <c r="C222" s="143" t="s">
        <v>304</v>
      </c>
      <c r="D222" s="142" t="s">
        <v>834</v>
      </c>
      <c r="E222" s="143" t="s">
        <v>384</v>
      </c>
      <c r="F222" s="143" t="s">
        <v>200</v>
      </c>
      <c r="G222" s="144">
        <v>6400</v>
      </c>
      <c r="H222" s="145">
        <v>2600</v>
      </c>
      <c r="I222" s="145">
        <f t="shared" si="144"/>
        <v>16640000</v>
      </c>
      <c r="J222" s="190"/>
      <c r="K222" s="144">
        <v>0</v>
      </c>
      <c r="L222" s="146">
        <f t="shared" si="145"/>
        <v>2600</v>
      </c>
      <c r="M222" s="147">
        <f t="shared" si="146"/>
        <v>0</v>
      </c>
      <c r="N222" s="138" t="s">
        <v>92</v>
      </c>
      <c r="O222" s="190"/>
      <c r="P222" s="148">
        <v>0</v>
      </c>
      <c r="Q222" s="146">
        <f>H222</f>
        <v>2600</v>
      </c>
      <c r="R222" s="147">
        <f>P222*Q222</f>
        <v>0</v>
      </c>
      <c r="S222" s="138" t="s">
        <v>92</v>
      </c>
      <c r="T222" s="190"/>
      <c r="U222" s="148">
        <f t="shared" si="140"/>
        <v>6400</v>
      </c>
      <c r="V222" s="147">
        <f t="shared" si="141"/>
        <v>16640000</v>
      </c>
      <c r="W222" s="190"/>
      <c r="X222" s="143"/>
    </row>
    <row r="223" spans="2:24" x14ac:dyDescent="0.35">
      <c r="B223" s="140" t="s">
        <v>836</v>
      </c>
      <c r="C223" s="143" t="s">
        <v>293</v>
      </c>
      <c r="D223" s="142" t="s">
        <v>838</v>
      </c>
      <c r="E223" s="143" t="s">
        <v>384</v>
      </c>
      <c r="F223" s="143" t="s">
        <v>200</v>
      </c>
      <c r="G223" s="144">
        <v>6400</v>
      </c>
      <c r="H223" s="145">
        <v>2600</v>
      </c>
      <c r="I223" s="145">
        <f t="shared" si="144"/>
        <v>16640000</v>
      </c>
      <c r="J223" s="190"/>
      <c r="K223" s="144">
        <v>3200</v>
      </c>
      <c r="L223" s="146">
        <f t="shared" si="145"/>
        <v>2600</v>
      </c>
      <c r="M223" s="147">
        <f t="shared" si="146"/>
        <v>8320000</v>
      </c>
      <c r="N223" s="138" t="s">
        <v>892</v>
      </c>
      <c r="O223" s="190"/>
      <c r="P223" s="148">
        <v>0</v>
      </c>
      <c r="Q223" s="146">
        <f t="shared" si="142"/>
        <v>2600</v>
      </c>
      <c r="R223" s="147">
        <f t="shared" si="143"/>
        <v>0</v>
      </c>
      <c r="S223" s="138" t="s">
        <v>92</v>
      </c>
      <c r="T223" s="190"/>
      <c r="U223" s="148">
        <f t="shared" si="140"/>
        <v>3200</v>
      </c>
      <c r="V223" s="147">
        <f t="shared" si="141"/>
        <v>8320000</v>
      </c>
      <c r="W223" s="190"/>
      <c r="X223" s="143"/>
    </row>
    <row r="224" spans="2:24" x14ac:dyDescent="0.35">
      <c r="B224" s="140" t="s">
        <v>837</v>
      </c>
      <c r="C224" s="143" t="s">
        <v>299</v>
      </c>
      <c r="D224" s="143" t="s">
        <v>840</v>
      </c>
      <c r="E224" s="143" t="s">
        <v>384</v>
      </c>
      <c r="F224" s="143" t="s">
        <v>200</v>
      </c>
      <c r="G224" s="144">
        <v>6400</v>
      </c>
      <c r="H224" s="145">
        <v>2600</v>
      </c>
      <c r="I224" s="145">
        <f t="shared" si="144"/>
        <v>16640000</v>
      </c>
      <c r="J224" s="190"/>
      <c r="K224" s="144">
        <v>3200</v>
      </c>
      <c r="L224" s="146">
        <f t="shared" si="145"/>
        <v>2600</v>
      </c>
      <c r="M224" s="147">
        <f t="shared" si="146"/>
        <v>8320000</v>
      </c>
      <c r="N224" s="138" t="s">
        <v>892</v>
      </c>
      <c r="O224" s="190"/>
      <c r="P224" s="148">
        <v>0</v>
      </c>
      <c r="Q224" s="146">
        <f t="shared" si="142"/>
        <v>2600</v>
      </c>
      <c r="R224" s="147">
        <f t="shared" si="143"/>
        <v>0</v>
      </c>
      <c r="S224" s="138" t="s">
        <v>92</v>
      </c>
      <c r="T224" s="190"/>
      <c r="U224" s="148">
        <f t="shared" si="140"/>
        <v>3200</v>
      </c>
      <c r="V224" s="147">
        <f t="shared" si="141"/>
        <v>8320000</v>
      </c>
      <c r="W224" s="190"/>
      <c r="X224" s="143"/>
    </row>
    <row r="225" spans="2:24" x14ac:dyDescent="0.35">
      <c r="B225" s="140" t="s">
        <v>842</v>
      </c>
      <c r="C225" s="143" t="s">
        <v>274</v>
      </c>
      <c r="D225" s="143" t="s">
        <v>843</v>
      </c>
      <c r="E225" s="143" t="s">
        <v>59</v>
      </c>
      <c r="F225" s="143" t="s">
        <v>200</v>
      </c>
      <c r="G225" s="144">
        <v>6300</v>
      </c>
      <c r="H225" s="145">
        <v>2600</v>
      </c>
      <c r="I225" s="145">
        <f t="shared" si="144"/>
        <v>16380000</v>
      </c>
      <c r="J225" s="190"/>
      <c r="K225" s="144">
        <v>3150</v>
      </c>
      <c r="L225" s="146">
        <f t="shared" ref="L225" si="150">H225</f>
        <v>2600</v>
      </c>
      <c r="M225" s="147">
        <f t="shared" ref="M225" si="151">K225*L225</f>
        <v>8190000</v>
      </c>
      <c r="N225" s="138" t="s">
        <v>993</v>
      </c>
      <c r="O225" s="190"/>
      <c r="P225" s="148">
        <v>0</v>
      </c>
      <c r="Q225" s="146">
        <f t="shared" si="142"/>
        <v>2600</v>
      </c>
      <c r="R225" s="147">
        <f t="shared" si="143"/>
        <v>0</v>
      </c>
      <c r="S225" s="138" t="s">
        <v>92</v>
      </c>
      <c r="T225" s="190"/>
      <c r="U225" s="148">
        <f t="shared" si="140"/>
        <v>3150</v>
      </c>
      <c r="V225" s="147">
        <f t="shared" si="141"/>
        <v>8190000</v>
      </c>
      <c r="W225" s="190"/>
      <c r="X225" s="143"/>
    </row>
    <row r="226" spans="2:24" x14ac:dyDescent="0.35">
      <c r="B226" s="140" t="s">
        <v>846</v>
      </c>
      <c r="C226" s="143" t="s">
        <v>266</v>
      </c>
      <c r="D226" s="142" t="s">
        <v>184</v>
      </c>
      <c r="E226" s="143" t="s">
        <v>151</v>
      </c>
      <c r="F226" s="143" t="s">
        <v>103</v>
      </c>
      <c r="G226" s="144">
        <v>6200</v>
      </c>
      <c r="H226" s="145">
        <v>2550</v>
      </c>
      <c r="I226" s="145">
        <f t="shared" si="144"/>
        <v>15810000</v>
      </c>
      <c r="J226" s="190"/>
      <c r="K226" s="144">
        <v>3720</v>
      </c>
      <c r="L226" s="146">
        <f t="shared" si="145"/>
        <v>2550</v>
      </c>
      <c r="M226" s="147">
        <f t="shared" si="146"/>
        <v>9486000</v>
      </c>
      <c r="N226" s="138" t="s">
        <v>883</v>
      </c>
      <c r="O226" s="190"/>
      <c r="P226" s="148">
        <v>0</v>
      </c>
      <c r="Q226" s="146">
        <f t="shared" si="142"/>
        <v>2550</v>
      </c>
      <c r="R226" s="147">
        <f t="shared" si="143"/>
        <v>0</v>
      </c>
      <c r="S226" s="138" t="s">
        <v>92</v>
      </c>
      <c r="T226" s="190"/>
      <c r="U226" s="148">
        <f t="shared" si="140"/>
        <v>2480</v>
      </c>
      <c r="V226" s="147">
        <f t="shared" si="141"/>
        <v>6324000</v>
      </c>
      <c r="W226" s="190"/>
      <c r="X226" s="143"/>
    </row>
    <row r="227" spans="2:24" x14ac:dyDescent="0.35">
      <c r="B227" s="140" t="s">
        <v>848</v>
      </c>
      <c r="C227" s="143" t="s">
        <v>243</v>
      </c>
      <c r="D227" s="142" t="s">
        <v>184</v>
      </c>
      <c r="E227" s="143" t="s">
        <v>151</v>
      </c>
      <c r="F227" s="143" t="s">
        <v>103</v>
      </c>
      <c r="G227" s="144">
        <v>6200</v>
      </c>
      <c r="H227" s="145">
        <v>2550</v>
      </c>
      <c r="I227" s="145">
        <f t="shared" si="144"/>
        <v>15810000</v>
      </c>
      <c r="J227" s="190"/>
      <c r="K227" s="144">
        <v>3720</v>
      </c>
      <c r="L227" s="146">
        <f t="shared" si="145"/>
        <v>2550</v>
      </c>
      <c r="M227" s="147">
        <f t="shared" si="146"/>
        <v>9486000</v>
      </c>
      <c r="N227" s="138" t="s">
        <v>882</v>
      </c>
      <c r="O227" s="190"/>
      <c r="P227" s="148">
        <v>0</v>
      </c>
      <c r="Q227" s="146">
        <f t="shared" si="142"/>
        <v>2550</v>
      </c>
      <c r="R227" s="147">
        <f t="shared" si="143"/>
        <v>0</v>
      </c>
      <c r="S227" s="138" t="s">
        <v>92</v>
      </c>
      <c r="T227" s="190"/>
      <c r="U227" s="148">
        <f t="shared" si="140"/>
        <v>2480</v>
      </c>
      <c r="V227" s="147">
        <f t="shared" si="141"/>
        <v>6324000</v>
      </c>
      <c r="W227" s="190"/>
      <c r="X227" s="143"/>
    </row>
    <row r="228" spans="2:24" x14ac:dyDescent="0.35">
      <c r="B228" s="140" t="s">
        <v>852</v>
      </c>
      <c r="C228" s="143" t="s">
        <v>162</v>
      </c>
      <c r="D228" s="142" t="s">
        <v>184</v>
      </c>
      <c r="E228" s="143" t="s">
        <v>151</v>
      </c>
      <c r="F228" s="143" t="s">
        <v>103</v>
      </c>
      <c r="G228" s="144">
        <v>6200</v>
      </c>
      <c r="H228" s="145">
        <v>2550</v>
      </c>
      <c r="I228" s="145">
        <f t="shared" si="144"/>
        <v>15810000</v>
      </c>
      <c r="J228" s="190"/>
      <c r="K228" s="144">
        <v>3720</v>
      </c>
      <c r="L228" s="146">
        <f t="shared" ref="L228:L230" si="152">H228</f>
        <v>2550</v>
      </c>
      <c r="M228" s="147">
        <f t="shared" ref="M228:M230" si="153">K228*L228</f>
        <v>9486000</v>
      </c>
      <c r="N228" s="138" t="s">
        <v>882</v>
      </c>
      <c r="O228" s="190"/>
      <c r="P228" s="148">
        <v>0</v>
      </c>
      <c r="Q228" s="146">
        <f t="shared" si="142"/>
        <v>2550</v>
      </c>
      <c r="R228" s="147">
        <f t="shared" si="143"/>
        <v>0</v>
      </c>
      <c r="S228" s="138" t="s">
        <v>92</v>
      </c>
      <c r="T228" s="190"/>
      <c r="U228" s="148">
        <f t="shared" si="140"/>
        <v>2480</v>
      </c>
      <c r="V228" s="147">
        <f t="shared" si="141"/>
        <v>6324000</v>
      </c>
      <c r="W228" s="190"/>
      <c r="X228" s="143"/>
    </row>
    <row r="229" spans="2:24" x14ac:dyDescent="0.35">
      <c r="B229" s="140" t="s">
        <v>854</v>
      </c>
      <c r="C229" s="143" t="s">
        <v>116</v>
      </c>
      <c r="D229" s="142" t="s">
        <v>184</v>
      </c>
      <c r="E229" s="143" t="s">
        <v>151</v>
      </c>
      <c r="F229" s="143" t="s">
        <v>103</v>
      </c>
      <c r="G229" s="144">
        <v>6200</v>
      </c>
      <c r="H229" s="145">
        <v>2550</v>
      </c>
      <c r="I229" s="145">
        <f t="shared" si="144"/>
        <v>15810000</v>
      </c>
      <c r="J229" s="190"/>
      <c r="K229" s="144">
        <v>3720</v>
      </c>
      <c r="L229" s="146">
        <f t="shared" si="152"/>
        <v>2550</v>
      </c>
      <c r="M229" s="147">
        <f t="shared" si="153"/>
        <v>9486000</v>
      </c>
      <c r="N229" s="138" t="s">
        <v>883</v>
      </c>
      <c r="O229" s="190"/>
      <c r="P229" s="148">
        <v>0</v>
      </c>
      <c r="Q229" s="146">
        <f t="shared" si="142"/>
        <v>2550</v>
      </c>
      <c r="R229" s="147">
        <f t="shared" si="143"/>
        <v>0</v>
      </c>
      <c r="S229" s="138" t="s">
        <v>92</v>
      </c>
      <c r="T229" s="190"/>
      <c r="U229" s="148">
        <f t="shared" si="140"/>
        <v>2480</v>
      </c>
      <c r="V229" s="147">
        <f t="shared" si="141"/>
        <v>6324000</v>
      </c>
      <c r="W229" s="190"/>
      <c r="X229" s="143"/>
    </row>
    <row r="230" spans="2:24" x14ac:dyDescent="0.35">
      <c r="B230" s="140" t="s">
        <v>856</v>
      </c>
      <c r="C230" s="143" t="s">
        <v>111</v>
      </c>
      <c r="D230" s="142" t="s">
        <v>184</v>
      </c>
      <c r="E230" s="143" t="s">
        <v>151</v>
      </c>
      <c r="F230" s="143" t="s">
        <v>103</v>
      </c>
      <c r="G230" s="144">
        <v>6200</v>
      </c>
      <c r="H230" s="145">
        <v>2550</v>
      </c>
      <c r="I230" s="145">
        <f t="shared" si="144"/>
        <v>15810000</v>
      </c>
      <c r="J230" s="190"/>
      <c r="K230" s="144">
        <v>3720</v>
      </c>
      <c r="L230" s="146">
        <f t="shared" si="152"/>
        <v>2550</v>
      </c>
      <c r="M230" s="147">
        <f t="shared" si="153"/>
        <v>9486000</v>
      </c>
      <c r="N230" s="138" t="s">
        <v>884</v>
      </c>
      <c r="O230" s="190"/>
      <c r="P230" s="148">
        <v>0</v>
      </c>
      <c r="Q230" s="146">
        <f t="shared" si="142"/>
        <v>2550</v>
      </c>
      <c r="R230" s="147">
        <f t="shared" si="143"/>
        <v>0</v>
      </c>
      <c r="S230" s="138" t="s">
        <v>92</v>
      </c>
      <c r="T230" s="190"/>
      <c r="U230" s="148">
        <f t="shared" si="140"/>
        <v>2480</v>
      </c>
      <c r="V230" s="147">
        <f t="shared" si="141"/>
        <v>6324000</v>
      </c>
      <c r="W230" s="190"/>
      <c r="X230" s="143"/>
    </row>
    <row r="231" spans="2:24" x14ac:dyDescent="0.35">
      <c r="B231" s="172" t="s">
        <v>863</v>
      </c>
      <c r="C231" s="143" t="s">
        <v>203</v>
      </c>
      <c r="D231" s="142" t="s">
        <v>864</v>
      </c>
      <c r="E231" s="175" t="s">
        <v>119</v>
      </c>
      <c r="F231" s="175" t="s">
        <v>120</v>
      </c>
      <c r="G231" s="144">
        <v>1883.42</v>
      </c>
      <c r="H231" s="145">
        <v>2569</v>
      </c>
      <c r="I231" s="145">
        <f t="shared" si="144"/>
        <v>4838505.9800000004</v>
      </c>
      <c r="J231" s="190"/>
      <c r="K231" s="144">
        <v>0</v>
      </c>
      <c r="L231" s="146">
        <f t="shared" si="145"/>
        <v>2569</v>
      </c>
      <c r="M231" s="147">
        <f t="shared" si="146"/>
        <v>0</v>
      </c>
      <c r="N231" s="138" t="s">
        <v>92</v>
      </c>
      <c r="O231" s="190"/>
      <c r="P231" s="148">
        <v>0</v>
      </c>
      <c r="Q231" s="146">
        <f t="shared" si="142"/>
        <v>2569</v>
      </c>
      <c r="R231" s="147">
        <f t="shared" si="143"/>
        <v>0</v>
      </c>
      <c r="S231" s="138" t="s">
        <v>92</v>
      </c>
      <c r="T231" s="190"/>
      <c r="U231" s="148">
        <f t="shared" si="140"/>
        <v>1883.42</v>
      </c>
      <c r="V231" s="147">
        <f t="shared" si="141"/>
        <v>4838505.9800000004</v>
      </c>
      <c r="W231" s="190"/>
      <c r="X231" s="143"/>
    </row>
    <row r="232" spans="2:24" x14ac:dyDescent="0.35">
      <c r="B232" s="173"/>
      <c r="C232" s="143" t="s">
        <v>111</v>
      </c>
      <c r="D232" s="142" t="s">
        <v>712</v>
      </c>
      <c r="E232" s="176"/>
      <c r="F232" s="176"/>
      <c r="G232" s="144">
        <v>1906.8</v>
      </c>
      <c r="H232" s="145">
        <v>2569</v>
      </c>
      <c r="I232" s="145">
        <f t="shared" si="144"/>
        <v>4898569.2</v>
      </c>
      <c r="J232" s="190"/>
      <c r="K232" s="144">
        <v>0</v>
      </c>
      <c r="L232" s="146">
        <f t="shared" si="145"/>
        <v>2569</v>
      </c>
      <c r="M232" s="147">
        <f t="shared" si="146"/>
        <v>0</v>
      </c>
      <c r="N232" s="138" t="s">
        <v>92</v>
      </c>
      <c r="O232" s="190"/>
      <c r="P232" s="148">
        <v>0</v>
      </c>
      <c r="Q232" s="146">
        <f>H232</f>
        <v>2569</v>
      </c>
      <c r="R232" s="147">
        <f>P232*Q232</f>
        <v>0</v>
      </c>
      <c r="S232" s="138" t="s">
        <v>92</v>
      </c>
      <c r="T232" s="190"/>
      <c r="U232" s="148">
        <f t="shared" si="140"/>
        <v>1906.8</v>
      </c>
      <c r="V232" s="147">
        <f t="shared" si="141"/>
        <v>4898569.2</v>
      </c>
      <c r="W232" s="190"/>
      <c r="X232" s="143"/>
    </row>
    <row r="233" spans="2:24" x14ac:dyDescent="0.35">
      <c r="B233" s="173"/>
      <c r="C233" s="143" t="s">
        <v>266</v>
      </c>
      <c r="D233" s="142" t="s">
        <v>681</v>
      </c>
      <c r="E233" s="176"/>
      <c r="F233" s="176"/>
      <c r="G233" s="144">
        <v>1903.09</v>
      </c>
      <c r="H233" s="145">
        <v>2569</v>
      </c>
      <c r="I233" s="145">
        <f t="shared" si="144"/>
        <v>4889038.21</v>
      </c>
      <c r="J233" s="190"/>
      <c r="K233" s="144">
        <v>0</v>
      </c>
      <c r="L233" s="146">
        <f t="shared" si="145"/>
        <v>2569</v>
      </c>
      <c r="M233" s="147">
        <f t="shared" si="146"/>
        <v>0</v>
      </c>
      <c r="N233" s="138" t="s">
        <v>92</v>
      </c>
      <c r="O233" s="190"/>
      <c r="P233" s="148">
        <v>0</v>
      </c>
      <c r="Q233" s="146">
        <f t="shared" si="142"/>
        <v>2569</v>
      </c>
      <c r="R233" s="147">
        <f t="shared" si="143"/>
        <v>0</v>
      </c>
      <c r="S233" s="138" t="s">
        <v>92</v>
      </c>
      <c r="T233" s="190"/>
      <c r="U233" s="148">
        <f t="shared" si="140"/>
        <v>1903.09</v>
      </c>
      <c r="V233" s="147">
        <f t="shared" si="141"/>
        <v>4889038.21</v>
      </c>
      <c r="W233" s="190"/>
      <c r="X233" s="143"/>
    </row>
    <row r="234" spans="2:24" x14ac:dyDescent="0.35">
      <c r="B234" s="173"/>
      <c r="C234" s="143" t="s">
        <v>324</v>
      </c>
      <c r="D234" s="142" t="s">
        <v>617</v>
      </c>
      <c r="E234" s="176"/>
      <c r="F234" s="176"/>
      <c r="G234" s="144">
        <v>1905.05</v>
      </c>
      <c r="H234" s="145">
        <v>2569</v>
      </c>
      <c r="I234" s="145">
        <f t="shared" si="144"/>
        <v>4894073.45</v>
      </c>
      <c r="J234" s="190"/>
      <c r="K234" s="144">
        <v>0</v>
      </c>
      <c r="L234" s="146">
        <f t="shared" si="145"/>
        <v>2569</v>
      </c>
      <c r="M234" s="147">
        <f t="shared" si="146"/>
        <v>0</v>
      </c>
      <c r="N234" s="138" t="s">
        <v>92</v>
      </c>
      <c r="O234" s="190"/>
      <c r="P234" s="148">
        <v>0</v>
      </c>
      <c r="Q234" s="146">
        <f t="shared" si="142"/>
        <v>2569</v>
      </c>
      <c r="R234" s="147">
        <f t="shared" si="143"/>
        <v>0</v>
      </c>
      <c r="S234" s="138" t="s">
        <v>92</v>
      </c>
      <c r="T234" s="190"/>
      <c r="U234" s="148">
        <f t="shared" si="140"/>
        <v>1905.05</v>
      </c>
      <c r="V234" s="147">
        <f t="shared" si="141"/>
        <v>4894073.45</v>
      </c>
      <c r="W234" s="190"/>
      <c r="X234" s="143"/>
    </row>
    <row r="235" spans="2:24" x14ac:dyDescent="0.35">
      <c r="B235" s="173"/>
      <c r="C235" s="143" t="s">
        <v>719</v>
      </c>
      <c r="D235" s="157" t="s">
        <v>720</v>
      </c>
      <c r="E235" s="176"/>
      <c r="F235" s="176"/>
      <c r="G235" s="144">
        <v>1876</v>
      </c>
      <c r="H235" s="145">
        <v>2569</v>
      </c>
      <c r="I235" s="145">
        <f t="shared" si="144"/>
        <v>4819444</v>
      </c>
      <c r="J235" s="190"/>
      <c r="K235" s="144">
        <v>0</v>
      </c>
      <c r="L235" s="146">
        <f t="shared" si="145"/>
        <v>2569</v>
      </c>
      <c r="M235" s="147">
        <f t="shared" si="146"/>
        <v>0</v>
      </c>
      <c r="N235" s="138" t="s">
        <v>92</v>
      </c>
      <c r="O235" s="190"/>
      <c r="P235" s="148">
        <v>0</v>
      </c>
      <c r="Q235" s="146">
        <f>H235</f>
        <v>2569</v>
      </c>
      <c r="R235" s="147">
        <f>P235*Q235</f>
        <v>0</v>
      </c>
      <c r="S235" s="138" t="s">
        <v>92</v>
      </c>
      <c r="T235" s="190"/>
      <c r="U235" s="148">
        <f t="shared" si="140"/>
        <v>1876</v>
      </c>
      <c r="V235" s="147">
        <f t="shared" si="141"/>
        <v>4819444</v>
      </c>
      <c r="W235" s="190"/>
      <c r="X235" s="143"/>
    </row>
    <row r="236" spans="2:24" x14ac:dyDescent="0.35">
      <c r="B236" s="174"/>
      <c r="C236" s="143" t="s">
        <v>382</v>
      </c>
      <c r="D236" s="142" t="s">
        <v>716</v>
      </c>
      <c r="E236" s="177"/>
      <c r="F236" s="177"/>
      <c r="G236" s="144">
        <v>1900.08</v>
      </c>
      <c r="H236" s="145">
        <v>2569</v>
      </c>
      <c r="I236" s="145">
        <f t="shared" si="144"/>
        <v>4881305.5199999996</v>
      </c>
      <c r="J236" s="190"/>
      <c r="K236" s="144">
        <v>0</v>
      </c>
      <c r="L236" s="146">
        <f t="shared" si="145"/>
        <v>2569</v>
      </c>
      <c r="M236" s="147">
        <f t="shared" si="146"/>
        <v>0</v>
      </c>
      <c r="N236" s="138" t="s">
        <v>92</v>
      </c>
      <c r="O236" s="190"/>
      <c r="P236" s="148">
        <v>0</v>
      </c>
      <c r="Q236" s="146">
        <f t="shared" si="142"/>
        <v>2569</v>
      </c>
      <c r="R236" s="147">
        <f t="shared" si="143"/>
        <v>0</v>
      </c>
      <c r="S236" s="138" t="s">
        <v>92</v>
      </c>
      <c r="T236" s="190"/>
      <c r="U236" s="148">
        <f t="shared" si="140"/>
        <v>1900.08</v>
      </c>
      <c r="V236" s="147">
        <f t="shared" si="141"/>
        <v>4881305.5199999996</v>
      </c>
      <c r="W236" s="190"/>
      <c r="X236" s="143"/>
    </row>
    <row r="237" spans="2:24" x14ac:dyDescent="0.35">
      <c r="B237" s="140" t="s">
        <v>865</v>
      </c>
      <c r="C237" s="143" t="s">
        <v>333</v>
      </c>
      <c r="D237" s="142" t="s">
        <v>866</v>
      </c>
      <c r="E237" s="143" t="s">
        <v>59</v>
      </c>
      <c r="F237" s="143" t="s">
        <v>103</v>
      </c>
      <c r="G237" s="144">
        <v>6200</v>
      </c>
      <c r="H237" s="145">
        <v>2550</v>
      </c>
      <c r="I237" s="145">
        <f t="shared" si="144"/>
        <v>15810000</v>
      </c>
      <c r="J237" s="190"/>
      <c r="K237" s="144">
        <v>3720</v>
      </c>
      <c r="L237" s="146">
        <f t="shared" si="145"/>
        <v>2550</v>
      </c>
      <c r="M237" s="147">
        <f t="shared" si="146"/>
        <v>9486000</v>
      </c>
      <c r="N237" s="138" t="s">
        <v>972</v>
      </c>
      <c r="O237" s="190"/>
      <c r="P237" s="148">
        <v>0</v>
      </c>
      <c r="Q237" s="146">
        <f>H237</f>
        <v>2550</v>
      </c>
      <c r="R237" s="147">
        <f>P237*Q237</f>
        <v>0</v>
      </c>
      <c r="S237" s="138" t="s">
        <v>92</v>
      </c>
      <c r="T237" s="190"/>
      <c r="U237" s="148">
        <f>G237-K237-P237</f>
        <v>2480</v>
      </c>
      <c r="V237" s="147">
        <f>I237-M237-R237</f>
        <v>6324000</v>
      </c>
      <c r="W237" s="190"/>
      <c r="X237" s="143"/>
    </row>
    <row r="238" spans="2:24" x14ac:dyDescent="0.35">
      <c r="B238" s="140" t="s">
        <v>870</v>
      </c>
      <c r="C238" s="143" t="s">
        <v>871</v>
      </c>
      <c r="D238" s="142" t="s">
        <v>872</v>
      </c>
      <c r="E238" s="143" t="s">
        <v>59</v>
      </c>
      <c r="F238" s="143" t="s">
        <v>103</v>
      </c>
      <c r="G238" s="144">
        <v>6200</v>
      </c>
      <c r="H238" s="145">
        <v>2550</v>
      </c>
      <c r="I238" s="145">
        <f t="shared" si="144"/>
        <v>15810000</v>
      </c>
      <c r="J238" s="190"/>
      <c r="K238" s="144">
        <v>3720</v>
      </c>
      <c r="L238" s="146">
        <f t="shared" ref="L238" si="154">H238</f>
        <v>2550</v>
      </c>
      <c r="M238" s="147">
        <f t="shared" ref="M238" si="155">K238*L238</f>
        <v>9486000</v>
      </c>
      <c r="N238" s="138" t="s">
        <v>973</v>
      </c>
      <c r="O238" s="190"/>
      <c r="P238" s="148">
        <v>0</v>
      </c>
      <c r="Q238" s="146">
        <f t="shared" si="142"/>
        <v>2550</v>
      </c>
      <c r="R238" s="147">
        <f t="shared" si="143"/>
        <v>0</v>
      </c>
      <c r="S238" s="138" t="s">
        <v>92</v>
      </c>
      <c r="T238" s="190"/>
      <c r="U238" s="148">
        <f t="shared" si="140"/>
        <v>2480</v>
      </c>
      <c r="V238" s="147">
        <f t="shared" si="141"/>
        <v>6324000</v>
      </c>
      <c r="W238" s="190"/>
      <c r="X238" s="143"/>
    </row>
    <row r="239" spans="2:24" x14ac:dyDescent="0.35">
      <c r="B239" s="140" t="s">
        <v>875</v>
      </c>
      <c r="C239" s="143" t="s">
        <v>309</v>
      </c>
      <c r="D239" s="142" t="s">
        <v>876</v>
      </c>
      <c r="E239" s="143" t="s">
        <v>59</v>
      </c>
      <c r="F239" s="143" t="s">
        <v>103</v>
      </c>
      <c r="G239" s="144">
        <v>6200</v>
      </c>
      <c r="H239" s="145">
        <v>2550</v>
      </c>
      <c r="I239" s="145">
        <f t="shared" si="144"/>
        <v>15810000</v>
      </c>
      <c r="J239" s="190"/>
      <c r="K239" s="144">
        <v>3720</v>
      </c>
      <c r="L239" s="146">
        <f t="shared" ref="L239:L240" si="156">H239</f>
        <v>2550</v>
      </c>
      <c r="M239" s="147">
        <f t="shared" ref="M239:M240" si="157">K239*L239</f>
        <v>9486000</v>
      </c>
      <c r="N239" s="138" t="s">
        <v>972</v>
      </c>
      <c r="O239" s="190"/>
      <c r="P239" s="148">
        <v>0</v>
      </c>
      <c r="Q239" s="146">
        <f t="shared" si="142"/>
        <v>2550</v>
      </c>
      <c r="R239" s="147">
        <f t="shared" si="143"/>
        <v>0</v>
      </c>
      <c r="S239" s="138" t="s">
        <v>92</v>
      </c>
      <c r="T239" s="190"/>
      <c r="U239" s="148">
        <f t="shared" si="140"/>
        <v>2480</v>
      </c>
      <c r="V239" s="147">
        <f t="shared" si="141"/>
        <v>6324000</v>
      </c>
      <c r="W239" s="190"/>
      <c r="X239" s="143"/>
    </row>
    <row r="240" spans="2:24" x14ac:dyDescent="0.35">
      <c r="B240" s="140" t="s">
        <v>878</v>
      </c>
      <c r="C240" s="143" t="s">
        <v>879</v>
      </c>
      <c r="D240" s="143" t="s">
        <v>880</v>
      </c>
      <c r="E240" s="143" t="s">
        <v>59</v>
      </c>
      <c r="F240" s="143" t="s">
        <v>103</v>
      </c>
      <c r="G240" s="144">
        <v>6200</v>
      </c>
      <c r="H240" s="145">
        <v>2550</v>
      </c>
      <c r="I240" s="145">
        <f t="shared" si="144"/>
        <v>15810000</v>
      </c>
      <c r="J240" s="190"/>
      <c r="K240" s="144">
        <v>3720</v>
      </c>
      <c r="L240" s="146">
        <f t="shared" si="156"/>
        <v>2550</v>
      </c>
      <c r="M240" s="147">
        <f t="shared" si="157"/>
        <v>9486000</v>
      </c>
      <c r="N240" s="138" t="s">
        <v>973</v>
      </c>
      <c r="O240" s="190"/>
      <c r="P240" s="148">
        <v>0</v>
      </c>
      <c r="Q240" s="146">
        <f t="shared" si="142"/>
        <v>2550</v>
      </c>
      <c r="R240" s="147">
        <f t="shared" si="143"/>
        <v>0</v>
      </c>
      <c r="S240" s="138" t="s">
        <v>92</v>
      </c>
      <c r="T240" s="190"/>
      <c r="U240" s="148">
        <f t="shared" si="140"/>
        <v>2480</v>
      </c>
      <c r="V240" s="147">
        <f t="shared" si="141"/>
        <v>6324000</v>
      </c>
      <c r="W240" s="190"/>
      <c r="X240" s="143"/>
    </row>
    <row r="241" spans="2:24" x14ac:dyDescent="0.35">
      <c r="B241" s="140" t="s">
        <v>896</v>
      </c>
      <c r="C241" s="143" t="s">
        <v>118</v>
      </c>
      <c r="D241" s="142" t="s">
        <v>893</v>
      </c>
      <c r="E241" s="143" t="s">
        <v>59</v>
      </c>
      <c r="F241" s="143" t="s">
        <v>200</v>
      </c>
      <c r="G241" s="144">
        <v>6300</v>
      </c>
      <c r="H241" s="145">
        <v>2600</v>
      </c>
      <c r="I241" s="145">
        <f t="shared" si="144"/>
        <v>16380000</v>
      </c>
      <c r="J241" s="190"/>
      <c r="K241" s="144">
        <v>3150</v>
      </c>
      <c r="L241" s="146">
        <f t="shared" si="145"/>
        <v>2600</v>
      </c>
      <c r="M241" s="147">
        <f t="shared" si="146"/>
        <v>8190000</v>
      </c>
      <c r="N241" s="138" t="s">
        <v>992</v>
      </c>
      <c r="O241" s="190"/>
      <c r="P241" s="148">
        <v>0</v>
      </c>
      <c r="Q241" s="146">
        <f t="shared" si="142"/>
        <v>2600</v>
      </c>
      <c r="R241" s="147">
        <f t="shared" si="143"/>
        <v>0</v>
      </c>
      <c r="S241" s="138" t="s">
        <v>92</v>
      </c>
      <c r="T241" s="190"/>
      <c r="U241" s="148">
        <f t="shared" si="140"/>
        <v>3150</v>
      </c>
      <c r="V241" s="147">
        <f t="shared" si="141"/>
        <v>8190000</v>
      </c>
      <c r="W241" s="190"/>
      <c r="X241" s="143"/>
    </row>
    <row r="242" spans="2:24" x14ac:dyDescent="0.35">
      <c r="B242" s="140" t="s">
        <v>899</v>
      </c>
      <c r="C242" s="143" t="s">
        <v>338</v>
      </c>
      <c r="D242" s="142" t="s">
        <v>897</v>
      </c>
      <c r="E242" s="143" t="s">
        <v>59</v>
      </c>
      <c r="F242" s="143" t="s">
        <v>200</v>
      </c>
      <c r="G242" s="144">
        <v>6300</v>
      </c>
      <c r="H242" s="145">
        <v>2600</v>
      </c>
      <c r="I242" s="145">
        <f t="shared" si="144"/>
        <v>16380000</v>
      </c>
      <c r="J242" s="190"/>
      <c r="K242" s="144">
        <v>0</v>
      </c>
      <c r="L242" s="146">
        <f t="shared" si="145"/>
        <v>2600</v>
      </c>
      <c r="M242" s="147">
        <f t="shared" si="146"/>
        <v>0</v>
      </c>
      <c r="N242" s="138" t="s">
        <v>92</v>
      </c>
      <c r="O242" s="190"/>
      <c r="P242" s="148">
        <v>0</v>
      </c>
      <c r="Q242" s="146">
        <f t="shared" si="142"/>
        <v>2600</v>
      </c>
      <c r="R242" s="147">
        <f t="shared" si="143"/>
        <v>0</v>
      </c>
      <c r="S242" s="138" t="s">
        <v>92</v>
      </c>
      <c r="T242" s="190"/>
      <c r="U242" s="148">
        <f t="shared" si="140"/>
        <v>6300</v>
      </c>
      <c r="V242" s="147">
        <f t="shared" si="141"/>
        <v>16380000</v>
      </c>
      <c r="W242" s="190"/>
      <c r="X242" s="143"/>
    </row>
    <row r="243" spans="2:24" x14ac:dyDescent="0.35">
      <c r="B243" s="140" t="s">
        <v>900</v>
      </c>
      <c r="C243" s="143" t="s">
        <v>902</v>
      </c>
      <c r="D243" s="142" t="s">
        <v>903</v>
      </c>
      <c r="E243" s="143" t="s">
        <v>59</v>
      </c>
      <c r="F243" s="143" t="s">
        <v>103</v>
      </c>
      <c r="G243" s="144">
        <v>6200</v>
      </c>
      <c r="H243" s="145">
        <v>2550</v>
      </c>
      <c r="I243" s="145">
        <f t="shared" si="144"/>
        <v>15810000</v>
      </c>
      <c r="J243" s="190"/>
      <c r="K243" s="144">
        <v>3720</v>
      </c>
      <c r="L243" s="146">
        <f t="shared" ref="L243" si="158">H243</f>
        <v>2550</v>
      </c>
      <c r="M243" s="147">
        <f t="shared" ref="M243" si="159">K243*L243</f>
        <v>9486000</v>
      </c>
      <c r="N243" s="138" t="s">
        <v>991</v>
      </c>
      <c r="O243" s="190"/>
      <c r="P243" s="148">
        <v>0</v>
      </c>
      <c r="Q243" s="146">
        <f t="shared" si="142"/>
        <v>2550</v>
      </c>
      <c r="R243" s="147">
        <f t="shared" si="143"/>
        <v>0</v>
      </c>
      <c r="S243" s="138" t="s">
        <v>92</v>
      </c>
      <c r="T243" s="190"/>
      <c r="U243" s="148">
        <f t="shared" si="140"/>
        <v>2480</v>
      </c>
      <c r="V243" s="147">
        <f t="shared" si="141"/>
        <v>6324000</v>
      </c>
      <c r="W243" s="190"/>
      <c r="X243" s="143"/>
    </row>
    <row r="244" spans="2:24" x14ac:dyDescent="0.35">
      <c r="B244" s="140" t="s">
        <v>901</v>
      </c>
      <c r="C244" s="143" t="s">
        <v>904</v>
      </c>
      <c r="D244" s="143" t="s">
        <v>905</v>
      </c>
      <c r="E244" s="143" t="s">
        <v>59</v>
      </c>
      <c r="F244" s="143" t="s">
        <v>103</v>
      </c>
      <c r="G244" s="144">
        <v>6200</v>
      </c>
      <c r="H244" s="145">
        <v>2550</v>
      </c>
      <c r="I244" s="145">
        <f t="shared" si="144"/>
        <v>15810000</v>
      </c>
      <c r="J244" s="190"/>
      <c r="K244" s="144">
        <v>3720</v>
      </c>
      <c r="L244" s="146">
        <f t="shared" si="145"/>
        <v>2550</v>
      </c>
      <c r="M244" s="147">
        <f t="shared" si="146"/>
        <v>9486000</v>
      </c>
      <c r="N244" s="138" t="s">
        <v>990</v>
      </c>
      <c r="O244" s="190"/>
      <c r="P244" s="148">
        <v>0</v>
      </c>
      <c r="Q244" s="146">
        <f t="shared" si="142"/>
        <v>2550</v>
      </c>
      <c r="R244" s="147">
        <f t="shared" si="143"/>
        <v>0</v>
      </c>
      <c r="S244" s="138" t="s">
        <v>92</v>
      </c>
      <c r="T244" s="190"/>
      <c r="U244" s="148">
        <f t="shared" si="140"/>
        <v>2480</v>
      </c>
      <c r="V244" s="147">
        <f t="shared" si="141"/>
        <v>6324000</v>
      </c>
      <c r="W244" s="190"/>
      <c r="X244" s="143"/>
    </row>
    <row r="245" spans="2:24" x14ac:dyDescent="0.35">
      <c r="B245" s="140" t="s">
        <v>909</v>
      </c>
      <c r="C245" s="143" t="s">
        <v>382</v>
      </c>
      <c r="D245" s="143" t="s">
        <v>912</v>
      </c>
      <c r="E245" s="143" t="s">
        <v>59</v>
      </c>
      <c r="F245" s="143" t="s">
        <v>103</v>
      </c>
      <c r="G245" s="144">
        <v>6200</v>
      </c>
      <c r="H245" s="145">
        <v>2550</v>
      </c>
      <c r="I245" s="145">
        <f t="shared" si="144"/>
        <v>15810000</v>
      </c>
      <c r="J245" s="190"/>
      <c r="K245" s="144">
        <v>3720</v>
      </c>
      <c r="L245" s="146">
        <f t="shared" si="145"/>
        <v>2550</v>
      </c>
      <c r="M245" s="147">
        <f t="shared" si="146"/>
        <v>9486000</v>
      </c>
      <c r="N245" s="138" t="s">
        <v>991</v>
      </c>
      <c r="O245" s="190"/>
      <c r="P245" s="148">
        <v>0</v>
      </c>
      <c r="Q245" s="146">
        <f t="shared" si="142"/>
        <v>2550</v>
      </c>
      <c r="R245" s="147">
        <f t="shared" si="143"/>
        <v>0</v>
      </c>
      <c r="S245" s="138" t="s">
        <v>92</v>
      </c>
      <c r="T245" s="190"/>
      <c r="U245" s="148">
        <f t="shared" si="140"/>
        <v>2480</v>
      </c>
      <c r="V245" s="147">
        <f t="shared" si="141"/>
        <v>6324000</v>
      </c>
      <c r="W245" s="190"/>
      <c r="X245" s="143"/>
    </row>
    <row r="246" spans="2:24" x14ac:dyDescent="0.35">
      <c r="B246" s="140" t="s">
        <v>910</v>
      </c>
      <c r="C246" s="143" t="s">
        <v>117</v>
      </c>
      <c r="D246" s="142" t="s">
        <v>914</v>
      </c>
      <c r="E246" s="143" t="s">
        <v>59</v>
      </c>
      <c r="F246" s="143" t="s">
        <v>103</v>
      </c>
      <c r="G246" s="144">
        <v>6200</v>
      </c>
      <c r="H246" s="145">
        <v>2550</v>
      </c>
      <c r="I246" s="145">
        <f t="shared" si="144"/>
        <v>15810000</v>
      </c>
      <c r="J246" s="190"/>
      <c r="K246" s="144">
        <v>3720</v>
      </c>
      <c r="L246" s="146">
        <f t="shared" ref="L246" si="160">H246</f>
        <v>2550</v>
      </c>
      <c r="M246" s="147">
        <f t="shared" ref="M246" si="161">K246*L246</f>
        <v>9486000</v>
      </c>
      <c r="N246" s="138" t="s">
        <v>990</v>
      </c>
      <c r="O246" s="190"/>
      <c r="P246" s="148">
        <v>0</v>
      </c>
      <c r="Q246" s="146">
        <f t="shared" si="142"/>
        <v>2550</v>
      </c>
      <c r="R246" s="147">
        <f t="shared" si="143"/>
        <v>0</v>
      </c>
      <c r="S246" s="138" t="s">
        <v>92</v>
      </c>
      <c r="T246" s="190"/>
      <c r="U246" s="148">
        <f t="shared" si="140"/>
        <v>2480</v>
      </c>
      <c r="V246" s="147">
        <f t="shared" si="141"/>
        <v>6324000</v>
      </c>
      <c r="W246" s="190"/>
      <c r="X246" s="143"/>
    </row>
    <row r="247" spans="2:24" x14ac:dyDescent="0.35">
      <c r="B247" s="140" t="s">
        <v>911</v>
      </c>
      <c r="C247" s="143" t="s">
        <v>324</v>
      </c>
      <c r="D247" s="142" t="s">
        <v>916</v>
      </c>
      <c r="E247" s="143" t="s">
        <v>59</v>
      </c>
      <c r="F247" s="143" t="s">
        <v>103</v>
      </c>
      <c r="G247" s="144">
        <v>6200</v>
      </c>
      <c r="H247" s="145">
        <v>2550</v>
      </c>
      <c r="I247" s="145">
        <f t="shared" si="144"/>
        <v>15810000</v>
      </c>
      <c r="J247" s="190"/>
      <c r="K247" s="144">
        <v>3720</v>
      </c>
      <c r="L247" s="146">
        <f t="shared" si="145"/>
        <v>2550</v>
      </c>
      <c r="M247" s="147">
        <f t="shared" si="146"/>
        <v>9486000</v>
      </c>
      <c r="N247" s="138" t="s">
        <v>989</v>
      </c>
      <c r="O247" s="190"/>
      <c r="P247" s="148">
        <v>0</v>
      </c>
      <c r="Q247" s="146">
        <f t="shared" si="142"/>
        <v>2550</v>
      </c>
      <c r="R247" s="147">
        <f t="shared" si="143"/>
        <v>0</v>
      </c>
      <c r="S247" s="138" t="s">
        <v>92</v>
      </c>
      <c r="T247" s="190"/>
      <c r="U247" s="148">
        <f t="shared" si="140"/>
        <v>2480</v>
      </c>
      <c r="V247" s="147">
        <f t="shared" si="141"/>
        <v>6324000</v>
      </c>
      <c r="W247" s="190"/>
      <c r="X247" s="143"/>
    </row>
    <row r="248" spans="2:24" x14ac:dyDescent="0.35">
      <c r="B248" s="140" t="s">
        <v>919</v>
      </c>
      <c r="C248" s="143" t="s">
        <v>186</v>
      </c>
      <c r="D248" s="142" t="s">
        <v>920</v>
      </c>
      <c r="E248" s="143" t="s">
        <v>384</v>
      </c>
      <c r="F248" s="143" t="s">
        <v>200</v>
      </c>
      <c r="G248" s="144">
        <v>6400</v>
      </c>
      <c r="H248" s="145">
        <v>2600</v>
      </c>
      <c r="I248" s="145">
        <f t="shared" si="144"/>
        <v>16640000</v>
      </c>
      <c r="J248" s="190"/>
      <c r="K248" s="144">
        <v>3200</v>
      </c>
      <c r="L248" s="146">
        <f t="shared" si="145"/>
        <v>2600</v>
      </c>
      <c r="M248" s="147">
        <f t="shared" si="146"/>
        <v>8320000</v>
      </c>
      <c r="N248" s="138" t="s">
        <v>993</v>
      </c>
      <c r="O248" s="190"/>
      <c r="P248" s="148">
        <v>0</v>
      </c>
      <c r="Q248" s="146">
        <f t="shared" si="142"/>
        <v>2600</v>
      </c>
      <c r="R248" s="147">
        <f t="shared" si="143"/>
        <v>0</v>
      </c>
      <c r="S248" s="138" t="s">
        <v>92</v>
      </c>
      <c r="T248" s="190"/>
      <c r="U248" s="148">
        <f t="shared" si="140"/>
        <v>3200</v>
      </c>
      <c r="V248" s="147">
        <f t="shared" si="141"/>
        <v>8320000</v>
      </c>
      <c r="W248" s="190"/>
      <c r="X248" s="143"/>
    </row>
    <row r="249" spans="2:24" x14ac:dyDescent="0.35">
      <c r="B249" s="140" t="s">
        <v>922</v>
      </c>
      <c r="C249" s="143" t="s">
        <v>232</v>
      </c>
      <c r="D249" s="142" t="s">
        <v>923</v>
      </c>
      <c r="E249" s="143" t="s">
        <v>384</v>
      </c>
      <c r="F249" s="143" t="s">
        <v>200</v>
      </c>
      <c r="G249" s="144">
        <v>6400</v>
      </c>
      <c r="H249" s="145">
        <v>2600</v>
      </c>
      <c r="I249" s="145">
        <f t="shared" si="144"/>
        <v>16640000</v>
      </c>
      <c r="J249" s="190"/>
      <c r="K249" s="144">
        <v>3200</v>
      </c>
      <c r="L249" s="146">
        <f t="shared" si="145"/>
        <v>2600</v>
      </c>
      <c r="M249" s="147">
        <f t="shared" si="146"/>
        <v>8320000</v>
      </c>
      <c r="N249" s="138" t="s">
        <v>995</v>
      </c>
      <c r="O249" s="190"/>
      <c r="P249" s="148">
        <v>0</v>
      </c>
      <c r="Q249" s="146">
        <f t="shared" si="142"/>
        <v>2600</v>
      </c>
      <c r="R249" s="147">
        <f t="shared" si="143"/>
        <v>0</v>
      </c>
      <c r="S249" s="138" t="s">
        <v>92</v>
      </c>
      <c r="T249" s="190"/>
      <c r="U249" s="148">
        <f t="shared" si="140"/>
        <v>3200</v>
      </c>
      <c r="V249" s="147">
        <f t="shared" si="141"/>
        <v>8320000</v>
      </c>
      <c r="W249" s="190"/>
      <c r="X249" s="143"/>
    </row>
    <row r="250" spans="2:24" x14ac:dyDescent="0.35">
      <c r="B250" s="140" t="s">
        <v>925</v>
      </c>
      <c r="C250" s="143" t="s">
        <v>253</v>
      </c>
      <c r="D250" s="142" t="s">
        <v>926</v>
      </c>
      <c r="E250" s="143" t="s">
        <v>384</v>
      </c>
      <c r="F250" s="143" t="s">
        <v>200</v>
      </c>
      <c r="G250" s="144">
        <v>6400</v>
      </c>
      <c r="H250" s="145">
        <v>2600</v>
      </c>
      <c r="I250" s="145">
        <f t="shared" si="144"/>
        <v>16640000</v>
      </c>
      <c r="J250" s="190"/>
      <c r="K250" s="144">
        <v>3200</v>
      </c>
      <c r="L250" s="146">
        <f t="shared" ref="L250" si="162">H250</f>
        <v>2600</v>
      </c>
      <c r="M250" s="147">
        <f t="shared" ref="M250" si="163">K250*L250</f>
        <v>8320000</v>
      </c>
      <c r="N250" s="138" t="s">
        <v>995</v>
      </c>
      <c r="O250" s="190"/>
      <c r="P250" s="148">
        <v>0</v>
      </c>
      <c r="Q250" s="146">
        <f t="shared" si="142"/>
        <v>2600</v>
      </c>
      <c r="R250" s="147">
        <f t="shared" si="143"/>
        <v>0</v>
      </c>
      <c r="S250" s="138" t="s">
        <v>92</v>
      </c>
      <c r="T250" s="190"/>
      <c r="U250" s="148">
        <f t="shared" si="140"/>
        <v>3200</v>
      </c>
      <c r="V250" s="147">
        <f t="shared" si="141"/>
        <v>8320000</v>
      </c>
      <c r="W250" s="190"/>
      <c r="X250" s="143"/>
    </row>
    <row r="251" spans="2:24" x14ac:dyDescent="0.35">
      <c r="B251" s="140" t="s">
        <v>928</v>
      </c>
      <c r="C251" s="143" t="s">
        <v>198</v>
      </c>
      <c r="D251" s="142" t="s">
        <v>931</v>
      </c>
      <c r="E251" s="143" t="s">
        <v>384</v>
      </c>
      <c r="F251" s="143" t="s">
        <v>200</v>
      </c>
      <c r="G251" s="144">
        <v>6400</v>
      </c>
      <c r="H251" s="145">
        <v>2600</v>
      </c>
      <c r="I251" s="145">
        <f t="shared" si="144"/>
        <v>16640000</v>
      </c>
      <c r="J251" s="190"/>
      <c r="K251" s="144">
        <v>3200</v>
      </c>
      <c r="L251" s="146">
        <f t="shared" si="145"/>
        <v>2600</v>
      </c>
      <c r="M251" s="147">
        <f t="shared" si="146"/>
        <v>8320000</v>
      </c>
      <c r="N251" s="138" t="s">
        <v>996</v>
      </c>
      <c r="O251" s="190"/>
      <c r="P251" s="148">
        <v>0</v>
      </c>
      <c r="Q251" s="146">
        <f t="shared" si="142"/>
        <v>2600</v>
      </c>
      <c r="R251" s="147">
        <f t="shared" si="143"/>
        <v>0</v>
      </c>
      <c r="S251" s="138" t="s">
        <v>92</v>
      </c>
      <c r="T251" s="190"/>
      <c r="U251" s="148">
        <f t="shared" si="140"/>
        <v>3200</v>
      </c>
      <c r="V251" s="147">
        <f t="shared" si="141"/>
        <v>8320000</v>
      </c>
      <c r="W251" s="190"/>
      <c r="X251" s="143"/>
    </row>
    <row r="252" spans="2:24" x14ac:dyDescent="0.35">
      <c r="B252" s="140" t="s">
        <v>929</v>
      </c>
      <c r="C252" s="143" t="s">
        <v>238</v>
      </c>
      <c r="D252" s="142" t="s">
        <v>933</v>
      </c>
      <c r="E252" s="143" t="s">
        <v>384</v>
      </c>
      <c r="F252" s="143" t="s">
        <v>200</v>
      </c>
      <c r="G252" s="144">
        <v>6400</v>
      </c>
      <c r="H252" s="145">
        <v>2600</v>
      </c>
      <c r="I252" s="145">
        <f t="shared" si="144"/>
        <v>16640000</v>
      </c>
      <c r="J252" s="190"/>
      <c r="K252" s="144">
        <v>3200</v>
      </c>
      <c r="L252" s="146">
        <f t="shared" si="145"/>
        <v>2600</v>
      </c>
      <c r="M252" s="147">
        <f t="shared" si="146"/>
        <v>8320000</v>
      </c>
      <c r="N252" s="138" t="s">
        <v>996</v>
      </c>
      <c r="O252" s="190"/>
      <c r="P252" s="148">
        <v>0</v>
      </c>
      <c r="Q252" s="146">
        <f t="shared" si="142"/>
        <v>2600</v>
      </c>
      <c r="R252" s="147">
        <f t="shared" si="143"/>
        <v>0</v>
      </c>
      <c r="S252" s="138" t="s">
        <v>92</v>
      </c>
      <c r="T252" s="190"/>
      <c r="U252" s="148">
        <f t="shared" si="140"/>
        <v>3200</v>
      </c>
      <c r="V252" s="147">
        <f t="shared" si="141"/>
        <v>8320000</v>
      </c>
      <c r="W252" s="190"/>
      <c r="X252" s="143"/>
    </row>
    <row r="253" spans="2:24" x14ac:dyDescent="0.35">
      <c r="B253" s="140" t="s">
        <v>930</v>
      </c>
      <c r="C253" s="143" t="s">
        <v>192</v>
      </c>
      <c r="D253" s="143" t="s">
        <v>935</v>
      </c>
      <c r="E253" s="143" t="s">
        <v>384</v>
      </c>
      <c r="F253" s="143" t="s">
        <v>200</v>
      </c>
      <c r="G253" s="144">
        <v>6400</v>
      </c>
      <c r="H253" s="145">
        <v>2600</v>
      </c>
      <c r="I253" s="145">
        <f t="shared" si="144"/>
        <v>16640000</v>
      </c>
      <c r="J253" s="190"/>
      <c r="K253" s="144">
        <v>3200</v>
      </c>
      <c r="L253" s="146">
        <f t="shared" si="145"/>
        <v>2600</v>
      </c>
      <c r="M253" s="147">
        <f t="shared" si="146"/>
        <v>8320000</v>
      </c>
      <c r="N253" s="138" t="s">
        <v>992</v>
      </c>
      <c r="O253" s="190"/>
      <c r="P253" s="148">
        <v>0</v>
      </c>
      <c r="Q253" s="146">
        <f t="shared" si="142"/>
        <v>2600</v>
      </c>
      <c r="R253" s="147">
        <f t="shared" si="143"/>
        <v>0</v>
      </c>
      <c r="S253" s="138" t="s">
        <v>92</v>
      </c>
      <c r="T253" s="190"/>
      <c r="U253" s="148">
        <f t="shared" si="140"/>
        <v>3200</v>
      </c>
      <c r="V253" s="147">
        <f t="shared" si="141"/>
        <v>8320000</v>
      </c>
      <c r="W253" s="190"/>
      <c r="X253" s="143"/>
    </row>
    <row r="254" spans="2:24" x14ac:dyDescent="0.35">
      <c r="B254" s="140" t="s">
        <v>937</v>
      </c>
      <c r="C254" s="143" t="s">
        <v>279</v>
      </c>
      <c r="D254" s="143" t="s">
        <v>938</v>
      </c>
      <c r="E254" s="143" t="s">
        <v>384</v>
      </c>
      <c r="F254" s="143" t="s">
        <v>200</v>
      </c>
      <c r="G254" s="144">
        <v>6400</v>
      </c>
      <c r="H254" s="145">
        <v>2600</v>
      </c>
      <c r="I254" s="145">
        <f t="shared" si="144"/>
        <v>16640000</v>
      </c>
      <c r="J254" s="190"/>
      <c r="K254" s="144">
        <v>3200</v>
      </c>
      <c r="L254" s="146">
        <f t="shared" ref="L254" si="164">H254</f>
        <v>2600</v>
      </c>
      <c r="M254" s="147">
        <f t="shared" ref="M254" si="165">K254*L254</f>
        <v>8320000</v>
      </c>
      <c r="N254" s="138" t="s">
        <v>994</v>
      </c>
      <c r="O254" s="190"/>
      <c r="P254" s="148">
        <v>0</v>
      </c>
      <c r="Q254" s="146">
        <f t="shared" si="142"/>
        <v>2600</v>
      </c>
      <c r="R254" s="147">
        <f t="shared" si="143"/>
        <v>0</v>
      </c>
      <c r="S254" s="138" t="s">
        <v>92</v>
      </c>
      <c r="T254" s="190"/>
      <c r="U254" s="148">
        <f t="shared" si="140"/>
        <v>3200</v>
      </c>
      <c r="V254" s="147">
        <f t="shared" si="141"/>
        <v>8320000</v>
      </c>
      <c r="W254" s="190"/>
      <c r="X254" s="143"/>
    </row>
    <row r="255" spans="2:24" x14ac:dyDescent="0.35">
      <c r="B255" s="140" t="s">
        <v>940</v>
      </c>
      <c r="C255" s="143" t="s">
        <v>248</v>
      </c>
      <c r="D255" s="143" t="s">
        <v>942</v>
      </c>
      <c r="E255" s="143" t="s">
        <v>384</v>
      </c>
      <c r="F255" s="143" t="s">
        <v>200</v>
      </c>
      <c r="G255" s="144">
        <v>6400</v>
      </c>
      <c r="H255" s="145">
        <v>2600</v>
      </c>
      <c r="I255" s="145">
        <f t="shared" si="144"/>
        <v>16640000</v>
      </c>
      <c r="J255" s="190"/>
      <c r="K255" s="144">
        <v>0</v>
      </c>
      <c r="L255" s="146">
        <f t="shared" si="145"/>
        <v>2600</v>
      </c>
      <c r="M255" s="147">
        <f t="shared" si="146"/>
        <v>0</v>
      </c>
      <c r="N255" s="138" t="s">
        <v>92</v>
      </c>
      <c r="O255" s="190"/>
      <c r="P255" s="148">
        <v>0</v>
      </c>
      <c r="Q255" s="146">
        <f t="shared" si="142"/>
        <v>2600</v>
      </c>
      <c r="R255" s="147">
        <f t="shared" si="143"/>
        <v>0</v>
      </c>
      <c r="S255" s="138" t="s">
        <v>92</v>
      </c>
      <c r="T255" s="190"/>
      <c r="U255" s="154">
        <f t="shared" si="140"/>
        <v>6400</v>
      </c>
      <c r="V255" s="155">
        <f t="shared" si="141"/>
        <v>16640000</v>
      </c>
      <c r="W255" s="190"/>
      <c r="X255" s="143"/>
    </row>
    <row r="256" spans="2:24" x14ac:dyDescent="0.35">
      <c r="B256" s="140" t="s">
        <v>941</v>
      </c>
      <c r="C256" s="143" t="s">
        <v>201</v>
      </c>
      <c r="D256" s="143" t="s">
        <v>943</v>
      </c>
      <c r="E256" s="143" t="s">
        <v>384</v>
      </c>
      <c r="F256" s="143" t="s">
        <v>200</v>
      </c>
      <c r="G256" s="144">
        <v>6400</v>
      </c>
      <c r="H256" s="145">
        <v>2600</v>
      </c>
      <c r="I256" s="145">
        <f t="shared" si="144"/>
        <v>16640000</v>
      </c>
      <c r="J256" s="190"/>
      <c r="K256" s="144">
        <v>0</v>
      </c>
      <c r="L256" s="146">
        <f t="shared" si="145"/>
        <v>2600</v>
      </c>
      <c r="M256" s="147">
        <f t="shared" si="146"/>
        <v>0</v>
      </c>
      <c r="N256" s="138" t="s">
        <v>92</v>
      </c>
      <c r="O256" s="190"/>
      <c r="P256" s="148">
        <v>0</v>
      </c>
      <c r="Q256" s="146">
        <f t="shared" si="142"/>
        <v>2600</v>
      </c>
      <c r="R256" s="147">
        <f t="shared" si="143"/>
        <v>0</v>
      </c>
      <c r="S256" s="138" t="s">
        <v>92</v>
      </c>
      <c r="T256" s="190"/>
      <c r="U256" s="148">
        <f t="shared" si="140"/>
        <v>6400</v>
      </c>
      <c r="V256" s="147">
        <f t="shared" si="141"/>
        <v>16640000</v>
      </c>
      <c r="W256" s="190"/>
      <c r="X256" s="143"/>
    </row>
    <row r="257" spans="2:24" x14ac:dyDescent="0.35">
      <c r="B257" s="140" t="s">
        <v>946</v>
      </c>
      <c r="C257" s="143" t="s">
        <v>203</v>
      </c>
      <c r="D257" s="143" t="s">
        <v>947</v>
      </c>
      <c r="E257" s="143" t="s">
        <v>384</v>
      </c>
      <c r="F257" s="143" t="s">
        <v>200</v>
      </c>
      <c r="G257" s="144">
        <v>6400</v>
      </c>
      <c r="H257" s="145">
        <v>2600</v>
      </c>
      <c r="I257" s="145">
        <f t="shared" si="144"/>
        <v>16640000</v>
      </c>
      <c r="J257" s="190"/>
      <c r="K257" s="144">
        <v>0</v>
      </c>
      <c r="L257" s="146">
        <f t="shared" si="145"/>
        <v>2600</v>
      </c>
      <c r="M257" s="147">
        <f t="shared" si="146"/>
        <v>0</v>
      </c>
      <c r="N257" s="138" t="s">
        <v>92</v>
      </c>
      <c r="O257" s="190"/>
      <c r="P257" s="148">
        <v>0</v>
      </c>
      <c r="Q257" s="146">
        <f t="shared" si="142"/>
        <v>2600</v>
      </c>
      <c r="R257" s="147">
        <f t="shared" si="143"/>
        <v>0</v>
      </c>
      <c r="S257" s="138" t="s">
        <v>92</v>
      </c>
      <c r="T257" s="190"/>
      <c r="U257" s="148">
        <f t="shared" si="140"/>
        <v>6400</v>
      </c>
      <c r="V257" s="147">
        <f t="shared" si="141"/>
        <v>16640000</v>
      </c>
      <c r="W257" s="190"/>
      <c r="X257" s="143"/>
    </row>
    <row r="258" spans="2:24" x14ac:dyDescent="0.35">
      <c r="B258" s="140" t="s">
        <v>954</v>
      </c>
      <c r="C258" s="143" t="s">
        <v>188</v>
      </c>
      <c r="D258" s="143" t="s">
        <v>955</v>
      </c>
      <c r="E258" s="143" t="s">
        <v>598</v>
      </c>
      <c r="F258" s="143" t="s">
        <v>599</v>
      </c>
      <c r="G258" s="144">
        <v>5250</v>
      </c>
      <c r="H258" s="145">
        <v>2500</v>
      </c>
      <c r="I258" s="145">
        <f t="shared" si="144"/>
        <v>13125000</v>
      </c>
      <c r="J258" s="190"/>
      <c r="K258" s="144">
        <v>5250</v>
      </c>
      <c r="L258" s="146">
        <f t="shared" si="145"/>
        <v>2500</v>
      </c>
      <c r="M258" s="147">
        <f t="shared" si="146"/>
        <v>13125000</v>
      </c>
      <c r="N258" s="138" t="s">
        <v>969</v>
      </c>
      <c r="O258" s="190"/>
      <c r="P258" s="148">
        <v>0</v>
      </c>
      <c r="Q258" s="146">
        <f t="shared" si="142"/>
        <v>2500</v>
      </c>
      <c r="R258" s="147">
        <f t="shared" si="143"/>
        <v>0</v>
      </c>
      <c r="S258" s="138" t="s">
        <v>92</v>
      </c>
      <c r="T258" s="190"/>
      <c r="U258" s="148">
        <f t="shared" si="140"/>
        <v>0</v>
      </c>
      <c r="V258" s="147">
        <f t="shared" si="141"/>
        <v>0</v>
      </c>
      <c r="W258" s="190"/>
      <c r="X258" s="143"/>
    </row>
    <row r="259" spans="2:24" x14ac:dyDescent="0.35">
      <c r="B259" s="140" t="s">
        <v>960</v>
      </c>
      <c r="C259" s="143" t="s">
        <v>389</v>
      </c>
      <c r="D259" s="142" t="s">
        <v>961</v>
      </c>
      <c r="E259" s="143" t="s">
        <v>598</v>
      </c>
      <c r="F259" s="143" t="s">
        <v>599</v>
      </c>
      <c r="G259" s="144">
        <v>5250</v>
      </c>
      <c r="H259" s="145">
        <v>2500</v>
      </c>
      <c r="I259" s="145">
        <f t="shared" si="144"/>
        <v>13125000</v>
      </c>
      <c r="J259" s="190"/>
      <c r="K259" s="144">
        <v>5250</v>
      </c>
      <c r="L259" s="146">
        <f t="shared" si="145"/>
        <v>2500</v>
      </c>
      <c r="M259" s="147">
        <f t="shared" si="146"/>
        <v>13125000</v>
      </c>
      <c r="N259" s="138" t="s">
        <v>969</v>
      </c>
      <c r="O259" s="190"/>
      <c r="P259" s="148">
        <v>0</v>
      </c>
      <c r="Q259" s="146">
        <f t="shared" si="142"/>
        <v>2500</v>
      </c>
      <c r="R259" s="147">
        <f t="shared" si="143"/>
        <v>0</v>
      </c>
      <c r="S259" s="138" t="s">
        <v>92</v>
      </c>
      <c r="T259" s="190"/>
      <c r="U259" s="148">
        <f t="shared" si="140"/>
        <v>0</v>
      </c>
      <c r="V259" s="147">
        <f t="shared" si="141"/>
        <v>0</v>
      </c>
      <c r="W259" s="190"/>
      <c r="X259" s="143"/>
    </row>
    <row r="260" spans="2:24" x14ac:dyDescent="0.35">
      <c r="B260" s="140" t="s">
        <v>965</v>
      </c>
      <c r="C260" s="143" t="s">
        <v>101</v>
      </c>
      <c r="D260" s="142" t="s">
        <v>967</v>
      </c>
      <c r="E260" s="143" t="s">
        <v>598</v>
      </c>
      <c r="F260" s="143" t="s">
        <v>599</v>
      </c>
      <c r="G260" s="144">
        <v>5250</v>
      </c>
      <c r="H260" s="145">
        <v>2500</v>
      </c>
      <c r="I260" s="145">
        <f t="shared" si="144"/>
        <v>13125000</v>
      </c>
      <c r="J260" s="190"/>
      <c r="K260" s="144">
        <v>5250</v>
      </c>
      <c r="L260" s="146">
        <f t="shared" si="145"/>
        <v>2500</v>
      </c>
      <c r="M260" s="147">
        <f t="shared" si="146"/>
        <v>13125000</v>
      </c>
      <c r="N260" s="138" t="s">
        <v>969</v>
      </c>
      <c r="O260" s="190"/>
      <c r="P260" s="148">
        <v>0</v>
      </c>
      <c r="Q260" s="146">
        <f t="shared" si="142"/>
        <v>2500</v>
      </c>
      <c r="R260" s="147">
        <f t="shared" si="143"/>
        <v>0</v>
      </c>
      <c r="S260" s="138" t="s">
        <v>92</v>
      </c>
      <c r="T260" s="190"/>
      <c r="U260" s="148">
        <f t="shared" ref="U260:U323" si="166">G260-K260-P260</f>
        <v>0</v>
      </c>
      <c r="V260" s="147">
        <f t="shared" ref="V260:V323" si="167">I260-M260-R260</f>
        <v>0</v>
      </c>
      <c r="W260" s="190"/>
      <c r="X260" s="143"/>
    </row>
    <row r="261" spans="2:24" x14ac:dyDescent="0.35">
      <c r="B261" s="140" t="s">
        <v>966</v>
      </c>
      <c r="C261" s="143" t="s">
        <v>521</v>
      </c>
      <c r="D261" s="142" t="s">
        <v>968</v>
      </c>
      <c r="E261" s="143" t="s">
        <v>598</v>
      </c>
      <c r="F261" s="143" t="s">
        <v>599</v>
      </c>
      <c r="G261" s="144">
        <v>5250</v>
      </c>
      <c r="H261" s="145">
        <v>2500</v>
      </c>
      <c r="I261" s="145">
        <f t="shared" si="144"/>
        <v>13125000</v>
      </c>
      <c r="J261" s="190"/>
      <c r="K261" s="144">
        <v>5250</v>
      </c>
      <c r="L261" s="146">
        <f t="shared" si="145"/>
        <v>2500</v>
      </c>
      <c r="M261" s="147">
        <f t="shared" si="146"/>
        <v>13125000</v>
      </c>
      <c r="N261" s="138" t="s">
        <v>969</v>
      </c>
      <c r="O261" s="190"/>
      <c r="P261" s="148">
        <v>0</v>
      </c>
      <c r="Q261" s="146">
        <f t="shared" si="142"/>
        <v>2500</v>
      </c>
      <c r="R261" s="147">
        <f t="shared" si="143"/>
        <v>0</v>
      </c>
      <c r="S261" s="138" t="s">
        <v>92</v>
      </c>
      <c r="T261" s="190"/>
      <c r="U261" s="148">
        <f t="shared" si="166"/>
        <v>0</v>
      </c>
      <c r="V261" s="147">
        <f t="shared" si="167"/>
        <v>0</v>
      </c>
      <c r="W261" s="190"/>
      <c r="X261" s="143"/>
    </row>
    <row r="262" spans="2:24" x14ac:dyDescent="0.35">
      <c r="B262" s="172" t="s">
        <v>975</v>
      </c>
      <c r="C262" s="143" t="s">
        <v>521</v>
      </c>
      <c r="D262" s="142" t="s">
        <v>760</v>
      </c>
      <c r="E262" s="175" t="s">
        <v>119</v>
      </c>
      <c r="F262" s="175" t="s">
        <v>120</v>
      </c>
      <c r="G262" s="144">
        <v>1906.3940000000002</v>
      </c>
      <c r="H262" s="145">
        <v>2569</v>
      </c>
      <c r="I262" s="145">
        <f t="shared" si="144"/>
        <v>4897526.1860000007</v>
      </c>
      <c r="J262" s="190"/>
      <c r="K262" s="144">
        <v>0</v>
      </c>
      <c r="L262" s="146">
        <f t="shared" si="145"/>
        <v>2569</v>
      </c>
      <c r="M262" s="147">
        <f t="shared" si="146"/>
        <v>0</v>
      </c>
      <c r="N262" s="138" t="s">
        <v>92</v>
      </c>
      <c r="O262" s="190"/>
      <c r="P262" s="148">
        <v>0</v>
      </c>
      <c r="Q262" s="146">
        <f t="shared" ref="Q262:Q325" si="168">H262</f>
        <v>2569</v>
      </c>
      <c r="R262" s="147">
        <f t="shared" ref="R262:R325" si="169">P262*Q262</f>
        <v>0</v>
      </c>
      <c r="S262" s="138" t="s">
        <v>92</v>
      </c>
      <c r="T262" s="190"/>
      <c r="U262" s="148">
        <f t="shared" si="166"/>
        <v>1906.3940000000002</v>
      </c>
      <c r="V262" s="147">
        <f t="shared" si="167"/>
        <v>4897526.1860000007</v>
      </c>
      <c r="W262" s="190"/>
      <c r="X262" s="143"/>
    </row>
    <row r="263" spans="2:24" x14ac:dyDescent="0.35">
      <c r="B263" s="173"/>
      <c r="C263" s="143" t="s">
        <v>389</v>
      </c>
      <c r="D263" s="142" t="s">
        <v>758</v>
      </c>
      <c r="E263" s="176"/>
      <c r="F263" s="176"/>
      <c r="G263" s="144">
        <v>1901.0040000000001</v>
      </c>
      <c r="H263" s="145">
        <v>2569</v>
      </c>
      <c r="I263" s="145">
        <f t="shared" ref="I263:I326" si="170">G263*H263</f>
        <v>4883679.2760000005</v>
      </c>
      <c r="J263" s="190"/>
      <c r="K263" s="144">
        <v>0</v>
      </c>
      <c r="L263" s="146">
        <f t="shared" ref="L263:L326" si="171">H263</f>
        <v>2569</v>
      </c>
      <c r="M263" s="147">
        <f t="shared" ref="M263:M326" si="172">K263*L263</f>
        <v>0</v>
      </c>
      <c r="N263" s="138" t="s">
        <v>92</v>
      </c>
      <c r="O263" s="190"/>
      <c r="P263" s="148">
        <v>0</v>
      </c>
      <c r="Q263" s="146">
        <f t="shared" si="168"/>
        <v>2569</v>
      </c>
      <c r="R263" s="147">
        <f t="shared" si="169"/>
        <v>0</v>
      </c>
      <c r="S263" s="138" t="s">
        <v>92</v>
      </c>
      <c r="T263" s="190"/>
      <c r="U263" s="148">
        <f t="shared" si="166"/>
        <v>1901.0040000000001</v>
      </c>
      <c r="V263" s="147">
        <f t="shared" si="167"/>
        <v>4883679.2760000005</v>
      </c>
      <c r="W263" s="190"/>
      <c r="X263" s="143"/>
    </row>
    <row r="264" spans="2:24" x14ac:dyDescent="0.35">
      <c r="B264" s="173"/>
      <c r="C264" s="143" t="s">
        <v>101</v>
      </c>
      <c r="D264" s="142" t="s">
        <v>771</v>
      </c>
      <c r="E264" s="176"/>
      <c r="F264" s="176"/>
      <c r="G264" s="144">
        <v>1887.5640000000003</v>
      </c>
      <c r="H264" s="145">
        <v>2569</v>
      </c>
      <c r="I264" s="145">
        <f t="shared" si="170"/>
        <v>4849151.9160000011</v>
      </c>
      <c r="J264" s="190"/>
      <c r="K264" s="144">
        <v>0</v>
      </c>
      <c r="L264" s="146">
        <f t="shared" si="171"/>
        <v>2569</v>
      </c>
      <c r="M264" s="147">
        <f t="shared" si="172"/>
        <v>0</v>
      </c>
      <c r="N264" s="138" t="s">
        <v>92</v>
      </c>
      <c r="O264" s="190"/>
      <c r="P264" s="148">
        <v>0</v>
      </c>
      <c r="Q264" s="146">
        <f t="shared" si="168"/>
        <v>2569</v>
      </c>
      <c r="R264" s="147">
        <f t="shared" si="169"/>
        <v>0</v>
      </c>
      <c r="S264" s="138" t="s">
        <v>92</v>
      </c>
      <c r="T264" s="190"/>
      <c r="U264" s="148">
        <f t="shared" si="166"/>
        <v>1887.5640000000003</v>
      </c>
      <c r="V264" s="147">
        <f t="shared" si="167"/>
        <v>4849151.9160000011</v>
      </c>
      <c r="W264" s="190"/>
      <c r="X264" s="143"/>
    </row>
    <row r="265" spans="2:24" x14ac:dyDescent="0.35">
      <c r="B265" s="173"/>
      <c r="C265" s="143" t="s">
        <v>188</v>
      </c>
      <c r="D265" s="142" t="s">
        <v>671</v>
      </c>
      <c r="E265" s="176"/>
      <c r="F265" s="176"/>
      <c r="G265" s="144">
        <v>1968.8200000000002</v>
      </c>
      <c r="H265" s="145">
        <v>2569</v>
      </c>
      <c r="I265" s="145">
        <f t="shared" si="170"/>
        <v>5057898.58</v>
      </c>
      <c r="J265" s="190"/>
      <c r="K265" s="144">
        <v>0</v>
      </c>
      <c r="L265" s="146">
        <f t="shared" si="171"/>
        <v>2569</v>
      </c>
      <c r="M265" s="147">
        <f t="shared" si="172"/>
        <v>0</v>
      </c>
      <c r="N265" s="138" t="s">
        <v>92</v>
      </c>
      <c r="O265" s="190"/>
      <c r="P265" s="148">
        <v>0</v>
      </c>
      <c r="Q265" s="146">
        <f t="shared" si="168"/>
        <v>2569</v>
      </c>
      <c r="R265" s="147">
        <f t="shared" si="169"/>
        <v>0</v>
      </c>
      <c r="S265" s="138" t="s">
        <v>92</v>
      </c>
      <c r="T265" s="190"/>
      <c r="U265" s="148">
        <f t="shared" si="166"/>
        <v>1968.8200000000002</v>
      </c>
      <c r="V265" s="147">
        <f t="shared" si="167"/>
        <v>5057898.58</v>
      </c>
      <c r="W265" s="190"/>
      <c r="X265" s="143"/>
    </row>
    <row r="266" spans="2:24" x14ac:dyDescent="0.35">
      <c r="B266" s="173"/>
      <c r="C266" s="143" t="s">
        <v>515</v>
      </c>
      <c r="D266" s="143" t="s">
        <v>759</v>
      </c>
      <c r="E266" s="176"/>
      <c r="F266" s="176"/>
      <c r="G266" s="144">
        <v>1884.0640000000003</v>
      </c>
      <c r="H266" s="145">
        <v>2569</v>
      </c>
      <c r="I266" s="145">
        <f t="shared" si="170"/>
        <v>4840160.4160000011</v>
      </c>
      <c r="J266" s="190"/>
      <c r="K266" s="144">
        <v>0</v>
      </c>
      <c r="L266" s="146">
        <f t="shared" si="171"/>
        <v>2569</v>
      </c>
      <c r="M266" s="147">
        <f t="shared" si="172"/>
        <v>0</v>
      </c>
      <c r="N266" s="138" t="s">
        <v>92</v>
      </c>
      <c r="O266" s="190"/>
      <c r="P266" s="148">
        <v>0</v>
      </c>
      <c r="Q266" s="146">
        <f t="shared" si="168"/>
        <v>2569</v>
      </c>
      <c r="R266" s="147">
        <f t="shared" si="169"/>
        <v>0</v>
      </c>
      <c r="S266" s="138" t="s">
        <v>92</v>
      </c>
      <c r="T266" s="190"/>
      <c r="U266" s="148">
        <f t="shared" si="166"/>
        <v>1884.0640000000003</v>
      </c>
      <c r="V266" s="147">
        <f t="shared" si="167"/>
        <v>4840160.4160000011</v>
      </c>
      <c r="W266" s="190"/>
      <c r="X266" s="143"/>
    </row>
    <row r="267" spans="2:24" x14ac:dyDescent="0.35">
      <c r="B267" s="173"/>
      <c r="C267" s="143" t="s">
        <v>493</v>
      </c>
      <c r="D267" s="143" t="s">
        <v>767</v>
      </c>
      <c r="E267" s="176"/>
      <c r="F267" s="176"/>
      <c r="G267" s="144">
        <v>1897.3640000000003</v>
      </c>
      <c r="H267" s="145">
        <v>2569</v>
      </c>
      <c r="I267" s="145">
        <f t="shared" si="170"/>
        <v>4874328.1160000004</v>
      </c>
      <c r="J267" s="190"/>
      <c r="K267" s="144">
        <v>0</v>
      </c>
      <c r="L267" s="146">
        <f t="shared" si="171"/>
        <v>2569</v>
      </c>
      <c r="M267" s="147">
        <f t="shared" si="172"/>
        <v>0</v>
      </c>
      <c r="N267" s="138" t="s">
        <v>92</v>
      </c>
      <c r="O267" s="190"/>
      <c r="P267" s="148">
        <v>0</v>
      </c>
      <c r="Q267" s="146">
        <f t="shared" si="168"/>
        <v>2569</v>
      </c>
      <c r="R267" s="147">
        <f t="shared" si="169"/>
        <v>0</v>
      </c>
      <c r="S267" s="138" t="s">
        <v>92</v>
      </c>
      <c r="T267" s="190"/>
      <c r="U267" s="148">
        <f t="shared" si="166"/>
        <v>1897.3640000000003</v>
      </c>
      <c r="V267" s="147">
        <f t="shared" si="167"/>
        <v>4874328.1160000004</v>
      </c>
      <c r="W267" s="190"/>
      <c r="X267" s="143"/>
    </row>
    <row r="268" spans="2:24" x14ac:dyDescent="0.35">
      <c r="B268" s="173"/>
      <c r="C268" s="143" t="s">
        <v>185</v>
      </c>
      <c r="D268" s="143" t="s">
        <v>686</v>
      </c>
      <c r="E268" s="176"/>
      <c r="F268" s="176"/>
      <c r="G268" s="144">
        <v>1916.6840000000002</v>
      </c>
      <c r="H268" s="145">
        <v>2569</v>
      </c>
      <c r="I268" s="145">
        <f t="shared" si="170"/>
        <v>4923961.1960000005</v>
      </c>
      <c r="J268" s="190"/>
      <c r="K268" s="144">
        <v>0</v>
      </c>
      <c r="L268" s="146">
        <f t="shared" si="171"/>
        <v>2569</v>
      </c>
      <c r="M268" s="147">
        <f t="shared" si="172"/>
        <v>0</v>
      </c>
      <c r="N268" s="138" t="s">
        <v>92</v>
      </c>
      <c r="O268" s="190"/>
      <c r="P268" s="148">
        <v>0</v>
      </c>
      <c r="Q268" s="146">
        <f>H268</f>
        <v>2569</v>
      </c>
      <c r="R268" s="147">
        <f>P268*Q268</f>
        <v>0</v>
      </c>
      <c r="S268" s="138" t="s">
        <v>92</v>
      </c>
      <c r="T268" s="190"/>
      <c r="U268" s="148">
        <f t="shared" si="166"/>
        <v>1916.6840000000002</v>
      </c>
      <c r="V268" s="147">
        <f t="shared" si="167"/>
        <v>4923961.1960000005</v>
      </c>
      <c r="W268" s="190"/>
      <c r="X268" s="143"/>
    </row>
    <row r="269" spans="2:24" x14ac:dyDescent="0.35">
      <c r="B269" s="173"/>
      <c r="C269" s="143" t="s">
        <v>107</v>
      </c>
      <c r="D269" s="143" t="s">
        <v>757</v>
      </c>
      <c r="E269" s="176"/>
      <c r="F269" s="176"/>
      <c r="G269" s="144">
        <v>1896.6640000000002</v>
      </c>
      <c r="H269" s="145">
        <v>2569</v>
      </c>
      <c r="I269" s="145">
        <f t="shared" si="170"/>
        <v>4872529.8160000006</v>
      </c>
      <c r="J269" s="190"/>
      <c r="K269" s="144">
        <v>0</v>
      </c>
      <c r="L269" s="146">
        <f t="shared" si="171"/>
        <v>2569</v>
      </c>
      <c r="M269" s="147">
        <f t="shared" si="172"/>
        <v>0</v>
      </c>
      <c r="N269" s="138" t="s">
        <v>92</v>
      </c>
      <c r="O269" s="190"/>
      <c r="P269" s="148">
        <v>0</v>
      </c>
      <c r="Q269" s="146">
        <f>H269</f>
        <v>2569</v>
      </c>
      <c r="R269" s="147">
        <f>P269*Q269</f>
        <v>0</v>
      </c>
      <c r="S269" s="138" t="s">
        <v>92</v>
      </c>
      <c r="T269" s="190"/>
      <c r="U269" s="148">
        <f t="shared" si="166"/>
        <v>1896.6640000000002</v>
      </c>
      <c r="V269" s="147">
        <f t="shared" si="167"/>
        <v>4872529.8160000006</v>
      </c>
      <c r="W269" s="190"/>
      <c r="X269" s="143"/>
    </row>
    <row r="270" spans="2:24" x14ac:dyDescent="0.35">
      <c r="B270" s="173"/>
      <c r="C270" s="143" t="s">
        <v>473</v>
      </c>
      <c r="D270" s="143" t="s">
        <v>773</v>
      </c>
      <c r="E270" s="176"/>
      <c r="F270" s="176"/>
      <c r="G270" s="144">
        <v>1876.9240000000002</v>
      </c>
      <c r="H270" s="145">
        <v>2569</v>
      </c>
      <c r="I270" s="145">
        <f t="shared" si="170"/>
        <v>4821817.756000001</v>
      </c>
      <c r="J270" s="190"/>
      <c r="K270" s="144">
        <v>0</v>
      </c>
      <c r="L270" s="146">
        <f t="shared" si="171"/>
        <v>2569</v>
      </c>
      <c r="M270" s="147">
        <f t="shared" si="172"/>
        <v>0</v>
      </c>
      <c r="N270" s="138" t="s">
        <v>92</v>
      </c>
      <c r="O270" s="190"/>
      <c r="P270" s="148">
        <v>0</v>
      </c>
      <c r="Q270" s="146">
        <f>H270</f>
        <v>2569</v>
      </c>
      <c r="R270" s="147">
        <f>P270*Q270</f>
        <v>0</v>
      </c>
      <c r="S270" s="138" t="s">
        <v>92</v>
      </c>
      <c r="T270" s="190"/>
      <c r="U270" s="148">
        <f t="shared" si="166"/>
        <v>1876.9240000000002</v>
      </c>
      <c r="V270" s="147">
        <f t="shared" si="167"/>
        <v>4821817.756000001</v>
      </c>
      <c r="W270" s="190"/>
      <c r="X270" s="143"/>
    </row>
    <row r="271" spans="2:24" x14ac:dyDescent="0.35">
      <c r="B271" s="173"/>
      <c r="C271" s="143" t="s">
        <v>288</v>
      </c>
      <c r="D271" s="143" t="s">
        <v>668</v>
      </c>
      <c r="E271" s="176"/>
      <c r="F271" s="176"/>
      <c r="G271" s="144">
        <v>1917.5240000000003</v>
      </c>
      <c r="H271" s="145">
        <v>2569</v>
      </c>
      <c r="I271" s="145">
        <f t="shared" si="170"/>
        <v>4926119.1560000004</v>
      </c>
      <c r="J271" s="190"/>
      <c r="K271" s="144">
        <v>0</v>
      </c>
      <c r="L271" s="146">
        <f t="shared" si="171"/>
        <v>2569</v>
      </c>
      <c r="M271" s="147">
        <f t="shared" si="172"/>
        <v>0</v>
      </c>
      <c r="N271" s="138" t="s">
        <v>92</v>
      </c>
      <c r="O271" s="190"/>
      <c r="P271" s="148">
        <v>0</v>
      </c>
      <c r="Q271" s="146">
        <f t="shared" si="168"/>
        <v>2569</v>
      </c>
      <c r="R271" s="147">
        <f t="shared" si="169"/>
        <v>0</v>
      </c>
      <c r="S271" s="138" t="s">
        <v>92</v>
      </c>
      <c r="T271" s="190"/>
      <c r="U271" s="148">
        <f t="shared" si="166"/>
        <v>1917.5240000000003</v>
      </c>
      <c r="V271" s="147">
        <f t="shared" si="167"/>
        <v>4926119.1560000004</v>
      </c>
      <c r="W271" s="190"/>
      <c r="X271" s="143"/>
    </row>
    <row r="272" spans="2:24" x14ac:dyDescent="0.35">
      <c r="B272" s="173"/>
      <c r="C272" s="143" t="s">
        <v>143</v>
      </c>
      <c r="D272" s="143" t="s">
        <v>772</v>
      </c>
      <c r="E272" s="176"/>
      <c r="F272" s="176"/>
      <c r="G272" s="144">
        <v>1892.0440000000003</v>
      </c>
      <c r="H272" s="145">
        <v>2569</v>
      </c>
      <c r="I272" s="145">
        <f t="shared" si="170"/>
        <v>4860661.0360000012</v>
      </c>
      <c r="J272" s="190"/>
      <c r="K272" s="144">
        <v>0</v>
      </c>
      <c r="L272" s="146">
        <f t="shared" si="171"/>
        <v>2569</v>
      </c>
      <c r="M272" s="147">
        <f t="shared" si="172"/>
        <v>0</v>
      </c>
      <c r="N272" s="138" t="s">
        <v>92</v>
      </c>
      <c r="O272" s="190"/>
      <c r="P272" s="148">
        <v>0</v>
      </c>
      <c r="Q272" s="146">
        <f t="shared" si="168"/>
        <v>2569</v>
      </c>
      <c r="R272" s="147">
        <f t="shared" si="169"/>
        <v>0</v>
      </c>
      <c r="S272" s="138" t="s">
        <v>92</v>
      </c>
      <c r="T272" s="190"/>
      <c r="U272" s="148">
        <f t="shared" si="166"/>
        <v>1892.0440000000003</v>
      </c>
      <c r="V272" s="147">
        <f t="shared" si="167"/>
        <v>4860661.0360000012</v>
      </c>
      <c r="W272" s="190"/>
      <c r="X272" s="143"/>
    </row>
    <row r="273" spans="2:24" x14ac:dyDescent="0.35">
      <c r="B273" s="174"/>
      <c r="C273" s="143" t="s">
        <v>778</v>
      </c>
      <c r="D273" s="143" t="s">
        <v>774</v>
      </c>
      <c r="E273" s="177"/>
      <c r="F273" s="177"/>
      <c r="G273" s="144">
        <v>1910.3140000000003</v>
      </c>
      <c r="H273" s="145">
        <v>2569</v>
      </c>
      <c r="I273" s="145">
        <f t="shared" si="170"/>
        <v>4907596.6660000011</v>
      </c>
      <c r="J273" s="190"/>
      <c r="K273" s="144">
        <v>0</v>
      </c>
      <c r="L273" s="146">
        <f t="shared" si="171"/>
        <v>2569</v>
      </c>
      <c r="M273" s="147">
        <f t="shared" si="172"/>
        <v>0</v>
      </c>
      <c r="N273" s="138" t="s">
        <v>92</v>
      </c>
      <c r="O273" s="190"/>
      <c r="P273" s="148">
        <v>0</v>
      </c>
      <c r="Q273" s="146">
        <f t="shared" si="168"/>
        <v>2569</v>
      </c>
      <c r="R273" s="147">
        <f t="shared" si="169"/>
        <v>0</v>
      </c>
      <c r="S273" s="138" t="s">
        <v>92</v>
      </c>
      <c r="T273" s="190"/>
      <c r="U273" s="148">
        <f t="shared" si="166"/>
        <v>1910.3140000000003</v>
      </c>
      <c r="V273" s="147">
        <f t="shared" si="167"/>
        <v>4907596.6660000011</v>
      </c>
      <c r="W273" s="190"/>
      <c r="X273" s="143"/>
    </row>
    <row r="274" spans="2:24" x14ac:dyDescent="0.35">
      <c r="B274" s="140" t="s">
        <v>979</v>
      </c>
      <c r="C274" s="143" t="s">
        <v>719</v>
      </c>
      <c r="D274" s="142" t="s">
        <v>976</v>
      </c>
      <c r="E274" s="143" t="s">
        <v>59</v>
      </c>
      <c r="F274" s="143" t="s">
        <v>103</v>
      </c>
      <c r="G274" s="144">
        <v>6200</v>
      </c>
      <c r="H274" s="145">
        <v>2550</v>
      </c>
      <c r="I274" s="145">
        <f t="shared" si="170"/>
        <v>15810000</v>
      </c>
      <c r="J274" s="190"/>
      <c r="K274" s="144">
        <v>0</v>
      </c>
      <c r="L274" s="146">
        <f t="shared" si="171"/>
        <v>2550</v>
      </c>
      <c r="M274" s="147">
        <f t="shared" si="172"/>
        <v>0</v>
      </c>
      <c r="N274" s="138" t="s">
        <v>92</v>
      </c>
      <c r="O274" s="190"/>
      <c r="P274" s="148">
        <v>0</v>
      </c>
      <c r="Q274" s="146">
        <f t="shared" si="168"/>
        <v>2550</v>
      </c>
      <c r="R274" s="147">
        <f t="shared" si="169"/>
        <v>0</v>
      </c>
      <c r="S274" s="138" t="s">
        <v>92</v>
      </c>
      <c r="T274" s="190"/>
      <c r="U274" s="148">
        <f t="shared" si="166"/>
        <v>6200</v>
      </c>
      <c r="V274" s="147">
        <f t="shared" si="167"/>
        <v>15810000</v>
      </c>
      <c r="W274" s="190"/>
      <c r="X274" s="143"/>
    </row>
    <row r="275" spans="2:24" x14ac:dyDescent="0.35">
      <c r="B275" s="140" t="s">
        <v>980</v>
      </c>
      <c r="C275" s="143" t="s">
        <v>493</v>
      </c>
      <c r="D275" s="142" t="s">
        <v>982</v>
      </c>
      <c r="E275" s="143" t="s">
        <v>59</v>
      </c>
      <c r="F275" s="143" t="s">
        <v>200</v>
      </c>
      <c r="G275" s="144">
        <v>6300</v>
      </c>
      <c r="H275" s="145">
        <v>2600</v>
      </c>
      <c r="I275" s="145">
        <f t="shared" si="170"/>
        <v>16380000</v>
      </c>
      <c r="J275" s="190"/>
      <c r="K275" s="144">
        <v>0</v>
      </c>
      <c r="L275" s="146">
        <f t="shared" si="171"/>
        <v>2600</v>
      </c>
      <c r="M275" s="147">
        <f t="shared" si="172"/>
        <v>0</v>
      </c>
      <c r="N275" s="138" t="s">
        <v>92</v>
      </c>
      <c r="O275" s="190"/>
      <c r="P275" s="148">
        <v>0</v>
      </c>
      <c r="Q275" s="146">
        <f t="shared" si="168"/>
        <v>2600</v>
      </c>
      <c r="R275" s="147">
        <f t="shared" si="169"/>
        <v>0</v>
      </c>
      <c r="S275" s="138" t="s">
        <v>92</v>
      </c>
      <c r="T275" s="190"/>
      <c r="U275" s="148">
        <f t="shared" si="166"/>
        <v>6300</v>
      </c>
      <c r="V275" s="147">
        <f t="shared" si="167"/>
        <v>16380000</v>
      </c>
      <c r="W275" s="190"/>
      <c r="X275" s="143"/>
    </row>
    <row r="276" spans="2:24" x14ac:dyDescent="0.35">
      <c r="B276" s="140" t="s">
        <v>981</v>
      </c>
      <c r="C276" s="143" t="s">
        <v>983</v>
      </c>
      <c r="D276" s="142" t="s">
        <v>984</v>
      </c>
      <c r="E276" s="143" t="s">
        <v>59</v>
      </c>
      <c r="F276" s="143" t="s">
        <v>200</v>
      </c>
      <c r="G276" s="144">
        <v>6300</v>
      </c>
      <c r="H276" s="145">
        <v>2600</v>
      </c>
      <c r="I276" s="145">
        <f t="shared" si="170"/>
        <v>16380000</v>
      </c>
      <c r="J276" s="190"/>
      <c r="K276" s="144">
        <v>0</v>
      </c>
      <c r="L276" s="146">
        <f t="shared" si="171"/>
        <v>2600</v>
      </c>
      <c r="M276" s="147">
        <f t="shared" si="172"/>
        <v>0</v>
      </c>
      <c r="N276" s="138" t="s">
        <v>92</v>
      </c>
      <c r="O276" s="190"/>
      <c r="P276" s="148">
        <v>0</v>
      </c>
      <c r="Q276" s="146">
        <f t="shared" si="168"/>
        <v>2600</v>
      </c>
      <c r="R276" s="147">
        <f t="shared" si="169"/>
        <v>0</v>
      </c>
      <c r="S276" s="138" t="s">
        <v>92</v>
      </c>
      <c r="T276" s="190"/>
      <c r="U276" s="148">
        <f t="shared" si="166"/>
        <v>6300</v>
      </c>
      <c r="V276" s="147">
        <f t="shared" si="167"/>
        <v>16380000</v>
      </c>
      <c r="W276" s="190"/>
      <c r="X276" s="143"/>
    </row>
    <row r="277" spans="2:24" x14ac:dyDescent="0.35">
      <c r="B277" s="140"/>
      <c r="C277" s="143"/>
      <c r="D277" s="143"/>
      <c r="E277" s="143"/>
      <c r="F277" s="143"/>
      <c r="G277" s="144">
        <v>0</v>
      </c>
      <c r="H277" s="145">
        <v>0</v>
      </c>
      <c r="I277" s="145">
        <f t="shared" si="170"/>
        <v>0</v>
      </c>
      <c r="J277" s="190"/>
      <c r="K277" s="144">
        <v>0</v>
      </c>
      <c r="L277" s="146">
        <f t="shared" si="171"/>
        <v>0</v>
      </c>
      <c r="M277" s="147">
        <f t="shared" si="172"/>
        <v>0</v>
      </c>
      <c r="N277" s="138" t="s">
        <v>92</v>
      </c>
      <c r="O277" s="190"/>
      <c r="P277" s="148">
        <v>0</v>
      </c>
      <c r="Q277" s="146">
        <f t="shared" si="168"/>
        <v>0</v>
      </c>
      <c r="R277" s="147">
        <f t="shared" si="169"/>
        <v>0</v>
      </c>
      <c r="S277" s="138" t="s">
        <v>92</v>
      </c>
      <c r="T277" s="190"/>
      <c r="U277" s="148">
        <f t="shared" si="166"/>
        <v>0</v>
      </c>
      <c r="V277" s="147">
        <f t="shared" si="167"/>
        <v>0</v>
      </c>
      <c r="W277" s="190"/>
      <c r="X277" s="143"/>
    </row>
    <row r="278" spans="2:24" x14ac:dyDescent="0.35">
      <c r="B278" s="140"/>
      <c r="C278" s="143"/>
      <c r="D278" s="142"/>
      <c r="E278" s="143"/>
      <c r="F278" s="143"/>
      <c r="G278" s="144">
        <v>0</v>
      </c>
      <c r="H278" s="145">
        <v>0</v>
      </c>
      <c r="I278" s="145">
        <f t="shared" si="170"/>
        <v>0</v>
      </c>
      <c r="J278" s="190"/>
      <c r="K278" s="144">
        <v>0</v>
      </c>
      <c r="L278" s="146">
        <f t="shared" si="171"/>
        <v>0</v>
      </c>
      <c r="M278" s="147">
        <f t="shared" si="172"/>
        <v>0</v>
      </c>
      <c r="N278" s="138" t="s">
        <v>92</v>
      </c>
      <c r="O278" s="190"/>
      <c r="P278" s="148">
        <v>0</v>
      </c>
      <c r="Q278" s="146">
        <f t="shared" si="168"/>
        <v>0</v>
      </c>
      <c r="R278" s="147">
        <f t="shared" si="169"/>
        <v>0</v>
      </c>
      <c r="S278" s="138" t="s">
        <v>92</v>
      </c>
      <c r="T278" s="190"/>
      <c r="U278" s="148">
        <f t="shared" si="166"/>
        <v>0</v>
      </c>
      <c r="V278" s="147">
        <f t="shared" si="167"/>
        <v>0</v>
      </c>
      <c r="W278" s="190"/>
      <c r="X278" s="143"/>
    </row>
    <row r="279" spans="2:24" x14ac:dyDescent="0.35">
      <c r="B279" s="140"/>
      <c r="C279" s="143"/>
      <c r="D279" s="143"/>
      <c r="E279" s="143"/>
      <c r="F279" s="143"/>
      <c r="G279" s="144">
        <v>0</v>
      </c>
      <c r="H279" s="145">
        <v>0</v>
      </c>
      <c r="I279" s="145">
        <f t="shared" si="170"/>
        <v>0</v>
      </c>
      <c r="J279" s="190"/>
      <c r="K279" s="144">
        <v>0</v>
      </c>
      <c r="L279" s="146">
        <f t="shared" si="171"/>
        <v>0</v>
      </c>
      <c r="M279" s="147">
        <f t="shared" si="172"/>
        <v>0</v>
      </c>
      <c r="N279" s="138" t="s">
        <v>92</v>
      </c>
      <c r="O279" s="190"/>
      <c r="P279" s="148">
        <v>0</v>
      </c>
      <c r="Q279" s="146">
        <f t="shared" si="168"/>
        <v>0</v>
      </c>
      <c r="R279" s="147">
        <f t="shared" si="169"/>
        <v>0</v>
      </c>
      <c r="S279" s="138" t="s">
        <v>92</v>
      </c>
      <c r="T279" s="190"/>
      <c r="U279" s="148">
        <f t="shared" si="166"/>
        <v>0</v>
      </c>
      <c r="V279" s="147">
        <f t="shared" si="167"/>
        <v>0</v>
      </c>
      <c r="W279" s="190"/>
      <c r="X279" s="143"/>
    </row>
    <row r="280" spans="2:24" x14ac:dyDescent="0.35">
      <c r="B280" s="140"/>
      <c r="C280" s="143"/>
      <c r="D280" s="143"/>
      <c r="E280" s="143"/>
      <c r="F280" s="143"/>
      <c r="G280" s="144">
        <v>0</v>
      </c>
      <c r="H280" s="145">
        <v>0</v>
      </c>
      <c r="I280" s="145">
        <f t="shared" si="170"/>
        <v>0</v>
      </c>
      <c r="J280" s="190"/>
      <c r="K280" s="144">
        <v>0</v>
      </c>
      <c r="L280" s="146">
        <f t="shared" si="171"/>
        <v>0</v>
      </c>
      <c r="M280" s="147">
        <f t="shared" si="172"/>
        <v>0</v>
      </c>
      <c r="N280" s="138" t="s">
        <v>92</v>
      </c>
      <c r="O280" s="190"/>
      <c r="P280" s="148">
        <v>0</v>
      </c>
      <c r="Q280" s="146">
        <f t="shared" si="168"/>
        <v>0</v>
      </c>
      <c r="R280" s="147">
        <f t="shared" si="169"/>
        <v>0</v>
      </c>
      <c r="S280" s="138" t="s">
        <v>92</v>
      </c>
      <c r="T280" s="190"/>
      <c r="U280" s="148">
        <f t="shared" si="166"/>
        <v>0</v>
      </c>
      <c r="V280" s="147">
        <f t="shared" si="167"/>
        <v>0</v>
      </c>
      <c r="W280" s="190"/>
      <c r="X280" s="143"/>
    </row>
    <row r="281" spans="2:24" x14ac:dyDescent="0.35">
      <c r="B281" s="140"/>
      <c r="C281" s="143"/>
      <c r="D281" s="143"/>
      <c r="E281" s="143"/>
      <c r="F281" s="143"/>
      <c r="G281" s="144">
        <v>0</v>
      </c>
      <c r="H281" s="145">
        <v>0</v>
      </c>
      <c r="I281" s="145">
        <f t="shared" si="170"/>
        <v>0</v>
      </c>
      <c r="J281" s="190"/>
      <c r="K281" s="144">
        <v>0</v>
      </c>
      <c r="L281" s="146">
        <f t="shared" si="171"/>
        <v>0</v>
      </c>
      <c r="M281" s="147">
        <f t="shared" si="172"/>
        <v>0</v>
      </c>
      <c r="N281" s="138" t="s">
        <v>92</v>
      </c>
      <c r="O281" s="190"/>
      <c r="P281" s="148">
        <v>0</v>
      </c>
      <c r="Q281" s="146">
        <f t="shared" si="168"/>
        <v>0</v>
      </c>
      <c r="R281" s="147">
        <f t="shared" si="169"/>
        <v>0</v>
      </c>
      <c r="S281" s="138" t="s">
        <v>92</v>
      </c>
      <c r="T281" s="190"/>
      <c r="U281" s="148">
        <f t="shared" si="166"/>
        <v>0</v>
      </c>
      <c r="V281" s="147">
        <f t="shared" si="167"/>
        <v>0</v>
      </c>
      <c r="W281" s="190"/>
      <c r="X281" s="143"/>
    </row>
    <row r="282" spans="2:24" x14ac:dyDescent="0.35">
      <c r="B282" s="140"/>
      <c r="C282" s="143"/>
      <c r="D282" s="143"/>
      <c r="E282" s="143"/>
      <c r="F282" s="143"/>
      <c r="G282" s="144">
        <v>0</v>
      </c>
      <c r="H282" s="145">
        <v>0</v>
      </c>
      <c r="I282" s="145">
        <f t="shared" si="170"/>
        <v>0</v>
      </c>
      <c r="J282" s="190"/>
      <c r="K282" s="144">
        <v>0</v>
      </c>
      <c r="L282" s="146">
        <f t="shared" si="171"/>
        <v>0</v>
      </c>
      <c r="M282" s="147">
        <f t="shared" si="172"/>
        <v>0</v>
      </c>
      <c r="N282" s="138" t="s">
        <v>92</v>
      </c>
      <c r="O282" s="190"/>
      <c r="P282" s="148">
        <v>0</v>
      </c>
      <c r="Q282" s="146">
        <f t="shared" si="168"/>
        <v>0</v>
      </c>
      <c r="R282" s="147">
        <f t="shared" si="169"/>
        <v>0</v>
      </c>
      <c r="S282" s="138" t="s">
        <v>92</v>
      </c>
      <c r="T282" s="190"/>
      <c r="U282" s="148">
        <f t="shared" si="166"/>
        <v>0</v>
      </c>
      <c r="V282" s="147">
        <f t="shared" si="167"/>
        <v>0</v>
      </c>
      <c r="W282" s="190"/>
      <c r="X282" s="143"/>
    </row>
    <row r="283" spans="2:24" x14ac:dyDescent="0.35">
      <c r="B283" s="140"/>
      <c r="C283" s="143"/>
      <c r="D283" s="143"/>
      <c r="E283" s="143"/>
      <c r="F283" s="143"/>
      <c r="G283" s="144">
        <v>0</v>
      </c>
      <c r="H283" s="145">
        <v>0</v>
      </c>
      <c r="I283" s="145">
        <f t="shared" si="170"/>
        <v>0</v>
      </c>
      <c r="J283" s="190"/>
      <c r="K283" s="144">
        <v>0</v>
      </c>
      <c r="L283" s="146">
        <f t="shared" si="171"/>
        <v>0</v>
      </c>
      <c r="M283" s="147">
        <f t="shared" si="172"/>
        <v>0</v>
      </c>
      <c r="N283" s="138" t="s">
        <v>92</v>
      </c>
      <c r="O283" s="190"/>
      <c r="P283" s="148">
        <v>0</v>
      </c>
      <c r="Q283" s="146">
        <f t="shared" si="168"/>
        <v>0</v>
      </c>
      <c r="R283" s="147">
        <f t="shared" si="169"/>
        <v>0</v>
      </c>
      <c r="S283" s="138" t="s">
        <v>92</v>
      </c>
      <c r="T283" s="190"/>
      <c r="U283" s="148">
        <f t="shared" si="166"/>
        <v>0</v>
      </c>
      <c r="V283" s="147">
        <f t="shared" si="167"/>
        <v>0</v>
      </c>
      <c r="W283" s="190"/>
      <c r="X283" s="143"/>
    </row>
    <row r="284" spans="2:24" x14ac:dyDescent="0.35">
      <c r="B284" s="140"/>
      <c r="C284" s="143"/>
      <c r="D284" s="142"/>
      <c r="E284" s="143"/>
      <c r="F284" s="143"/>
      <c r="G284" s="144">
        <v>0</v>
      </c>
      <c r="H284" s="145">
        <v>0</v>
      </c>
      <c r="I284" s="145">
        <f t="shared" si="170"/>
        <v>0</v>
      </c>
      <c r="J284" s="190"/>
      <c r="K284" s="144">
        <v>0</v>
      </c>
      <c r="L284" s="146">
        <f t="shared" si="171"/>
        <v>0</v>
      </c>
      <c r="M284" s="147">
        <f t="shared" si="172"/>
        <v>0</v>
      </c>
      <c r="N284" s="138" t="s">
        <v>92</v>
      </c>
      <c r="O284" s="190"/>
      <c r="P284" s="148">
        <v>0</v>
      </c>
      <c r="Q284" s="146">
        <f t="shared" si="168"/>
        <v>0</v>
      </c>
      <c r="R284" s="147">
        <f t="shared" si="169"/>
        <v>0</v>
      </c>
      <c r="S284" s="138" t="s">
        <v>92</v>
      </c>
      <c r="T284" s="190"/>
      <c r="U284" s="148">
        <f t="shared" si="166"/>
        <v>0</v>
      </c>
      <c r="V284" s="147">
        <f t="shared" si="167"/>
        <v>0</v>
      </c>
      <c r="W284" s="190"/>
      <c r="X284" s="143"/>
    </row>
    <row r="285" spans="2:24" x14ac:dyDescent="0.35">
      <c r="B285" s="140"/>
      <c r="C285" s="143"/>
      <c r="D285" s="143"/>
      <c r="E285" s="143"/>
      <c r="F285" s="143"/>
      <c r="G285" s="144">
        <v>0</v>
      </c>
      <c r="H285" s="145">
        <v>0</v>
      </c>
      <c r="I285" s="145">
        <f t="shared" si="170"/>
        <v>0</v>
      </c>
      <c r="J285" s="190"/>
      <c r="K285" s="144">
        <v>0</v>
      </c>
      <c r="L285" s="146">
        <f t="shared" si="171"/>
        <v>0</v>
      </c>
      <c r="M285" s="147">
        <f t="shared" si="172"/>
        <v>0</v>
      </c>
      <c r="N285" s="138" t="s">
        <v>92</v>
      </c>
      <c r="O285" s="190"/>
      <c r="P285" s="148">
        <v>0</v>
      </c>
      <c r="Q285" s="146">
        <f t="shared" si="168"/>
        <v>0</v>
      </c>
      <c r="R285" s="147">
        <f t="shared" si="169"/>
        <v>0</v>
      </c>
      <c r="S285" s="138" t="s">
        <v>92</v>
      </c>
      <c r="T285" s="190"/>
      <c r="U285" s="148">
        <f t="shared" si="166"/>
        <v>0</v>
      </c>
      <c r="V285" s="147">
        <f t="shared" si="167"/>
        <v>0</v>
      </c>
      <c r="W285" s="190"/>
      <c r="X285" s="143"/>
    </row>
    <row r="286" spans="2:24" x14ac:dyDescent="0.35">
      <c r="B286" s="140"/>
      <c r="C286" s="143"/>
      <c r="D286" s="143"/>
      <c r="E286" s="143"/>
      <c r="F286" s="143"/>
      <c r="G286" s="144">
        <v>0</v>
      </c>
      <c r="H286" s="145">
        <v>0</v>
      </c>
      <c r="I286" s="145">
        <f t="shared" si="170"/>
        <v>0</v>
      </c>
      <c r="J286" s="190"/>
      <c r="K286" s="144">
        <v>0</v>
      </c>
      <c r="L286" s="146">
        <f t="shared" si="171"/>
        <v>0</v>
      </c>
      <c r="M286" s="147">
        <f t="shared" si="172"/>
        <v>0</v>
      </c>
      <c r="N286" s="138" t="s">
        <v>92</v>
      </c>
      <c r="O286" s="190"/>
      <c r="P286" s="148">
        <v>0</v>
      </c>
      <c r="Q286" s="146">
        <f t="shared" si="168"/>
        <v>0</v>
      </c>
      <c r="R286" s="147">
        <f t="shared" si="169"/>
        <v>0</v>
      </c>
      <c r="S286" s="138" t="s">
        <v>92</v>
      </c>
      <c r="T286" s="190"/>
      <c r="U286" s="148">
        <f t="shared" si="166"/>
        <v>0</v>
      </c>
      <c r="V286" s="147">
        <f t="shared" si="167"/>
        <v>0</v>
      </c>
      <c r="W286" s="190"/>
      <c r="X286" s="143"/>
    </row>
    <row r="287" spans="2:24" x14ac:dyDescent="0.35">
      <c r="B287" s="140"/>
      <c r="C287" s="143"/>
      <c r="D287" s="142"/>
      <c r="E287" s="143"/>
      <c r="F287" s="143"/>
      <c r="G287" s="144">
        <v>0</v>
      </c>
      <c r="H287" s="145">
        <v>0</v>
      </c>
      <c r="I287" s="145">
        <f t="shared" si="170"/>
        <v>0</v>
      </c>
      <c r="J287" s="190"/>
      <c r="K287" s="144">
        <v>0</v>
      </c>
      <c r="L287" s="146">
        <f t="shared" si="171"/>
        <v>0</v>
      </c>
      <c r="M287" s="147">
        <f t="shared" si="172"/>
        <v>0</v>
      </c>
      <c r="N287" s="138" t="s">
        <v>92</v>
      </c>
      <c r="O287" s="190"/>
      <c r="P287" s="148">
        <v>0</v>
      </c>
      <c r="Q287" s="146">
        <f t="shared" si="168"/>
        <v>0</v>
      </c>
      <c r="R287" s="147">
        <f t="shared" si="169"/>
        <v>0</v>
      </c>
      <c r="S287" s="138" t="s">
        <v>92</v>
      </c>
      <c r="T287" s="190"/>
      <c r="U287" s="148">
        <f t="shared" si="166"/>
        <v>0</v>
      </c>
      <c r="V287" s="147">
        <f t="shared" si="167"/>
        <v>0</v>
      </c>
      <c r="W287" s="190"/>
      <c r="X287" s="143"/>
    </row>
    <row r="288" spans="2:24" x14ac:dyDescent="0.35">
      <c r="B288" s="140"/>
      <c r="C288" s="143"/>
      <c r="D288" s="142"/>
      <c r="E288" s="143"/>
      <c r="F288" s="143"/>
      <c r="G288" s="144">
        <v>0</v>
      </c>
      <c r="H288" s="145">
        <v>0</v>
      </c>
      <c r="I288" s="145">
        <f t="shared" si="170"/>
        <v>0</v>
      </c>
      <c r="J288" s="190"/>
      <c r="K288" s="144">
        <v>0</v>
      </c>
      <c r="L288" s="146">
        <f t="shared" si="171"/>
        <v>0</v>
      </c>
      <c r="M288" s="147">
        <f t="shared" si="172"/>
        <v>0</v>
      </c>
      <c r="N288" s="138" t="s">
        <v>92</v>
      </c>
      <c r="O288" s="190"/>
      <c r="P288" s="148">
        <v>0</v>
      </c>
      <c r="Q288" s="146">
        <f t="shared" si="168"/>
        <v>0</v>
      </c>
      <c r="R288" s="147">
        <f t="shared" si="169"/>
        <v>0</v>
      </c>
      <c r="S288" s="138" t="s">
        <v>92</v>
      </c>
      <c r="T288" s="190"/>
      <c r="U288" s="148">
        <f t="shared" si="166"/>
        <v>0</v>
      </c>
      <c r="V288" s="147">
        <f t="shared" si="167"/>
        <v>0</v>
      </c>
      <c r="W288" s="190"/>
      <c r="X288" s="143"/>
    </row>
    <row r="289" spans="2:24" x14ac:dyDescent="0.35">
      <c r="B289" s="140"/>
      <c r="C289" s="143"/>
      <c r="D289" s="142"/>
      <c r="E289" s="143"/>
      <c r="F289" s="143"/>
      <c r="G289" s="144">
        <v>0</v>
      </c>
      <c r="H289" s="145">
        <v>0</v>
      </c>
      <c r="I289" s="145">
        <f t="shared" si="170"/>
        <v>0</v>
      </c>
      <c r="J289" s="190"/>
      <c r="K289" s="144">
        <v>0</v>
      </c>
      <c r="L289" s="146">
        <f t="shared" si="171"/>
        <v>0</v>
      </c>
      <c r="M289" s="147">
        <f t="shared" si="172"/>
        <v>0</v>
      </c>
      <c r="N289" s="138" t="s">
        <v>92</v>
      </c>
      <c r="O289" s="190"/>
      <c r="P289" s="148">
        <v>0</v>
      </c>
      <c r="Q289" s="146">
        <f t="shared" si="168"/>
        <v>0</v>
      </c>
      <c r="R289" s="147">
        <f t="shared" si="169"/>
        <v>0</v>
      </c>
      <c r="S289" s="138" t="s">
        <v>92</v>
      </c>
      <c r="T289" s="190"/>
      <c r="U289" s="148">
        <f t="shared" si="166"/>
        <v>0</v>
      </c>
      <c r="V289" s="147">
        <f t="shared" si="167"/>
        <v>0</v>
      </c>
      <c r="W289" s="190"/>
      <c r="X289" s="143"/>
    </row>
    <row r="290" spans="2:24" x14ac:dyDescent="0.35">
      <c r="B290" s="140"/>
      <c r="C290" s="143"/>
      <c r="D290" s="142"/>
      <c r="E290" s="143"/>
      <c r="F290" s="143"/>
      <c r="G290" s="144">
        <v>0</v>
      </c>
      <c r="H290" s="145">
        <v>0</v>
      </c>
      <c r="I290" s="145">
        <f t="shared" si="170"/>
        <v>0</v>
      </c>
      <c r="J290" s="190"/>
      <c r="K290" s="144">
        <v>0</v>
      </c>
      <c r="L290" s="146">
        <f t="shared" si="171"/>
        <v>0</v>
      </c>
      <c r="M290" s="147">
        <f t="shared" si="172"/>
        <v>0</v>
      </c>
      <c r="N290" s="138" t="s">
        <v>92</v>
      </c>
      <c r="O290" s="190"/>
      <c r="P290" s="148">
        <v>0</v>
      </c>
      <c r="Q290" s="146">
        <f t="shared" si="168"/>
        <v>0</v>
      </c>
      <c r="R290" s="147">
        <f t="shared" si="169"/>
        <v>0</v>
      </c>
      <c r="S290" s="138" t="s">
        <v>92</v>
      </c>
      <c r="T290" s="190"/>
      <c r="U290" s="148">
        <f t="shared" si="166"/>
        <v>0</v>
      </c>
      <c r="V290" s="147">
        <f t="shared" si="167"/>
        <v>0</v>
      </c>
      <c r="W290" s="190"/>
      <c r="X290" s="143"/>
    </row>
    <row r="291" spans="2:24" x14ac:dyDescent="0.35">
      <c r="B291" s="140"/>
      <c r="C291" s="143"/>
      <c r="D291" s="143"/>
      <c r="E291" s="143"/>
      <c r="F291" s="143"/>
      <c r="G291" s="144">
        <v>0</v>
      </c>
      <c r="H291" s="145">
        <v>0</v>
      </c>
      <c r="I291" s="145">
        <f t="shared" si="170"/>
        <v>0</v>
      </c>
      <c r="J291" s="190"/>
      <c r="K291" s="144">
        <v>0</v>
      </c>
      <c r="L291" s="146">
        <f t="shared" si="171"/>
        <v>0</v>
      </c>
      <c r="M291" s="147">
        <f t="shared" si="172"/>
        <v>0</v>
      </c>
      <c r="N291" s="138" t="s">
        <v>92</v>
      </c>
      <c r="O291" s="190"/>
      <c r="P291" s="148">
        <v>0</v>
      </c>
      <c r="Q291" s="146">
        <f t="shared" si="168"/>
        <v>0</v>
      </c>
      <c r="R291" s="147">
        <f t="shared" si="169"/>
        <v>0</v>
      </c>
      <c r="S291" s="138" t="s">
        <v>92</v>
      </c>
      <c r="T291" s="190"/>
      <c r="U291" s="148">
        <f t="shared" si="166"/>
        <v>0</v>
      </c>
      <c r="V291" s="147">
        <f t="shared" si="167"/>
        <v>0</v>
      </c>
      <c r="W291" s="190"/>
      <c r="X291" s="143"/>
    </row>
    <row r="292" spans="2:24" x14ac:dyDescent="0.35">
      <c r="B292" s="140"/>
      <c r="C292" s="143"/>
      <c r="D292" s="143"/>
      <c r="E292" s="143"/>
      <c r="F292" s="143"/>
      <c r="G292" s="144">
        <v>0</v>
      </c>
      <c r="H292" s="145">
        <v>0</v>
      </c>
      <c r="I292" s="145">
        <f t="shared" si="170"/>
        <v>0</v>
      </c>
      <c r="J292" s="190"/>
      <c r="K292" s="144">
        <v>0</v>
      </c>
      <c r="L292" s="146">
        <f t="shared" si="171"/>
        <v>0</v>
      </c>
      <c r="M292" s="147">
        <f t="shared" si="172"/>
        <v>0</v>
      </c>
      <c r="N292" s="138" t="s">
        <v>92</v>
      </c>
      <c r="O292" s="190"/>
      <c r="P292" s="148">
        <v>0</v>
      </c>
      <c r="Q292" s="146">
        <f t="shared" si="168"/>
        <v>0</v>
      </c>
      <c r="R292" s="147">
        <f t="shared" si="169"/>
        <v>0</v>
      </c>
      <c r="S292" s="138" t="s">
        <v>92</v>
      </c>
      <c r="T292" s="190"/>
      <c r="U292" s="148">
        <f t="shared" si="166"/>
        <v>0</v>
      </c>
      <c r="V292" s="147">
        <f t="shared" si="167"/>
        <v>0</v>
      </c>
      <c r="W292" s="190"/>
      <c r="X292" s="143"/>
    </row>
    <row r="293" spans="2:24" x14ac:dyDescent="0.35">
      <c r="B293" s="140"/>
      <c r="C293" s="143"/>
      <c r="D293" s="142"/>
      <c r="E293" s="143"/>
      <c r="F293" s="143"/>
      <c r="G293" s="144">
        <v>0</v>
      </c>
      <c r="H293" s="145">
        <v>0</v>
      </c>
      <c r="I293" s="145">
        <f t="shared" si="170"/>
        <v>0</v>
      </c>
      <c r="J293" s="190"/>
      <c r="K293" s="144">
        <v>0</v>
      </c>
      <c r="L293" s="146">
        <f t="shared" si="171"/>
        <v>0</v>
      </c>
      <c r="M293" s="147">
        <f t="shared" si="172"/>
        <v>0</v>
      </c>
      <c r="N293" s="138" t="s">
        <v>92</v>
      </c>
      <c r="O293" s="190"/>
      <c r="P293" s="148">
        <v>0</v>
      </c>
      <c r="Q293" s="146">
        <f t="shared" si="168"/>
        <v>0</v>
      </c>
      <c r="R293" s="147">
        <f t="shared" si="169"/>
        <v>0</v>
      </c>
      <c r="S293" s="138" t="s">
        <v>92</v>
      </c>
      <c r="T293" s="190"/>
      <c r="U293" s="148">
        <f t="shared" si="166"/>
        <v>0</v>
      </c>
      <c r="V293" s="147">
        <f t="shared" si="167"/>
        <v>0</v>
      </c>
      <c r="W293" s="190"/>
      <c r="X293" s="143"/>
    </row>
    <row r="294" spans="2:24" x14ac:dyDescent="0.35">
      <c r="B294" s="140"/>
      <c r="C294" s="143"/>
      <c r="D294" s="142"/>
      <c r="E294" s="143"/>
      <c r="F294" s="143"/>
      <c r="G294" s="144">
        <v>0</v>
      </c>
      <c r="H294" s="145">
        <v>0</v>
      </c>
      <c r="I294" s="145">
        <f t="shared" si="170"/>
        <v>0</v>
      </c>
      <c r="J294" s="190"/>
      <c r="K294" s="144">
        <v>0</v>
      </c>
      <c r="L294" s="146">
        <f t="shared" si="171"/>
        <v>0</v>
      </c>
      <c r="M294" s="147">
        <f t="shared" si="172"/>
        <v>0</v>
      </c>
      <c r="N294" s="138" t="s">
        <v>92</v>
      </c>
      <c r="O294" s="190"/>
      <c r="P294" s="148">
        <v>0</v>
      </c>
      <c r="Q294" s="146">
        <f t="shared" si="168"/>
        <v>0</v>
      </c>
      <c r="R294" s="147">
        <f t="shared" si="169"/>
        <v>0</v>
      </c>
      <c r="S294" s="138" t="s">
        <v>92</v>
      </c>
      <c r="T294" s="190"/>
      <c r="U294" s="148">
        <f t="shared" si="166"/>
        <v>0</v>
      </c>
      <c r="V294" s="147">
        <f t="shared" si="167"/>
        <v>0</v>
      </c>
      <c r="W294" s="190"/>
      <c r="X294" s="143"/>
    </row>
    <row r="295" spans="2:24" x14ac:dyDescent="0.35">
      <c r="B295" s="140"/>
      <c r="C295" s="143"/>
      <c r="D295" s="143"/>
      <c r="E295" s="143"/>
      <c r="F295" s="143"/>
      <c r="G295" s="144">
        <v>0</v>
      </c>
      <c r="H295" s="145">
        <v>0</v>
      </c>
      <c r="I295" s="145">
        <f t="shared" si="170"/>
        <v>0</v>
      </c>
      <c r="J295" s="190"/>
      <c r="K295" s="144">
        <v>0</v>
      </c>
      <c r="L295" s="146">
        <f t="shared" si="171"/>
        <v>0</v>
      </c>
      <c r="M295" s="147">
        <f t="shared" si="172"/>
        <v>0</v>
      </c>
      <c r="N295" s="138" t="s">
        <v>92</v>
      </c>
      <c r="O295" s="190"/>
      <c r="P295" s="148">
        <v>0</v>
      </c>
      <c r="Q295" s="146">
        <f t="shared" si="168"/>
        <v>0</v>
      </c>
      <c r="R295" s="147">
        <f t="shared" si="169"/>
        <v>0</v>
      </c>
      <c r="S295" s="138" t="s">
        <v>92</v>
      </c>
      <c r="T295" s="190"/>
      <c r="U295" s="148">
        <f t="shared" si="166"/>
        <v>0</v>
      </c>
      <c r="V295" s="147">
        <f t="shared" si="167"/>
        <v>0</v>
      </c>
      <c r="W295" s="190"/>
      <c r="X295" s="143"/>
    </row>
    <row r="296" spans="2:24" x14ac:dyDescent="0.35">
      <c r="B296" s="140"/>
      <c r="C296" s="143"/>
      <c r="D296" s="143"/>
      <c r="E296" s="143"/>
      <c r="F296" s="143"/>
      <c r="G296" s="144">
        <v>0</v>
      </c>
      <c r="H296" s="145">
        <v>0</v>
      </c>
      <c r="I296" s="145">
        <f t="shared" si="170"/>
        <v>0</v>
      </c>
      <c r="J296" s="190"/>
      <c r="K296" s="144">
        <v>0</v>
      </c>
      <c r="L296" s="146">
        <f t="shared" si="171"/>
        <v>0</v>
      </c>
      <c r="M296" s="147">
        <f t="shared" si="172"/>
        <v>0</v>
      </c>
      <c r="N296" s="138" t="s">
        <v>92</v>
      </c>
      <c r="O296" s="190"/>
      <c r="P296" s="148">
        <v>0</v>
      </c>
      <c r="Q296" s="146">
        <f t="shared" si="168"/>
        <v>0</v>
      </c>
      <c r="R296" s="147">
        <f t="shared" si="169"/>
        <v>0</v>
      </c>
      <c r="S296" s="138" t="s">
        <v>92</v>
      </c>
      <c r="T296" s="190"/>
      <c r="U296" s="148">
        <f t="shared" si="166"/>
        <v>0</v>
      </c>
      <c r="V296" s="147">
        <f t="shared" si="167"/>
        <v>0</v>
      </c>
      <c r="W296" s="190"/>
      <c r="X296" s="143"/>
    </row>
    <row r="297" spans="2:24" x14ac:dyDescent="0.35">
      <c r="B297" s="140"/>
      <c r="C297" s="143"/>
      <c r="D297" s="143"/>
      <c r="E297" s="143"/>
      <c r="F297" s="143"/>
      <c r="G297" s="144">
        <v>0</v>
      </c>
      <c r="H297" s="145">
        <v>0</v>
      </c>
      <c r="I297" s="145">
        <f t="shared" si="170"/>
        <v>0</v>
      </c>
      <c r="J297" s="190"/>
      <c r="K297" s="144">
        <v>0</v>
      </c>
      <c r="L297" s="146">
        <f t="shared" si="171"/>
        <v>0</v>
      </c>
      <c r="M297" s="147">
        <f t="shared" si="172"/>
        <v>0</v>
      </c>
      <c r="N297" s="138" t="s">
        <v>92</v>
      </c>
      <c r="O297" s="190"/>
      <c r="P297" s="148">
        <v>0</v>
      </c>
      <c r="Q297" s="146">
        <f t="shared" si="168"/>
        <v>0</v>
      </c>
      <c r="R297" s="147">
        <f t="shared" si="169"/>
        <v>0</v>
      </c>
      <c r="S297" s="138" t="s">
        <v>92</v>
      </c>
      <c r="T297" s="190"/>
      <c r="U297" s="148">
        <f t="shared" si="166"/>
        <v>0</v>
      </c>
      <c r="V297" s="147">
        <f t="shared" si="167"/>
        <v>0</v>
      </c>
      <c r="W297" s="190"/>
      <c r="X297" s="143"/>
    </row>
    <row r="298" spans="2:24" x14ac:dyDescent="0.35">
      <c r="B298" s="140"/>
      <c r="C298" s="143"/>
      <c r="D298" s="143"/>
      <c r="E298" s="143"/>
      <c r="F298" s="143"/>
      <c r="G298" s="144">
        <v>0</v>
      </c>
      <c r="H298" s="145">
        <v>0</v>
      </c>
      <c r="I298" s="145">
        <f t="shared" si="170"/>
        <v>0</v>
      </c>
      <c r="J298" s="190"/>
      <c r="K298" s="144">
        <v>0</v>
      </c>
      <c r="L298" s="146">
        <f t="shared" si="171"/>
        <v>0</v>
      </c>
      <c r="M298" s="147">
        <f t="shared" si="172"/>
        <v>0</v>
      </c>
      <c r="N298" s="138" t="s">
        <v>92</v>
      </c>
      <c r="O298" s="190"/>
      <c r="P298" s="148">
        <v>0</v>
      </c>
      <c r="Q298" s="146">
        <f t="shared" si="168"/>
        <v>0</v>
      </c>
      <c r="R298" s="147">
        <f t="shared" si="169"/>
        <v>0</v>
      </c>
      <c r="S298" s="138" t="s">
        <v>92</v>
      </c>
      <c r="T298" s="190"/>
      <c r="U298" s="148">
        <f t="shared" si="166"/>
        <v>0</v>
      </c>
      <c r="V298" s="147">
        <f t="shared" si="167"/>
        <v>0</v>
      </c>
      <c r="W298" s="190"/>
      <c r="X298" s="143"/>
    </row>
    <row r="299" spans="2:24" x14ac:dyDescent="0.35">
      <c r="B299" s="140"/>
      <c r="C299" s="143"/>
      <c r="D299" s="143"/>
      <c r="E299" s="143"/>
      <c r="F299" s="143"/>
      <c r="G299" s="144">
        <v>0</v>
      </c>
      <c r="H299" s="145">
        <v>0</v>
      </c>
      <c r="I299" s="145">
        <f t="shared" si="170"/>
        <v>0</v>
      </c>
      <c r="J299" s="190"/>
      <c r="K299" s="144">
        <v>0</v>
      </c>
      <c r="L299" s="146">
        <f t="shared" si="171"/>
        <v>0</v>
      </c>
      <c r="M299" s="147">
        <f t="shared" si="172"/>
        <v>0</v>
      </c>
      <c r="N299" s="138" t="s">
        <v>92</v>
      </c>
      <c r="O299" s="190"/>
      <c r="P299" s="148">
        <v>0</v>
      </c>
      <c r="Q299" s="146">
        <f t="shared" si="168"/>
        <v>0</v>
      </c>
      <c r="R299" s="147">
        <f t="shared" si="169"/>
        <v>0</v>
      </c>
      <c r="S299" s="138" t="s">
        <v>92</v>
      </c>
      <c r="T299" s="190"/>
      <c r="U299" s="148">
        <f t="shared" si="166"/>
        <v>0</v>
      </c>
      <c r="V299" s="147">
        <f t="shared" si="167"/>
        <v>0</v>
      </c>
      <c r="W299" s="190"/>
      <c r="X299" s="143"/>
    </row>
    <row r="300" spans="2:24" x14ac:dyDescent="0.35">
      <c r="B300" s="140"/>
      <c r="C300" s="143"/>
      <c r="D300" s="143"/>
      <c r="E300" s="143"/>
      <c r="F300" s="143"/>
      <c r="G300" s="144">
        <v>0</v>
      </c>
      <c r="H300" s="145">
        <v>0</v>
      </c>
      <c r="I300" s="145">
        <f t="shared" si="170"/>
        <v>0</v>
      </c>
      <c r="J300" s="190"/>
      <c r="K300" s="144">
        <v>0</v>
      </c>
      <c r="L300" s="146">
        <f t="shared" si="171"/>
        <v>0</v>
      </c>
      <c r="M300" s="147">
        <f t="shared" si="172"/>
        <v>0</v>
      </c>
      <c r="N300" s="138" t="s">
        <v>92</v>
      </c>
      <c r="O300" s="190"/>
      <c r="P300" s="148">
        <v>0</v>
      </c>
      <c r="Q300" s="146">
        <f t="shared" si="168"/>
        <v>0</v>
      </c>
      <c r="R300" s="147">
        <f t="shared" si="169"/>
        <v>0</v>
      </c>
      <c r="S300" s="138" t="s">
        <v>92</v>
      </c>
      <c r="T300" s="190"/>
      <c r="U300" s="148">
        <f t="shared" si="166"/>
        <v>0</v>
      </c>
      <c r="V300" s="147">
        <f t="shared" si="167"/>
        <v>0</v>
      </c>
      <c r="W300" s="190"/>
      <c r="X300" s="143"/>
    </row>
    <row r="301" spans="2:24" x14ac:dyDescent="0.35">
      <c r="B301" s="140"/>
      <c r="C301" s="143"/>
      <c r="D301" s="143"/>
      <c r="E301" s="143"/>
      <c r="F301" s="143"/>
      <c r="G301" s="144">
        <v>0</v>
      </c>
      <c r="H301" s="145">
        <v>0</v>
      </c>
      <c r="I301" s="145">
        <f t="shared" si="170"/>
        <v>0</v>
      </c>
      <c r="J301" s="190"/>
      <c r="K301" s="144">
        <v>0</v>
      </c>
      <c r="L301" s="146">
        <f t="shared" si="171"/>
        <v>0</v>
      </c>
      <c r="M301" s="147">
        <f t="shared" si="172"/>
        <v>0</v>
      </c>
      <c r="N301" s="138" t="s">
        <v>92</v>
      </c>
      <c r="O301" s="190"/>
      <c r="P301" s="148">
        <v>0</v>
      </c>
      <c r="Q301" s="146">
        <f t="shared" si="168"/>
        <v>0</v>
      </c>
      <c r="R301" s="147">
        <f t="shared" si="169"/>
        <v>0</v>
      </c>
      <c r="S301" s="138" t="s">
        <v>92</v>
      </c>
      <c r="T301" s="190"/>
      <c r="U301" s="148">
        <f t="shared" si="166"/>
        <v>0</v>
      </c>
      <c r="V301" s="147">
        <f t="shared" si="167"/>
        <v>0</v>
      </c>
      <c r="W301" s="190"/>
      <c r="X301" s="143"/>
    </row>
    <row r="302" spans="2:24" x14ac:dyDescent="0.35">
      <c r="B302" s="140"/>
      <c r="C302" s="143"/>
      <c r="D302" s="142"/>
      <c r="E302" s="143"/>
      <c r="F302" s="143"/>
      <c r="G302" s="144">
        <v>0</v>
      </c>
      <c r="H302" s="145">
        <v>0</v>
      </c>
      <c r="I302" s="145">
        <f t="shared" si="170"/>
        <v>0</v>
      </c>
      <c r="J302" s="190"/>
      <c r="K302" s="144">
        <v>0</v>
      </c>
      <c r="L302" s="146">
        <f t="shared" si="171"/>
        <v>0</v>
      </c>
      <c r="M302" s="147">
        <f t="shared" si="172"/>
        <v>0</v>
      </c>
      <c r="N302" s="138" t="s">
        <v>92</v>
      </c>
      <c r="O302" s="190"/>
      <c r="P302" s="148">
        <v>0</v>
      </c>
      <c r="Q302" s="146">
        <f t="shared" si="168"/>
        <v>0</v>
      </c>
      <c r="R302" s="147">
        <f t="shared" si="169"/>
        <v>0</v>
      </c>
      <c r="S302" s="138" t="s">
        <v>92</v>
      </c>
      <c r="T302" s="190"/>
      <c r="U302" s="148">
        <f t="shared" si="166"/>
        <v>0</v>
      </c>
      <c r="V302" s="147">
        <f t="shared" si="167"/>
        <v>0</v>
      </c>
      <c r="W302" s="190"/>
      <c r="X302" s="143"/>
    </row>
    <row r="303" spans="2:24" x14ac:dyDescent="0.35">
      <c r="B303" s="140"/>
      <c r="C303" s="143"/>
      <c r="D303" s="142"/>
      <c r="E303" s="143"/>
      <c r="F303" s="143"/>
      <c r="G303" s="144">
        <v>0</v>
      </c>
      <c r="H303" s="145">
        <v>0</v>
      </c>
      <c r="I303" s="145">
        <f t="shared" si="170"/>
        <v>0</v>
      </c>
      <c r="J303" s="190"/>
      <c r="K303" s="144">
        <v>0</v>
      </c>
      <c r="L303" s="146">
        <f t="shared" si="171"/>
        <v>0</v>
      </c>
      <c r="M303" s="147">
        <f t="shared" si="172"/>
        <v>0</v>
      </c>
      <c r="N303" s="138" t="s">
        <v>92</v>
      </c>
      <c r="O303" s="190"/>
      <c r="P303" s="148">
        <v>0</v>
      </c>
      <c r="Q303" s="146">
        <f t="shared" si="168"/>
        <v>0</v>
      </c>
      <c r="R303" s="147">
        <f t="shared" si="169"/>
        <v>0</v>
      </c>
      <c r="S303" s="138" t="s">
        <v>92</v>
      </c>
      <c r="T303" s="190"/>
      <c r="U303" s="148">
        <f t="shared" si="166"/>
        <v>0</v>
      </c>
      <c r="V303" s="147">
        <f t="shared" si="167"/>
        <v>0</v>
      </c>
      <c r="W303" s="190"/>
      <c r="X303" s="143"/>
    </row>
    <row r="304" spans="2:24" x14ac:dyDescent="0.35">
      <c r="B304" s="140"/>
      <c r="C304" s="143"/>
      <c r="D304" s="142"/>
      <c r="E304" s="143"/>
      <c r="F304" s="143"/>
      <c r="G304" s="144">
        <v>0</v>
      </c>
      <c r="H304" s="145">
        <v>0</v>
      </c>
      <c r="I304" s="145">
        <f t="shared" si="170"/>
        <v>0</v>
      </c>
      <c r="J304" s="190"/>
      <c r="K304" s="144">
        <v>0</v>
      </c>
      <c r="L304" s="146">
        <f t="shared" si="171"/>
        <v>0</v>
      </c>
      <c r="M304" s="147">
        <f t="shared" si="172"/>
        <v>0</v>
      </c>
      <c r="N304" s="138" t="s">
        <v>92</v>
      </c>
      <c r="O304" s="190"/>
      <c r="P304" s="148">
        <v>0</v>
      </c>
      <c r="Q304" s="146">
        <f t="shared" si="168"/>
        <v>0</v>
      </c>
      <c r="R304" s="147">
        <f t="shared" si="169"/>
        <v>0</v>
      </c>
      <c r="S304" s="138" t="s">
        <v>92</v>
      </c>
      <c r="T304" s="190"/>
      <c r="U304" s="148">
        <f t="shared" si="166"/>
        <v>0</v>
      </c>
      <c r="V304" s="147">
        <f t="shared" si="167"/>
        <v>0</v>
      </c>
      <c r="W304" s="190"/>
      <c r="X304" s="143"/>
    </row>
    <row r="305" spans="2:24" x14ac:dyDescent="0.35">
      <c r="B305" s="140"/>
      <c r="C305" s="143"/>
      <c r="D305" s="142"/>
      <c r="E305" s="143"/>
      <c r="F305" s="143"/>
      <c r="G305" s="144">
        <v>0</v>
      </c>
      <c r="H305" s="145">
        <v>0</v>
      </c>
      <c r="I305" s="145">
        <f t="shared" si="170"/>
        <v>0</v>
      </c>
      <c r="J305" s="190"/>
      <c r="K305" s="144">
        <v>0</v>
      </c>
      <c r="L305" s="146">
        <f t="shared" si="171"/>
        <v>0</v>
      </c>
      <c r="M305" s="147">
        <f t="shared" si="172"/>
        <v>0</v>
      </c>
      <c r="N305" s="138" t="s">
        <v>92</v>
      </c>
      <c r="O305" s="190"/>
      <c r="P305" s="148">
        <v>0</v>
      </c>
      <c r="Q305" s="146">
        <f t="shared" si="168"/>
        <v>0</v>
      </c>
      <c r="R305" s="147">
        <f t="shared" si="169"/>
        <v>0</v>
      </c>
      <c r="S305" s="138" t="s">
        <v>92</v>
      </c>
      <c r="T305" s="190"/>
      <c r="U305" s="148">
        <f t="shared" si="166"/>
        <v>0</v>
      </c>
      <c r="V305" s="147">
        <f t="shared" si="167"/>
        <v>0</v>
      </c>
      <c r="W305" s="190"/>
      <c r="X305" s="143"/>
    </row>
    <row r="306" spans="2:24" x14ac:dyDescent="0.35">
      <c r="B306" s="140"/>
      <c r="C306" s="143"/>
      <c r="D306" s="142"/>
      <c r="E306" s="143"/>
      <c r="F306" s="143"/>
      <c r="G306" s="144">
        <v>0</v>
      </c>
      <c r="H306" s="145">
        <v>0</v>
      </c>
      <c r="I306" s="145">
        <f t="shared" si="170"/>
        <v>0</v>
      </c>
      <c r="J306" s="190"/>
      <c r="K306" s="144">
        <v>0</v>
      </c>
      <c r="L306" s="146">
        <f t="shared" si="171"/>
        <v>0</v>
      </c>
      <c r="M306" s="147">
        <f t="shared" si="172"/>
        <v>0</v>
      </c>
      <c r="N306" s="138" t="s">
        <v>92</v>
      </c>
      <c r="O306" s="190"/>
      <c r="P306" s="148">
        <v>0</v>
      </c>
      <c r="Q306" s="146">
        <f t="shared" si="168"/>
        <v>0</v>
      </c>
      <c r="R306" s="147">
        <f t="shared" si="169"/>
        <v>0</v>
      </c>
      <c r="S306" s="138" t="s">
        <v>92</v>
      </c>
      <c r="T306" s="190"/>
      <c r="U306" s="148">
        <f t="shared" si="166"/>
        <v>0</v>
      </c>
      <c r="V306" s="147">
        <f t="shared" si="167"/>
        <v>0</v>
      </c>
      <c r="W306" s="190"/>
      <c r="X306" s="143"/>
    </row>
    <row r="307" spans="2:24" x14ac:dyDescent="0.35">
      <c r="B307" s="140"/>
      <c r="C307" s="143"/>
      <c r="D307" s="142"/>
      <c r="E307" s="143"/>
      <c r="F307" s="143"/>
      <c r="G307" s="144">
        <v>0</v>
      </c>
      <c r="H307" s="145">
        <v>0</v>
      </c>
      <c r="I307" s="145">
        <f t="shared" si="170"/>
        <v>0</v>
      </c>
      <c r="J307" s="190"/>
      <c r="K307" s="144">
        <v>0</v>
      </c>
      <c r="L307" s="146">
        <f t="shared" si="171"/>
        <v>0</v>
      </c>
      <c r="M307" s="147">
        <f t="shared" si="172"/>
        <v>0</v>
      </c>
      <c r="N307" s="138" t="s">
        <v>92</v>
      </c>
      <c r="O307" s="190"/>
      <c r="P307" s="148">
        <v>0</v>
      </c>
      <c r="Q307" s="146">
        <f t="shared" si="168"/>
        <v>0</v>
      </c>
      <c r="R307" s="147">
        <f t="shared" si="169"/>
        <v>0</v>
      </c>
      <c r="S307" s="138" t="s">
        <v>92</v>
      </c>
      <c r="T307" s="190"/>
      <c r="U307" s="148">
        <f t="shared" si="166"/>
        <v>0</v>
      </c>
      <c r="V307" s="147">
        <f t="shared" si="167"/>
        <v>0</v>
      </c>
      <c r="W307" s="190"/>
      <c r="X307" s="143"/>
    </row>
    <row r="308" spans="2:24" x14ac:dyDescent="0.35">
      <c r="B308" s="140"/>
      <c r="C308" s="143"/>
      <c r="D308" s="142"/>
      <c r="E308" s="143"/>
      <c r="F308" s="143"/>
      <c r="G308" s="144">
        <v>0</v>
      </c>
      <c r="H308" s="145">
        <v>0</v>
      </c>
      <c r="I308" s="145">
        <f t="shared" si="170"/>
        <v>0</v>
      </c>
      <c r="J308" s="190"/>
      <c r="K308" s="144">
        <v>0</v>
      </c>
      <c r="L308" s="146">
        <f t="shared" si="171"/>
        <v>0</v>
      </c>
      <c r="M308" s="147">
        <f t="shared" si="172"/>
        <v>0</v>
      </c>
      <c r="N308" s="138" t="s">
        <v>92</v>
      </c>
      <c r="O308" s="190"/>
      <c r="P308" s="148">
        <v>0</v>
      </c>
      <c r="Q308" s="146">
        <f t="shared" si="168"/>
        <v>0</v>
      </c>
      <c r="R308" s="147">
        <f t="shared" si="169"/>
        <v>0</v>
      </c>
      <c r="S308" s="138" t="s">
        <v>92</v>
      </c>
      <c r="T308" s="190"/>
      <c r="U308" s="148">
        <f t="shared" si="166"/>
        <v>0</v>
      </c>
      <c r="V308" s="147">
        <f t="shared" si="167"/>
        <v>0</v>
      </c>
      <c r="W308" s="190"/>
      <c r="X308" s="143"/>
    </row>
    <row r="309" spans="2:24" x14ac:dyDescent="0.35">
      <c r="B309" s="140"/>
      <c r="C309" s="143"/>
      <c r="D309" s="142"/>
      <c r="E309" s="143"/>
      <c r="F309" s="143"/>
      <c r="G309" s="144">
        <v>0</v>
      </c>
      <c r="H309" s="145">
        <v>0</v>
      </c>
      <c r="I309" s="145">
        <f t="shared" si="170"/>
        <v>0</v>
      </c>
      <c r="J309" s="190"/>
      <c r="K309" s="144">
        <v>0</v>
      </c>
      <c r="L309" s="146">
        <f t="shared" si="171"/>
        <v>0</v>
      </c>
      <c r="M309" s="147">
        <f t="shared" si="172"/>
        <v>0</v>
      </c>
      <c r="N309" s="138" t="s">
        <v>92</v>
      </c>
      <c r="O309" s="190"/>
      <c r="P309" s="148">
        <v>0</v>
      </c>
      <c r="Q309" s="146">
        <f t="shared" si="168"/>
        <v>0</v>
      </c>
      <c r="R309" s="147">
        <f t="shared" si="169"/>
        <v>0</v>
      </c>
      <c r="S309" s="138" t="s">
        <v>92</v>
      </c>
      <c r="T309" s="190"/>
      <c r="U309" s="148">
        <f t="shared" si="166"/>
        <v>0</v>
      </c>
      <c r="V309" s="147">
        <f t="shared" si="167"/>
        <v>0</v>
      </c>
      <c r="W309" s="190"/>
      <c r="X309" s="143"/>
    </row>
    <row r="310" spans="2:24" x14ac:dyDescent="0.35">
      <c r="B310" s="140"/>
      <c r="C310" s="143"/>
      <c r="D310" s="143"/>
      <c r="E310" s="143"/>
      <c r="F310" s="143"/>
      <c r="G310" s="144">
        <v>0</v>
      </c>
      <c r="H310" s="145">
        <v>0</v>
      </c>
      <c r="I310" s="145">
        <f t="shared" si="170"/>
        <v>0</v>
      </c>
      <c r="J310" s="190"/>
      <c r="K310" s="144">
        <v>0</v>
      </c>
      <c r="L310" s="146">
        <f t="shared" si="171"/>
        <v>0</v>
      </c>
      <c r="M310" s="147">
        <f t="shared" si="172"/>
        <v>0</v>
      </c>
      <c r="N310" s="138" t="s">
        <v>92</v>
      </c>
      <c r="O310" s="190"/>
      <c r="P310" s="148">
        <v>0</v>
      </c>
      <c r="Q310" s="146">
        <f t="shared" si="168"/>
        <v>0</v>
      </c>
      <c r="R310" s="147">
        <f t="shared" si="169"/>
        <v>0</v>
      </c>
      <c r="S310" s="138" t="s">
        <v>92</v>
      </c>
      <c r="T310" s="190"/>
      <c r="U310" s="148">
        <f t="shared" si="166"/>
        <v>0</v>
      </c>
      <c r="V310" s="147">
        <f t="shared" si="167"/>
        <v>0</v>
      </c>
      <c r="W310" s="190"/>
      <c r="X310" s="143"/>
    </row>
    <row r="311" spans="2:24" x14ac:dyDescent="0.35">
      <c r="B311" s="140"/>
      <c r="C311" s="143"/>
      <c r="D311" s="143"/>
      <c r="E311" s="143"/>
      <c r="F311" s="143"/>
      <c r="G311" s="144">
        <v>0</v>
      </c>
      <c r="H311" s="145">
        <v>0</v>
      </c>
      <c r="I311" s="145">
        <f t="shared" si="170"/>
        <v>0</v>
      </c>
      <c r="J311" s="190"/>
      <c r="K311" s="144">
        <v>0</v>
      </c>
      <c r="L311" s="146">
        <f t="shared" si="171"/>
        <v>0</v>
      </c>
      <c r="M311" s="147">
        <f t="shared" si="172"/>
        <v>0</v>
      </c>
      <c r="N311" s="138" t="s">
        <v>92</v>
      </c>
      <c r="O311" s="190"/>
      <c r="P311" s="148">
        <v>0</v>
      </c>
      <c r="Q311" s="146">
        <f t="shared" si="168"/>
        <v>0</v>
      </c>
      <c r="R311" s="147">
        <f t="shared" si="169"/>
        <v>0</v>
      </c>
      <c r="S311" s="138" t="s">
        <v>92</v>
      </c>
      <c r="T311" s="190"/>
      <c r="U311" s="148">
        <f t="shared" si="166"/>
        <v>0</v>
      </c>
      <c r="V311" s="147">
        <f t="shared" si="167"/>
        <v>0</v>
      </c>
      <c r="W311" s="190"/>
      <c r="X311" s="143"/>
    </row>
    <row r="312" spans="2:24" x14ac:dyDescent="0.35">
      <c r="B312" s="140"/>
      <c r="C312" s="143"/>
      <c r="D312" s="142"/>
      <c r="E312" s="143"/>
      <c r="F312" s="143"/>
      <c r="G312" s="144">
        <v>0</v>
      </c>
      <c r="H312" s="145">
        <v>0</v>
      </c>
      <c r="I312" s="145">
        <f t="shared" si="170"/>
        <v>0</v>
      </c>
      <c r="J312" s="190"/>
      <c r="K312" s="144">
        <v>0</v>
      </c>
      <c r="L312" s="146">
        <f t="shared" si="171"/>
        <v>0</v>
      </c>
      <c r="M312" s="147">
        <f t="shared" si="172"/>
        <v>0</v>
      </c>
      <c r="N312" s="138" t="s">
        <v>92</v>
      </c>
      <c r="O312" s="190"/>
      <c r="P312" s="148">
        <v>0</v>
      </c>
      <c r="Q312" s="146">
        <f t="shared" si="168"/>
        <v>0</v>
      </c>
      <c r="R312" s="147">
        <f t="shared" si="169"/>
        <v>0</v>
      </c>
      <c r="S312" s="138" t="s">
        <v>92</v>
      </c>
      <c r="T312" s="190"/>
      <c r="U312" s="148">
        <f t="shared" si="166"/>
        <v>0</v>
      </c>
      <c r="V312" s="147">
        <f t="shared" si="167"/>
        <v>0</v>
      </c>
      <c r="W312" s="190"/>
      <c r="X312" s="143"/>
    </row>
    <row r="313" spans="2:24" x14ac:dyDescent="0.35">
      <c r="B313" s="140"/>
      <c r="C313" s="143"/>
      <c r="D313" s="143"/>
      <c r="E313" s="143"/>
      <c r="F313" s="143"/>
      <c r="G313" s="144">
        <v>0</v>
      </c>
      <c r="H313" s="145">
        <v>0</v>
      </c>
      <c r="I313" s="145">
        <f t="shared" si="170"/>
        <v>0</v>
      </c>
      <c r="J313" s="190"/>
      <c r="K313" s="144">
        <v>0</v>
      </c>
      <c r="L313" s="146">
        <f t="shared" si="171"/>
        <v>0</v>
      </c>
      <c r="M313" s="147">
        <f t="shared" si="172"/>
        <v>0</v>
      </c>
      <c r="N313" s="138" t="s">
        <v>92</v>
      </c>
      <c r="O313" s="190"/>
      <c r="P313" s="148">
        <v>0</v>
      </c>
      <c r="Q313" s="146">
        <f t="shared" si="168"/>
        <v>0</v>
      </c>
      <c r="R313" s="147">
        <f t="shared" si="169"/>
        <v>0</v>
      </c>
      <c r="S313" s="138" t="s">
        <v>92</v>
      </c>
      <c r="T313" s="190"/>
      <c r="U313" s="148">
        <f t="shared" si="166"/>
        <v>0</v>
      </c>
      <c r="V313" s="147">
        <f t="shared" si="167"/>
        <v>0</v>
      </c>
      <c r="W313" s="190"/>
      <c r="X313" s="143"/>
    </row>
    <row r="314" spans="2:24" x14ac:dyDescent="0.35">
      <c r="B314" s="140"/>
      <c r="C314" s="143"/>
      <c r="D314" s="143"/>
      <c r="E314" s="143"/>
      <c r="F314" s="143"/>
      <c r="G314" s="144">
        <v>0</v>
      </c>
      <c r="H314" s="145">
        <v>0</v>
      </c>
      <c r="I314" s="145">
        <f t="shared" si="170"/>
        <v>0</v>
      </c>
      <c r="J314" s="190"/>
      <c r="K314" s="144">
        <v>0</v>
      </c>
      <c r="L314" s="146">
        <f t="shared" si="171"/>
        <v>0</v>
      </c>
      <c r="M314" s="147">
        <f t="shared" si="172"/>
        <v>0</v>
      </c>
      <c r="N314" s="138" t="s">
        <v>92</v>
      </c>
      <c r="O314" s="190"/>
      <c r="P314" s="148">
        <v>0</v>
      </c>
      <c r="Q314" s="146">
        <f t="shared" si="168"/>
        <v>0</v>
      </c>
      <c r="R314" s="147">
        <f t="shared" si="169"/>
        <v>0</v>
      </c>
      <c r="S314" s="138" t="s">
        <v>92</v>
      </c>
      <c r="T314" s="190"/>
      <c r="U314" s="148">
        <f t="shared" si="166"/>
        <v>0</v>
      </c>
      <c r="V314" s="147">
        <f t="shared" si="167"/>
        <v>0</v>
      </c>
      <c r="W314" s="190"/>
      <c r="X314" s="143"/>
    </row>
    <row r="315" spans="2:24" x14ac:dyDescent="0.35">
      <c r="B315" s="140"/>
      <c r="C315" s="143"/>
      <c r="D315" s="143"/>
      <c r="E315" s="143"/>
      <c r="F315" s="143"/>
      <c r="G315" s="144">
        <v>0</v>
      </c>
      <c r="H315" s="145">
        <v>0</v>
      </c>
      <c r="I315" s="145">
        <f t="shared" si="170"/>
        <v>0</v>
      </c>
      <c r="J315" s="190"/>
      <c r="K315" s="144">
        <v>0</v>
      </c>
      <c r="L315" s="146">
        <f t="shared" si="171"/>
        <v>0</v>
      </c>
      <c r="M315" s="147">
        <f t="shared" si="172"/>
        <v>0</v>
      </c>
      <c r="N315" s="138" t="s">
        <v>92</v>
      </c>
      <c r="O315" s="190"/>
      <c r="P315" s="148">
        <v>0</v>
      </c>
      <c r="Q315" s="146">
        <f t="shared" si="168"/>
        <v>0</v>
      </c>
      <c r="R315" s="147">
        <f t="shared" si="169"/>
        <v>0</v>
      </c>
      <c r="S315" s="138" t="s">
        <v>92</v>
      </c>
      <c r="T315" s="190"/>
      <c r="U315" s="148">
        <f t="shared" si="166"/>
        <v>0</v>
      </c>
      <c r="V315" s="147">
        <f t="shared" si="167"/>
        <v>0</v>
      </c>
      <c r="W315" s="190"/>
      <c r="X315" s="143"/>
    </row>
    <row r="316" spans="2:24" x14ac:dyDescent="0.35">
      <c r="B316" s="140"/>
      <c r="C316" s="143"/>
      <c r="D316" s="143"/>
      <c r="E316" s="143"/>
      <c r="F316" s="143"/>
      <c r="G316" s="144">
        <v>0</v>
      </c>
      <c r="H316" s="145">
        <v>0</v>
      </c>
      <c r="I316" s="145">
        <f t="shared" si="170"/>
        <v>0</v>
      </c>
      <c r="J316" s="190"/>
      <c r="K316" s="144">
        <v>0</v>
      </c>
      <c r="L316" s="146">
        <f t="shared" si="171"/>
        <v>0</v>
      </c>
      <c r="M316" s="147">
        <f t="shared" si="172"/>
        <v>0</v>
      </c>
      <c r="N316" s="138" t="s">
        <v>92</v>
      </c>
      <c r="O316" s="190"/>
      <c r="P316" s="148">
        <v>0</v>
      </c>
      <c r="Q316" s="146">
        <f t="shared" si="168"/>
        <v>0</v>
      </c>
      <c r="R316" s="147">
        <f t="shared" si="169"/>
        <v>0</v>
      </c>
      <c r="S316" s="138" t="s">
        <v>92</v>
      </c>
      <c r="T316" s="190"/>
      <c r="U316" s="148">
        <f t="shared" si="166"/>
        <v>0</v>
      </c>
      <c r="V316" s="147">
        <f t="shared" si="167"/>
        <v>0</v>
      </c>
      <c r="W316" s="190"/>
      <c r="X316" s="143"/>
    </row>
    <row r="317" spans="2:24" x14ac:dyDescent="0.35">
      <c r="B317" s="140"/>
      <c r="C317" s="143"/>
      <c r="D317" s="142"/>
      <c r="E317" s="143"/>
      <c r="F317" s="143"/>
      <c r="G317" s="144">
        <v>0</v>
      </c>
      <c r="H317" s="145">
        <v>0</v>
      </c>
      <c r="I317" s="145">
        <f t="shared" si="170"/>
        <v>0</v>
      </c>
      <c r="J317" s="190"/>
      <c r="K317" s="144">
        <v>0</v>
      </c>
      <c r="L317" s="146">
        <f t="shared" si="171"/>
        <v>0</v>
      </c>
      <c r="M317" s="147">
        <f t="shared" si="172"/>
        <v>0</v>
      </c>
      <c r="N317" s="138" t="s">
        <v>92</v>
      </c>
      <c r="O317" s="190"/>
      <c r="P317" s="148">
        <v>0</v>
      </c>
      <c r="Q317" s="146">
        <f t="shared" si="168"/>
        <v>0</v>
      </c>
      <c r="R317" s="147">
        <f t="shared" si="169"/>
        <v>0</v>
      </c>
      <c r="S317" s="138" t="s">
        <v>92</v>
      </c>
      <c r="T317" s="190"/>
      <c r="U317" s="148">
        <f t="shared" si="166"/>
        <v>0</v>
      </c>
      <c r="V317" s="147">
        <f t="shared" si="167"/>
        <v>0</v>
      </c>
      <c r="W317" s="190"/>
      <c r="X317" s="143"/>
    </row>
    <row r="318" spans="2:24" x14ac:dyDescent="0.35">
      <c r="B318" s="140"/>
      <c r="C318" s="143"/>
      <c r="D318" s="142"/>
      <c r="E318" s="143"/>
      <c r="F318" s="143"/>
      <c r="G318" s="144">
        <v>0</v>
      </c>
      <c r="H318" s="145">
        <v>0</v>
      </c>
      <c r="I318" s="145">
        <f t="shared" si="170"/>
        <v>0</v>
      </c>
      <c r="J318" s="190"/>
      <c r="K318" s="144">
        <v>0</v>
      </c>
      <c r="L318" s="146">
        <f t="shared" si="171"/>
        <v>0</v>
      </c>
      <c r="M318" s="147">
        <f t="shared" si="172"/>
        <v>0</v>
      </c>
      <c r="N318" s="138" t="s">
        <v>92</v>
      </c>
      <c r="O318" s="190"/>
      <c r="P318" s="148">
        <v>0</v>
      </c>
      <c r="Q318" s="146">
        <f t="shared" si="168"/>
        <v>0</v>
      </c>
      <c r="R318" s="147">
        <f t="shared" si="169"/>
        <v>0</v>
      </c>
      <c r="S318" s="138" t="s">
        <v>92</v>
      </c>
      <c r="T318" s="190"/>
      <c r="U318" s="148">
        <f t="shared" si="166"/>
        <v>0</v>
      </c>
      <c r="V318" s="147">
        <f t="shared" si="167"/>
        <v>0</v>
      </c>
      <c r="W318" s="190"/>
      <c r="X318" s="143"/>
    </row>
    <row r="319" spans="2:24" x14ac:dyDescent="0.35">
      <c r="B319" s="140"/>
      <c r="C319" s="143"/>
      <c r="D319" s="142"/>
      <c r="E319" s="143"/>
      <c r="F319" s="143"/>
      <c r="G319" s="144">
        <v>0</v>
      </c>
      <c r="H319" s="145">
        <v>0</v>
      </c>
      <c r="I319" s="145">
        <f t="shared" si="170"/>
        <v>0</v>
      </c>
      <c r="J319" s="190"/>
      <c r="K319" s="144">
        <v>0</v>
      </c>
      <c r="L319" s="146">
        <f t="shared" si="171"/>
        <v>0</v>
      </c>
      <c r="M319" s="147">
        <f t="shared" si="172"/>
        <v>0</v>
      </c>
      <c r="N319" s="138" t="s">
        <v>92</v>
      </c>
      <c r="O319" s="190"/>
      <c r="P319" s="148">
        <v>0</v>
      </c>
      <c r="Q319" s="146">
        <f t="shared" si="168"/>
        <v>0</v>
      </c>
      <c r="R319" s="147">
        <f t="shared" si="169"/>
        <v>0</v>
      </c>
      <c r="S319" s="138" t="s">
        <v>92</v>
      </c>
      <c r="T319" s="190"/>
      <c r="U319" s="148">
        <f t="shared" si="166"/>
        <v>0</v>
      </c>
      <c r="V319" s="147">
        <f t="shared" si="167"/>
        <v>0</v>
      </c>
      <c r="W319" s="190"/>
      <c r="X319" s="143"/>
    </row>
    <row r="320" spans="2:24" x14ac:dyDescent="0.35">
      <c r="B320" s="140"/>
      <c r="C320" s="143"/>
      <c r="D320" s="142"/>
      <c r="E320" s="143"/>
      <c r="F320" s="143"/>
      <c r="G320" s="144">
        <v>0</v>
      </c>
      <c r="H320" s="145">
        <v>0</v>
      </c>
      <c r="I320" s="145">
        <f t="shared" si="170"/>
        <v>0</v>
      </c>
      <c r="J320" s="190"/>
      <c r="K320" s="144">
        <v>0</v>
      </c>
      <c r="L320" s="146">
        <f t="shared" si="171"/>
        <v>0</v>
      </c>
      <c r="M320" s="147">
        <f t="shared" si="172"/>
        <v>0</v>
      </c>
      <c r="N320" s="138" t="s">
        <v>92</v>
      </c>
      <c r="O320" s="190"/>
      <c r="P320" s="148">
        <v>0</v>
      </c>
      <c r="Q320" s="146">
        <f t="shared" si="168"/>
        <v>0</v>
      </c>
      <c r="R320" s="147">
        <f t="shared" si="169"/>
        <v>0</v>
      </c>
      <c r="S320" s="138" t="s">
        <v>92</v>
      </c>
      <c r="T320" s="190"/>
      <c r="U320" s="148">
        <f t="shared" si="166"/>
        <v>0</v>
      </c>
      <c r="V320" s="147">
        <f t="shared" si="167"/>
        <v>0</v>
      </c>
      <c r="W320" s="190"/>
      <c r="X320" s="143"/>
    </row>
    <row r="321" spans="2:24" x14ac:dyDescent="0.35">
      <c r="B321" s="140"/>
      <c r="C321" s="143"/>
      <c r="D321" s="143"/>
      <c r="E321" s="143"/>
      <c r="F321" s="143"/>
      <c r="G321" s="144">
        <v>0</v>
      </c>
      <c r="H321" s="145">
        <v>0</v>
      </c>
      <c r="I321" s="145">
        <f t="shared" si="170"/>
        <v>0</v>
      </c>
      <c r="J321" s="190"/>
      <c r="K321" s="144">
        <v>0</v>
      </c>
      <c r="L321" s="146">
        <f t="shared" si="171"/>
        <v>0</v>
      </c>
      <c r="M321" s="147">
        <f t="shared" si="172"/>
        <v>0</v>
      </c>
      <c r="N321" s="138" t="s">
        <v>92</v>
      </c>
      <c r="O321" s="190"/>
      <c r="P321" s="148">
        <v>0</v>
      </c>
      <c r="Q321" s="146">
        <f t="shared" si="168"/>
        <v>0</v>
      </c>
      <c r="R321" s="147">
        <f t="shared" si="169"/>
        <v>0</v>
      </c>
      <c r="S321" s="138" t="s">
        <v>92</v>
      </c>
      <c r="T321" s="190"/>
      <c r="U321" s="148">
        <f t="shared" si="166"/>
        <v>0</v>
      </c>
      <c r="V321" s="147">
        <f t="shared" si="167"/>
        <v>0</v>
      </c>
      <c r="W321" s="190"/>
      <c r="X321" s="143"/>
    </row>
    <row r="322" spans="2:24" x14ac:dyDescent="0.35">
      <c r="B322" s="140"/>
      <c r="C322" s="143"/>
      <c r="D322" s="143"/>
      <c r="E322" s="143"/>
      <c r="F322" s="143"/>
      <c r="G322" s="144">
        <v>0</v>
      </c>
      <c r="H322" s="145">
        <v>0</v>
      </c>
      <c r="I322" s="145">
        <f t="shared" si="170"/>
        <v>0</v>
      </c>
      <c r="J322" s="190"/>
      <c r="K322" s="144">
        <v>0</v>
      </c>
      <c r="L322" s="146">
        <f t="shared" si="171"/>
        <v>0</v>
      </c>
      <c r="M322" s="147">
        <f t="shared" si="172"/>
        <v>0</v>
      </c>
      <c r="N322" s="138" t="s">
        <v>92</v>
      </c>
      <c r="O322" s="190"/>
      <c r="P322" s="148">
        <v>0</v>
      </c>
      <c r="Q322" s="146">
        <f t="shared" si="168"/>
        <v>0</v>
      </c>
      <c r="R322" s="147">
        <f t="shared" si="169"/>
        <v>0</v>
      </c>
      <c r="S322" s="138" t="s">
        <v>92</v>
      </c>
      <c r="T322" s="190"/>
      <c r="U322" s="148">
        <f t="shared" si="166"/>
        <v>0</v>
      </c>
      <c r="V322" s="147">
        <f t="shared" si="167"/>
        <v>0</v>
      </c>
      <c r="W322" s="190"/>
      <c r="X322" s="143"/>
    </row>
    <row r="323" spans="2:24" x14ac:dyDescent="0.35">
      <c r="B323" s="140"/>
      <c r="C323" s="143"/>
      <c r="D323" s="142"/>
      <c r="E323" s="143"/>
      <c r="F323" s="143"/>
      <c r="G323" s="144">
        <v>0</v>
      </c>
      <c r="H323" s="145">
        <v>0</v>
      </c>
      <c r="I323" s="145">
        <f t="shared" si="170"/>
        <v>0</v>
      </c>
      <c r="J323" s="190"/>
      <c r="K323" s="144">
        <v>0</v>
      </c>
      <c r="L323" s="146">
        <f t="shared" si="171"/>
        <v>0</v>
      </c>
      <c r="M323" s="147">
        <f t="shared" si="172"/>
        <v>0</v>
      </c>
      <c r="N323" s="138" t="s">
        <v>92</v>
      </c>
      <c r="O323" s="190"/>
      <c r="P323" s="148">
        <v>0</v>
      </c>
      <c r="Q323" s="146">
        <f t="shared" si="168"/>
        <v>0</v>
      </c>
      <c r="R323" s="147">
        <f t="shared" si="169"/>
        <v>0</v>
      </c>
      <c r="S323" s="138" t="s">
        <v>92</v>
      </c>
      <c r="T323" s="190"/>
      <c r="U323" s="148">
        <f t="shared" si="166"/>
        <v>0</v>
      </c>
      <c r="V323" s="147">
        <f t="shared" si="167"/>
        <v>0</v>
      </c>
      <c r="W323" s="190"/>
      <c r="X323" s="143"/>
    </row>
    <row r="324" spans="2:24" x14ac:dyDescent="0.35">
      <c r="B324" s="140"/>
      <c r="C324" s="143"/>
      <c r="D324" s="143"/>
      <c r="E324" s="143"/>
      <c r="F324" s="143"/>
      <c r="G324" s="144">
        <v>0</v>
      </c>
      <c r="H324" s="145">
        <v>0</v>
      </c>
      <c r="I324" s="145">
        <f t="shared" si="170"/>
        <v>0</v>
      </c>
      <c r="J324" s="190"/>
      <c r="K324" s="144">
        <v>0</v>
      </c>
      <c r="L324" s="146">
        <f t="shared" si="171"/>
        <v>0</v>
      </c>
      <c r="M324" s="147">
        <f t="shared" si="172"/>
        <v>0</v>
      </c>
      <c r="N324" s="138" t="s">
        <v>92</v>
      </c>
      <c r="O324" s="190"/>
      <c r="P324" s="148">
        <v>0</v>
      </c>
      <c r="Q324" s="146">
        <f t="shared" si="168"/>
        <v>0</v>
      </c>
      <c r="R324" s="147">
        <f t="shared" si="169"/>
        <v>0</v>
      </c>
      <c r="S324" s="138" t="s">
        <v>92</v>
      </c>
      <c r="T324" s="190"/>
      <c r="U324" s="148">
        <f t="shared" ref="U324:U391" si="173">G324-K324-P324</f>
        <v>0</v>
      </c>
      <c r="V324" s="147">
        <f t="shared" ref="V324:V391" si="174">I324-M324-R324</f>
        <v>0</v>
      </c>
      <c r="W324" s="190"/>
      <c r="X324" s="143"/>
    </row>
    <row r="325" spans="2:24" x14ac:dyDescent="0.35">
      <c r="B325" s="140"/>
      <c r="C325" s="143"/>
      <c r="D325" s="142"/>
      <c r="E325" s="143"/>
      <c r="F325" s="143"/>
      <c r="G325" s="144">
        <v>0</v>
      </c>
      <c r="H325" s="145">
        <v>0</v>
      </c>
      <c r="I325" s="145">
        <f t="shared" si="170"/>
        <v>0</v>
      </c>
      <c r="J325" s="190"/>
      <c r="K325" s="144">
        <v>0</v>
      </c>
      <c r="L325" s="146">
        <f t="shared" si="171"/>
        <v>0</v>
      </c>
      <c r="M325" s="147">
        <f t="shared" si="172"/>
        <v>0</v>
      </c>
      <c r="N325" s="138" t="s">
        <v>92</v>
      </c>
      <c r="O325" s="190"/>
      <c r="P325" s="148">
        <v>0</v>
      </c>
      <c r="Q325" s="146">
        <f t="shared" si="168"/>
        <v>0</v>
      </c>
      <c r="R325" s="147">
        <f t="shared" si="169"/>
        <v>0</v>
      </c>
      <c r="S325" s="138" t="s">
        <v>92</v>
      </c>
      <c r="T325" s="190"/>
      <c r="U325" s="148">
        <f t="shared" si="173"/>
        <v>0</v>
      </c>
      <c r="V325" s="147">
        <f t="shared" si="174"/>
        <v>0</v>
      </c>
      <c r="W325" s="190"/>
      <c r="X325" s="143"/>
    </row>
    <row r="326" spans="2:24" x14ac:dyDescent="0.35">
      <c r="B326" s="140"/>
      <c r="C326" s="143"/>
      <c r="D326" s="142"/>
      <c r="E326" s="143"/>
      <c r="F326" s="143"/>
      <c r="G326" s="144">
        <v>0</v>
      </c>
      <c r="H326" s="145">
        <v>0</v>
      </c>
      <c r="I326" s="145">
        <f t="shared" si="170"/>
        <v>0</v>
      </c>
      <c r="J326" s="190"/>
      <c r="K326" s="144">
        <v>0</v>
      </c>
      <c r="L326" s="146">
        <f t="shared" si="171"/>
        <v>0</v>
      </c>
      <c r="M326" s="147">
        <f t="shared" si="172"/>
        <v>0</v>
      </c>
      <c r="N326" s="138" t="s">
        <v>92</v>
      </c>
      <c r="O326" s="190"/>
      <c r="P326" s="148">
        <v>0</v>
      </c>
      <c r="Q326" s="146">
        <f t="shared" ref="Q326:Q391" si="175">H326</f>
        <v>0</v>
      </c>
      <c r="R326" s="147">
        <f t="shared" ref="R326:R391" si="176">P326*Q326</f>
        <v>0</v>
      </c>
      <c r="S326" s="138" t="s">
        <v>92</v>
      </c>
      <c r="T326" s="190"/>
      <c r="U326" s="148">
        <f t="shared" si="173"/>
        <v>0</v>
      </c>
      <c r="V326" s="147">
        <f t="shared" si="174"/>
        <v>0</v>
      </c>
      <c r="W326" s="190"/>
      <c r="X326" s="143"/>
    </row>
    <row r="327" spans="2:24" x14ac:dyDescent="0.35">
      <c r="B327" s="140"/>
      <c r="C327" s="143"/>
      <c r="D327" s="142"/>
      <c r="E327" s="143"/>
      <c r="F327" s="143"/>
      <c r="G327" s="144">
        <v>0</v>
      </c>
      <c r="H327" s="145">
        <v>0</v>
      </c>
      <c r="I327" s="145">
        <f t="shared" ref="I327:I390" si="177">G327*H327</f>
        <v>0</v>
      </c>
      <c r="J327" s="190"/>
      <c r="K327" s="144">
        <v>0</v>
      </c>
      <c r="L327" s="146">
        <f t="shared" ref="L327:L390" si="178">H327</f>
        <v>0</v>
      </c>
      <c r="M327" s="147">
        <f t="shared" ref="M327:M390" si="179">K327*L327</f>
        <v>0</v>
      </c>
      <c r="N327" s="138" t="s">
        <v>92</v>
      </c>
      <c r="O327" s="190"/>
      <c r="P327" s="148">
        <v>0</v>
      </c>
      <c r="Q327" s="146">
        <f t="shared" si="175"/>
        <v>0</v>
      </c>
      <c r="R327" s="147">
        <f t="shared" si="176"/>
        <v>0</v>
      </c>
      <c r="S327" s="138" t="s">
        <v>92</v>
      </c>
      <c r="T327" s="190"/>
      <c r="U327" s="148">
        <f t="shared" si="173"/>
        <v>0</v>
      </c>
      <c r="V327" s="147">
        <f t="shared" si="174"/>
        <v>0</v>
      </c>
      <c r="W327" s="190"/>
      <c r="X327" s="143"/>
    </row>
    <row r="328" spans="2:24" x14ac:dyDescent="0.35">
      <c r="B328" s="140"/>
      <c r="C328" s="143"/>
      <c r="D328" s="142"/>
      <c r="E328" s="143"/>
      <c r="F328" s="143"/>
      <c r="G328" s="144">
        <v>0</v>
      </c>
      <c r="H328" s="145">
        <v>0</v>
      </c>
      <c r="I328" s="145">
        <f t="shared" si="177"/>
        <v>0</v>
      </c>
      <c r="J328" s="190"/>
      <c r="K328" s="144">
        <v>0</v>
      </c>
      <c r="L328" s="146">
        <f t="shared" si="178"/>
        <v>0</v>
      </c>
      <c r="M328" s="147">
        <f t="shared" si="179"/>
        <v>0</v>
      </c>
      <c r="N328" s="138" t="s">
        <v>92</v>
      </c>
      <c r="O328" s="190"/>
      <c r="P328" s="148">
        <v>0</v>
      </c>
      <c r="Q328" s="146">
        <f t="shared" si="175"/>
        <v>0</v>
      </c>
      <c r="R328" s="147">
        <f t="shared" si="176"/>
        <v>0</v>
      </c>
      <c r="S328" s="138" t="s">
        <v>92</v>
      </c>
      <c r="T328" s="190"/>
      <c r="U328" s="148">
        <f t="shared" si="173"/>
        <v>0</v>
      </c>
      <c r="V328" s="147">
        <f t="shared" si="174"/>
        <v>0</v>
      </c>
      <c r="W328" s="190"/>
      <c r="X328" s="143"/>
    </row>
    <row r="329" spans="2:24" x14ac:dyDescent="0.35">
      <c r="B329" s="140"/>
      <c r="C329" s="143"/>
      <c r="D329" s="142"/>
      <c r="E329" s="143"/>
      <c r="F329" s="143"/>
      <c r="G329" s="144">
        <v>0</v>
      </c>
      <c r="H329" s="145">
        <v>0</v>
      </c>
      <c r="I329" s="145">
        <f t="shared" si="177"/>
        <v>0</v>
      </c>
      <c r="J329" s="190"/>
      <c r="K329" s="144">
        <v>0</v>
      </c>
      <c r="L329" s="146">
        <f t="shared" si="178"/>
        <v>0</v>
      </c>
      <c r="M329" s="147">
        <f t="shared" si="179"/>
        <v>0</v>
      </c>
      <c r="N329" s="138" t="s">
        <v>92</v>
      </c>
      <c r="O329" s="190"/>
      <c r="P329" s="148">
        <v>0</v>
      </c>
      <c r="Q329" s="146">
        <f t="shared" si="175"/>
        <v>0</v>
      </c>
      <c r="R329" s="147">
        <f t="shared" si="176"/>
        <v>0</v>
      </c>
      <c r="S329" s="138" t="s">
        <v>92</v>
      </c>
      <c r="T329" s="190"/>
      <c r="U329" s="148">
        <f t="shared" si="173"/>
        <v>0</v>
      </c>
      <c r="V329" s="147">
        <f t="shared" si="174"/>
        <v>0</v>
      </c>
      <c r="W329" s="190"/>
      <c r="X329" s="143"/>
    </row>
    <row r="330" spans="2:24" x14ac:dyDescent="0.35">
      <c r="B330" s="140"/>
      <c r="C330" s="143"/>
      <c r="D330" s="142"/>
      <c r="E330" s="143"/>
      <c r="F330" s="143"/>
      <c r="G330" s="144">
        <v>0</v>
      </c>
      <c r="H330" s="145">
        <v>0</v>
      </c>
      <c r="I330" s="145">
        <f t="shared" si="177"/>
        <v>0</v>
      </c>
      <c r="J330" s="190"/>
      <c r="K330" s="144">
        <v>0</v>
      </c>
      <c r="L330" s="146">
        <f t="shared" si="178"/>
        <v>0</v>
      </c>
      <c r="M330" s="147">
        <f t="shared" si="179"/>
        <v>0</v>
      </c>
      <c r="N330" s="138" t="s">
        <v>92</v>
      </c>
      <c r="O330" s="190"/>
      <c r="P330" s="148">
        <v>0</v>
      </c>
      <c r="Q330" s="146">
        <f t="shared" si="175"/>
        <v>0</v>
      </c>
      <c r="R330" s="147">
        <f t="shared" si="176"/>
        <v>0</v>
      </c>
      <c r="S330" s="138" t="s">
        <v>92</v>
      </c>
      <c r="T330" s="190"/>
      <c r="U330" s="148">
        <f t="shared" si="173"/>
        <v>0</v>
      </c>
      <c r="V330" s="147">
        <f t="shared" si="174"/>
        <v>0</v>
      </c>
      <c r="W330" s="190"/>
      <c r="X330" s="143"/>
    </row>
    <row r="331" spans="2:24" x14ac:dyDescent="0.35">
      <c r="B331" s="140"/>
      <c r="C331" s="143"/>
      <c r="D331" s="142"/>
      <c r="E331" s="143"/>
      <c r="F331" s="143"/>
      <c r="G331" s="144">
        <v>0</v>
      </c>
      <c r="H331" s="145">
        <v>0</v>
      </c>
      <c r="I331" s="145">
        <f t="shared" si="177"/>
        <v>0</v>
      </c>
      <c r="J331" s="190"/>
      <c r="K331" s="144">
        <v>0</v>
      </c>
      <c r="L331" s="146">
        <f t="shared" si="178"/>
        <v>0</v>
      </c>
      <c r="M331" s="147">
        <f t="shared" si="179"/>
        <v>0</v>
      </c>
      <c r="N331" s="138" t="s">
        <v>92</v>
      </c>
      <c r="O331" s="190"/>
      <c r="P331" s="148">
        <v>0</v>
      </c>
      <c r="Q331" s="146">
        <f t="shared" si="175"/>
        <v>0</v>
      </c>
      <c r="R331" s="147">
        <f t="shared" si="176"/>
        <v>0</v>
      </c>
      <c r="S331" s="138" t="s">
        <v>92</v>
      </c>
      <c r="T331" s="190"/>
      <c r="U331" s="148">
        <f t="shared" si="173"/>
        <v>0</v>
      </c>
      <c r="V331" s="147">
        <f t="shared" si="174"/>
        <v>0</v>
      </c>
      <c r="W331" s="190"/>
      <c r="X331" s="143"/>
    </row>
    <row r="332" spans="2:24" x14ac:dyDescent="0.35">
      <c r="B332" s="140"/>
      <c r="C332" s="143"/>
      <c r="D332" s="142"/>
      <c r="E332" s="143"/>
      <c r="F332" s="143"/>
      <c r="G332" s="144">
        <v>0</v>
      </c>
      <c r="H332" s="145">
        <v>0</v>
      </c>
      <c r="I332" s="145">
        <f t="shared" si="177"/>
        <v>0</v>
      </c>
      <c r="J332" s="190"/>
      <c r="K332" s="144">
        <v>0</v>
      </c>
      <c r="L332" s="146">
        <f t="shared" si="178"/>
        <v>0</v>
      </c>
      <c r="M332" s="147">
        <f t="shared" si="179"/>
        <v>0</v>
      </c>
      <c r="N332" s="138" t="s">
        <v>92</v>
      </c>
      <c r="O332" s="190"/>
      <c r="P332" s="148">
        <v>0</v>
      </c>
      <c r="Q332" s="146">
        <f t="shared" si="175"/>
        <v>0</v>
      </c>
      <c r="R332" s="147">
        <f t="shared" si="176"/>
        <v>0</v>
      </c>
      <c r="S332" s="138" t="s">
        <v>92</v>
      </c>
      <c r="T332" s="190"/>
      <c r="U332" s="148">
        <f t="shared" si="173"/>
        <v>0</v>
      </c>
      <c r="V332" s="147">
        <f t="shared" si="174"/>
        <v>0</v>
      </c>
      <c r="W332" s="190"/>
      <c r="X332" s="143"/>
    </row>
    <row r="333" spans="2:24" x14ac:dyDescent="0.35">
      <c r="B333" s="140"/>
      <c r="C333" s="143"/>
      <c r="D333" s="142"/>
      <c r="E333" s="143"/>
      <c r="F333" s="143"/>
      <c r="G333" s="144">
        <v>0</v>
      </c>
      <c r="H333" s="145">
        <v>0</v>
      </c>
      <c r="I333" s="145">
        <f t="shared" si="177"/>
        <v>0</v>
      </c>
      <c r="J333" s="190"/>
      <c r="K333" s="144">
        <v>0</v>
      </c>
      <c r="L333" s="146">
        <f t="shared" si="178"/>
        <v>0</v>
      </c>
      <c r="M333" s="147">
        <f t="shared" si="179"/>
        <v>0</v>
      </c>
      <c r="N333" s="138" t="s">
        <v>92</v>
      </c>
      <c r="O333" s="190"/>
      <c r="P333" s="148">
        <v>0</v>
      </c>
      <c r="Q333" s="146">
        <f t="shared" si="175"/>
        <v>0</v>
      </c>
      <c r="R333" s="147">
        <f t="shared" si="176"/>
        <v>0</v>
      </c>
      <c r="S333" s="138" t="s">
        <v>92</v>
      </c>
      <c r="T333" s="190"/>
      <c r="U333" s="148">
        <f t="shared" si="173"/>
        <v>0</v>
      </c>
      <c r="V333" s="147">
        <f t="shared" si="174"/>
        <v>0</v>
      </c>
      <c r="W333" s="190"/>
      <c r="X333" s="143"/>
    </row>
    <row r="334" spans="2:24" x14ac:dyDescent="0.35">
      <c r="B334" s="140"/>
      <c r="C334" s="143"/>
      <c r="D334" s="142"/>
      <c r="E334" s="143"/>
      <c r="F334" s="143"/>
      <c r="G334" s="144">
        <v>0</v>
      </c>
      <c r="H334" s="145">
        <v>0</v>
      </c>
      <c r="I334" s="145">
        <f t="shared" si="177"/>
        <v>0</v>
      </c>
      <c r="J334" s="190"/>
      <c r="K334" s="144">
        <v>0</v>
      </c>
      <c r="L334" s="146">
        <f t="shared" si="178"/>
        <v>0</v>
      </c>
      <c r="M334" s="147">
        <f t="shared" si="179"/>
        <v>0</v>
      </c>
      <c r="N334" s="138" t="s">
        <v>92</v>
      </c>
      <c r="O334" s="190"/>
      <c r="P334" s="148">
        <v>0</v>
      </c>
      <c r="Q334" s="146">
        <f t="shared" si="175"/>
        <v>0</v>
      </c>
      <c r="R334" s="147">
        <f t="shared" si="176"/>
        <v>0</v>
      </c>
      <c r="S334" s="138" t="s">
        <v>92</v>
      </c>
      <c r="T334" s="190"/>
      <c r="U334" s="148">
        <f t="shared" si="173"/>
        <v>0</v>
      </c>
      <c r="V334" s="147">
        <f t="shared" si="174"/>
        <v>0</v>
      </c>
      <c r="W334" s="190"/>
      <c r="X334" s="143"/>
    </row>
    <row r="335" spans="2:24" x14ac:dyDescent="0.35">
      <c r="B335" s="140"/>
      <c r="C335" s="143"/>
      <c r="D335" s="142"/>
      <c r="E335" s="143"/>
      <c r="F335" s="143"/>
      <c r="G335" s="144">
        <v>0</v>
      </c>
      <c r="H335" s="145">
        <v>0</v>
      </c>
      <c r="I335" s="145">
        <f t="shared" si="177"/>
        <v>0</v>
      </c>
      <c r="J335" s="190"/>
      <c r="K335" s="144">
        <v>0</v>
      </c>
      <c r="L335" s="146">
        <f t="shared" si="178"/>
        <v>0</v>
      </c>
      <c r="M335" s="147">
        <f t="shared" si="179"/>
        <v>0</v>
      </c>
      <c r="N335" s="138" t="s">
        <v>92</v>
      </c>
      <c r="O335" s="190"/>
      <c r="P335" s="148">
        <v>0</v>
      </c>
      <c r="Q335" s="146">
        <f t="shared" si="175"/>
        <v>0</v>
      </c>
      <c r="R335" s="147">
        <f t="shared" si="176"/>
        <v>0</v>
      </c>
      <c r="S335" s="138" t="s">
        <v>92</v>
      </c>
      <c r="T335" s="190"/>
      <c r="U335" s="148">
        <f t="shared" si="173"/>
        <v>0</v>
      </c>
      <c r="V335" s="147">
        <f t="shared" si="174"/>
        <v>0</v>
      </c>
      <c r="W335" s="190"/>
      <c r="X335" s="143"/>
    </row>
    <row r="336" spans="2:24" x14ac:dyDescent="0.35">
      <c r="B336" s="140"/>
      <c r="C336" s="143"/>
      <c r="D336" s="142"/>
      <c r="E336" s="143"/>
      <c r="F336" s="143"/>
      <c r="G336" s="144">
        <v>0</v>
      </c>
      <c r="H336" s="145">
        <v>0</v>
      </c>
      <c r="I336" s="145">
        <f t="shared" si="177"/>
        <v>0</v>
      </c>
      <c r="J336" s="190"/>
      <c r="K336" s="144">
        <v>0</v>
      </c>
      <c r="L336" s="146">
        <f t="shared" si="178"/>
        <v>0</v>
      </c>
      <c r="M336" s="147">
        <f t="shared" si="179"/>
        <v>0</v>
      </c>
      <c r="N336" s="138" t="s">
        <v>92</v>
      </c>
      <c r="O336" s="190"/>
      <c r="P336" s="148">
        <v>0</v>
      </c>
      <c r="Q336" s="146">
        <f t="shared" si="175"/>
        <v>0</v>
      </c>
      <c r="R336" s="147">
        <f t="shared" si="176"/>
        <v>0</v>
      </c>
      <c r="S336" s="138" t="s">
        <v>92</v>
      </c>
      <c r="T336" s="190"/>
      <c r="U336" s="148">
        <f t="shared" si="173"/>
        <v>0</v>
      </c>
      <c r="V336" s="147">
        <f t="shared" si="174"/>
        <v>0</v>
      </c>
      <c r="W336" s="190"/>
      <c r="X336" s="143"/>
    </row>
    <row r="337" spans="2:24" x14ac:dyDescent="0.35">
      <c r="B337" s="140"/>
      <c r="C337" s="143"/>
      <c r="D337" s="142"/>
      <c r="E337" s="143"/>
      <c r="F337" s="143"/>
      <c r="G337" s="144">
        <v>0</v>
      </c>
      <c r="H337" s="145">
        <v>0</v>
      </c>
      <c r="I337" s="145">
        <f t="shared" si="177"/>
        <v>0</v>
      </c>
      <c r="J337" s="190"/>
      <c r="K337" s="144">
        <v>0</v>
      </c>
      <c r="L337" s="146">
        <f t="shared" si="178"/>
        <v>0</v>
      </c>
      <c r="M337" s="147">
        <f t="shared" si="179"/>
        <v>0</v>
      </c>
      <c r="N337" s="138" t="s">
        <v>92</v>
      </c>
      <c r="O337" s="190"/>
      <c r="P337" s="148">
        <v>0</v>
      </c>
      <c r="Q337" s="146">
        <f t="shared" si="175"/>
        <v>0</v>
      </c>
      <c r="R337" s="147">
        <f t="shared" si="176"/>
        <v>0</v>
      </c>
      <c r="S337" s="138" t="s">
        <v>92</v>
      </c>
      <c r="T337" s="190"/>
      <c r="U337" s="148">
        <f t="shared" si="173"/>
        <v>0</v>
      </c>
      <c r="V337" s="147">
        <f t="shared" si="174"/>
        <v>0</v>
      </c>
      <c r="W337" s="190"/>
      <c r="X337" s="143"/>
    </row>
    <row r="338" spans="2:24" x14ac:dyDescent="0.35">
      <c r="B338" s="140"/>
      <c r="C338" s="143"/>
      <c r="D338" s="143"/>
      <c r="E338" s="143"/>
      <c r="F338" s="143"/>
      <c r="G338" s="144">
        <v>0</v>
      </c>
      <c r="H338" s="145">
        <v>0</v>
      </c>
      <c r="I338" s="145">
        <f t="shared" si="177"/>
        <v>0</v>
      </c>
      <c r="J338" s="190"/>
      <c r="K338" s="144">
        <v>0</v>
      </c>
      <c r="L338" s="146">
        <f t="shared" si="178"/>
        <v>0</v>
      </c>
      <c r="M338" s="147">
        <f t="shared" si="179"/>
        <v>0</v>
      </c>
      <c r="N338" s="138" t="s">
        <v>92</v>
      </c>
      <c r="O338" s="190"/>
      <c r="P338" s="148">
        <v>0</v>
      </c>
      <c r="Q338" s="146">
        <f t="shared" si="175"/>
        <v>0</v>
      </c>
      <c r="R338" s="147">
        <f t="shared" si="176"/>
        <v>0</v>
      </c>
      <c r="S338" s="138" t="s">
        <v>92</v>
      </c>
      <c r="T338" s="190"/>
      <c r="U338" s="148">
        <f t="shared" si="173"/>
        <v>0</v>
      </c>
      <c r="V338" s="147">
        <f t="shared" si="174"/>
        <v>0</v>
      </c>
      <c r="W338" s="190"/>
      <c r="X338" s="143"/>
    </row>
    <row r="339" spans="2:24" x14ac:dyDescent="0.35">
      <c r="B339" s="140"/>
      <c r="C339" s="143"/>
      <c r="D339" s="143"/>
      <c r="E339" s="143"/>
      <c r="F339" s="143"/>
      <c r="G339" s="144">
        <v>0</v>
      </c>
      <c r="H339" s="145">
        <v>0</v>
      </c>
      <c r="I339" s="145">
        <f t="shared" si="177"/>
        <v>0</v>
      </c>
      <c r="J339" s="190"/>
      <c r="K339" s="144">
        <v>0</v>
      </c>
      <c r="L339" s="146">
        <f t="shared" si="178"/>
        <v>0</v>
      </c>
      <c r="M339" s="147">
        <f t="shared" si="179"/>
        <v>0</v>
      </c>
      <c r="N339" s="138" t="s">
        <v>92</v>
      </c>
      <c r="O339" s="190"/>
      <c r="P339" s="148">
        <v>0</v>
      </c>
      <c r="Q339" s="146">
        <f t="shared" si="175"/>
        <v>0</v>
      </c>
      <c r="R339" s="147">
        <f t="shared" si="176"/>
        <v>0</v>
      </c>
      <c r="S339" s="138" t="s">
        <v>92</v>
      </c>
      <c r="T339" s="190"/>
      <c r="U339" s="148">
        <f t="shared" si="173"/>
        <v>0</v>
      </c>
      <c r="V339" s="147">
        <f t="shared" si="174"/>
        <v>0</v>
      </c>
      <c r="W339" s="190"/>
      <c r="X339" s="143"/>
    </row>
    <row r="340" spans="2:24" x14ac:dyDescent="0.35">
      <c r="B340" s="140"/>
      <c r="C340" s="143"/>
      <c r="D340" s="143"/>
      <c r="E340" s="143"/>
      <c r="F340" s="143"/>
      <c r="G340" s="144">
        <v>0</v>
      </c>
      <c r="H340" s="145">
        <v>0</v>
      </c>
      <c r="I340" s="145">
        <f t="shared" si="177"/>
        <v>0</v>
      </c>
      <c r="J340" s="190"/>
      <c r="K340" s="144">
        <v>0</v>
      </c>
      <c r="L340" s="146">
        <f t="shared" si="178"/>
        <v>0</v>
      </c>
      <c r="M340" s="147">
        <f t="shared" si="179"/>
        <v>0</v>
      </c>
      <c r="N340" s="138" t="s">
        <v>92</v>
      </c>
      <c r="O340" s="190"/>
      <c r="P340" s="148">
        <v>0</v>
      </c>
      <c r="Q340" s="146">
        <f t="shared" si="175"/>
        <v>0</v>
      </c>
      <c r="R340" s="147">
        <f t="shared" si="176"/>
        <v>0</v>
      </c>
      <c r="S340" s="138" t="s">
        <v>92</v>
      </c>
      <c r="T340" s="190"/>
      <c r="U340" s="148">
        <f t="shared" si="173"/>
        <v>0</v>
      </c>
      <c r="V340" s="147">
        <f t="shared" si="174"/>
        <v>0</v>
      </c>
      <c r="W340" s="190"/>
      <c r="X340" s="143"/>
    </row>
    <row r="341" spans="2:24" x14ac:dyDescent="0.35">
      <c r="B341" s="140"/>
      <c r="C341" s="143"/>
      <c r="D341" s="142"/>
      <c r="E341" s="143"/>
      <c r="F341" s="143"/>
      <c r="G341" s="144">
        <v>0</v>
      </c>
      <c r="H341" s="145">
        <v>0</v>
      </c>
      <c r="I341" s="145">
        <f t="shared" si="177"/>
        <v>0</v>
      </c>
      <c r="J341" s="190"/>
      <c r="K341" s="144">
        <v>0</v>
      </c>
      <c r="L341" s="146">
        <f t="shared" si="178"/>
        <v>0</v>
      </c>
      <c r="M341" s="147">
        <f t="shared" si="179"/>
        <v>0</v>
      </c>
      <c r="N341" s="138" t="s">
        <v>92</v>
      </c>
      <c r="O341" s="190"/>
      <c r="P341" s="148">
        <v>0</v>
      </c>
      <c r="Q341" s="146">
        <f t="shared" si="175"/>
        <v>0</v>
      </c>
      <c r="R341" s="147">
        <f t="shared" si="176"/>
        <v>0</v>
      </c>
      <c r="S341" s="138" t="s">
        <v>92</v>
      </c>
      <c r="T341" s="190"/>
      <c r="U341" s="148">
        <f t="shared" si="173"/>
        <v>0</v>
      </c>
      <c r="V341" s="147">
        <f t="shared" si="174"/>
        <v>0</v>
      </c>
      <c r="W341" s="190"/>
      <c r="X341" s="143"/>
    </row>
    <row r="342" spans="2:24" x14ac:dyDescent="0.35">
      <c r="B342" s="140"/>
      <c r="C342" s="143"/>
      <c r="D342" s="142"/>
      <c r="E342" s="143"/>
      <c r="F342" s="143"/>
      <c r="G342" s="144">
        <v>0</v>
      </c>
      <c r="H342" s="145">
        <v>0</v>
      </c>
      <c r="I342" s="145">
        <f t="shared" si="177"/>
        <v>0</v>
      </c>
      <c r="J342" s="190"/>
      <c r="K342" s="144">
        <v>0</v>
      </c>
      <c r="L342" s="146">
        <f t="shared" si="178"/>
        <v>0</v>
      </c>
      <c r="M342" s="147">
        <f t="shared" si="179"/>
        <v>0</v>
      </c>
      <c r="N342" s="138" t="s">
        <v>92</v>
      </c>
      <c r="O342" s="190"/>
      <c r="P342" s="148">
        <v>0</v>
      </c>
      <c r="Q342" s="146">
        <f t="shared" si="175"/>
        <v>0</v>
      </c>
      <c r="R342" s="147">
        <f t="shared" si="176"/>
        <v>0</v>
      </c>
      <c r="S342" s="138" t="s">
        <v>92</v>
      </c>
      <c r="T342" s="190"/>
      <c r="U342" s="148">
        <f t="shared" si="173"/>
        <v>0</v>
      </c>
      <c r="V342" s="147">
        <f t="shared" si="174"/>
        <v>0</v>
      </c>
      <c r="W342" s="190"/>
      <c r="X342" s="143"/>
    </row>
    <row r="343" spans="2:24" x14ac:dyDescent="0.35">
      <c r="B343" s="140"/>
      <c r="C343" s="143"/>
      <c r="D343" s="142"/>
      <c r="E343" s="143"/>
      <c r="F343" s="143"/>
      <c r="G343" s="144">
        <v>0</v>
      </c>
      <c r="H343" s="145">
        <v>0</v>
      </c>
      <c r="I343" s="145">
        <f t="shared" si="177"/>
        <v>0</v>
      </c>
      <c r="J343" s="190"/>
      <c r="K343" s="144">
        <v>0</v>
      </c>
      <c r="L343" s="146">
        <f t="shared" si="178"/>
        <v>0</v>
      </c>
      <c r="M343" s="147">
        <f t="shared" si="179"/>
        <v>0</v>
      </c>
      <c r="N343" s="138" t="s">
        <v>92</v>
      </c>
      <c r="O343" s="190"/>
      <c r="P343" s="148">
        <v>0</v>
      </c>
      <c r="Q343" s="146">
        <f t="shared" si="175"/>
        <v>0</v>
      </c>
      <c r="R343" s="147">
        <f t="shared" si="176"/>
        <v>0</v>
      </c>
      <c r="S343" s="138" t="s">
        <v>92</v>
      </c>
      <c r="T343" s="190"/>
      <c r="U343" s="148">
        <f t="shared" si="173"/>
        <v>0</v>
      </c>
      <c r="V343" s="147">
        <f t="shared" si="174"/>
        <v>0</v>
      </c>
      <c r="W343" s="190"/>
      <c r="X343" s="143"/>
    </row>
    <row r="344" spans="2:24" x14ac:dyDescent="0.35">
      <c r="B344" s="140"/>
      <c r="C344" s="143"/>
      <c r="D344" s="143"/>
      <c r="E344" s="143"/>
      <c r="F344" s="143"/>
      <c r="G344" s="144">
        <v>0</v>
      </c>
      <c r="H344" s="145">
        <v>0</v>
      </c>
      <c r="I344" s="145">
        <f t="shared" si="177"/>
        <v>0</v>
      </c>
      <c r="J344" s="190"/>
      <c r="K344" s="144">
        <v>0</v>
      </c>
      <c r="L344" s="146">
        <f t="shared" si="178"/>
        <v>0</v>
      </c>
      <c r="M344" s="147">
        <f t="shared" si="179"/>
        <v>0</v>
      </c>
      <c r="N344" s="138" t="s">
        <v>92</v>
      </c>
      <c r="O344" s="190"/>
      <c r="P344" s="148">
        <v>0</v>
      </c>
      <c r="Q344" s="146">
        <f t="shared" si="175"/>
        <v>0</v>
      </c>
      <c r="R344" s="147">
        <f t="shared" si="176"/>
        <v>0</v>
      </c>
      <c r="S344" s="138" t="s">
        <v>92</v>
      </c>
      <c r="T344" s="190"/>
      <c r="U344" s="148">
        <f t="shared" si="173"/>
        <v>0</v>
      </c>
      <c r="V344" s="147">
        <f t="shared" si="174"/>
        <v>0</v>
      </c>
      <c r="W344" s="190"/>
      <c r="X344" s="143"/>
    </row>
    <row r="345" spans="2:24" x14ac:dyDescent="0.35">
      <c r="B345" s="140"/>
      <c r="C345" s="143"/>
      <c r="D345" s="143"/>
      <c r="E345" s="143"/>
      <c r="F345" s="143"/>
      <c r="G345" s="144">
        <v>0</v>
      </c>
      <c r="H345" s="145">
        <v>0</v>
      </c>
      <c r="I345" s="145">
        <f t="shared" si="177"/>
        <v>0</v>
      </c>
      <c r="J345" s="190"/>
      <c r="K345" s="144">
        <v>0</v>
      </c>
      <c r="L345" s="146">
        <f t="shared" si="178"/>
        <v>0</v>
      </c>
      <c r="M345" s="147">
        <f t="shared" si="179"/>
        <v>0</v>
      </c>
      <c r="N345" s="138" t="s">
        <v>92</v>
      </c>
      <c r="O345" s="190"/>
      <c r="P345" s="148">
        <v>0</v>
      </c>
      <c r="Q345" s="146">
        <f t="shared" si="175"/>
        <v>0</v>
      </c>
      <c r="R345" s="147">
        <f t="shared" si="176"/>
        <v>0</v>
      </c>
      <c r="S345" s="138" t="s">
        <v>92</v>
      </c>
      <c r="T345" s="190"/>
      <c r="U345" s="148">
        <f t="shared" si="173"/>
        <v>0</v>
      </c>
      <c r="V345" s="147">
        <f t="shared" si="174"/>
        <v>0</v>
      </c>
      <c r="W345" s="190"/>
      <c r="X345" s="143"/>
    </row>
    <row r="346" spans="2:24" x14ac:dyDescent="0.35">
      <c r="B346" s="140"/>
      <c r="C346" s="143"/>
      <c r="D346" s="143"/>
      <c r="E346" s="143"/>
      <c r="F346" s="143"/>
      <c r="G346" s="144">
        <v>0</v>
      </c>
      <c r="H346" s="145">
        <v>0</v>
      </c>
      <c r="I346" s="145">
        <f t="shared" si="177"/>
        <v>0</v>
      </c>
      <c r="J346" s="190"/>
      <c r="K346" s="144">
        <v>0</v>
      </c>
      <c r="L346" s="146">
        <f t="shared" si="178"/>
        <v>0</v>
      </c>
      <c r="M346" s="147">
        <f t="shared" si="179"/>
        <v>0</v>
      </c>
      <c r="N346" s="138" t="s">
        <v>92</v>
      </c>
      <c r="O346" s="190"/>
      <c r="P346" s="148">
        <v>0</v>
      </c>
      <c r="Q346" s="146">
        <f t="shared" si="175"/>
        <v>0</v>
      </c>
      <c r="R346" s="147">
        <f t="shared" si="176"/>
        <v>0</v>
      </c>
      <c r="S346" s="138" t="s">
        <v>92</v>
      </c>
      <c r="T346" s="190"/>
      <c r="U346" s="148">
        <f t="shared" si="173"/>
        <v>0</v>
      </c>
      <c r="V346" s="147">
        <f t="shared" si="174"/>
        <v>0</v>
      </c>
      <c r="W346" s="190"/>
      <c r="X346" s="143"/>
    </row>
    <row r="347" spans="2:24" x14ac:dyDescent="0.35">
      <c r="B347" s="140"/>
      <c r="C347" s="143"/>
      <c r="D347" s="143"/>
      <c r="E347" s="143"/>
      <c r="F347" s="143"/>
      <c r="G347" s="144">
        <v>0</v>
      </c>
      <c r="H347" s="145">
        <v>0</v>
      </c>
      <c r="I347" s="145">
        <f t="shared" si="177"/>
        <v>0</v>
      </c>
      <c r="J347" s="190"/>
      <c r="K347" s="144">
        <v>0</v>
      </c>
      <c r="L347" s="146">
        <f t="shared" si="178"/>
        <v>0</v>
      </c>
      <c r="M347" s="147">
        <f t="shared" si="179"/>
        <v>0</v>
      </c>
      <c r="N347" s="138" t="s">
        <v>92</v>
      </c>
      <c r="O347" s="190"/>
      <c r="P347" s="148">
        <v>0</v>
      </c>
      <c r="Q347" s="146">
        <f t="shared" si="175"/>
        <v>0</v>
      </c>
      <c r="R347" s="147">
        <f t="shared" si="176"/>
        <v>0</v>
      </c>
      <c r="S347" s="138" t="s">
        <v>92</v>
      </c>
      <c r="T347" s="190"/>
      <c r="U347" s="148">
        <f t="shared" si="173"/>
        <v>0</v>
      </c>
      <c r="V347" s="147">
        <f t="shared" si="174"/>
        <v>0</v>
      </c>
      <c r="W347" s="190"/>
      <c r="X347" s="143"/>
    </row>
    <row r="348" spans="2:24" x14ac:dyDescent="0.35">
      <c r="B348" s="140"/>
      <c r="C348" s="143"/>
      <c r="D348" s="142"/>
      <c r="E348" s="143"/>
      <c r="F348" s="143"/>
      <c r="G348" s="144">
        <v>0</v>
      </c>
      <c r="H348" s="145">
        <v>0</v>
      </c>
      <c r="I348" s="145">
        <f t="shared" si="177"/>
        <v>0</v>
      </c>
      <c r="J348" s="190"/>
      <c r="K348" s="144">
        <v>0</v>
      </c>
      <c r="L348" s="146">
        <f t="shared" si="178"/>
        <v>0</v>
      </c>
      <c r="M348" s="147">
        <f t="shared" si="179"/>
        <v>0</v>
      </c>
      <c r="N348" s="138" t="s">
        <v>92</v>
      </c>
      <c r="O348" s="190"/>
      <c r="P348" s="148">
        <v>0</v>
      </c>
      <c r="Q348" s="146">
        <f t="shared" si="175"/>
        <v>0</v>
      </c>
      <c r="R348" s="147">
        <f t="shared" si="176"/>
        <v>0</v>
      </c>
      <c r="S348" s="138" t="s">
        <v>92</v>
      </c>
      <c r="T348" s="190"/>
      <c r="U348" s="148">
        <f t="shared" si="173"/>
        <v>0</v>
      </c>
      <c r="V348" s="147">
        <f t="shared" si="174"/>
        <v>0</v>
      </c>
      <c r="W348" s="190"/>
      <c r="X348" s="143"/>
    </row>
    <row r="349" spans="2:24" x14ac:dyDescent="0.35">
      <c r="B349" s="140"/>
      <c r="C349" s="143"/>
      <c r="D349" s="143"/>
      <c r="E349" s="143"/>
      <c r="F349" s="143"/>
      <c r="G349" s="144">
        <v>0</v>
      </c>
      <c r="H349" s="145">
        <v>0</v>
      </c>
      <c r="I349" s="145">
        <f t="shared" si="177"/>
        <v>0</v>
      </c>
      <c r="J349" s="190"/>
      <c r="K349" s="144">
        <v>0</v>
      </c>
      <c r="L349" s="146">
        <f t="shared" si="178"/>
        <v>0</v>
      </c>
      <c r="M349" s="147">
        <f t="shared" si="179"/>
        <v>0</v>
      </c>
      <c r="N349" s="138" t="s">
        <v>92</v>
      </c>
      <c r="O349" s="190"/>
      <c r="P349" s="148">
        <v>0</v>
      </c>
      <c r="Q349" s="146">
        <f t="shared" si="175"/>
        <v>0</v>
      </c>
      <c r="R349" s="147">
        <f t="shared" si="176"/>
        <v>0</v>
      </c>
      <c r="S349" s="138" t="s">
        <v>92</v>
      </c>
      <c r="T349" s="190"/>
      <c r="U349" s="148">
        <f t="shared" si="173"/>
        <v>0</v>
      </c>
      <c r="V349" s="147">
        <f t="shared" si="174"/>
        <v>0</v>
      </c>
      <c r="W349" s="190"/>
      <c r="X349" s="143"/>
    </row>
    <row r="350" spans="2:24" x14ac:dyDescent="0.35">
      <c r="B350" s="140"/>
      <c r="C350" s="143"/>
      <c r="D350" s="143"/>
      <c r="E350" s="143"/>
      <c r="F350" s="143"/>
      <c r="G350" s="144">
        <v>0</v>
      </c>
      <c r="H350" s="145">
        <v>0</v>
      </c>
      <c r="I350" s="145">
        <f t="shared" si="177"/>
        <v>0</v>
      </c>
      <c r="J350" s="190"/>
      <c r="K350" s="144">
        <v>0</v>
      </c>
      <c r="L350" s="146">
        <f t="shared" si="178"/>
        <v>0</v>
      </c>
      <c r="M350" s="147">
        <f t="shared" si="179"/>
        <v>0</v>
      </c>
      <c r="N350" s="138" t="s">
        <v>92</v>
      </c>
      <c r="O350" s="190"/>
      <c r="P350" s="148">
        <v>0</v>
      </c>
      <c r="Q350" s="146">
        <f t="shared" si="175"/>
        <v>0</v>
      </c>
      <c r="R350" s="147">
        <f t="shared" si="176"/>
        <v>0</v>
      </c>
      <c r="S350" s="138" t="s">
        <v>92</v>
      </c>
      <c r="T350" s="190"/>
      <c r="U350" s="148">
        <f t="shared" si="173"/>
        <v>0</v>
      </c>
      <c r="V350" s="147">
        <f t="shared" si="174"/>
        <v>0</v>
      </c>
      <c r="W350" s="190"/>
      <c r="X350" s="143"/>
    </row>
    <row r="351" spans="2:24" x14ac:dyDescent="0.35">
      <c r="B351" s="140"/>
      <c r="C351" s="143"/>
      <c r="D351" s="143"/>
      <c r="E351" s="143"/>
      <c r="F351" s="143"/>
      <c r="G351" s="144">
        <v>0</v>
      </c>
      <c r="H351" s="145">
        <v>0</v>
      </c>
      <c r="I351" s="145">
        <f t="shared" si="177"/>
        <v>0</v>
      </c>
      <c r="J351" s="190"/>
      <c r="K351" s="144">
        <v>0</v>
      </c>
      <c r="L351" s="146">
        <f t="shared" si="178"/>
        <v>0</v>
      </c>
      <c r="M351" s="147">
        <f t="shared" si="179"/>
        <v>0</v>
      </c>
      <c r="N351" s="138" t="s">
        <v>92</v>
      </c>
      <c r="O351" s="190"/>
      <c r="P351" s="148">
        <v>0</v>
      </c>
      <c r="Q351" s="146">
        <f t="shared" si="175"/>
        <v>0</v>
      </c>
      <c r="R351" s="147">
        <f t="shared" si="176"/>
        <v>0</v>
      </c>
      <c r="S351" s="138" t="s">
        <v>92</v>
      </c>
      <c r="T351" s="190"/>
      <c r="U351" s="148">
        <f t="shared" si="173"/>
        <v>0</v>
      </c>
      <c r="V351" s="147">
        <f t="shared" si="174"/>
        <v>0</v>
      </c>
      <c r="W351" s="190"/>
      <c r="X351" s="143"/>
    </row>
    <row r="352" spans="2:24" x14ac:dyDescent="0.35">
      <c r="B352" s="140"/>
      <c r="C352" s="143"/>
      <c r="D352" s="143"/>
      <c r="E352" s="143"/>
      <c r="F352" s="143"/>
      <c r="G352" s="144">
        <v>0</v>
      </c>
      <c r="H352" s="145">
        <v>0</v>
      </c>
      <c r="I352" s="145">
        <f t="shared" si="177"/>
        <v>0</v>
      </c>
      <c r="J352" s="190"/>
      <c r="K352" s="144">
        <v>0</v>
      </c>
      <c r="L352" s="146">
        <f t="shared" si="178"/>
        <v>0</v>
      </c>
      <c r="M352" s="147">
        <f t="shared" si="179"/>
        <v>0</v>
      </c>
      <c r="N352" s="138" t="s">
        <v>92</v>
      </c>
      <c r="O352" s="190"/>
      <c r="P352" s="148">
        <v>0</v>
      </c>
      <c r="Q352" s="146">
        <f t="shared" si="175"/>
        <v>0</v>
      </c>
      <c r="R352" s="147">
        <f t="shared" si="176"/>
        <v>0</v>
      </c>
      <c r="S352" s="138" t="s">
        <v>92</v>
      </c>
      <c r="T352" s="190"/>
      <c r="U352" s="148">
        <f t="shared" si="173"/>
        <v>0</v>
      </c>
      <c r="V352" s="147">
        <f t="shared" si="174"/>
        <v>0</v>
      </c>
      <c r="W352" s="190"/>
      <c r="X352" s="143"/>
    </row>
    <row r="353" spans="2:24" x14ac:dyDescent="0.35">
      <c r="B353" s="140"/>
      <c r="C353" s="143"/>
      <c r="D353" s="143"/>
      <c r="E353" s="143"/>
      <c r="F353" s="143"/>
      <c r="G353" s="144">
        <v>0</v>
      </c>
      <c r="H353" s="145">
        <v>0</v>
      </c>
      <c r="I353" s="145">
        <f t="shared" si="177"/>
        <v>0</v>
      </c>
      <c r="J353" s="190"/>
      <c r="K353" s="144">
        <v>0</v>
      </c>
      <c r="L353" s="146">
        <f t="shared" si="178"/>
        <v>0</v>
      </c>
      <c r="M353" s="147">
        <f t="shared" si="179"/>
        <v>0</v>
      </c>
      <c r="N353" s="138" t="s">
        <v>92</v>
      </c>
      <c r="O353" s="190"/>
      <c r="P353" s="148">
        <v>0</v>
      </c>
      <c r="Q353" s="146">
        <f t="shared" si="175"/>
        <v>0</v>
      </c>
      <c r="R353" s="147">
        <f t="shared" si="176"/>
        <v>0</v>
      </c>
      <c r="S353" s="138" t="s">
        <v>92</v>
      </c>
      <c r="T353" s="190"/>
      <c r="U353" s="148">
        <f t="shared" si="173"/>
        <v>0</v>
      </c>
      <c r="V353" s="147">
        <f t="shared" si="174"/>
        <v>0</v>
      </c>
      <c r="W353" s="190"/>
      <c r="X353" s="143"/>
    </row>
    <row r="354" spans="2:24" x14ac:dyDescent="0.35">
      <c r="B354" s="140"/>
      <c r="C354" s="143"/>
      <c r="D354" s="143"/>
      <c r="E354" s="143"/>
      <c r="F354" s="143"/>
      <c r="G354" s="144">
        <v>0</v>
      </c>
      <c r="H354" s="145">
        <v>0</v>
      </c>
      <c r="I354" s="145">
        <f t="shared" si="177"/>
        <v>0</v>
      </c>
      <c r="J354" s="190"/>
      <c r="K354" s="144">
        <v>0</v>
      </c>
      <c r="L354" s="146">
        <f t="shared" si="178"/>
        <v>0</v>
      </c>
      <c r="M354" s="147">
        <f t="shared" si="179"/>
        <v>0</v>
      </c>
      <c r="N354" s="138" t="s">
        <v>92</v>
      </c>
      <c r="O354" s="190"/>
      <c r="P354" s="148">
        <v>0</v>
      </c>
      <c r="Q354" s="146">
        <f t="shared" si="175"/>
        <v>0</v>
      </c>
      <c r="R354" s="147">
        <f t="shared" si="176"/>
        <v>0</v>
      </c>
      <c r="S354" s="138" t="s">
        <v>92</v>
      </c>
      <c r="T354" s="190"/>
      <c r="U354" s="148">
        <f t="shared" si="173"/>
        <v>0</v>
      </c>
      <c r="V354" s="147">
        <f t="shared" si="174"/>
        <v>0</v>
      </c>
      <c r="W354" s="190"/>
      <c r="X354" s="143"/>
    </row>
    <row r="355" spans="2:24" x14ac:dyDescent="0.35">
      <c r="B355" s="140"/>
      <c r="C355" s="143"/>
      <c r="D355" s="143"/>
      <c r="E355" s="143"/>
      <c r="F355" s="143"/>
      <c r="G355" s="144">
        <v>0</v>
      </c>
      <c r="H355" s="145">
        <v>0</v>
      </c>
      <c r="I355" s="145">
        <f t="shared" si="177"/>
        <v>0</v>
      </c>
      <c r="J355" s="190"/>
      <c r="K355" s="144">
        <v>0</v>
      </c>
      <c r="L355" s="146">
        <f t="shared" si="178"/>
        <v>0</v>
      </c>
      <c r="M355" s="147">
        <f t="shared" si="179"/>
        <v>0</v>
      </c>
      <c r="N355" s="138" t="s">
        <v>92</v>
      </c>
      <c r="O355" s="190"/>
      <c r="P355" s="148">
        <v>0</v>
      </c>
      <c r="Q355" s="146">
        <f t="shared" si="175"/>
        <v>0</v>
      </c>
      <c r="R355" s="147">
        <f t="shared" si="176"/>
        <v>0</v>
      </c>
      <c r="S355" s="138" t="s">
        <v>92</v>
      </c>
      <c r="T355" s="190"/>
      <c r="U355" s="148">
        <f t="shared" si="173"/>
        <v>0</v>
      </c>
      <c r="V355" s="147">
        <f t="shared" si="174"/>
        <v>0</v>
      </c>
      <c r="W355" s="190"/>
      <c r="X355" s="143"/>
    </row>
    <row r="356" spans="2:24" x14ac:dyDescent="0.35">
      <c r="B356" s="140"/>
      <c r="C356" s="143"/>
      <c r="D356" s="143"/>
      <c r="E356" s="143"/>
      <c r="F356" s="143"/>
      <c r="G356" s="144">
        <v>0</v>
      </c>
      <c r="H356" s="145">
        <v>0</v>
      </c>
      <c r="I356" s="145">
        <f t="shared" si="177"/>
        <v>0</v>
      </c>
      <c r="J356" s="190"/>
      <c r="K356" s="144">
        <v>0</v>
      </c>
      <c r="L356" s="146">
        <f t="shared" si="178"/>
        <v>0</v>
      </c>
      <c r="M356" s="147">
        <f t="shared" si="179"/>
        <v>0</v>
      </c>
      <c r="N356" s="138" t="s">
        <v>92</v>
      </c>
      <c r="O356" s="190"/>
      <c r="P356" s="148">
        <v>0</v>
      </c>
      <c r="Q356" s="146">
        <f t="shared" si="175"/>
        <v>0</v>
      </c>
      <c r="R356" s="147">
        <f t="shared" si="176"/>
        <v>0</v>
      </c>
      <c r="S356" s="138" t="s">
        <v>92</v>
      </c>
      <c r="T356" s="190"/>
      <c r="U356" s="148">
        <f t="shared" si="173"/>
        <v>0</v>
      </c>
      <c r="V356" s="147">
        <f t="shared" si="174"/>
        <v>0</v>
      </c>
      <c r="W356" s="190"/>
      <c r="X356" s="143"/>
    </row>
    <row r="357" spans="2:24" x14ac:dyDescent="0.35">
      <c r="B357" s="140"/>
      <c r="C357" s="143"/>
      <c r="D357" s="143"/>
      <c r="E357" s="143"/>
      <c r="F357" s="143"/>
      <c r="G357" s="144">
        <v>0</v>
      </c>
      <c r="H357" s="145">
        <v>0</v>
      </c>
      <c r="I357" s="145">
        <f t="shared" si="177"/>
        <v>0</v>
      </c>
      <c r="J357" s="190"/>
      <c r="K357" s="144">
        <v>0</v>
      </c>
      <c r="L357" s="146">
        <f t="shared" si="178"/>
        <v>0</v>
      </c>
      <c r="M357" s="147">
        <f t="shared" si="179"/>
        <v>0</v>
      </c>
      <c r="N357" s="138" t="s">
        <v>92</v>
      </c>
      <c r="O357" s="190"/>
      <c r="P357" s="148">
        <v>0</v>
      </c>
      <c r="Q357" s="146">
        <f t="shared" si="175"/>
        <v>0</v>
      </c>
      <c r="R357" s="147">
        <f t="shared" si="176"/>
        <v>0</v>
      </c>
      <c r="S357" s="138" t="s">
        <v>92</v>
      </c>
      <c r="T357" s="190"/>
      <c r="U357" s="148">
        <f t="shared" si="173"/>
        <v>0</v>
      </c>
      <c r="V357" s="147">
        <f t="shared" si="174"/>
        <v>0</v>
      </c>
      <c r="W357" s="190"/>
      <c r="X357" s="143"/>
    </row>
    <row r="358" spans="2:24" x14ac:dyDescent="0.35">
      <c r="B358" s="140"/>
      <c r="C358" s="143"/>
      <c r="D358" s="143"/>
      <c r="E358" s="143"/>
      <c r="F358" s="143"/>
      <c r="G358" s="144">
        <v>0</v>
      </c>
      <c r="H358" s="145">
        <v>0</v>
      </c>
      <c r="I358" s="145">
        <f t="shared" si="177"/>
        <v>0</v>
      </c>
      <c r="J358" s="190"/>
      <c r="K358" s="144">
        <v>0</v>
      </c>
      <c r="L358" s="146">
        <f t="shared" si="178"/>
        <v>0</v>
      </c>
      <c r="M358" s="147">
        <f t="shared" si="179"/>
        <v>0</v>
      </c>
      <c r="N358" s="138" t="s">
        <v>92</v>
      </c>
      <c r="O358" s="190"/>
      <c r="P358" s="148">
        <v>0</v>
      </c>
      <c r="Q358" s="146">
        <f t="shared" si="175"/>
        <v>0</v>
      </c>
      <c r="R358" s="147">
        <f t="shared" si="176"/>
        <v>0</v>
      </c>
      <c r="S358" s="138" t="s">
        <v>92</v>
      </c>
      <c r="T358" s="190"/>
      <c r="U358" s="148">
        <f t="shared" si="173"/>
        <v>0</v>
      </c>
      <c r="V358" s="147">
        <f t="shared" si="174"/>
        <v>0</v>
      </c>
      <c r="W358" s="190"/>
      <c r="X358" s="143"/>
    </row>
    <row r="359" spans="2:24" x14ac:dyDescent="0.35">
      <c r="B359" s="140"/>
      <c r="C359" s="143"/>
      <c r="D359" s="143"/>
      <c r="E359" s="143"/>
      <c r="F359" s="143"/>
      <c r="G359" s="144">
        <v>0</v>
      </c>
      <c r="H359" s="145">
        <v>0</v>
      </c>
      <c r="I359" s="145">
        <f t="shared" si="177"/>
        <v>0</v>
      </c>
      <c r="J359" s="190"/>
      <c r="K359" s="144">
        <v>0</v>
      </c>
      <c r="L359" s="146">
        <f t="shared" si="178"/>
        <v>0</v>
      </c>
      <c r="M359" s="147">
        <f t="shared" si="179"/>
        <v>0</v>
      </c>
      <c r="N359" s="138" t="s">
        <v>92</v>
      </c>
      <c r="O359" s="190"/>
      <c r="P359" s="148">
        <v>0</v>
      </c>
      <c r="Q359" s="146">
        <f t="shared" si="175"/>
        <v>0</v>
      </c>
      <c r="R359" s="147">
        <f t="shared" si="176"/>
        <v>0</v>
      </c>
      <c r="S359" s="138" t="s">
        <v>92</v>
      </c>
      <c r="T359" s="190"/>
      <c r="U359" s="148">
        <f t="shared" si="173"/>
        <v>0</v>
      </c>
      <c r="V359" s="147">
        <f t="shared" si="174"/>
        <v>0</v>
      </c>
      <c r="W359" s="190"/>
      <c r="X359" s="143"/>
    </row>
    <row r="360" spans="2:24" x14ac:dyDescent="0.35">
      <c r="B360" s="140"/>
      <c r="C360" s="143"/>
      <c r="D360" s="143"/>
      <c r="E360" s="143"/>
      <c r="F360" s="143"/>
      <c r="G360" s="144">
        <v>0</v>
      </c>
      <c r="H360" s="145">
        <v>0</v>
      </c>
      <c r="I360" s="145">
        <f t="shared" si="177"/>
        <v>0</v>
      </c>
      <c r="J360" s="190"/>
      <c r="K360" s="144">
        <v>0</v>
      </c>
      <c r="L360" s="146">
        <f t="shared" si="178"/>
        <v>0</v>
      </c>
      <c r="M360" s="147">
        <f t="shared" si="179"/>
        <v>0</v>
      </c>
      <c r="N360" s="138" t="s">
        <v>92</v>
      </c>
      <c r="O360" s="190"/>
      <c r="P360" s="148">
        <v>0</v>
      </c>
      <c r="Q360" s="146">
        <f t="shared" si="175"/>
        <v>0</v>
      </c>
      <c r="R360" s="147">
        <f t="shared" si="176"/>
        <v>0</v>
      </c>
      <c r="S360" s="138" t="s">
        <v>92</v>
      </c>
      <c r="T360" s="190"/>
      <c r="U360" s="148">
        <f t="shared" si="173"/>
        <v>0</v>
      </c>
      <c r="V360" s="147">
        <f t="shared" si="174"/>
        <v>0</v>
      </c>
      <c r="W360" s="190"/>
      <c r="X360" s="143"/>
    </row>
    <row r="361" spans="2:24" x14ac:dyDescent="0.35">
      <c r="B361" s="140"/>
      <c r="C361" s="143"/>
      <c r="D361" s="143"/>
      <c r="E361" s="143"/>
      <c r="F361" s="143"/>
      <c r="G361" s="144">
        <v>0</v>
      </c>
      <c r="H361" s="145">
        <v>0</v>
      </c>
      <c r="I361" s="145">
        <f t="shared" si="177"/>
        <v>0</v>
      </c>
      <c r="J361" s="190"/>
      <c r="K361" s="144">
        <v>0</v>
      </c>
      <c r="L361" s="146">
        <f t="shared" si="178"/>
        <v>0</v>
      </c>
      <c r="M361" s="147">
        <f t="shared" si="179"/>
        <v>0</v>
      </c>
      <c r="N361" s="138" t="s">
        <v>92</v>
      </c>
      <c r="O361" s="190"/>
      <c r="P361" s="148">
        <v>0</v>
      </c>
      <c r="Q361" s="146">
        <f t="shared" si="175"/>
        <v>0</v>
      </c>
      <c r="R361" s="147">
        <f t="shared" si="176"/>
        <v>0</v>
      </c>
      <c r="S361" s="138" t="s">
        <v>92</v>
      </c>
      <c r="T361" s="190"/>
      <c r="U361" s="148">
        <f t="shared" si="173"/>
        <v>0</v>
      </c>
      <c r="V361" s="147">
        <f t="shared" si="174"/>
        <v>0</v>
      </c>
      <c r="W361" s="190"/>
      <c r="X361" s="143"/>
    </row>
    <row r="362" spans="2:24" x14ac:dyDescent="0.35">
      <c r="B362" s="140"/>
      <c r="C362" s="143"/>
      <c r="D362" s="143"/>
      <c r="E362" s="143"/>
      <c r="F362" s="143"/>
      <c r="G362" s="144">
        <v>0</v>
      </c>
      <c r="H362" s="145">
        <v>0</v>
      </c>
      <c r="I362" s="145">
        <f t="shared" si="177"/>
        <v>0</v>
      </c>
      <c r="J362" s="190"/>
      <c r="K362" s="144">
        <v>0</v>
      </c>
      <c r="L362" s="146">
        <f t="shared" si="178"/>
        <v>0</v>
      </c>
      <c r="M362" s="147">
        <f t="shared" si="179"/>
        <v>0</v>
      </c>
      <c r="N362" s="138" t="s">
        <v>92</v>
      </c>
      <c r="O362" s="190"/>
      <c r="P362" s="148">
        <v>0</v>
      </c>
      <c r="Q362" s="146">
        <f t="shared" si="175"/>
        <v>0</v>
      </c>
      <c r="R362" s="147">
        <f t="shared" si="176"/>
        <v>0</v>
      </c>
      <c r="S362" s="138" t="s">
        <v>92</v>
      </c>
      <c r="T362" s="190"/>
      <c r="U362" s="148">
        <f t="shared" si="173"/>
        <v>0</v>
      </c>
      <c r="V362" s="147">
        <f t="shared" si="174"/>
        <v>0</v>
      </c>
      <c r="W362" s="190"/>
      <c r="X362" s="143"/>
    </row>
    <row r="363" spans="2:24" x14ac:dyDescent="0.35">
      <c r="B363" s="140"/>
      <c r="C363" s="143"/>
      <c r="D363" s="143"/>
      <c r="E363" s="143"/>
      <c r="F363" s="143"/>
      <c r="G363" s="144">
        <v>0</v>
      </c>
      <c r="H363" s="145">
        <v>0</v>
      </c>
      <c r="I363" s="145">
        <f t="shared" si="177"/>
        <v>0</v>
      </c>
      <c r="J363" s="190"/>
      <c r="K363" s="144">
        <v>0</v>
      </c>
      <c r="L363" s="146">
        <f t="shared" si="178"/>
        <v>0</v>
      </c>
      <c r="M363" s="147">
        <f t="shared" si="179"/>
        <v>0</v>
      </c>
      <c r="N363" s="138" t="s">
        <v>92</v>
      </c>
      <c r="O363" s="190"/>
      <c r="P363" s="148">
        <v>0</v>
      </c>
      <c r="Q363" s="146">
        <f t="shared" si="175"/>
        <v>0</v>
      </c>
      <c r="R363" s="147">
        <f t="shared" si="176"/>
        <v>0</v>
      </c>
      <c r="S363" s="138" t="s">
        <v>92</v>
      </c>
      <c r="T363" s="190"/>
      <c r="U363" s="148">
        <f t="shared" si="173"/>
        <v>0</v>
      </c>
      <c r="V363" s="147">
        <f t="shared" si="174"/>
        <v>0</v>
      </c>
      <c r="W363" s="190"/>
      <c r="X363" s="143"/>
    </row>
    <row r="364" spans="2:24" x14ac:dyDescent="0.35">
      <c r="B364" s="140"/>
      <c r="C364" s="143"/>
      <c r="D364" s="143"/>
      <c r="E364" s="143"/>
      <c r="F364" s="143"/>
      <c r="G364" s="144">
        <v>0</v>
      </c>
      <c r="H364" s="145">
        <v>0</v>
      </c>
      <c r="I364" s="145">
        <f t="shared" si="177"/>
        <v>0</v>
      </c>
      <c r="J364" s="190"/>
      <c r="K364" s="144">
        <v>0</v>
      </c>
      <c r="L364" s="146">
        <f t="shared" si="178"/>
        <v>0</v>
      </c>
      <c r="M364" s="147">
        <f t="shared" si="179"/>
        <v>0</v>
      </c>
      <c r="N364" s="138" t="s">
        <v>92</v>
      </c>
      <c r="O364" s="190"/>
      <c r="P364" s="148">
        <v>0</v>
      </c>
      <c r="Q364" s="146">
        <f t="shared" si="175"/>
        <v>0</v>
      </c>
      <c r="R364" s="147">
        <f t="shared" si="176"/>
        <v>0</v>
      </c>
      <c r="S364" s="138" t="s">
        <v>92</v>
      </c>
      <c r="T364" s="190"/>
      <c r="U364" s="148">
        <f t="shared" si="173"/>
        <v>0</v>
      </c>
      <c r="V364" s="147">
        <f t="shared" si="174"/>
        <v>0</v>
      </c>
      <c r="W364" s="190"/>
      <c r="X364" s="143"/>
    </row>
    <row r="365" spans="2:24" x14ac:dyDescent="0.35">
      <c r="B365" s="140"/>
      <c r="C365" s="143"/>
      <c r="D365" s="143"/>
      <c r="E365" s="143"/>
      <c r="F365" s="143"/>
      <c r="G365" s="144">
        <v>0</v>
      </c>
      <c r="H365" s="145">
        <v>0</v>
      </c>
      <c r="I365" s="145">
        <f t="shared" si="177"/>
        <v>0</v>
      </c>
      <c r="J365" s="190"/>
      <c r="K365" s="144">
        <v>0</v>
      </c>
      <c r="L365" s="146">
        <f t="shared" si="178"/>
        <v>0</v>
      </c>
      <c r="M365" s="147">
        <f t="shared" si="179"/>
        <v>0</v>
      </c>
      <c r="N365" s="138" t="s">
        <v>92</v>
      </c>
      <c r="O365" s="190"/>
      <c r="P365" s="148">
        <v>0</v>
      </c>
      <c r="Q365" s="146">
        <f t="shared" si="175"/>
        <v>0</v>
      </c>
      <c r="R365" s="147">
        <f t="shared" si="176"/>
        <v>0</v>
      </c>
      <c r="S365" s="138" t="s">
        <v>92</v>
      </c>
      <c r="T365" s="190"/>
      <c r="U365" s="148">
        <f t="shared" si="173"/>
        <v>0</v>
      </c>
      <c r="V365" s="147">
        <f t="shared" si="174"/>
        <v>0</v>
      </c>
      <c r="W365" s="190"/>
      <c r="X365" s="143"/>
    </row>
    <row r="366" spans="2:24" x14ac:dyDescent="0.35">
      <c r="B366" s="140"/>
      <c r="C366" s="143"/>
      <c r="D366" s="143"/>
      <c r="E366" s="143"/>
      <c r="F366" s="143"/>
      <c r="G366" s="144">
        <v>0</v>
      </c>
      <c r="H366" s="145">
        <v>0</v>
      </c>
      <c r="I366" s="145">
        <f t="shared" si="177"/>
        <v>0</v>
      </c>
      <c r="J366" s="190"/>
      <c r="K366" s="144">
        <v>0</v>
      </c>
      <c r="L366" s="146">
        <f t="shared" si="178"/>
        <v>0</v>
      </c>
      <c r="M366" s="147">
        <f t="shared" si="179"/>
        <v>0</v>
      </c>
      <c r="N366" s="138" t="s">
        <v>92</v>
      </c>
      <c r="O366" s="190"/>
      <c r="P366" s="148">
        <v>0</v>
      </c>
      <c r="Q366" s="146">
        <f t="shared" si="175"/>
        <v>0</v>
      </c>
      <c r="R366" s="147">
        <f t="shared" si="176"/>
        <v>0</v>
      </c>
      <c r="S366" s="138" t="s">
        <v>92</v>
      </c>
      <c r="T366" s="190"/>
      <c r="U366" s="148">
        <f t="shared" si="173"/>
        <v>0</v>
      </c>
      <c r="V366" s="147">
        <f t="shared" si="174"/>
        <v>0</v>
      </c>
      <c r="W366" s="190"/>
      <c r="X366" s="143"/>
    </row>
    <row r="367" spans="2:24" x14ac:dyDescent="0.35">
      <c r="B367" s="140"/>
      <c r="C367" s="143"/>
      <c r="D367" s="143"/>
      <c r="E367" s="143"/>
      <c r="F367" s="143"/>
      <c r="G367" s="144">
        <v>0</v>
      </c>
      <c r="H367" s="145">
        <v>0</v>
      </c>
      <c r="I367" s="145">
        <f t="shared" si="177"/>
        <v>0</v>
      </c>
      <c r="J367" s="190"/>
      <c r="K367" s="144">
        <v>0</v>
      </c>
      <c r="L367" s="146">
        <f t="shared" si="178"/>
        <v>0</v>
      </c>
      <c r="M367" s="147">
        <f t="shared" si="179"/>
        <v>0</v>
      </c>
      <c r="N367" s="138" t="s">
        <v>92</v>
      </c>
      <c r="O367" s="190"/>
      <c r="P367" s="148">
        <v>0</v>
      </c>
      <c r="Q367" s="146">
        <f t="shared" si="175"/>
        <v>0</v>
      </c>
      <c r="R367" s="147">
        <f t="shared" si="176"/>
        <v>0</v>
      </c>
      <c r="S367" s="138" t="s">
        <v>92</v>
      </c>
      <c r="T367" s="190"/>
      <c r="U367" s="148">
        <f t="shared" si="173"/>
        <v>0</v>
      </c>
      <c r="V367" s="147">
        <f t="shared" si="174"/>
        <v>0</v>
      </c>
      <c r="W367" s="190"/>
      <c r="X367" s="143"/>
    </row>
    <row r="368" spans="2:24" x14ac:dyDescent="0.35">
      <c r="B368" s="140"/>
      <c r="C368" s="143"/>
      <c r="D368" s="143"/>
      <c r="E368" s="143"/>
      <c r="F368" s="143"/>
      <c r="G368" s="144">
        <v>0</v>
      </c>
      <c r="H368" s="145">
        <v>0</v>
      </c>
      <c r="I368" s="145">
        <f t="shared" si="177"/>
        <v>0</v>
      </c>
      <c r="J368" s="190"/>
      <c r="K368" s="144">
        <v>0</v>
      </c>
      <c r="L368" s="146">
        <f t="shared" si="178"/>
        <v>0</v>
      </c>
      <c r="M368" s="147">
        <f t="shared" si="179"/>
        <v>0</v>
      </c>
      <c r="N368" s="138" t="s">
        <v>92</v>
      </c>
      <c r="O368" s="190"/>
      <c r="P368" s="148">
        <v>0</v>
      </c>
      <c r="Q368" s="146">
        <f t="shared" si="175"/>
        <v>0</v>
      </c>
      <c r="R368" s="147">
        <f t="shared" si="176"/>
        <v>0</v>
      </c>
      <c r="S368" s="138" t="s">
        <v>92</v>
      </c>
      <c r="T368" s="190"/>
      <c r="U368" s="148">
        <f t="shared" si="173"/>
        <v>0</v>
      </c>
      <c r="V368" s="147">
        <f t="shared" si="174"/>
        <v>0</v>
      </c>
      <c r="W368" s="190"/>
      <c r="X368" s="143"/>
    </row>
    <row r="369" spans="2:24" x14ac:dyDescent="0.35">
      <c r="B369" s="140"/>
      <c r="C369" s="143"/>
      <c r="D369" s="143"/>
      <c r="E369" s="143"/>
      <c r="F369" s="143"/>
      <c r="G369" s="144">
        <v>0</v>
      </c>
      <c r="H369" s="145">
        <v>0</v>
      </c>
      <c r="I369" s="145">
        <f t="shared" si="177"/>
        <v>0</v>
      </c>
      <c r="J369" s="190"/>
      <c r="K369" s="144">
        <v>0</v>
      </c>
      <c r="L369" s="146">
        <f t="shared" si="178"/>
        <v>0</v>
      </c>
      <c r="M369" s="147">
        <f t="shared" si="179"/>
        <v>0</v>
      </c>
      <c r="N369" s="138" t="s">
        <v>92</v>
      </c>
      <c r="O369" s="190"/>
      <c r="P369" s="148">
        <v>0</v>
      </c>
      <c r="Q369" s="146">
        <f t="shared" si="175"/>
        <v>0</v>
      </c>
      <c r="R369" s="147">
        <f t="shared" si="176"/>
        <v>0</v>
      </c>
      <c r="S369" s="138" t="s">
        <v>92</v>
      </c>
      <c r="T369" s="190"/>
      <c r="U369" s="148">
        <f t="shared" si="173"/>
        <v>0</v>
      </c>
      <c r="V369" s="147">
        <f t="shared" si="174"/>
        <v>0</v>
      </c>
      <c r="W369" s="190"/>
      <c r="X369" s="143"/>
    </row>
    <row r="370" spans="2:24" x14ac:dyDescent="0.35">
      <c r="B370" s="140"/>
      <c r="C370" s="143"/>
      <c r="D370" s="143"/>
      <c r="E370" s="143"/>
      <c r="F370" s="143"/>
      <c r="G370" s="144">
        <v>0</v>
      </c>
      <c r="H370" s="145">
        <v>0</v>
      </c>
      <c r="I370" s="145">
        <f t="shared" si="177"/>
        <v>0</v>
      </c>
      <c r="J370" s="190"/>
      <c r="K370" s="144">
        <v>0</v>
      </c>
      <c r="L370" s="146">
        <f t="shared" si="178"/>
        <v>0</v>
      </c>
      <c r="M370" s="147">
        <f t="shared" si="179"/>
        <v>0</v>
      </c>
      <c r="N370" s="138" t="s">
        <v>92</v>
      </c>
      <c r="O370" s="190"/>
      <c r="P370" s="148">
        <v>0</v>
      </c>
      <c r="Q370" s="146">
        <f t="shared" si="175"/>
        <v>0</v>
      </c>
      <c r="R370" s="147">
        <f t="shared" si="176"/>
        <v>0</v>
      </c>
      <c r="S370" s="138" t="s">
        <v>92</v>
      </c>
      <c r="T370" s="190"/>
      <c r="U370" s="148">
        <f t="shared" si="173"/>
        <v>0</v>
      </c>
      <c r="V370" s="147">
        <f t="shared" si="174"/>
        <v>0</v>
      </c>
      <c r="W370" s="190"/>
      <c r="X370" s="143"/>
    </row>
    <row r="371" spans="2:24" x14ac:dyDescent="0.35">
      <c r="B371" s="140"/>
      <c r="C371" s="143"/>
      <c r="D371" s="143"/>
      <c r="E371" s="143"/>
      <c r="F371" s="143"/>
      <c r="G371" s="144">
        <v>0</v>
      </c>
      <c r="H371" s="145">
        <v>0</v>
      </c>
      <c r="I371" s="145">
        <f t="shared" si="177"/>
        <v>0</v>
      </c>
      <c r="J371" s="190"/>
      <c r="K371" s="144">
        <v>0</v>
      </c>
      <c r="L371" s="146">
        <f t="shared" si="178"/>
        <v>0</v>
      </c>
      <c r="M371" s="147">
        <f t="shared" si="179"/>
        <v>0</v>
      </c>
      <c r="N371" s="138" t="s">
        <v>92</v>
      </c>
      <c r="O371" s="190"/>
      <c r="P371" s="148">
        <v>0</v>
      </c>
      <c r="Q371" s="146">
        <f t="shared" si="175"/>
        <v>0</v>
      </c>
      <c r="R371" s="147">
        <f t="shared" si="176"/>
        <v>0</v>
      </c>
      <c r="S371" s="138" t="s">
        <v>92</v>
      </c>
      <c r="T371" s="190"/>
      <c r="U371" s="148">
        <f t="shared" si="173"/>
        <v>0</v>
      </c>
      <c r="V371" s="147">
        <f t="shared" si="174"/>
        <v>0</v>
      </c>
      <c r="W371" s="190"/>
      <c r="X371" s="143"/>
    </row>
    <row r="372" spans="2:24" x14ac:dyDescent="0.35">
      <c r="B372" s="140"/>
      <c r="C372" s="143"/>
      <c r="D372" s="143"/>
      <c r="E372" s="143"/>
      <c r="F372" s="143"/>
      <c r="G372" s="144">
        <v>0</v>
      </c>
      <c r="H372" s="145">
        <v>0</v>
      </c>
      <c r="I372" s="145">
        <f t="shared" si="177"/>
        <v>0</v>
      </c>
      <c r="J372" s="190"/>
      <c r="K372" s="144">
        <v>0</v>
      </c>
      <c r="L372" s="146">
        <f t="shared" si="178"/>
        <v>0</v>
      </c>
      <c r="M372" s="147">
        <f t="shared" si="179"/>
        <v>0</v>
      </c>
      <c r="N372" s="138" t="s">
        <v>92</v>
      </c>
      <c r="O372" s="190"/>
      <c r="P372" s="148">
        <v>0</v>
      </c>
      <c r="Q372" s="146">
        <f t="shared" si="175"/>
        <v>0</v>
      </c>
      <c r="R372" s="147">
        <f t="shared" si="176"/>
        <v>0</v>
      </c>
      <c r="S372" s="138" t="s">
        <v>92</v>
      </c>
      <c r="T372" s="190"/>
      <c r="U372" s="148">
        <f t="shared" si="173"/>
        <v>0</v>
      </c>
      <c r="V372" s="147">
        <f t="shared" si="174"/>
        <v>0</v>
      </c>
      <c r="W372" s="190"/>
      <c r="X372" s="143"/>
    </row>
    <row r="373" spans="2:24" x14ac:dyDescent="0.35">
      <c r="B373" s="140"/>
      <c r="C373" s="143"/>
      <c r="D373" s="143"/>
      <c r="E373" s="143"/>
      <c r="F373" s="143"/>
      <c r="G373" s="144">
        <v>0</v>
      </c>
      <c r="H373" s="145">
        <v>0</v>
      </c>
      <c r="I373" s="145">
        <f t="shared" si="177"/>
        <v>0</v>
      </c>
      <c r="J373" s="190"/>
      <c r="K373" s="144">
        <v>0</v>
      </c>
      <c r="L373" s="146">
        <f t="shared" si="178"/>
        <v>0</v>
      </c>
      <c r="M373" s="147">
        <f t="shared" si="179"/>
        <v>0</v>
      </c>
      <c r="N373" s="138" t="s">
        <v>92</v>
      </c>
      <c r="O373" s="190"/>
      <c r="P373" s="148">
        <v>0</v>
      </c>
      <c r="Q373" s="146">
        <f t="shared" si="175"/>
        <v>0</v>
      </c>
      <c r="R373" s="147">
        <f t="shared" si="176"/>
        <v>0</v>
      </c>
      <c r="S373" s="138" t="s">
        <v>92</v>
      </c>
      <c r="T373" s="190"/>
      <c r="U373" s="148">
        <f t="shared" si="173"/>
        <v>0</v>
      </c>
      <c r="V373" s="147">
        <f t="shared" si="174"/>
        <v>0</v>
      </c>
      <c r="W373" s="190"/>
      <c r="X373" s="143"/>
    </row>
    <row r="374" spans="2:24" x14ac:dyDescent="0.35">
      <c r="B374" s="140"/>
      <c r="C374" s="143"/>
      <c r="D374" s="143"/>
      <c r="E374" s="143"/>
      <c r="F374" s="143"/>
      <c r="G374" s="144">
        <v>0</v>
      </c>
      <c r="H374" s="145">
        <v>0</v>
      </c>
      <c r="I374" s="145">
        <f t="shared" si="177"/>
        <v>0</v>
      </c>
      <c r="J374" s="190"/>
      <c r="K374" s="144">
        <v>0</v>
      </c>
      <c r="L374" s="146">
        <f t="shared" si="178"/>
        <v>0</v>
      </c>
      <c r="M374" s="147">
        <f t="shared" si="179"/>
        <v>0</v>
      </c>
      <c r="N374" s="138" t="s">
        <v>92</v>
      </c>
      <c r="O374" s="190"/>
      <c r="P374" s="148">
        <v>0</v>
      </c>
      <c r="Q374" s="146">
        <f t="shared" si="175"/>
        <v>0</v>
      </c>
      <c r="R374" s="147">
        <f t="shared" si="176"/>
        <v>0</v>
      </c>
      <c r="S374" s="138" t="s">
        <v>92</v>
      </c>
      <c r="T374" s="190"/>
      <c r="U374" s="148">
        <f t="shared" si="173"/>
        <v>0</v>
      </c>
      <c r="V374" s="147">
        <f t="shared" si="174"/>
        <v>0</v>
      </c>
      <c r="W374" s="190"/>
      <c r="X374" s="143"/>
    </row>
    <row r="375" spans="2:24" x14ac:dyDescent="0.35">
      <c r="B375" s="140"/>
      <c r="C375" s="143"/>
      <c r="D375" s="143"/>
      <c r="E375" s="143"/>
      <c r="F375" s="143"/>
      <c r="G375" s="144">
        <v>0</v>
      </c>
      <c r="H375" s="145">
        <v>0</v>
      </c>
      <c r="I375" s="145">
        <f t="shared" si="177"/>
        <v>0</v>
      </c>
      <c r="J375" s="190"/>
      <c r="K375" s="144">
        <v>0</v>
      </c>
      <c r="L375" s="146">
        <f t="shared" si="178"/>
        <v>0</v>
      </c>
      <c r="M375" s="147">
        <f t="shared" si="179"/>
        <v>0</v>
      </c>
      <c r="N375" s="138" t="s">
        <v>92</v>
      </c>
      <c r="O375" s="190"/>
      <c r="P375" s="148">
        <v>0</v>
      </c>
      <c r="Q375" s="146">
        <f t="shared" si="175"/>
        <v>0</v>
      </c>
      <c r="R375" s="147">
        <f t="shared" si="176"/>
        <v>0</v>
      </c>
      <c r="S375" s="138" t="s">
        <v>92</v>
      </c>
      <c r="T375" s="190"/>
      <c r="U375" s="148">
        <f t="shared" si="173"/>
        <v>0</v>
      </c>
      <c r="V375" s="147">
        <f t="shared" si="174"/>
        <v>0</v>
      </c>
      <c r="W375" s="190"/>
      <c r="X375" s="143"/>
    </row>
    <row r="376" spans="2:24" x14ac:dyDescent="0.35">
      <c r="B376" s="140"/>
      <c r="C376" s="143"/>
      <c r="D376" s="143"/>
      <c r="E376" s="143"/>
      <c r="F376" s="143"/>
      <c r="G376" s="144">
        <v>0</v>
      </c>
      <c r="H376" s="145">
        <v>0</v>
      </c>
      <c r="I376" s="145">
        <f t="shared" si="177"/>
        <v>0</v>
      </c>
      <c r="J376" s="190"/>
      <c r="K376" s="144">
        <v>0</v>
      </c>
      <c r="L376" s="146">
        <f t="shared" si="178"/>
        <v>0</v>
      </c>
      <c r="M376" s="147">
        <f t="shared" si="179"/>
        <v>0</v>
      </c>
      <c r="N376" s="138" t="s">
        <v>92</v>
      </c>
      <c r="O376" s="190"/>
      <c r="P376" s="148">
        <v>0</v>
      </c>
      <c r="Q376" s="146">
        <f t="shared" si="175"/>
        <v>0</v>
      </c>
      <c r="R376" s="147">
        <f t="shared" si="176"/>
        <v>0</v>
      </c>
      <c r="S376" s="138" t="s">
        <v>92</v>
      </c>
      <c r="T376" s="190"/>
      <c r="U376" s="148">
        <f t="shared" si="173"/>
        <v>0</v>
      </c>
      <c r="V376" s="147">
        <f t="shared" si="174"/>
        <v>0</v>
      </c>
      <c r="W376" s="190"/>
      <c r="X376" s="143"/>
    </row>
    <row r="377" spans="2:24" x14ac:dyDescent="0.35">
      <c r="B377" s="140"/>
      <c r="C377" s="143"/>
      <c r="D377" s="143"/>
      <c r="E377" s="143"/>
      <c r="F377" s="143"/>
      <c r="G377" s="144">
        <v>0</v>
      </c>
      <c r="H377" s="145">
        <v>0</v>
      </c>
      <c r="I377" s="145">
        <f t="shared" si="177"/>
        <v>0</v>
      </c>
      <c r="J377" s="190"/>
      <c r="K377" s="144">
        <v>0</v>
      </c>
      <c r="L377" s="146">
        <f t="shared" si="178"/>
        <v>0</v>
      </c>
      <c r="M377" s="147">
        <f t="shared" si="179"/>
        <v>0</v>
      </c>
      <c r="N377" s="138" t="s">
        <v>92</v>
      </c>
      <c r="O377" s="190"/>
      <c r="P377" s="148">
        <v>0</v>
      </c>
      <c r="Q377" s="146">
        <f t="shared" si="175"/>
        <v>0</v>
      </c>
      <c r="R377" s="147">
        <f t="shared" si="176"/>
        <v>0</v>
      </c>
      <c r="S377" s="138" t="s">
        <v>92</v>
      </c>
      <c r="T377" s="190"/>
      <c r="U377" s="148">
        <f t="shared" si="173"/>
        <v>0</v>
      </c>
      <c r="V377" s="147">
        <f t="shared" si="174"/>
        <v>0</v>
      </c>
      <c r="W377" s="190"/>
      <c r="X377" s="143"/>
    </row>
    <row r="378" spans="2:24" x14ac:dyDescent="0.35">
      <c r="B378" s="140"/>
      <c r="C378" s="143"/>
      <c r="D378" s="143"/>
      <c r="E378" s="143"/>
      <c r="F378" s="143"/>
      <c r="G378" s="144">
        <v>0</v>
      </c>
      <c r="H378" s="145">
        <v>0</v>
      </c>
      <c r="I378" s="145">
        <f t="shared" si="177"/>
        <v>0</v>
      </c>
      <c r="J378" s="190"/>
      <c r="K378" s="144">
        <v>0</v>
      </c>
      <c r="L378" s="146">
        <f t="shared" si="178"/>
        <v>0</v>
      </c>
      <c r="M378" s="147">
        <f t="shared" si="179"/>
        <v>0</v>
      </c>
      <c r="N378" s="138" t="s">
        <v>92</v>
      </c>
      <c r="O378" s="190"/>
      <c r="P378" s="148">
        <v>0</v>
      </c>
      <c r="Q378" s="146">
        <f t="shared" si="175"/>
        <v>0</v>
      </c>
      <c r="R378" s="147">
        <f t="shared" si="176"/>
        <v>0</v>
      </c>
      <c r="S378" s="138" t="s">
        <v>92</v>
      </c>
      <c r="T378" s="190"/>
      <c r="U378" s="148">
        <f t="shared" si="173"/>
        <v>0</v>
      </c>
      <c r="V378" s="147">
        <f t="shared" si="174"/>
        <v>0</v>
      </c>
      <c r="W378" s="190"/>
      <c r="X378" s="143"/>
    </row>
    <row r="379" spans="2:24" x14ac:dyDescent="0.35">
      <c r="B379" s="140"/>
      <c r="C379" s="143"/>
      <c r="D379" s="143"/>
      <c r="E379" s="143"/>
      <c r="F379" s="143"/>
      <c r="G379" s="144">
        <v>0</v>
      </c>
      <c r="H379" s="145">
        <v>0</v>
      </c>
      <c r="I379" s="145">
        <f t="shared" si="177"/>
        <v>0</v>
      </c>
      <c r="J379" s="190"/>
      <c r="K379" s="144">
        <v>0</v>
      </c>
      <c r="L379" s="146">
        <f t="shared" si="178"/>
        <v>0</v>
      </c>
      <c r="M379" s="147">
        <f t="shared" si="179"/>
        <v>0</v>
      </c>
      <c r="N379" s="138" t="s">
        <v>92</v>
      </c>
      <c r="O379" s="190"/>
      <c r="P379" s="148">
        <v>0</v>
      </c>
      <c r="Q379" s="146">
        <f t="shared" si="175"/>
        <v>0</v>
      </c>
      <c r="R379" s="147">
        <f t="shared" si="176"/>
        <v>0</v>
      </c>
      <c r="S379" s="138" t="s">
        <v>92</v>
      </c>
      <c r="T379" s="190"/>
      <c r="U379" s="148">
        <f t="shared" si="173"/>
        <v>0</v>
      </c>
      <c r="V379" s="147">
        <f t="shared" si="174"/>
        <v>0</v>
      </c>
      <c r="W379" s="190"/>
      <c r="X379" s="143"/>
    </row>
    <row r="380" spans="2:24" x14ac:dyDescent="0.35">
      <c r="B380" s="140"/>
      <c r="C380" s="143"/>
      <c r="D380" s="143"/>
      <c r="E380" s="143"/>
      <c r="F380" s="143"/>
      <c r="G380" s="144">
        <v>0</v>
      </c>
      <c r="H380" s="145">
        <v>0</v>
      </c>
      <c r="I380" s="145">
        <f t="shared" si="177"/>
        <v>0</v>
      </c>
      <c r="J380" s="190"/>
      <c r="K380" s="144">
        <v>0</v>
      </c>
      <c r="L380" s="146">
        <f t="shared" si="178"/>
        <v>0</v>
      </c>
      <c r="M380" s="147">
        <f t="shared" si="179"/>
        <v>0</v>
      </c>
      <c r="N380" s="138" t="s">
        <v>92</v>
      </c>
      <c r="O380" s="190"/>
      <c r="P380" s="148">
        <v>0</v>
      </c>
      <c r="Q380" s="146">
        <f t="shared" si="175"/>
        <v>0</v>
      </c>
      <c r="R380" s="147">
        <f t="shared" si="176"/>
        <v>0</v>
      </c>
      <c r="S380" s="138" t="s">
        <v>92</v>
      </c>
      <c r="T380" s="190"/>
      <c r="U380" s="148">
        <f t="shared" si="173"/>
        <v>0</v>
      </c>
      <c r="V380" s="147">
        <f t="shared" si="174"/>
        <v>0</v>
      </c>
      <c r="W380" s="190"/>
      <c r="X380" s="143"/>
    </row>
    <row r="381" spans="2:24" x14ac:dyDescent="0.35">
      <c r="B381" s="140"/>
      <c r="C381" s="143"/>
      <c r="D381" s="143"/>
      <c r="E381" s="143"/>
      <c r="F381" s="143"/>
      <c r="G381" s="144">
        <v>0</v>
      </c>
      <c r="H381" s="145">
        <v>0</v>
      </c>
      <c r="I381" s="145">
        <f t="shared" si="177"/>
        <v>0</v>
      </c>
      <c r="J381" s="190"/>
      <c r="K381" s="144">
        <v>0</v>
      </c>
      <c r="L381" s="146">
        <f t="shared" si="178"/>
        <v>0</v>
      </c>
      <c r="M381" s="147">
        <f t="shared" si="179"/>
        <v>0</v>
      </c>
      <c r="N381" s="138" t="s">
        <v>92</v>
      </c>
      <c r="O381" s="190"/>
      <c r="P381" s="148">
        <v>0</v>
      </c>
      <c r="Q381" s="146">
        <f t="shared" si="175"/>
        <v>0</v>
      </c>
      <c r="R381" s="147">
        <f t="shared" si="176"/>
        <v>0</v>
      </c>
      <c r="S381" s="138" t="s">
        <v>92</v>
      </c>
      <c r="T381" s="190"/>
      <c r="U381" s="148">
        <f t="shared" si="173"/>
        <v>0</v>
      </c>
      <c r="V381" s="147">
        <f t="shared" si="174"/>
        <v>0</v>
      </c>
      <c r="W381" s="190"/>
      <c r="X381" s="143"/>
    </row>
    <row r="382" spans="2:24" x14ac:dyDescent="0.35">
      <c r="B382" s="140"/>
      <c r="C382" s="143"/>
      <c r="D382" s="143"/>
      <c r="E382" s="143"/>
      <c r="F382" s="143"/>
      <c r="G382" s="144">
        <v>0</v>
      </c>
      <c r="H382" s="145">
        <v>0</v>
      </c>
      <c r="I382" s="145">
        <f t="shared" si="177"/>
        <v>0</v>
      </c>
      <c r="J382" s="190"/>
      <c r="K382" s="144">
        <v>0</v>
      </c>
      <c r="L382" s="146">
        <f t="shared" si="178"/>
        <v>0</v>
      </c>
      <c r="M382" s="147">
        <f t="shared" si="179"/>
        <v>0</v>
      </c>
      <c r="N382" s="138" t="s">
        <v>92</v>
      </c>
      <c r="O382" s="190"/>
      <c r="P382" s="148">
        <v>0</v>
      </c>
      <c r="Q382" s="146">
        <f t="shared" si="175"/>
        <v>0</v>
      </c>
      <c r="R382" s="147">
        <f t="shared" si="176"/>
        <v>0</v>
      </c>
      <c r="S382" s="138" t="s">
        <v>92</v>
      </c>
      <c r="T382" s="190"/>
      <c r="U382" s="148">
        <f t="shared" si="173"/>
        <v>0</v>
      </c>
      <c r="V382" s="147">
        <f t="shared" si="174"/>
        <v>0</v>
      </c>
      <c r="W382" s="190"/>
      <c r="X382" s="143"/>
    </row>
    <row r="383" spans="2:24" x14ac:dyDescent="0.35">
      <c r="B383" s="140"/>
      <c r="C383" s="143"/>
      <c r="D383" s="143"/>
      <c r="E383" s="143"/>
      <c r="F383" s="143"/>
      <c r="G383" s="144">
        <v>0</v>
      </c>
      <c r="H383" s="145">
        <v>0</v>
      </c>
      <c r="I383" s="145">
        <f t="shared" si="177"/>
        <v>0</v>
      </c>
      <c r="J383" s="190"/>
      <c r="K383" s="144">
        <v>0</v>
      </c>
      <c r="L383" s="146">
        <f t="shared" si="178"/>
        <v>0</v>
      </c>
      <c r="M383" s="147">
        <f t="shared" si="179"/>
        <v>0</v>
      </c>
      <c r="N383" s="138" t="s">
        <v>92</v>
      </c>
      <c r="O383" s="190"/>
      <c r="P383" s="148">
        <v>0</v>
      </c>
      <c r="Q383" s="146">
        <f t="shared" si="175"/>
        <v>0</v>
      </c>
      <c r="R383" s="147">
        <f t="shared" si="176"/>
        <v>0</v>
      </c>
      <c r="S383" s="138" t="s">
        <v>92</v>
      </c>
      <c r="T383" s="190"/>
      <c r="U383" s="148">
        <f t="shared" si="173"/>
        <v>0</v>
      </c>
      <c r="V383" s="147">
        <f t="shared" si="174"/>
        <v>0</v>
      </c>
      <c r="W383" s="190"/>
      <c r="X383" s="143"/>
    </row>
    <row r="384" spans="2:24" x14ac:dyDescent="0.35">
      <c r="B384" s="140"/>
      <c r="C384" s="143"/>
      <c r="D384" s="143"/>
      <c r="E384" s="143"/>
      <c r="F384" s="143"/>
      <c r="G384" s="144">
        <v>0</v>
      </c>
      <c r="H384" s="145">
        <v>0</v>
      </c>
      <c r="I384" s="145">
        <f t="shared" si="177"/>
        <v>0</v>
      </c>
      <c r="J384" s="190"/>
      <c r="K384" s="144">
        <v>0</v>
      </c>
      <c r="L384" s="146">
        <f t="shared" si="178"/>
        <v>0</v>
      </c>
      <c r="M384" s="147">
        <f t="shared" si="179"/>
        <v>0</v>
      </c>
      <c r="N384" s="138" t="s">
        <v>92</v>
      </c>
      <c r="O384" s="190"/>
      <c r="P384" s="148">
        <v>0</v>
      </c>
      <c r="Q384" s="146">
        <f t="shared" si="175"/>
        <v>0</v>
      </c>
      <c r="R384" s="147">
        <f t="shared" si="176"/>
        <v>0</v>
      </c>
      <c r="S384" s="138" t="s">
        <v>92</v>
      </c>
      <c r="T384" s="190"/>
      <c r="U384" s="148">
        <f t="shared" si="173"/>
        <v>0</v>
      </c>
      <c r="V384" s="147">
        <f t="shared" si="174"/>
        <v>0</v>
      </c>
      <c r="W384" s="190"/>
      <c r="X384" s="143"/>
    </row>
    <row r="385" spans="2:24" x14ac:dyDescent="0.35">
      <c r="B385" s="140"/>
      <c r="C385" s="143"/>
      <c r="D385" s="143"/>
      <c r="E385" s="143"/>
      <c r="F385" s="143"/>
      <c r="G385" s="144">
        <v>0</v>
      </c>
      <c r="H385" s="145">
        <v>0</v>
      </c>
      <c r="I385" s="145">
        <f t="shared" si="177"/>
        <v>0</v>
      </c>
      <c r="J385" s="190"/>
      <c r="K385" s="144">
        <v>0</v>
      </c>
      <c r="L385" s="146">
        <f t="shared" si="178"/>
        <v>0</v>
      </c>
      <c r="M385" s="147">
        <f t="shared" si="179"/>
        <v>0</v>
      </c>
      <c r="N385" s="138" t="s">
        <v>92</v>
      </c>
      <c r="O385" s="190"/>
      <c r="P385" s="148">
        <v>0</v>
      </c>
      <c r="Q385" s="146">
        <f t="shared" si="175"/>
        <v>0</v>
      </c>
      <c r="R385" s="147">
        <f t="shared" si="176"/>
        <v>0</v>
      </c>
      <c r="S385" s="138" t="s">
        <v>92</v>
      </c>
      <c r="T385" s="190"/>
      <c r="U385" s="148">
        <f t="shared" si="173"/>
        <v>0</v>
      </c>
      <c r="V385" s="147">
        <f t="shared" si="174"/>
        <v>0</v>
      </c>
      <c r="W385" s="190"/>
      <c r="X385" s="143"/>
    </row>
    <row r="386" spans="2:24" x14ac:dyDescent="0.35">
      <c r="B386" s="140"/>
      <c r="C386" s="143"/>
      <c r="D386" s="143"/>
      <c r="E386" s="143"/>
      <c r="F386" s="143"/>
      <c r="G386" s="144">
        <v>0</v>
      </c>
      <c r="H386" s="145">
        <v>0</v>
      </c>
      <c r="I386" s="145">
        <f t="shared" si="177"/>
        <v>0</v>
      </c>
      <c r="J386" s="190"/>
      <c r="K386" s="144">
        <v>0</v>
      </c>
      <c r="L386" s="146">
        <f t="shared" si="178"/>
        <v>0</v>
      </c>
      <c r="M386" s="147">
        <f t="shared" si="179"/>
        <v>0</v>
      </c>
      <c r="N386" s="138" t="s">
        <v>92</v>
      </c>
      <c r="O386" s="190"/>
      <c r="P386" s="148">
        <v>0</v>
      </c>
      <c r="Q386" s="146">
        <f t="shared" si="175"/>
        <v>0</v>
      </c>
      <c r="R386" s="147">
        <f t="shared" si="176"/>
        <v>0</v>
      </c>
      <c r="S386" s="138" t="s">
        <v>92</v>
      </c>
      <c r="T386" s="190"/>
      <c r="U386" s="148">
        <f t="shared" si="173"/>
        <v>0</v>
      </c>
      <c r="V386" s="147">
        <f t="shared" si="174"/>
        <v>0</v>
      </c>
      <c r="W386" s="190"/>
      <c r="X386" s="143"/>
    </row>
    <row r="387" spans="2:24" x14ac:dyDescent="0.35">
      <c r="B387" s="140"/>
      <c r="C387" s="143"/>
      <c r="D387" s="143"/>
      <c r="E387" s="143"/>
      <c r="F387" s="143"/>
      <c r="G387" s="144">
        <v>0</v>
      </c>
      <c r="H387" s="145">
        <v>0</v>
      </c>
      <c r="I387" s="145">
        <f t="shared" si="177"/>
        <v>0</v>
      </c>
      <c r="J387" s="190"/>
      <c r="K387" s="144">
        <v>0</v>
      </c>
      <c r="L387" s="146">
        <f t="shared" si="178"/>
        <v>0</v>
      </c>
      <c r="M387" s="147">
        <f t="shared" si="179"/>
        <v>0</v>
      </c>
      <c r="N387" s="138" t="s">
        <v>92</v>
      </c>
      <c r="O387" s="190"/>
      <c r="P387" s="148">
        <v>0</v>
      </c>
      <c r="Q387" s="146">
        <f t="shared" si="175"/>
        <v>0</v>
      </c>
      <c r="R387" s="147">
        <f t="shared" si="176"/>
        <v>0</v>
      </c>
      <c r="S387" s="138" t="s">
        <v>92</v>
      </c>
      <c r="T387" s="190"/>
      <c r="U387" s="148">
        <f t="shared" si="173"/>
        <v>0</v>
      </c>
      <c r="V387" s="147">
        <f t="shared" si="174"/>
        <v>0</v>
      </c>
      <c r="W387" s="190"/>
      <c r="X387" s="143"/>
    </row>
    <row r="388" spans="2:24" x14ac:dyDescent="0.35">
      <c r="B388" s="140"/>
      <c r="C388" s="143"/>
      <c r="D388" s="143"/>
      <c r="E388" s="143"/>
      <c r="F388" s="143"/>
      <c r="G388" s="144">
        <v>0</v>
      </c>
      <c r="H388" s="145">
        <v>0</v>
      </c>
      <c r="I388" s="145">
        <f t="shared" si="177"/>
        <v>0</v>
      </c>
      <c r="J388" s="190"/>
      <c r="K388" s="144">
        <v>0</v>
      </c>
      <c r="L388" s="146">
        <f t="shared" si="178"/>
        <v>0</v>
      </c>
      <c r="M388" s="147">
        <f t="shared" si="179"/>
        <v>0</v>
      </c>
      <c r="N388" s="138" t="s">
        <v>92</v>
      </c>
      <c r="O388" s="190"/>
      <c r="P388" s="148">
        <v>0</v>
      </c>
      <c r="Q388" s="146">
        <f t="shared" si="175"/>
        <v>0</v>
      </c>
      <c r="R388" s="147">
        <f t="shared" si="176"/>
        <v>0</v>
      </c>
      <c r="S388" s="138" t="s">
        <v>92</v>
      </c>
      <c r="T388" s="190"/>
      <c r="U388" s="148">
        <f t="shared" si="173"/>
        <v>0</v>
      </c>
      <c r="V388" s="147">
        <f t="shared" si="174"/>
        <v>0</v>
      </c>
      <c r="W388" s="190"/>
      <c r="X388" s="143"/>
    </row>
    <row r="389" spans="2:24" x14ac:dyDescent="0.35">
      <c r="B389" s="140"/>
      <c r="C389" s="143"/>
      <c r="D389" s="143"/>
      <c r="E389" s="143"/>
      <c r="F389" s="143"/>
      <c r="G389" s="144">
        <v>0</v>
      </c>
      <c r="H389" s="145">
        <v>0</v>
      </c>
      <c r="I389" s="145">
        <f t="shared" si="177"/>
        <v>0</v>
      </c>
      <c r="J389" s="190"/>
      <c r="K389" s="144">
        <v>0</v>
      </c>
      <c r="L389" s="146">
        <f t="shared" si="178"/>
        <v>0</v>
      </c>
      <c r="M389" s="147">
        <f t="shared" si="179"/>
        <v>0</v>
      </c>
      <c r="N389" s="138" t="s">
        <v>92</v>
      </c>
      <c r="O389" s="190"/>
      <c r="P389" s="148">
        <v>0</v>
      </c>
      <c r="Q389" s="146">
        <f t="shared" si="175"/>
        <v>0</v>
      </c>
      <c r="R389" s="147">
        <f t="shared" si="176"/>
        <v>0</v>
      </c>
      <c r="S389" s="138" t="s">
        <v>92</v>
      </c>
      <c r="T389" s="190"/>
      <c r="U389" s="148">
        <f t="shared" si="173"/>
        <v>0</v>
      </c>
      <c r="V389" s="147">
        <f t="shared" si="174"/>
        <v>0</v>
      </c>
      <c r="W389" s="190"/>
      <c r="X389" s="143"/>
    </row>
    <row r="390" spans="2:24" x14ac:dyDescent="0.35">
      <c r="B390" s="140"/>
      <c r="C390" s="143"/>
      <c r="D390" s="143"/>
      <c r="E390" s="143"/>
      <c r="F390" s="143"/>
      <c r="G390" s="144">
        <v>0</v>
      </c>
      <c r="H390" s="145">
        <v>0</v>
      </c>
      <c r="I390" s="145">
        <f t="shared" si="177"/>
        <v>0</v>
      </c>
      <c r="J390" s="190"/>
      <c r="K390" s="144">
        <v>0</v>
      </c>
      <c r="L390" s="146">
        <f t="shared" si="178"/>
        <v>0</v>
      </c>
      <c r="M390" s="147">
        <f t="shared" si="179"/>
        <v>0</v>
      </c>
      <c r="N390" s="138" t="s">
        <v>92</v>
      </c>
      <c r="O390" s="190"/>
      <c r="P390" s="148">
        <v>0</v>
      </c>
      <c r="Q390" s="146">
        <f t="shared" si="175"/>
        <v>0</v>
      </c>
      <c r="R390" s="147">
        <f t="shared" si="176"/>
        <v>0</v>
      </c>
      <c r="S390" s="138" t="s">
        <v>92</v>
      </c>
      <c r="T390" s="190"/>
      <c r="U390" s="148">
        <f t="shared" si="173"/>
        <v>0</v>
      </c>
      <c r="V390" s="147">
        <f t="shared" si="174"/>
        <v>0</v>
      </c>
      <c r="W390" s="190"/>
      <c r="X390" s="143"/>
    </row>
    <row r="391" spans="2:24" x14ac:dyDescent="0.35">
      <c r="B391" s="140"/>
      <c r="C391" s="143"/>
      <c r="D391" s="143"/>
      <c r="E391" s="143"/>
      <c r="F391" s="143"/>
      <c r="G391" s="144">
        <v>0</v>
      </c>
      <c r="H391" s="145">
        <v>0</v>
      </c>
      <c r="I391" s="145">
        <f t="shared" ref="I391:I440" si="180">G391*H391</f>
        <v>0</v>
      </c>
      <c r="J391" s="190"/>
      <c r="K391" s="144">
        <v>0</v>
      </c>
      <c r="L391" s="146">
        <f t="shared" ref="L391:L441" si="181">H391</f>
        <v>0</v>
      </c>
      <c r="M391" s="147">
        <f t="shared" ref="M391:M441" si="182">K391*L391</f>
        <v>0</v>
      </c>
      <c r="N391" s="138" t="s">
        <v>92</v>
      </c>
      <c r="O391" s="190"/>
      <c r="P391" s="148">
        <v>0</v>
      </c>
      <c r="Q391" s="146">
        <f t="shared" si="175"/>
        <v>0</v>
      </c>
      <c r="R391" s="147">
        <f t="shared" si="176"/>
        <v>0</v>
      </c>
      <c r="S391" s="138" t="s">
        <v>92</v>
      </c>
      <c r="T391" s="190"/>
      <c r="U391" s="148">
        <f t="shared" si="173"/>
        <v>0</v>
      </c>
      <c r="V391" s="147">
        <f t="shared" si="174"/>
        <v>0</v>
      </c>
      <c r="W391" s="190"/>
      <c r="X391" s="143"/>
    </row>
    <row r="392" spans="2:24" x14ac:dyDescent="0.35">
      <c r="B392" s="140"/>
      <c r="C392" s="143"/>
      <c r="D392" s="143"/>
      <c r="E392" s="143"/>
      <c r="F392" s="143"/>
      <c r="G392" s="144">
        <v>0</v>
      </c>
      <c r="H392" s="145">
        <v>0</v>
      </c>
      <c r="I392" s="145">
        <f t="shared" si="180"/>
        <v>0</v>
      </c>
      <c r="J392" s="190"/>
      <c r="K392" s="144">
        <v>0</v>
      </c>
      <c r="L392" s="146">
        <f t="shared" si="181"/>
        <v>0</v>
      </c>
      <c r="M392" s="147">
        <f t="shared" si="182"/>
        <v>0</v>
      </c>
      <c r="N392" s="138" t="s">
        <v>92</v>
      </c>
      <c r="O392" s="190"/>
      <c r="P392" s="148">
        <v>0</v>
      </c>
      <c r="Q392" s="146">
        <f t="shared" ref="Q392:Q441" si="183">H392</f>
        <v>0</v>
      </c>
      <c r="R392" s="147">
        <f t="shared" ref="R392:R441" si="184">P392*Q392</f>
        <v>0</v>
      </c>
      <c r="S392" s="138" t="s">
        <v>92</v>
      </c>
      <c r="T392" s="190"/>
      <c r="U392" s="148">
        <f t="shared" ref="U392:U441" si="185">G392-K392-P392</f>
        <v>0</v>
      </c>
      <c r="V392" s="147">
        <f t="shared" ref="V392:V441" si="186">I392-M392-R392</f>
        <v>0</v>
      </c>
      <c r="W392" s="190"/>
      <c r="X392" s="143"/>
    </row>
    <row r="393" spans="2:24" x14ac:dyDescent="0.35">
      <c r="B393" s="140"/>
      <c r="C393" s="143"/>
      <c r="D393" s="143"/>
      <c r="E393" s="143"/>
      <c r="F393" s="143"/>
      <c r="G393" s="144">
        <v>0</v>
      </c>
      <c r="H393" s="145">
        <v>0</v>
      </c>
      <c r="I393" s="145">
        <f t="shared" si="180"/>
        <v>0</v>
      </c>
      <c r="J393" s="190"/>
      <c r="K393" s="144">
        <v>0</v>
      </c>
      <c r="L393" s="146">
        <f t="shared" si="181"/>
        <v>0</v>
      </c>
      <c r="M393" s="147">
        <f t="shared" si="182"/>
        <v>0</v>
      </c>
      <c r="N393" s="138" t="s">
        <v>92</v>
      </c>
      <c r="O393" s="190"/>
      <c r="P393" s="148">
        <v>0</v>
      </c>
      <c r="Q393" s="146">
        <f t="shared" si="183"/>
        <v>0</v>
      </c>
      <c r="R393" s="147">
        <f t="shared" si="184"/>
        <v>0</v>
      </c>
      <c r="S393" s="138" t="s">
        <v>92</v>
      </c>
      <c r="T393" s="190"/>
      <c r="U393" s="148">
        <f t="shared" si="185"/>
        <v>0</v>
      </c>
      <c r="V393" s="147">
        <f t="shared" si="186"/>
        <v>0</v>
      </c>
      <c r="W393" s="190"/>
      <c r="X393" s="143"/>
    </row>
    <row r="394" spans="2:24" x14ac:dyDescent="0.35">
      <c r="B394" s="140"/>
      <c r="C394" s="143"/>
      <c r="D394" s="143"/>
      <c r="E394" s="143"/>
      <c r="F394" s="143"/>
      <c r="G394" s="144">
        <v>0</v>
      </c>
      <c r="H394" s="145">
        <v>0</v>
      </c>
      <c r="I394" s="145">
        <f t="shared" si="180"/>
        <v>0</v>
      </c>
      <c r="J394" s="190"/>
      <c r="K394" s="144">
        <v>0</v>
      </c>
      <c r="L394" s="146">
        <f t="shared" si="181"/>
        <v>0</v>
      </c>
      <c r="M394" s="147">
        <f t="shared" si="182"/>
        <v>0</v>
      </c>
      <c r="N394" s="138" t="s">
        <v>92</v>
      </c>
      <c r="O394" s="190"/>
      <c r="P394" s="148">
        <v>0</v>
      </c>
      <c r="Q394" s="146">
        <f t="shared" si="183"/>
        <v>0</v>
      </c>
      <c r="R394" s="147">
        <f t="shared" si="184"/>
        <v>0</v>
      </c>
      <c r="S394" s="138" t="s">
        <v>92</v>
      </c>
      <c r="T394" s="190"/>
      <c r="U394" s="148">
        <f t="shared" si="185"/>
        <v>0</v>
      </c>
      <c r="V394" s="147">
        <f t="shared" si="186"/>
        <v>0</v>
      </c>
      <c r="W394" s="190"/>
      <c r="X394" s="143"/>
    </row>
    <row r="395" spans="2:24" x14ac:dyDescent="0.35">
      <c r="B395" s="140"/>
      <c r="C395" s="143"/>
      <c r="D395" s="143"/>
      <c r="E395" s="143"/>
      <c r="F395" s="143"/>
      <c r="G395" s="144">
        <v>0</v>
      </c>
      <c r="H395" s="145">
        <v>0</v>
      </c>
      <c r="I395" s="145">
        <f t="shared" si="180"/>
        <v>0</v>
      </c>
      <c r="J395" s="190"/>
      <c r="K395" s="144">
        <v>0</v>
      </c>
      <c r="L395" s="146">
        <f t="shared" si="181"/>
        <v>0</v>
      </c>
      <c r="M395" s="147">
        <f t="shared" si="182"/>
        <v>0</v>
      </c>
      <c r="N395" s="138" t="s">
        <v>92</v>
      </c>
      <c r="O395" s="190"/>
      <c r="P395" s="148">
        <v>0</v>
      </c>
      <c r="Q395" s="146">
        <f t="shared" si="183"/>
        <v>0</v>
      </c>
      <c r="R395" s="147">
        <f t="shared" si="184"/>
        <v>0</v>
      </c>
      <c r="S395" s="138" t="s">
        <v>92</v>
      </c>
      <c r="T395" s="190"/>
      <c r="U395" s="148">
        <f t="shared" si="185"/>
        <v>0</v>
      </c>
      <c r="V395" s="147">
        <f t="shared" si="186"/>
        <v>0</v>
      </c>
      <c r="W395" s="190"/>
      <c r="X395" s="143"/>
    </row>
    <row r="396" spans="2:24" x14ac:dyDescent="0.35">
      <c r="B396" s="140"/>
      <c r="C396" s="143"/>
      <c r="D396" s="143"/>
      <c r="E396" s="143"/>
      <c r="F396" s="143"/>
      <c r="G396" s="144">
        <v>0</v>
      </c>
      <c r="H396" s="145">
        <v>0</v>
      </c>
      <c r="I396" s="145">
        <f t="shared" si="180"/>
        <v>0</v>
      </c>
      <c r="J396" s="190"/>
      <c r="K396" s="144">
        <v>0</v>
      </c>
      <c r="L396" s="146">
        <f t="shared" si="181"/>
        <v>0</v>
      </c>
      <c r="M396" s="147">
        <f t="shared" si="182"/>
        <v>0</v>
      </c>
      <c r="N396" s="138" t="s">
        <v>92</v>
      </c>
      <c r="O396" s="190"/>
      <c r="P396" s="148">
        <v>0</v>
      </c>
      <c r="Q396" s="146">
        <f t="shared" si="183"/>
        <v>0</v>
      </c>
      <c r="R396" s="147">
        <f t="shared" si="184"/>
        <v>0</v>
      </c>
      <c r="S396" s="138" t="s">
        <v>92</v>
      </c>
      <c r="T396" s="190"/>
      <c r="U396" s="148">
        <f t="shared" si="185"/>
        <v>0</v>
      </c>
      <c r="V396" s="147">
        <f t="shared" si="186"/>
        <v>0</v>
      </c>
      <c r="W396" s="190"/>
      <c r="X396" s="143"/>
    </row>
    <row r="397" spans="2:24" x14ac:dyDescent="0.35">
      <c r="B397" s="140"/>
      <c r="C397" s="143"/>
      <c r="D397" s="143"/>
      <c r="E397" s="143"/>
      <c r="F397" s="143"/>
      <c r="G397" s="144">
        <v>0</v>
      </c>
      <c r="H397" s="145">
        <v>0</v>
      </c>
      <c r="I397" s="145">
        <f t="shared" si="180"/>
        <v>0</v>
      </c>
      <c r="J397" s="190"/>
      <c r="K397" s="144">
        <v>0</v>
      </c>
      <c r="L397" s="146">
        <f t="shared" si="181"/>
        <v>0</v>
      </c>
      <c r="M397" s="147">
        <f t="shared" si="182"/>
        <v>0</v>
      </c>
      <c r="N397" s="138" t="s">
        <v>92</v>
      </c>
      <c r="O397" s="190"/>
      <c r="P397" s="148">
        <v>0</v>
      </c>
      <c r="Q397" s="146">
        <f t="shared" si="183"/>
        <v>0</v>
      </c>
      <c r="R397" s="147">
        <f t="shared" si="184"/>
        <v>0</v>
      </c>
      <c r="S397" s="138" t="s">
        <v>92</v>
      </c>
      <c r="T397" s="190"/>
      <c r="U397" s="148">
        <f t="shared" si="185"/>
        <v>0</v>
      </c>
      <c r="V397" s="147">
        <f t="shared" si="186"/>
        <v>0</v>
      </c>
      <c r="W397" s="190"/>
      <c r="X397" s="143"/>
    </row>
    <row r="398" spans="2:24" x14ac:dyDescent="0.35">
      <c r="B398" s="140"/>
      <c r="C398" s="143"/>
      <c r="D398" s="143"/>
      <c r="E398" s="143"/>
      <c r="F398" s="143"/>
      <c r="G398" s="144">
        <v>0</v>
      </c>
      <c r="H398" s="145">
        <v>0</v>
      </c>
      <c r="I398" s="145">
        <f t="shared" si="180"/>
        <v>0</v>
      </c>
      <c r="J398" s="190"/>
      <c r="K398" s="144">
        <v>0</v>
      </c>
      <c r="L398" s="146">
        <f t="shared" si="181"/>
        <v>0</v>
      </c>
      <c r="M398" s="147">
        <f t="shared" si="182"/>
        <v>0</v>
      </c>
      <c r="N398" s="138" t="s">
        <v>92</v>
      </c>
      <c r="O398" s="190"/>
      <c r="P398" s="148">
        <v>0</v>
      </c>
      <c r="Q398" s="146">
        <f t="shared" si="183"/>
        <v>0</v>
      </c>
      <c r="R398" s="147">
        <f t="shared" si="184"/>
        <v>0</v>
      </c>
      <c r="S398" s="138" t="s">
        <v>92</v>
      </c>
      <c r="T398" s="190"/>
      <c r="U398" s="148">
        <f t="shared" si="185"/>
        <v>0</v>
      </c>
      <c r="V398" s="147">
        <f t="shared" si="186"/>
        <v>0</v>
      </c>
      <c r="W398" s="190"/>
      <c r="X398" s="143"/>
    </row>
    <row r="399" spans="2:24" x14ac:dyDescent="0.35">
      <c r="B399" s="142"/>
      <c r="C399" s="143"/>
      <c r="D399" s="143"/>
      <c r="E399" s="143"/>
      <c r="F399" s="143"/>
      <c r="G399" s="144">
        <v>0</v>
      </c>
      <c r="H399" s="145">
        <v>0</v>
      </c>
      <c r="I399" s="145">
        <f t="shared" si="180"/>
        <v>0</v>
      </c>
      <c r="J399" s="190"/>
      <c r="K399" s="144">
        <v>0</v>
      </c>
      <c r="L399" s="146">
        <f t="shared" si="181"/>
        <v>0</v>
      </c>
      <c r="M399" s="147">
        <f t="shared" si="182"/>
        <v>0</v>
      </c>
      <c r="N399" s="138" t="s">
        <v>92</v>
      </c>
      <c r="O399" s="190"/>
      <c r="P399" s="148">
        <v>0</v>
      </c>
      <c r="Q399" s="146">
        <f t="shared" si="183"/>
        <v>0</v>
      </c>
      <c r="R399" s="147">
        <f t="shared" si="184"/>
        <v>0</v>
      </c>
      <c r="S399" s="138" t="s">
        <v>92</v>
      </c>
      <c r="T399" s="190"/>
      <c r="U399" s="148">
        <f t="shared" si="185"/>
        <v>0</v>
      </c>
      <c r="V399" s="147">
        <f t="shared" si="186"/>
        <v>0</v>
      </c>
      <c r="W399" s="190"/>
      <c r="X399" s="143"/>
    </row>
    <row r="400" spans="2:24" x14ac:dyDescent="0.35">
      <c r="B400" s="142"/>
      <c r="C400" s="143"/>
      <c r="D400" s="143"/>
      <c r="E400" s="143"/>
      <c r="F400" s="143"/>
      <c r="G400" s="144">
        <v>0</v>
      </c>
      <c r="H400" s="145">
        <v>0</v>
      </c>
      <c r="I400" s="145">
        <f t="shared" si="180"/>
        <v>0</v>
      </c>
      <c r="J400" s="190"/>
      <c r="K400" s="144">
        <v>0</v>
      </c>
      <c r="L400" s="146">
        <f t="shared" si="181"/>
        <v>0</v>
      </c>
      <c r="M400" s="147">
        <f t="shared" si="182"/>
        <v>0</v>
      </c>
      <c r="N400" s="138" t="s">
        <v>92</v>
      </c>
      <c r="O400" s="190"/>
      <c r="P400" s="148">
        <v>0</v>
      </c>
      <c r="Q400" s="146">
        <f t="shared" si="183"/>
        <v>0</v>
      </c>
      <c r="R400" s="147">
        <f t="shared" si="184"/>
        <v>0</v>
      </c>
      <c r="S400" s="138" t="s">
        <v>92</v>
      </c>
      <c r="T400" s="190"/>
      <c r="U400" s="148">
        <f t="shared" si="185"/>
        <v>0</v>
      </c>
      <c r="V400" s="147">
        <f t="shared" si="186"/>
        <v>0</v>
      </c>
      <c r="W400" s="190"/>
      <c r="X400" s="143"/>
    </row>
    <row r="401" spans="2:24" x14ac:dyDescent="0.35">
      <c r="B401" s="142"/>
      <c r="C401" s="143"/>
      <c r="D401" s="143"/>
      <c r="E401" s="143"/>
      <c r="F401" s="143"/>
      <c r="G401" s="144">
        <v>0</v>
      </c>
      <c r="H401" s="145">
        <v>0</v>
      </c>
      <c r="I401" s="145">
        <f t="shared" si="180"/>
        <v>0</v>
      </c>
      <c r="J401" s="190"/>
      <c r="K401" s="144">
        <v>0</v>
      </c>
      <c r="L401" s="146">
        <f t="shared" si="181"/>
        <v>0</v>
      </c>
      <c r="M401" s="147">
        <f t="shared" si="182"/>
        <v>0</v>
      </c>
      <c r="N401" s="138" t="s">
        <v>92</v>
      </c>
      <c r="O401" s="190"/>
      <c r="P401" s="148">
        <v>0</v>
      </c>
      <c r="Q401" s="146">
        <f t="shared" si="183"/>
        <v>0</v>
      </c>
      <c r="R401" s="147">
        <f t="shared" si="184"/>
        <v>0</v>
      </c>
      <c r="S401" s="138" t="s">
        <v>92</v>
      </c>
      <c r="T401" s="190"/>
      <c r="U401" s="148">
        <f t="shared" si="185"/>
        <v>0</v>
      </c>
      <c r="V401" s="147">
        <f t="shared" si="186"/>
        <v>0</v>
      </c>
      <c r="W401" s="190"/>
      <c r="X401" s="143"/>
    </row>
    <row r="402" spans="2:24" x14ac:dyDescent="0.35">
      <c r="B402" s="142"/>
      <c r="C402" s="143"/>
      <c r="D402" s="143"/>
      <c r="E402" s="143"/>
      <c r="F402" s="143"/>
      <c r="G402" s="144">
        <v>0</v>
      </c>
      <c r="H402" s="145">
        <v>0</v>
      </c>
      <c r="I402" s="145">
        <f t="shared" si="180"/>
        <v>0</v>
      </c>
      <c r="J402" s="190"/>
      <c r="K402" s="144">
        <v>0</v>
      </c>
      <c r="L402" s="146">
        <f t="shared" si="181"/>
        <v>0</v>
      </c>
      <c r="M402" s="147">
        <f t="shared" si="182"/>
        <v>0</v>
      </c>
      <c r="N402" s="138" t="s">
        <v>92</v>
      </c>
      <c r="O402" s="190"/>
      <c r="P402" s="148">
        <v>0</v>
      </c>
      <c r="Q402" s="146">
        <f t="shared" si="183"/>
        <v>0</v>
      </c>
      <c r="R402" s="147">
        <f t="shared" si="184"/>
        <v>0</v>
      </c>
      <c r="S402" s="138" t="s">
        <v>92</v>
      </c>
      <c r="T402" s="190"/>
      <c r="U402" s="148">
        <f t="shared" si="185"/>
        <v>0</v>
      </c>
      <c r="V402" s="147">
        <f t="shared" si="186"/>
        <v>0</v>
      </c>
      <c r="W402" s="190"/>
      <c r="X402" s="143"/>
    </row>
    <row r="403" spans="2:24" x14ac:dyDescent="0.35">
      <c r="B403" s="142"/>
      <c r="C403" s="143"/>
      <c r="D403" s="143"/>
      <c r="E403" s="143"/>
      <c r="F403" s="143"/>
      <c r="G403" s="144">
        <v>0</v>
      </c>
      <c r="H403" s="145">
        <v>0</v>
      </c>
      <c r="I403" s="145">
        <f t="shared" si="180"/>
        <v>0</v>
      </c>
      <c r="J403" s="190"/>
      <c r="K403" s="144">
        <v>0</v>
      </c>
      <c r="L403" s="146">
        <f t="shared" si="181"/>
        <v>0</v>
      </c>
      <c r="M403" s="147">
        <f t="shared" si="182"/>
        <v>0</v>
      </c>
      <c r="N403" s="138" t="s">
        <v>92</v>
      </c>
      <c r="O403" s="190"/>
      <c r="P403" s="148">
        <v>0</v>
      </c>
      <c r="Q403" s="146">
        <f t="shared" si="183"/>
        <v>0</v>
      </c>
      <c r="R403" s="147">
        <f t="shared" si="184"/>
        <v>0</v>
      </c>
      <c r="S403" s="138" t="s">
        <v>92</v>
      </c>
      <c r="T403" s="190"/>
      <c r="U403" s="148">
        <f t="shared" si="185"/>
        <v>0</v>
      </c>
      <c r="V403" s="147">
        <f t="shared" si="186"/>
        <v>0</v>
      </c>
      <c r="W403" s="190"/>
      <c r="X403" s="143"/>
    </row>
    <row r="404" spans="2:24" x14ac:dyDescent="0.35">
      <c r="B404" s="142"/>
      <c r="C404" s="143"/>
      <c r="D404" s="143"/>
      <c r="E404" s="143"/>
      <c r="F404" s="143"/>
      <c r="G404" s="144">
        <v>0</v>
      </c>
      <c r="H404" s="145">
        <v>0</v>
      </c>
      <c r="I404" s="145">
        <f t="shared" si="180"/>
        <v>0</v>
      </c>
      <c r="J404" s="190"/>
      <c r="K404" s="144">
        <v>0</v>
      </c>
      <c r="L404" s="146">
        <f t="shared" si="181"/>
        <v>0</v>
      </c>
      <c r="M404" s="147">
        <f t="shared" si="182"/>
        <v>0</v>
      </c>
      <c r="N404" s="138" t="s">
        <v>92</v>
      </c>
      <c r="O404" s="190"/>
      <c r="P404" s="148">
        <v>0</v>
      </c>
      <c r="Q404" s="146">
        <f t="shared" si="183"/>
        <v>0</v>
      </c>
      <c r="R404" s="147">
        <f t="shared" si="184"/>
        <v>0</v>
      </c>
      <c r="S404" s="138" t="s">
        <v>92</v>
      </c>
      <c r="T404" s="190"/>
      <c r="U404" s="148">
        <f t="shared" si="185"/>
        <v>0</v>
      </c>
      <c r="V404" s="147">
        <f t="shared" si="186"/>
        <v>0</v>
      </c>
      <c r="W404" s="190"/>
      <c r="X404" s="143"/>
    </row>
    <row r="405" spans="2:24" x14ac:dyDescent="0.35">
      <c r="B405" s="142"/>
      <c r="C405" s="143"/>
      <c r="D405" s="143"/>
      <c r="E405" s="143"/>
      <c r="F405" s="143"/>
      <c r="G405" s="144">
        <v>0</v>
      </c>
      <c r="H405" s="145">
        <v>0</v>
      </c>
      <c r="I405" s="145">
        <f t="shared" si="180"/>
        <v>0</v>
      </c>
      <c r="J405" s="190"/>
      <c r="K405" s="144">
        <v>0</v>
      </c>
      <c r="L405" s="146">
        <f t="shared" si="181"/>
        <v>0</v>
      </c>
      <c r="M405" s="147">
        <f t="shared" si="182"/>
        <v>0</v>
      </c>
      <c r="N405" s="138" t="s">
        <v>92</v>
      </c>
      <c r="O405" s="190"/>
      <c r="P405" s="148">
        <v>0</v>
      </c>
      <c r="Q405" s="146">
        <f t="shared" si="183"/>
        <v>0</v>
      </c>
      <c r="R405" s="147">
        <f t="shared" si="184"/>
        <v>0</v>
      </c>
      <c r="S405" s="138" t="s">
        <v>92</v>
      </c>
      <c r="T405" s="190"/>
      <c r="U405" s="148">
        <f t="shared" si="185"/>
        <v>0</v>
      </c>
      <c r="V405" s="147">
        <f t="shared" si="186"/>
        <v>0</v>
      </c>
      <c r="W405" s="190"/>
      <c r="X405" s="143"/>
    </row>
    <row r="406" spans="2:24" x14ac:dyDescent="0.35">
      <c r="B406" s="142"/>
      <c r="C406" s="143"/>
      <c r="D406" s="143"/>
      <c r="E406" s="143"/>
      <c r="F406" s="143"/>
      <c r="G406" s="144">
        <v>0</v>
      </c>
      <c r="H406" s="145">
        <v>0</v>
      </c>
      <c r="I406" s="145">
        <f t="shared" si="180"/>
        <v>0</v>
      </c>
      <c r="J406" s="190"/>
      <c r="K406" s="144">
        <v>0</v>
      </c>
      <c r="L406" s="146">
        <f t="shared" si="181"/>
        <v>0</v>
      </c>
      <c r="M406" s="147">
        <f t="shared" si="182"/>
        <v>0</v>
      </c>
      <c r="N406" s="138" t="s">
        <v>92</v>
      </c>
      <c r="O406" s="190"/>
      <c r="P406" s="148">
        <v>0</v>
      </c>
      <c r="Q406" s="146">
        <f t="shared" si="183"/>
        <v>0</v>
      </c>
      <c r="R406" s="147">
        <f t="shared" si="184"/>
        <v>0</v>
      </c>
      <c r="S406" s="138" t="s">
        <v>92</v>
      </c>
      <c r="T406" s="190"/>
      <c r="U406" s="148">
        <f t="shared" si="185"/>
        <v>0</v>
      </c>
      <c r="V406" s="147">
        <f t="shared" si="186"/>
        <v>0</v>
      </c>
      <c r="W406" s="190"/>
      <c r="X406" s="143"/>
    </row>
    <row r="407" spans="2:24" x14ac:dyDescent="0.35">
      <c r="B407" s="142"/>
      <c r="C407" s="143"/>
      <c r="D407" s="143"/>
      <c r="E407" s="143"/>
      <c r="F407" s="143"/>
      <c r="G407" s="144">
        <v>0</v>
      </c>
      <c r="H407" s="145">
        <v>0</v>
      </c>
      <c r="I407" s="145">
        <f t="shared" si="180"/>
        <v>0</v>
      </c>
      <c r="J407" s="190"/>
      <c r="K407" s="144">
        <v>0</v>
      </c>
      <c r="L407" s="146">
        <f t="shared" si="181"/>
        <v>0</v>
      </c>
      <c r="M407" s="147">
        <f t="shared" si="182"/>
        <v>0</v>
      </c>
      <c r="N407" s="138" t="s">
        <v>92</v>
      </c>
      <c r="O407" s="190"/>
      <c r="P407" s="148">
        <v>0</v>
      </c>
      <c r="Q407" s="146">
        <f t="shared" si="183"/>
        <v>0</v>
      </c>
      <c r="R407" s="147">
        <f t="shared" si="184"/>
        <v>0</v>
      </c>
      <c r="S407" s="138" t="s">
        <v>92</v>
      </c>
      <c r="T407" s="190"/>
      <c r="U407" s="148">
        <f t="shared" si="185"/>
        <v>0</v>
      </c>
      <c r="V407" s="147">
        <f t="shared" si="186"/>
        <v>0</v>
      </c>
      <c r="W407" s="190"/>
      <c r="X407" s="143"/>
    </row>
    <row r="408" spans="2:24" x14ac:dyDescent="0.35">
      <c r="B408" s="142"/>
      <c r="C408" s="143"/>
      <c r="D408" s="142"/>
      <c r="E408" s="143"/>
      <c r="F408" s="143"/>
      <c r="G408" s="144">
        <v>0</v>
      </c>
      <c r="H408" s="145">
        <v>0</v>
      </c>
      <c r="I408" s="145">
        <f t="shared" si="180"/>
        <v>0</v>
      </c>
      <c r="J408" s="190"/>
      <c r="K408" s="144">
        <v>0</v>
      </c>
      <c r="L408" s="146">
        <f t="shared" si="181"/>
        <v>0</v>
      </c>
      <c r="M408" s="147">
        <f t="shared" si="182"/>
        <v>0</v>
      </c>
      <c r="N408" s="138" t="s">
        <v>92</v>
      </c>
      <c r="O408" s="190"/>
      <c r="P408" s="148">
        <v>0</v>
      </c>
      <c r="Q408" s="146">
        <f t="shared" si="183"/>
        <v>0</v>
      </c>
      <c r="R408" s="147">
        <f t="shared" si="184"/>
        <v>0</v>
      </c>
      <c r="S408" s="138" t="s">
        <v>92</v>
      </c>
      <c r="T408" s="190"/>
      <c r="U408" s="148">
        <f t="shared" si="185"/>
        <v>0</v>
      </c>
      <c r="V408" s="147">
        <f t="shared" si="186"/>
        <v>0</v>
      </c>
      <c r="W408" s="190"/>
      <c r="X408" s="143"/>
    </row>
    <row r="409" spans="2:24" x14ac:dyDescent="0.35">
      <c r="B409" s="142"/>
      <c r="C409" s="143"/>
      <c r="D409" s="143"/>
      <c r="E409" s="143"/>
      <c r="F409" s="143"/>
      <c r="G409" s="144">
        <v>0</v>
      </c>
      <c r="H409" s="145">
        <v>0</v>
      </c>
      <c r="I409" s="145">
        <f t="shared" si="180"/>
        <v>0</v>
      </c>
      <c r="J409" s="190"/>
      <c r="K409" s="144">
        <v>0</v>
      </c>
      <c r="L409" s="146">
        <f t="shared" si="181"/>
        <v>0</v>
      </c>
      <c r="M409" s="147">
        <f t="shared" si="182"/>
        <v>0</v>
      </c>
      <c r="N409" s="138" t="s">
        <v>92</v>
      </c>
      <c r="O409" s="190"/>
      <c r="P409" s="148">
        <v>0</v>
      </c>
      <c r="Q409" s="146">
        <f t="shared" si="183"/>
        <v>0</v>
      </c>
      <c r="R409" s="147">
        <f t="shared" si="184"/>
        <v>0</v>
      </c>
      <c r="S409" s="138" t="s">
        <v>92</v>
      </c>
      <c r="T409" s="190"/>
      <c r="U409" s="148">
        <f t="shared" si="185"/>
        <v>0</v>
      </c>
      <c r="V409" s="147">
        <f t="shared" si="186"/>
        <v>0</v>
      </c>
      <c r="W409" s="190"/>
      <c r="X409" s="143"/>
    </row>
    <row r="410" spans="2:24" x14ac:dyDescent="0.35">
      <c r="B410" s="142"/>
      <c r="C410" s="143"/>
      <c r="D410" s="143"/>
      <c r="E410" s="143"/>
      <c r="F410" s="143"/>
      <c r="G410" s="144">
        <v>0</v>
      </c>
      <c r="H410" s="145">
        <v>0</v>
      </c>
      <c r="I410" s="145">
        <f t="shared" si="180"/>
        <v>0</v>
      </c>
      <c r="J410" s="190"/>
      <c r="K410" s="144">
        <v>0</v>
      </c>
      <c r="L410" s="146">
        <f t="shared" si="181"/>
        <v>0</v>
      </c>
      <c r="M410" s="147">
        <f t="shared" si="182"/>
        <v>0</v>
      </c>
      <c r="N410" s="138" t="s">
        <v>92</v>
      </c>
      <c r="O410" s="190"/>
      <c r="P410" s="148">
        <v>0</v>
      </c>
      <c r="Q410" s="146">
        <f t="shared" si="183"/>
        <v>0</v>
      </c>
      <c r="R410" s="147">
        <f t="shared" si="184"/>
        <v>0</v>
      </c>
      <c r="S410" s="138" t="s">
        <v>92</v>
      </c>
      <c r="T410" s="190"/>
      <c r="U410" s="148">
        <f t="shared" si="185"/>
        <v>0</v>
      </c>
      <c r="V410" s="147">
        <f t="shared" si="186"/>
        <v>0</v>
      </c>
      <c r="W410" s="190"/>
      <c r="X410" s="143"/>
    </row>
    <row r="411" spans="2:24" x14ac:dyDescent="0.35">
      <c r="B411" s="142"/>
      <c r="C411" s="143"/>
      <c r="D411" s="143"/>
      <c r="E411" s="143"/>
      <c r="F411" s="143"/>
      <c r="G411" s="144">
        <v>0</v>
      </c>
      <c r="H411" s="145">
        <v>0</v>
      </c>
      <c r="I411" s="145">
        <f t="shared" si="180"/>
        <v>0</v>
      </c>
      <c r="J411" s="190"/>
      <c r="K411" s="144">
        <v>0</v>
      </c>
      <c r="L411" s="146">
        <f t="shared" si="181"/>
        <v>0</v>
      </c>
      <c r="M411" s="147">
        <f t="shared" si="182"/>
        <v>0</v>
      </c>
      <c r="N411" s="138" t="s">
        <v>92</v>
      </c>
      <c r="O411" s="190"/>
      <c r="P411" s="148">
        <v>0</v>
      </c>
      <c r="Q411" s="146">
        <f t="shared" si="183"/>
        <v>0</v>
      </c>
      <c r="R411" s="147">
        <f t="shared" si="184"/>
        <v>0</v>
      </c>
      <c r="S411" s="138" t="s">
        <v>92</v>
      </c>
      <c r="T411" s="190"/>
      <c r="U411" s="148">
        <f t="shared" si="185"/>
        <v>0</v>
      </c>
      <c r="V411" s="147">
        <f t="shared" si="186"/>
        <v>0</v>
      </c>
      <c r="W411" s="190"/>
      <c r="X411" s="143"/>
    </row>
    <row r="412" spans="2:24" x14ac:dyDescent="0.35">
      <c r="B412" s="142"/>
      <c r="C412" s="143"/>
      <c r="D412" s="143"/>
      <c r="E412" s="143"/>
      <c r="F412" s="143"/>
      <c r="G412" s="144">
        <v>0</v>
      </c>
      <c r="H412" s="145">
        <v>0</v>
      </c>
      <c r="I412" s="145">
        <f t="shared" si="180"/>
        <v>0</v>
      </c>
      <c r="J412" s="190"/>
      <c r="K412" s="144">
        <v>0</v>
      </c>
      <c r="L412" s="146">
        <f t="shared" si="181"/>
        <v>0</v>
      </c>
      <c r="M412" s="147">
        <f t="shared" si="182"/>
        <v>0</v>
      </c>
      <c r="N412" s="138" t="s">
        <v>92</v>
      </c>
      <c r="O412" s="190"/>
      <c r="P412" s="148">
        <v>0</v>
      </c>
      <c r="Q412" s="146">
        <f t="shared" si="183"/>
        <v>0</v>
      </c>
      <c r="R412" s="147">
        <f t="shared" si="184"/>
        <v>0</v>
      </c>
      <c r="S412" s="138" t="s">
        <v>92</v>
      </c>
      <c r="T412" s="190"/>
      <c r="U412" s="148">
        <f t="shared" si="185"/>
        <v>0</v>
      </c>
      <c r="V412" s="147">
        <f t="shared" si="186"/>
        <v>0</v>
      </c>
      <c r="W412" s="190"/>
      <c r="X412" s="143"/>
    </row>
    <row r="413" spans="2:24" x14ac:dyDescent="0.35">
      <c r="B413" s="142"/>
      <c r="C413" s="143"/>
      <c r="D413" s="143"/>
      <c r="E413" s="143"/>
      <c r="F413" s="143"/>
      <c r="G413" s="144">
        <v>0</v>
      </c>
      <c r="H413" s="145">
        <v>0</v>
      </c>
      <c r="I413" s="145">
        <f t="shared" si="180"/>
        <v>0</v>
      </c>
      <c r="J413" s="190"/>
      <c r="K413" s="144">
        <v>0</v>
      </c>
      <c r="L413" s="146">
        <f t="shared" si="181"/>
        <v>0</v>
      </c>
      <c r="M413" s="147">
        <f t="shared" si="182"/>
        <v>0</v>
      </c>
      <c r="N413" s="138" t="s">
        <v>92</v>
      </c>
      <c r="O413" s="190"/>
      <c r="P413" s="148">
        <v>0</v>
      </c>
      <c r="Q413" s="146">
        <f t="shared" si="183"/>
        <v>0</v>
      </c>
      <c r="R413" s="147">
        <f t="shared" si="184"/>
        <v>0</v>
      </c>
      <c r="S413" s="138" t="s">
        <v>92</v>
      </c>
      <c r="T413" s="190"/>
      <c r="U413" s="148">
        <f t="shared" si="185"/>
        <v>0</v>
      </c>
      <c r="V413" s="147">
        <f t="shared" si="186"/>
        <v>0</v>
      </c>
      <c r="W413" s="190"/>
      <c r="X413" s="143"/>
    </row>
    <row r="414" spans="2:24" x14ac:dyDescent="0.35">
      <c r="B414" s="142"/>
      <c r="C414" s="143"/>
      <c r="D414" s="158"/>
      <c r="E414" s="143"/>
      <c r="F414" s="143"/>
      <c r="G414" s="144">
        <v>0</v>
      </c>
      <c r="H414" s="145">
        <v>0</v>
      </c>
      <c r="I414" s="145">
        <f t="shared" si="180"/>
        <v>0</v>
      </c>
      <c r="J414" s="190"/>
      <c r="K414" s="144">
        <v>0</v>
      </c>
      <c r="L414" s="146">
        <f t="shared" si="181"/>
        <v>0</v>
      </c>
      <c r="M414" s="147">
        <f t="shared" si="182"/>
        <v>0</v>
      </c>
      <c r="N414" s="138" t="s">
        <v>92</v>
      </c>
      <c r="O414" s="190"/>
      <c r="P414" s="148">
        <v>0</v>
      </c>
      <c r="Q414" s="146">
        <f t="shared" si="183"/>
        <v>0</v>
      </c>
      <c r="R414" s="147">
        <f t="shared" si="184"/>
        <v>0</v>
      </c>
      <c r="S414" s="138" t="s">
        <v>92</v>
      </c>
      <c r="T414" s="190"/>
      <c r="U414" s="148">
        <f t="shared" si="185"/>
        <v>0</v>
      </c>
      <c r="V414" s="147">
        <f t="shared" si="186"/>
        <v>0</v>
      </c>
      <c r="W414" s="190"/>
      <c r="X414" s="143"/>
    </row>
    <row r="415" spans="2:24" x14ac:dyDescent="0.35">
      <c r="B415" s="142"/>
      <c r="C415" s="143"/>
      <c r="D415" s="143"/>
      <c r="E415" s="143"/>
      <c r="F415" s="143"/>
      <c r="G415" s="144">
        <v>0</v>
      </c>
      <c r="H415" s="145">
        <v>0</v>
      </c>
      <c r="I415" s="145">
        <f t="shared" si="180"/>
        <v>0</v>
      </c>
      <c r="J415" s="190"/>
      <c r="K415" s="144">
        <v>0</v>
      </c>
      <c r="L415" s="146">
        <f t="shared" si="181"/>
        <v>0</v>
      </c>
      <c r="M415" s="147">
        <f t="shared" si="182"/>
        <v>0</v>
      </c>
      <c r="N415" s="138" t="s">
        <v>92</v>
      </c>
      <c r="O415" s="190"/>
      <c r="P415" s="148">
        <v>0</v>
      </c>
      <c r="Q415" s="146">
        <f t="shared" si="183"/>
        <v>0</v>
      </c>
      <c r="R415" s="147">
        <f t="shared" si="184"/>
        <v>0</v>
      </c>
      <c r="S415" s="138" t="s">
        <v>92</v>
      </c>
      <c r="T415" s="190"/>
      <c r="U415" s="148">
        <f t="shared" si="185"/>
        <v>0</v>
      </c>
      <c r="V415" s="147">
        <f t="shared" si="186"/>
        <v>0</v>
      </c>
      <c r="W415" s="190"/>
      <c r="X415" s="143"/>
    </row>
    <row r="416" spans="2:24" x14ac:dyDescent="0.35">
      <c r="B416" s="142"/>
      <c r="C416" s="143"/>
      <c r="D416" s="143"/>
      <c r="E416" s="143"/>
      <c r="F416" s="143"/>
      <c r="G416" s="144">
        <v>0</v>
      </c>
      <c r="H416" s="145">
        <v>0</v>
      </c>
      <c r="I416" s="145">
        <f t="shared" si="180"/>
        <v>0</v>
      </c>
      <c r="J416" s="190"/>
      <c r="K416" s="144">
        <v>0</v>
      </c>
      <c r="L416" s="146">
        <f t="shared" si="181"/>
        <v>0</v>
      </c>
      <c r="M416" s="147">
        <f t="shared" si="182"/>
        <v>0</v>
      </c>
      <c r="N416" s="138" t="s">
        <v>92</v>
      </c>
      <c r="O416" s="190"/>
      <c r="P416" s="148">
        <v>0</v>
      </c>
      <c r="Q416" s="146">
        <f t="shared" si="183"/>
        <v>0</v>
      </c>
      <c r="R416" s="147">
        <f t="shared" si="184"/>
        <v>0</v>
      </c>
      <c r="S416" s="138" t="s">
        <v>92</v>
      </c>
      <c r="T416" s="190"/>
      <c r="U416" s="148">
        <f t="shared" si="185"/>
        <v>0</v>
      </c>
      <c r="V416" s="147">
        <f t="shared" si="186"/>
        <v>0</v>
      </c>
      <c r="W416" s="190"/>
      <c r="X416" s="143"/>
    </row>
    <row r="417" spans="2:24" x14ac:dyDescent="0.35">
      <c r="B417" s="142"/>
      <c r="C417" s="143"/>
      <c r="D417" s="143"/>
      <c r="E417" s="143"/>
      <c r="F417" s="143"/>
      <c r="G417" s="144">
        <v>0</v>
      </c>
      <c r="H417" s="145">
        <v>0</v>
      </c>
      <c r="I417" s="145">
        <f t="shared" si="180"/>
        <v>0</v>
      </c>
      <c r="J417" s="190"/>
      <c r="K417" s="144">
        <v>0</v>
      </c>
      <c r="L417" s="146">
        <f t="shared" si="181"/>
        <v>0</v>
      </c>
      <c r="M417" s="147">
        <f t="shared" si="182"/>
        <v>0</v>
      </c>
      <c r="N417" s="138" t="s">
        <v>92</v>
      </c>
      <c r="O417" s="190"/>
      <c r="P417" s="148">
        <v>0</v>
      </c>
      <c r="Q417" s="146">
        <f t="shared" si="183"/>
        <v>0</v>
      </c>
      <c r="R417" s="147">
        <f t="shared" si="184"/>
        <v>0</v>
      </c>
      <c r="S417" s="138" t="s">
        <v>92</v>
      </c>
      <c r="T417" s="190"/>
      <c r="U417" s="148">
        <f t="shared" si="185"/>
        <v>0</v>
      </c>
      <c r="V417" s="147">
        <f t="shared" si="186"/>
        <v>0</v>
      </c>
      <c r="W417" s="190"/>
      <c r="X417" s="143"/>
    </row>
    <row r="418" spans="2:24" x14ac:dyDescent="0.35">
      <c r="B418" s="142"/>
      <c r="C418" s="143"/>
      <c r="D418" s="143"/>
      <c r="E418" s="143"/>
      <c r="F418" s="143"/>
      <c r="G418" s="144">
        <v>0</v>
      </c>
      <c r="H418" s="145">
        <v>0</v>
      </c>
      <c r="I418" s="145">
        <f t="shared" si="180"/>
        <v>0</v>
      </c>
      <c r="J418" s="190"/>
      <c r="K418" s="144">
        <v>0</v>
      </c>
      <c r="L418" s="146">
        <f t="shared" si="181"/>
        <v>0</v>
      </c>
      <c r="M418" s="147">
        <f t="shared" si="182"/>
        <v>0</v>
      </c>
      <c r="N418" s="138" t="s">
        <v>92</v>
      </c>
      <c r="O418" s="190"/>
      <c r="P418" s="148">
        <v>0</v>
      </c>
      <c r="Q418" s="146">
        <f t="shared" si="183"/>
        <v>0</v>
      </c>
      <c r="R418" s="147">
        <f t="shared" si="184"/>
        <v>0</v>
      </c>
      <c r="S418" s="138" t="s">
        <v>92</v>
      </c>
      <c r="T418" s="190"/>
      <c r="U418" s="148">
        <f t="shared" si="185"/>
        <v>0</v>
      </c>
      <c r="V418" s="147">
        <f t="shared" si="186"/>
        <v>0</v>
      </c>
      <c r="W418" s="190"/>
      <c r="X418" s="143"/>
    </row>
    <row r="419" spans="2:24" x14ac:dyDescent="0.35">
      <c r="B419" s="142"/>
      <c r="C419" s="143"/>
      <c r="D419" s="143"/>
      <c r="E419" s="143"/>
      <c r="F419" s="143"/>
      <c r="G419" s="144">
        <v>0</v>
      </c>
      <c r="H419" s="145">
        <v>0</v>
      </c>
      <c r="I419" s="145">
        <f t="shared" si="180"/>
        <v>0</v>
      </c>
      <c r="J419" s="190"/>
      <c r="K419" s="144">
        <v>0</v>
      </c>
      <c r="L419" s="146">
        <f t="shared" si="181"/>
        <v>0</v>
      </c>
      <c r="M419" s="147">
        <f t="shared" si="182"/>
        <v>0</v>
      </c>
      <c r="N419" s="138" t="s">
        <v>92</v>
      </c>
      <c r="O419" s="190"/>
      <c r="P419" s="148">
        <v>0</v>
      </c>
      <c r="Q419" s="146">
        <f t="shared" si="183"/>
        <v>0</v>
      </c>
      <c r="R419" s="147">
        <f t="shared" si="184"/>
        <v>0</v>
      </c>
      <c r="S419" s="138" t="s">
        <v>92</v>
      </c>
      <c r="T419" s="190"/>
      <c r="U419" s="148">
        <f t="shared" si="185"/>
        <v>0</v>
      </c>
      <c r="V419" s="147">
        <f t="shared" si="186"/>
        <v>0</v>
      </c>
      <c r="W419" s="190"/>
      <c r="X419" s="143"/>
    </row>
    <row r="420" spans="2:24" x14ac:dyDescent="0.35">
      <c r="B420" s="142"/>
      <c r="C420" s="143"/>
      <c r="D420" s="143"/>
      <c r="E420" s="143"/>
      <c r="F420" s="143"/>
      <c r="G420" s="144">
        <v>0</v>
      </c>
      <c r="H420" s="145">
        <v>0</v>
      </c>
      <c r="I420" s="145">
        <f t="shared" si="180"/>
        <v>0</v>
      </c>
      <c r="J420" s="190"/>
      <c r="K420" s="144">
        <v>0</v>
      </c>
      <c r="L420" s="146">
        <f t="shared" si="181"/>
        <v>0</v>
      </c>
      <c r="M420" s="147">
        <f t="shared" si="182"/>
        <v>0</v>
      </c>
      <c r="N420" s="138" t="s">
        <v>92</v>
      </c>
      <c r="O420" s="190"/>
      <c r="P420" s="148">
        <v>0</v>
      </c>
      <c r="Q420" s="146">
        <f t="shared" si="183"/>
        <v>0</v>
      </c>
      <c r="R420" s="147">
        <f t="shared" si="184"/>
        <v>0</v>
      </c>
      <c r="S420" s="138" t="s">
        <v>92</v>
      </c>
      <c r="T420" s="190"/>
      <c r="U420" s="148">
        <f t="shared" si="185"/>
        <v>0</v>
      </c>
      <c r="V420" s="147">
        <f t="shared" si="186"/>
        <v>0</v>
      </c>
      <c r="W420" s="190"/>
      <c r="X420" s="143"/>
    </row>
    <row r="421" spans="2:24" x14ac:dyDescent="0.35">
      <c r="B421" s="142"/>
      <c r="C421" s="143"/>
      <c r="D421" s="143"/>
      <c r="E421" s="143"/>
      <c r="F421" s="143"/>
      <c r="G421" s="144">
        <v>0</v>
      </c>
      <c r="H421" s="145">
        <v>0</v>
      </c>
      <c r="I421" s="145">
        <f t="shared" si="180"/>
        <v>0</v>
      </c>
      <c r="J421" s="190"/>
      <c r="K421" s="144">
        <v>0</v>
      </c>
      <c r="L421" s="146">
        <f t="shared" si="181"/>
        <v>0</v>
      </c>
      <c r="M421" s="147">
        <f t="shared" si="182"/>
        <v>0</v>
      </c>
      <c r="N421" s="138" t="s">
        <v>92</v>
      </c>
      <c r="O421" s="190"/>
      <c r="P421" s="148">
        <v>0</v>
      </c>
      <c r="Q421" s="146">
        <f t="shared" si="183"/>
        <v>0</v>
      </c>
      <c r="R421" s="147">
        <f t="shared" si="184"/>
        <v>0</v>
      </c>
      <c r="S421" s="138" t="s">
        <v>92</v>
      </c>
      <c r="T421" s="190"/>
      <c r="U421" s="148">
        <f t="shared" si="185"/>
        <v>0</v>
      </c>
      <c r="V421" s="147">
        <f t="shared" si="186"/>
        <v>0</v>
      </c>
      <c r="W421" s="190"/>
      <c r="X421" s="143"/>
    </row>
    <row r="422" spans="2:24" x14ac:dyDescent="0.35">
      <c r="B422" s="142"/>
      <c r="C422" s="143"/>
      <c r="D422" s="143"/>
      <c r="E422" s="143"/>
      <c r="F422" s="143"/>
      <c r="G422" s="144">
        <v>0</v>
      </c>
      <c r="H422" s="145">
        <v>0</v>
      </c>
      <c r="I422" s="145">
        <f t="shared" si="180"/>
        <v>0</v>
      </c>
      <c r="J422" s="190"/>
      <c r="K422" s="144">
        <v>0</v>
      </c>
      <c r="L422" s="146">
        <f t="shared" si="181"/>
        <v>0</v>
      </c>
      <c r="M422" s="147">
        <f t="shared" si="182"/>
        <v>0</v>
      </c>
      <c r="N422" s="138" t="s">
        <v>92</v>
      </c>
      <c r="O422" s="190"/>
      <c r="P422" s="148">
        <v>0</v>
      </c>
      <c r="Q422" s="146">
        <f t="shared" si="183"/>
        <v>0</v>
      </c>
      <c r="R422" s="147">
        <f t="shared" si="184"/>
        <v>0</v>
      </c>
      <c r="S422" s="138" t="s">
        <v>92</v>
      </c>
      <c r="T422" s="190"/>
      <c r="U422" s="148">
        <f t="shared" si="185"/>
        <v>0</v>
      </c>
      <c r="V422" s="147">
        <f t="shared" si="186"/>
        <v>0</v>
      </c>
      <c r="W422" s="190"/>
      <c r="X422" s="143"/>
    </row>
    <row r="423" spans="2:24" x14ac:dyDescent="0.35">
      <c r="B423" s="142"/>
      <c r="C423" s="143"/>
      <c r="D423" s="143"/>
      <c r="E423" s="143"/>
      <c r="F423" s="143"/>
      <c r="G423" s="144">
        <v>0</v>
      </c>
      <c r="H423" s="145">
        <v>0</v>
      </c>
      <c r="I423" s="145">
        <f t="shared" si="180"/>
        <v>0</v>
      </c>
      <c r="J423" s="190"/>
      <c r="K423" s="144">
        <v>0</v>
      </c>
      <c r="L423" s="146">
        <f t="shared" si="181"/>
        <v>0</v>
      </c>
      <c r="M423" s="147">
        <f t="shared" si="182"/>
        <v>0</v>
      </c>
      <c r="N423" s="138" t="s">
        <v>92</v>
      </c>
      <c r="O423" s="190"/>
      <c r="P423" s="148">
        <v>0</v>
      </c>
      <c r="Q423" s="146">
        <f t="shared" si="183"/>
        <v>0</v>
      </c>
      <c r="R423" s="147">
        <f t="shared" si="184"/>
        <v>0</v>
      </c>
      <c r="S423" s="138" t="s">
        <v>92</v>
      </c>
      <c r="T423" s="190"/>
      <c r="U423" s="148">
        <f t="shared" si="185"/>
        <v>0</v>
      </c>
      <c r="V423" s="147">
        <f t="shared" si="186"/>
        <v>0</v>
      </c>
      <c r="W423" s="190"/>
      <c r="X423" s="143"/>
    </row>
    <row r="424" spans="2:24" x14ac:dyDescent="0.35">
      <c r="B424" s="142"/>
      <c r="C424" s="143"/>
      <c r="D424" s="143"/>
      <c r="E424" s="143"/>
      <c r="F424" s="143"/>
      <c r="G424" s="144">
        <v>0</v>
      </c>
      <c r="H424" s="145">
        <v>0</v>
      </c>
      <c r="I424" s="145">
        <f t="shared" si="180"/>
        <v>0</v>
      </c>
      <c r="J424" s="190"/>
      <c r="K424" s="144">
        <v>0</v>
      </c>
      <c r="L424" s="146">
        <f t="shared" si="181"/>
        <v>0</v>
      </c>
      <c r="M424" s="147">
        <f t="shared" si="182"/>
        <v>0</v>
      </c>
      <c r="N424" s="138" t="s">
        <v>92</v>
      </c>
      <c r="O424" s="190"/>
      <c r="P424" s="148">
        <v>0</v>
      </c>
      <c r="Q424" s="146">
        <f t="shared" si="183"/>
        <v>0</v>
      </c>
      <c r="R424" s="147">
        <f t="shared" si="184"/>
        <v>0</v>
      </c>
      <c r="S424" s="138" t="s">
        <v>92</v>
      </c>
      <c r="T424" s="190"/>
      <c r="U424" s="148">
        <f t="shared" si="185"/>
        <v>0</v>
      </c>
      <c r="V424" s="147">
        <f t="shared" si="186"/>
        <v>0</v>
      </c>
      <c r="W424" s="190"/>
      <c r="X424" s="143"/>
    </row>
    <row r="425" spans="2:24" x14ac:dyDescent="0.35">
      <c r="B425" s="142"/>
      <c r="C425" s="143"/>
      <c r="D425" s="143"/>
      <c r="E425" s="143"/>
      <c r="F425" s="143"/>
      <c r="G425" s="144">
        <v>0</v>
      </c>
      <c r="H425" s="145">
        <v>0</v>
      </c>
      <c r="I425" s="145">
        <f t="shared" si="180"/>
        <v>0</v>
      </c>
      <c r="J425" s="190"/>
      <c r="K425" s="144">
        <v>0</v>
      </c>
      <c r="L425" s="146">
        <f t="shared" si="181"/>
        <v>0</v>
      </c>
      <c r="M425" s="147">
        <f t="shared" si="182"/>
        <v>0</v>
      </c>
      <c r="N425" s="138" t="s">
        <v>92</v>
      </c>
      <c r="O425" s="190"/>
      <c r="P425" s="148">
        <v>0</v>
      </c>
      <c r="Q425" s="146">
        <f t="shared" si="183"/>
        <v>0</v>
      </c>
      <c r="R425" s="147">
        <f t="shared" si="184"/>
        <v>0</v>
      </c>
      <c r="S425" s="138" t="s">
        <v>92</v>
      </c>
      <c r="T425" s="190"/>
      <c r="U425" s="148">
        <f t="shared" si="185"/>
        <v>0</v>
      </c>
      <c r="V425" s="147">
        <f t="shared" si="186"/>
        <v>0</v>
      </c>
      <c r="W425" s="190"/>
      <c r="X425" s="143"/>
    </row>
    <row r="426" spans="2:24" x14ac:dyDescent="0.35">
      <c r="B426" s="142"/>
      <c r="C426" s="143"/>
      <c r="D426" s="143"/>
      <c r="E426" s="143"/>
      <c r="F426" s="143"/>
      <c r="G426" s="144">
        <v>0</v>
      </c>
      <c r="H426" s="145">
        <v>0</v>
      </c>
      <c r="I426" s="145">
        <f t="shared" si="180"/>
        <v>0</v>
      </c>
      <c r="J426" s="190"/>
      <c r="K426" s="144">
        <v>0</v>
      </c>
      <c r="L426" s="146">
        <f t="shared" si="181"/>
        <v>0</v>
      </c>
      <c r="M426" s="147">
        <f t="shared" si="182"/>
        <v>0</v>
      </c>
      <c r="N426" s="138" t="s">
        <v>92</v>
      </c>
      <c r="O426" s="190"/>
      <c r="P426" s="148">
        <v>0</v>
      </c>
      <c r="Q426" s="146">
        <f t="shared" si="183"/>
        <v>0</v>
      </c>
      <c r="R426" s="147">
        <f t="shared" si="184"/>
        <v>0</v>
      </c>
      <c r="S426" s="138" t="s">
        <v>92</v>
      </c>
      <c r="T426" s="190"/>
      <c r="U426" s="148">
        <f t="shared" si="185"/>
        <v>0</v>
      </c>
      <c r="V426" s="147">
        <f t="shared" si="186"/>
        <v>0</v>
      </c>
      <c r="W426" s="190"/>
      <c r="X426" s="143"/>
    </row>
    <row r="427" spans="2:24" x14ac:dyDescent="0.35">
      <c r="B427" s="142"/>
      <c r="C427" s="143"/>
      <c r="D427" s="143"/>
      <c r="E427" s="143"/>
      <c r="F427" s="143"/>
      <c r="G427" s="144">
        <v>0</v>
      </c>
      <c r="H427" s="145">
        <v>0</v>
      </c>
      <c r="I427" s="145">
        <f t="shared" si="180"/>
        <v>0</v>
      </c>
      <c r="J427" s="190"/>
      <c r="K427" s="144">
        <v>0</v>
      </c>
      <c r="L427" s="146">
        <f t="shared" si="181"/>
        <v>0</v>
      </c>
      <c r="M427" s="147">
        <f t="shared" si="182"/>
        <v>0</v>
      </c>
      <c r="N427" s="138" t="s">
        <v>92</v>
      </c>
      <c r="O427" s="190"/>
      <c r="P427" s="148">
        <v>0</v>
      </c>
      <c r="Q427" s="146">
        <f t="shared" si="183"/>
        <v>0</v>
      </c>
      <c r="R427" s="147">
        <f t="shared" si="184"/>
        <v>0</v>
      </c>
      <c r="S427" s="138" t="s">
        <v>92</v>
      </c>
      <c r="T427" s="190"/>
      <c r="U427" s="148">
        <f t="shared" si="185"/>
        <v>0</v>
      </c>
      <c r="V427" s="147">
        <f t="shared" si="186"/>
        <v>0</v>
      </c>
      <c r="W427" s="190"/>
      <c r="X427" s="143"/>
    </row>
    <row r="428" spans="2:24" x14ac:dyDescent="0.35">
      <c r="B428" s="142"/>
      <c r="C428" s="143"/>
      <c r="D428" s="143"/>
      <c r="E428" s="143"/>
      <c r="F428" s="143"/>
      <c r="G428" s="144">
        <v>0</v>
      </c>
      <c r="H428" s="145">
        <v>0</v>
      </c>
      <c r="I428" s="145">
        <f t="shared" si="180"/>
        <v>0</v>
      </c>
      <c r="J428" s="190"/>
      <c r="K428" s="144">
        <v>0</v>
      </c>
      <c r="L428" s="146">
        <f t="shared" si="181"/>
        <v>0</v>
      </c>
      <c r="M428" s="147">
        <f t="shared" si="182"/>
        <v>0</v>
      </c>
      <c r="N428" s="138" t="s">
        <v>92</v>
      </c>
      <c r="O428" s="190"/>
      <c r="P428" s="148">
        <v>0</v>
      </c>
      <c r="Q428" s="146">
        <f t="shared" si="183"/>
        <v>0</v>
      </c>
      <c r="R428" s="147">
        <f t="shared" si="184"/>
        <v>0</v>
      </c>
      <c r="S428" s="138" t="s">
        <v>92</v>
      </c>
      <c r="T428" s="190"/>
      <c r="U428" s="148">
        <f t="shared" si="185"/>
        <v>0</v>
      </c>
      <c r="V428" s="147">
        <f t="shared" si="186"/>
        <v>0</v>
      </c>
      <c r="W428" s="190"/>
      <c r="X428" s="143"/>
    </row>
    <row r="429" spans="2:24" x14ac:dyDescent="0.35">
      <c r="B429" s="142"/>
      <c r="C429" s="143"/>
      <c r="D429" s="143"/>
      <c r="E429" s="143"/>
      <c r="F429" s="143"/>
      <c r="G429" s="144">
        <v>0</v>
      </c>
      <c r="H429" s="145">
        <v>0</v>
      </c>
      <c r="I429" s="145">
        <f t="shared" si="180"/>
        <v>0</v>
      </c>
      <c r="J429" s="190"/>
      <c r="K429" s="144">
        <v>0</v>
      </c>
      <c r="L429" s="146">
        <f t="shared" si="181"/>
        <v>0</v>
      </c>
      <c r="M429" s="147">
        <f t="shared" si="182"/>
        <v>0</v>
      </c>
      <c r="N429" s="138" t="s">
        <v>92</v>
      </c>
      <c r="O429" s="190"/>
      <c r="P429" s="148">
        <v>0</v>
      </c>
      <c r="Q429" s="146">
        <f t="shared" si="183"/>
        <v>0</v>
      </c>
      <c r="R429" s="147">
        <f t="shared" si="184"/>
        <v>0</v>
      </c>
      <c r="S429" s="138" t="s">
        <v>92</v>
      </c>
      <c r="T429" s="190"/>
      <c r="U429" s="148">
        <f t="shared" si="185"/>
        <v>0</v>
      </c>
      <c r="V429" s="147">
        <f t="shared" si="186"/>
        <v>0</v>
      </c>
      <c r="W429" s="190"/>
      <c r="X429" s="143"/>
    </row>
    <row r="430" spans="2:24" x14ac:dyDescent="0.35">
      <c r="B430" s="142"/>
      <c r="C430" s="143"/>
      <c r="D430" s="143"/>
      <c r="E430" s="143"/>
      <c r="F430" s="143"/>
      <c r="G430" s="144">
        <v>0</v>
      </c>
      <c r="H430" s="145">
        <v>0</v>
      </c>
      <c r="I430" s="145">
        <f t="shared" si="180"/>
        <v>0</v>
      </c>
      <c r="J430" s="190"/>
      <c r="K430" s="144">
        <v>0</v>
      </c>
      <c r="L430" s="146">
        <f t="shared" si="181"/>
        <v>0</v>
      </c>
      <c r="M430" s="147">
        <f t="shared" si="182"/>
        <v>0</v>
      </c>
      <c r="N430" s="138" t="s">
        <v>92</v>
      </c>
      <c r="O430" s="190"/>
      <c r="P430" s="148">
        <v>0</v>
      </c>
      <c r="Q430" s="146">
        <f t="shared" si="183"/>
        <v>0</v>
      </c>
      <c r="R430" s="147">
        <f t="shared" si="184"/>
        <v>0</v>
      </c>
      <c r="S430" s="138" t="s">
        <v>92</v>
      </c>
      <c r="T430" s="190"/>
      <c r="U430" s="148">
        <f t="shared" si="185"/>
        <v>0</v>
      </c>
      <c r="V430" s="147">
        <f t="shared" si="186"/>
        <v>0</v>
      </c>
      <c r="W430" s="190"/>
      <c r="X430" s="143"/>
    </row>
    <row r="431" spans="2:24" x14ac:dyDescent="0.35">
      <c r="B431" s="142"/>
      <c r="C431" s="143"/>
      <c r="D431" s="143"/>
      <c r="E431" s="143"/>
      <c r="F431" s="143"/>
      <c r="G431" s="144">
        <v>0</v>
      </c>
      <c r="H431" s="145">
        <v>0</v>
      </c>
      <c r="I431" s="145">
        <f t="shared" si="180"/>
        <v>0</v>
      </c>
      <c r="J431" s="190"/>
      <c r="K431" s="144">
        <v>0</v>
      </c>
      <c r="L431" s="146">
        <f t="shared" si="181"/>
        <v>0</v>
      </c>
      <c r="M431" s="147">
        <f t="shared" si="182"/>
        <v>0</v>
      </c>
      <c r="N431" s="138" t="s">
        <v>92</v>
      </c>
      <c r="O431" s="190"/>
      <c r="P431" s="148">
        <v>0</v>
      </c>
      <c r="Q431" s="146">
        <f t="shared" si="183"/>
        <v>0</v>
      </c>
      <c r="R431" s="147">
        <f t="shared" si="184"/>
        <v>0</v>
      </c>
      <c r="S431" s="138" t="s">
        <v>92</v>
      </c>
      <c r="T431" s="190"/>
      <c r="U431" s="148">
        <f t="shared" si="185"/>
        <v>0</v>
      </c>
      <c r="V431" s="147">
        <f t="shared" si="186"/>
        <v>0</v>
      </c>
      <c r="W431" s="190"/>
      <c r="X431" s="143"/>
    </row>
    <row r="432" spans="2:24" x14ac:dyDescent="0.35">
      <c r="B432" s="142"/>
      <c r="C432" s="143"/>
      <c r="D432" s="143"/>
      <c r="E432" s="143"/>
      <c r="F432" s="143"/>
      <c r="G432" s="144">
        <v>0</v>
      </c>
      <c r="H432" s="145">
        <v>0</v>
      </c>
      <c r="I432" s="145">
        <f t="shared" si="180"/>
        <v>0</v>
      </c>
      <c r="J432" s="190"/>
      <c r="K432" s="144">
        <v>0</v>
      </c>
      <c r="L432" s="146">
        <f t="shared" si="181"/>
        <v>0</v>
      </c>
      <c r="M432" s="147">
        <f t="shared" si="182"/>
        <v>0</v>
      </c>
      <c r="N432" s="138" t="s">
        <v>92</v>
      </c>
      <c r="O432" s="190"/>
      <c r="P432" s="148">
        <v>0</v>
      </c>
      <c r="Q432" s="146">
        <f t="shared" si="183"/>
        <v>0</v>
      </c>
      <c r="R432" s="147">
        <f t="shared" si="184"/>
        <v>0</v>
      </c>
      <c r="S432" s="138" t="s">
        <v>92</v>
      </c>
      <c r="T432" s="190"/>
      <c r="U432" s="148">
        <f t="shared" si="185"/>
        <v>0</v>
      </c>
      <c r="V432" s="147">
        <f t="shared" si="186"/>
        <v>0</v>
      </c>
      <c r="W432" s="190"/>
      <c r="X432" s="143"/>
    </row>
    <row r="433" spans="2:24" x14ac:dyDescent="0.35">
      <c r="B433" s="142"/>
      <c r="C433" s="143"/>
      <c r="D433" s="143"/>
      <c r="E433" s="143"/>
      <c r="F433" s="143"/>
      <c r="G433" s="144">
        <v>0</v>
      </c>
      <c r="H433" s="145">
        <v>0</v>
      </c>
      <c r="I433" s="145">
        <f t="shared" si="180"/>
        <v>0</v>
      </c>
      <c r="J433" s="190"/>
      <c r="K433" s="144">
        <v>0</v>
      </c>
      <c r="L433" s="146">
        <f t="shared" si="181"/>
        <v>0</v>
      </c>
      <c r="M433" s="147">
        <f t="shared" si="182"/>
        <v>0</v>
      </c>
      <c r="N433" s="138" t="s">
        <v>92</v>
      </c>
      <c r="O433" s="190"/>
      <c r="P433" s="148">
        <v>0</v>
      </c>
      <c r="Q433" s="146">
        <f t="shared" si="183"/>
        <v>0</v>
      </c>
      <c r="R433" s="147">
        <f t="shared" si="184"/>
        <v>0</v>
      </c>
      <c r="S433" s="138" t="s">
        <v>92</v>
      </c>
      <c r="T433" s="190"/>
      <c r="U433" s="148">
        <f t="shared" si="185"/>
        <v>0</v>
      </c>
      <c r="V433" s="147">
        <f t="shared" si="186"/>
        <v>0</v>
      </c>
      <c r="W433" s="190"/>
      <c r="X433" s="143"/>
    </row>
    <row r="434" spans="2:24" x14ac:dyDescent="0.35">
      <c r="B434" s="142"/>
      <c r="C434" s="143"/>
      <c r="D434" s="143"/>
      <c r="E434" s="143"/>
      <c r="F434" s="143"/>
      <c r="G434" s="144">
        <v>0</v>
      </c>
      <c r="H434" s="145">
        <v>0</v>
      </c>
      <c r="I434" s="145">
        <f t="shared" si="180"/>
        <v>0</v>
      </c>
      <c r="J434" s="190"/>
      <c r="K434" s="144">
        <v>0</v>
      </c>
      <c r="L434" s="146">
        <f t="shared" si="181"/>
        <v>0</v>
      </c>
      <c r="M434" s="147">
        <f t="shared" si="182"/>
        <v>0</v>
      </c>
      <c r="N434" s="138" t="s">
        <v>92</v>
      </c>
      <c r="O434" s="190"/>
      <c r="P434" s="148">
        <v>0</v>
      </c>
      <c r="Q434" s="146">
        <f t="shared" si="183"/>
        <v>0</v>
      </c>
      <c r="R434" s="147">
        <f t="shared" si="184"/>
        <v>0</v>
      </c>
      <c r="S434" s="138" t="s">
        <v>92</v>
      </c>
      <c r="T434" s="190"/>
      <c r="U434" s="148">
        <f t="shared" si="185"/>
        <v>0</v>
      </c>
      <c r="V434" s="147">
        <f t="shared" si="186"/>
        <v>0</v>
      </c>
      <c r="W434" s="190"/>
      <c r="X434" s="143"/>
    </row>
    <row r="435" spans="2:24" x14ac:dyDescent="0.35">
      <c r="B435" s="142"/>
      <c r="C435" s="143"/>
      <c r="D435" s="143"/>
      <c r="E435" s="143"/>
      <c r="F435" s="143"/>
      <c r="G435" s="144">
        <v>0</v>
      </c>
      <c r="H435" s="145">
        <v>0</v>
      </c>
      <c r="I435" s="145">
        <f t="shared" si="180"/>
        <v>0</v>
      </c>
      <c r="J435" s="190"/>
      <c r="K435" s="144">
        <v>0</v>
      </c>
      <c r="L435" s="146">
        <f t="shared" si="181"/>
        <v>0</v>
      </c>
      <c r="M435" s="147">
        <f t="shared" si="182"/>
        <v>0</v>
      </c>
      <c r="N435" s="138" t="s">
        <v>92</v>
      </c>
      <c r="O435" s="190"/>
      <c r="P435" s="148">
        <v>0</v>
      </c>
      <c r="Q435" s="146">
        <f t="shared" si="183"/>
        <v>0</v>
      </c>
      <c r="R435" s="147">
        <f t="shared" si="184"/>
        <v>0</v>
      </c>
      <c r="S435" s="138" t="s">
        <v>92</v>
      </c>
      <c r="T435" s="190"/>
      <c r="U435" s="148">
        <f t="shared" si="185"/>
        <v>0</v>
      </c>
      <c r="V435" s="147">
        <f t="shared" si="186"/>
        <v>0</v>
      </c>
      <c r="W435" s="190"/>
      <c r="X435" s="143"/>
    </row>
    <row r="436" spans="2:24" x14ac:dyDescent="0.35">
      <c r="B436" s="142"/>
      <c r="C436" s="143"/>
      <c r="D436" s="143"/>
      <c r="E436" s="143"/>
      <c r="F436" s="143"/>
      <c r="G436" s="144">
        <v>0</v>
      </c>
      <c r="H436" s="145">
        <v>0</v>
      </c>
      <c r="I436" s="145">
        <f t="shared" si="180"/>
        <v>0</v>
      </c>
      <c r="J436" s="190"/>
      <c r="K436" s="144">
        <v>0</v>
      </c>
      <c r="L436" s="146">
        <f t="shared" si="181"/>
        <v>0</v>
      </c>
      <c r="M436" s="147">
        <f t="shared" si="182"/>
        <v>0</v>
      </c>
      <c r="N436" s="138" t="s">
        <v>92</v>
      </c>
      <c r="O436" s="190"/>
      <c r="P436" s="148">
        <v>0</v>
      </c>
      <c r="Q436" s="146">
        <f t="shared" si="183"/>
        <v>0</v>
      </c>
      <c r="R436" s="147">
        <f t="shared" si="184"/>
        <v>0</v>
      </c>
      <c r="S436" s="138" t="s">
        <v>92</v>
      </c>
      <c r="T436" s="190"/>
      <c r="U436" s="148">
        <f t="shared" si="185"/>
        <v>0</v>
      </c>
      <c r="V436" s="147">
        <f t="shared" si="186"/>
        <v>0</v>
      </c>
      <c r="W436" s="190"/>
      <c r="X436" s="143"/>
    </row>
    <row r="437" spans="2:24" x14ac:dyDescent="0.35">
      <c r="B437" s="142"/>
      <c r="C437" s="143"/>
      <c r="D437" s="143"/>
      <c r="E437" s="143"/>
      <c r="F437" s="143"/>
      <c r="G437" s="144">
        <v>0</v>
      </c>
      <c r="H437" s="145">
        <v>0</v>
      </c>
      <c r="I437" s="145">
        <f t="shared" si="180"/>
        <v>0</v>
      </c>
      <c r="J437" s="190"/>
      <c r="K437" s="144">
        <v>0</v>
      </c>
      <c r="L437" s="146">
        <f t="shared" si="181"/>
        <v>0</v>
      </c>
      <c r="M437" s="147">
        <f t="shared" si="182"/>
        <v>0</v>
      </c>
      <c r="N437" s="138" t="s">
        <v>92</v>
      </c>
      <c r="O437" s="190"/>
      <c r="P437" s="148">
        <v>0</v>
      </c>
      <c r="Q437" s="146">
        <f t="shared" si="183"/>
        <v>0</v>
      </c>
      <c r="R437" s="147">
        <f t="shared" si="184"/>
        <v>0</v>
      </c>
      <c r="S437" s="138" t="s">
        <v>92</v>
      </c>
      <c r="T437" s="190"/>
      <c r="U437" s="148">
        <f t="shared" si="185"/>
        <v>0</v>
      </c>
      <c r="V437" s="147">
        <f t="shared" si="186"/>
        <v>0</v>
      </c>
      <c r="W437" s="190"/>
      <c r="X437" s="143"/>
    </row>
    <row r="438" spans="2:24" x14ac:dyDescent="0.35">
      <c r="B438" s="142"/>
      <c r="C438" s="143"/>
      <c r="D438" s="143"/>
      <c r="E438" s="143"/>
      <c r="F438" s="143"/>
      <c r="G438" s="144">
        <v>0</v>
      </c>
      <c r="H438" s="145">
        <v>0</v>
      </c>
      <c r="I438" s="145">
        <f t="shared" si="180"/>
        <v>0</v>
      </c>
      <c r="J438" s="190"/>
      <c r="K438" s="144">
        <v>0</v>
      </c>
      <c r="L438" s="146">
        <f t="shared" si="181"/>
        <v>0</v>
      </c>
      <c r="M438" s="147">
        <f t="shared" si="182"/>
        <v>0</v>
      </c>
      <c r="N438" s="138" t="s">
        <v>92</v>
      </c>
      <c r="O438" s="190"/>
      <c r="P438" s="148">
        <v>0</v>
      </c>
      <c r="Q438" s="146">
        <f t="shared" si="183"/>
        <v>0</v>
      </c>
      <c r="R438" s="147">
        <f t="shared" si="184"/>
        <v>0</v>
      </c>
      <c r="S438" s="138" t="s">
        <v>92</v>
      </c>
      <c r="T438" s="190"/>
      <c r="U438" s="148">
        <f t="shared" si="185"/>
        <v>0</v>
      </c>
      <c r="V438" s="147">
        <f t="shared" si="186"/>
        <v>0</v>
      </c>
      <c r="W438" s="190"/>
      <c r="X438" s="143"/>
    </row>
    <row r="439" spans="2:24" x14ac:dyDescent="0.35">
      <c r="B439" s="142"/>
      <c r="C439" s="143"/>
      <c r="D439" s="142"/>
      <c r="E439" s="143"/>
      <c r="F439" s="143"/>
      <c r="G439" s="144">
        <v>0</v>
      </c>
      <c r="H439" s="145">
        <v>0</v>
      </c>
      <c r="I439" s="145">
        <f t="shared" si="180"/>
        <v>0</v>
      </c>
      <c r="J439" s="190"/>
      <c r="K439" s="144">
        <v>0</v>
      </c>
      <c r="L439" s="146">
        <f t="shared" si="181"/>
        <v>0</v>
      </c>
      <c r="M439" s="147">
        <f t="shared" si="182"/>
        <v>0</v>
      </c>
      <c r="N439" s="138" t="s">
        <v>92</v>
      </c>
      <c r="O439" s="190"/>
      <c r="P439" s="148">
        <v>0</v>
      </c>
      <c r="Q439" s="146">
        <f t="shared" si="183"/>
        <v>0</v>
      </c>
      <c r="R439" s="147">
        <f t="shared" si="184"/>
        <v>0</v>
      </c>
      <c r="S439" s="138" t="s">
        <v>92</v>
      </c>
      <c r="T439" s="190"/>
      <c r="U439" s="148">
        <f t="shared" si="185"/>
        <v>0</v>
      </c>
      <c r="V439" s="147">
        <f t="shared" si="186"/>
        <v>0</v>
      </c>
      <c r="W439" s="190"/>
      <c r="X439" s="143"/>
    </row>
    <row r="440" spans="2:24" x14ac:dyDescent="0.35">
      <c r="B440" s="142"/>
      <c r="C440" s="143"/>
      <c r="D440" s="142"/>
      <c r="E440" s="143"/>
      <c r="F440" s="143"/>
      <c r="G440" s="144">
        <v>0</v>
      </c>
      <c r="H440" s="145">
        <v>0</v>
      </c>
      <c r="I440" s="145">
        <f t="shared" si="180"/>
        <v>0</v>
      </c>
      <c r="J440" s="190"/>
      <c r="K440" s="144">
        <v>0</v>
      </c>
      <c r="L440" s="146">
        <f t="shared" si="181"/>
        <v>0</v>
      </c>
      <c r="M440" s="147">
        <f t="shared" si="182"/>
        <v>0</v>
      </c>
      <c r="N440" s="138" t="s">
        <v>92</v>
      </c>
      <c r="O440" s="190"/>
      <c r="P440" s="148">
        <v>0</v>
      </c>
      <c r="Q440" s="146">
        <f t="shared" si="183"/>
        <v>0</v>
      </c>
      <c r="R440" s="147">
        <f t="shared" si="184"/>
        <v>0</v>
      </c>
      <c r="S440" s="138" t="s">
        <v>92</v>
      </c>
      <c r="T440" s="190"/>
      <c r="U440" s="148">
        <f t="shared" si="185"/>
        <v>0</v>
      </c>
      <c r="V440" s="147">
        <f t="shared" si="186"/>
        <v>0</v>
      </c>
      <c r="W440" s="190"/>
      <c r="X440" s="143"/>
    </row>
    <row r="441" spans="2:24" x14ac:dyDescent="0.35">
      <c r="B441" s="142"/>
      <c r="C441" s="143"/>
      <c r="D441" s="143"/>
      <c r="E441" s="143"/>
      <c r="F441" s="143"/>
      <c r="G441" s="144">
        <v>0</v>
      </c>
      <c r="H441" s="145">
        <v>0</v>
      </c>
      <c r="I441" s="147">
        <f t="shared" ref="I441" si="187">G441*H441</f>
        <v>0</v>
      </c>
      <c r="J441" s="190"/>
      <c r="K441" s="144">
        <v>0</v>
      </c>
      <c r="L441" s="146">
        <f t="shared" si="181"/>
        <v>0</v>
      </c>
      <c r="M441" s="147">
        <f t="shared" si="182"/>
        <v>0</v>
      </c>
      <c r="N441" s="138" t="s">
        <v>92</v>
      </c>
      <c r="O441" s="190"/>
      <c r="P441" s="148">
        <v>0</v>
      </c>
      <c r="Q441" s="146">
        <f t="shared" si="183"/>
        <v>0</v>
      </c>
      <c r="R441" s="147">
        <f t="shared" si="184"/>
        <v>0</v>
      </c>
      <c r="S441" s="138" t="s">
        <v>92</v>
      </c>
      <c r="T441" s="190"/>
      <c r="U441" s="148">
        <f t="shared" si="185"/>
        <v>0</v>
      </c>
      <c r="V441" s="147">
        <f t="shared" si="186"/>
        <v>0</v>
      </c>
      <c r="W441" s="190"/>
      <c r="X441" s="143"/>
    </row>
    <row r="442" spans="2:24" ht="15" thickBot="1" x14ac:dyDescent="0.4">
      <c r="B442" s="159"/>
      <c r="C442" s="160"/>
      <c r="D442" s="160"/>
      <c r="E442" s="160"/>
      <c r="F442" s="160"/>
      <c r="G442" s="161"/>
      <c r="H442" s="162"/>
      <c r="I442" s="163"/>
      <c r="J442" s="191"/>
      <c r="K442" s="164"/>
      <c r="L442" s="165"/>
      <c r="M442" s="163"/>
      <c r="N442" s="166"/>
      <c r="O442" s="191"/>
      <c r="P442" s="167"/>
      <c r="Q442" s="165"/>
      <c r="R442" s="163"/>
      <c r="S442" s="166"/>
      <c r="T442" s="191"/>
      <c r="U442" s="167"/>
      <c r="V442" s="163"/>
      <c r="W442" s="191"/>
      <c r="X442" s="160"/>
    </row>
    <row r="443" spans="2:24" x14ac:dyDescent="0.35">
      <c r="J443" s="122"/>
      <c r="O443" s="122"/>
      <c r="T443" s="122"/>
      <c r="W443" s="122"/>
    </row>
    <row r="448" spans="2:24" x14ac:dyDescent="0.35">
      <c r="K448" s="118"/>
      <c r="L448" s="118"/>
      <c r="M448" s="118"/>
    </row>
    <row r="449" spans="13:13" x14ac:dyDescent="0.35">
      <c r="M449" s="118"/>
    </row>
    <row r="450" spans="13:13" x14ac:dyDescent="0.35">
      <c r="M450" s="118"/>
    </row>
  </sheetData>
  <mergeCells count="52">
    <mergeCell ref="B133:B135"/>
    <mergeCell ref="E133:E135"/>
    <mergeCell ref="F133:F135"/>
    <mergeCell ref="B97:B101"/>
    <mergeCell ref="E97:E101"/>
    <mergeCell ref="F97:F101"/>
    <mergeCell ref="E73:E75"/>
    <mergeCell ref="F73:F75"/>
    <mergeCell ref="X3:X4"/>
    <mergeCell ref="O3:O442"/>
    <mergeCell ref="P3:R3"/>
    <mergeCell ref="S3:S4"/>
    <mergeCell ref="T3:T442"/>
    <mergeCell ref="U3:V3"/>
    <mergeCell ref="W3:W442"/>
    <mergeCell ref="E231:E236"/>
    <mergeCell ref="F231:F236"/>
    <mergeCell ref="E174:E176"/>
    <mergeCell ref="F174:F176"/>
    <mergeCell ref="E177:E180"/>
    <mergeCell ref="F177:F180"/>
    <mergeCell ref="E196:E206"/>
    <mergeCell ref="H2:O2"/>
    <mergeCell ref="B3:B4"/>
    <mergeCell ref="C3:C4"/>
    <mergeCell ref="D3:D4"/>
    <mergeCell ref="E3:E4"/>
    <mergeCell ref="F3:F4"/>
    <mergeCell ref="G3:I3"/>
    <mergeCell ref="J3:J442"/>
    <mergeCell ref="K3:M3"/>
    <mergeCell ref="N3:N4"/>
    <mergeCell ref="B10:B16"/>
    <mergeCell ref="B28:B32"/>
    <mergeCell ref="F71:F72"/>
    <mergeCell ref="E71:E72"/>
    <mergeCell ref="B71:B72"/>
    <mergeCell ref="B73:B75"/>
    <mergeCell ref="B262:B273"/>
    <mergeCell ref="E262:E273"/>
    <mergeCell ref="F262:F273"/>
    <mergeCell ref="B153:B155"/>
    <mergeCell ref="E153:E155"/>
    <mergeCell ref="F153:F155"/>
    <mergeCell ref="B231:B236"/>
    <mergeCell ref="B177:B180"/>
    <mergeCell ref="B174:B176"/>
    <mergeCell ref="B196:B206"/>
    <mergeCell ref="F196:F206"/>
    <mergeCell ref="B207:B219"/>
    <mergeCell ref="E207:E219"/>
    <mergeCell ref="F207:F219"/>
  </mergeCells>
  <phoneticPr fontId="2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Employment Tax</vt:lpstr>
      <vt:lpstr>P &amp; L</vt:lpstr>
      <vt:lpstr>DEBTORS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SALIM DONSAI</dc:creator>
  <cp:lastModifiedBy>SALIM HILAL</cp:lastModifiedBy>
  <dcterms:created xsi:type="dcterms:W3CDTF">2015-06-05T18:17:20Z</dcterms:created>
  <dcterms:modified xsi:type="dcterms:W3CDTF">2026-04-24T16:28:30Z</dcterms:modified>
</cp:coreProperties>
</file>