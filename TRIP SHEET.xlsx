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c9be3e2fed6e6ba/TRANSIT CARS/SH MALIK LOGISTIC CO LTD/FILES/2025/"/>
    </mc:Choice>
  </mc:AlternateContent>
  <xr:revisionPtr revIDLastSave="77" documentId="13_ncr:1_{EF3CB1B8-E63F-43A0-92A1-A13E3154C0E2}" xr6:coauthVersionLast="47" xr6:coauthVersionMax="47" xr10:uidLastSave="{F5D1EF15-7EFF-4527-A0E0-7F5D06A93D8E}"/>
  <bookViews>
    <workbookView xWindow="-110" yWindow="-110" windowWidth="19420" windowHeight="10300" activeTab="2" xr2:uid="{00000000-000D-0000-FFFF-FFFF00000000}"/>
  </bookViews>
  <sheets>
    <sheet name="Employment Tax" sheetId="1" r:id="rId1"/>
    <sheet name="P &amp; L" sheetId="2" r:id="rId2"/>
    <sheet name="DEBTORS" sheetId="3" r:id="rId3"/>
    <sheet name="Sheet1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55" i="3" l="1"/>
  <c r="R455" i="3" s="1"/>
  <c r="R449" i="3"/>
  <c r="Q449" i="3"/>
  <c r="F7485" i="2"/>
  <c r="F7327" i="2"/>
  <c r="F7248" i="2"/>
  <c r="F6989" i="2"/>
  <c r="F7170" i="2"/>
  <c r="F7433" i="2"/>
  <c r="F7406" i="2"/>
  <c r="F7380" i="2"/>
  <c r="K319" i="3"/>
  <c r="K318" i="3"/>
  <c r="L307" i="3"/>
  <c r="K307" i="3"/>
  <c r="M307" i="3" s="1"/>
  <c r="K299" i="3"/>
  <c r="L199" i="3"/>
  <c r="M199" i="3" s="1"/>
  <c r="K199" i="3"/>
  <c r="L198" i="3"/>
  <c r="M198" i="3" s="1"/>
  <c r="K198" i="3"/>
  <c r="L196" i="3"/>
  <c r="M196" i="3" s="1"/>
  <c r="K196" i="3"/>
  <c r="M195" i="3"/>
  <c r="L195" i="3"/>
  <c r="K195" i="3"/>
  <c r="K194" i="3"/>
  <c r="P126" i="3"/>
  <c r="P114" i="3"/>
  <c r="F7300" i="2"/>
  <c r="F7274" i="2"/>
  <c r="F6963" i="2"/>
  <c r="F6885" i="2"/>
  <c r="F6650" i="2"/>
  <c r="F7459" i="2" l="1"/>
  <c r="F7222" i="2" l="1"/>
  <c r="F7066" i="2"/>
  <c r="F6937" i="2" l="1"/>
  <c r="F6624" i="2"/>
  <c r="R454" i="3"/>
  <c r="Q454" i="3"/>
  <c r="R442" i="3"/>
  <c r="Q442" i="3"/>
  <c r="Q436" i="3"/>
  <c r="R436" i="3" s="1"/>
  <c r="F6831" i="2"/>
  <c r="F6832" i="2"/>
  <c r="F6754" i="2"/>
  <c r="F6728" i="2"/>
  <c r="F6702" i="2"/>
  <c r="F6676" i="2"/>
  <c r="Q423" i="3"/>
  <c r="R423" i="3" s="1"/>
  <c r="Q418" i="3"/>
  <c r="R418" i="3" s="1"/>
  <c r="R417" i="3"/>
  <c r="Q417" i="3"/>
  <c r="F6493" i="2"/>
  <c r="F6519" i="2"/>
  <c r="F6233" i="2"/>
  <c r="F5687" i="2"/>
  <c r="F4931" i="2"/>
  <c r="F6571" i="2"/>
  <c r="F6545" i="2"/>
  <c r="F6207" i="2"/>
  <c r="F6181" i="2"/>
  <c r="F6077" i="2"/>
  <c r="F5921" i="2"/>
  <c r="F5869" i="2"/>
  <c r="Q312" i="3"/>
  <c r="R312" i="3" s="1"/>
  <c r="R412" i="3"/>
  <c r="Q412" i="3"/>
  <c r="Q411" i="3"/>
  <c r="R411" i="3" s="1"/>
  <c r="Q392" i="3"/>
  <c r="R392" i="3"/>
  <c r="Q391" i="3"/>
  <c r="R391" i="3"/>
  <c r="Q390" i="3"/>
  <c r="R390" i="3" s="1"/>
  <c r="D7491" i="2"/>
  <c r="D7485" i="2"/>
  <c r="D7484" i="2"/>
  <c r="D7481" i="2"/>
  <c r="D7480" i="2"/>
  <c r="D7439" i="2"/>
  <c r="D7432" i="2"/>
  <c r="D7433" i="2"/>
  <c r="D7428" i="2"/>
  <c r="D7098" i="2"/>
  <c r="D7091" i="2"/>
  <c r="D7092" i="2"/>
  <c r="D7087" i="2"/>
  <c r="L386" i="3" l="1"/>
  <c r="K386" i="3"/>
  <c r="M386" i="3" s="1"/>
  <c r="M384" i="3"/>
  <c r="L384" i="3"/>
  <c r="K384" i="3"/>
  <c r="M383" i="3"/>
  <c r="L383" i="3"/>
  <c r="K383" i="3"/>
  <c r="L361" i="3"/>
  <c r="K361" i="3"/>
  <c r="M361" i="3" s="1"/>
  <c r="K355" i="3"/>
  <c r="D7465" i="2"/>
  <c r="D7459" i="2"/>
  <c r="D7458" i="2"/>
  <c r="D7455" i="2"/>
  <c r="D7454" i="2"/>
  <c r="D7412" i="2"/>
  <c r="D7406" i="2"/>
  <c r="D7405" i="2"/>
  <c r="D7402" i="2"/>
  <c r="D7401" i="2"/>
  <c r="D7386" i="2"/>
  <c r="D7379" i="2"/>
  <c r="D7380" i="2"/>
  <c r="D7375" i="2"/>
  <c r="F7354" i="2"/>
  <c r="D7354" i="2"/>
  <c r="D7349" i="2"/>
  <c r="D7327" i="2"/>
  <c r="D7326" i="2"/>
  <c r="D7323" i="2"/>
  <c r="D7322" i="2"/>
  <c r="D7254" i="2"/>
  <c r="D7247" i="2"/>
  <c r="D7248" i="2"/>
  <c r="D7243" i="2"/>
  <c r="D7196" i="2"/>
  <c r="D7195" i="2"/>
  <c r="D7192" i="2"/>
  <c r="D7191" i="2"/>
  <c r="D7170" i="2"/>
  <c r="D7169" i="2"/>
  <c r="D7166" i="2"/>
  <c r="D7165" i="2"/>
  <c r="D7144" i="2"/>
  <c r="D7143" i="2"/>
  <c r="D7140" i="2"/>
  <c r="D7139" i="2"/>
  <c r="D7117" i="2"/>
  <c r="D7118" i="2"/>
  <c r="D7113" i="2"/>
  <c r="D7039" i="2"/>
  <c r="D7040" i="2"/>
  <c r="D7035" i="2"/>
  <c r="D7013" i="2"/>
  <c r="D7014" i="2"/>
  <c r="D7009" i="2"/>
  <c r="D6988" i="2"/>
  <c r="D6989" i="2"/>
  <c r="D6984" i="2"/>
  <c r="D6910" i="2"/>
  <c r="D6911" i="2"/>
  <c r="D6906" i="2"/>
  <c r="D6857" i="2"/>
  <c r="D6853" i="2"/>
  <c r="D6858" i="2"/>
  <c r="F6103" i="2" l="1"/>
  <c r="F6051" i="2"/>
  <c r="F5999" i="2"/>
  <c r="F5973" i="2"/>
  <c r="Q378" i="3"/>
  <c r="R378" i="3" s="1"/>
  <c r="R379" i="3"/>
  <c r="Q379" i="3"/>
  <c r="Q375" i="3"/>
  <c r="R375" i="3" s="1"/>
  <c r="F6363" i="2"/>
  <c r="F6285" i="2"/>
  <c r="F4905" i="2"/>
  <c r="F4879" i="2"/>
  <c r="R396" i="3"/>
  <c r="Q396" i="3"/>
  <c r="F6337" i="2"/>
  <c r="F6259" i="2"/>
  <c r="F6155" i="2"/>
  <c r="F6129" i="2"/>
  <c r="Q395" i="3"/>
  <c r="R395" i="3" s="1"/>
  <c r="F6389" i="2" l="1"/>
  <c r="F6025" i="2"/>
  <c r="F5843" i="2"/>
  <c r="F5947" i="2"/>
  <c r="R397" i="3"/>
  <c r="Q397" i="3"/>
  <c r="Q373" i="3"/>
  <c r="R373" i="3" s="1"/>
  <c r="F5739" i="2"/>
  <c r="F5713" i="2"/>
  <c r="F5661" i="2"/>
  <c r="F5400" i="2"/>
  <c r="F5426" i="2"/>
  <c r="F4983" i="2"/>
  <c r="F4982" i="2"/>
  <c r="F4852" i="2"/>
  <c r="F5791" i="2"/>
  <c r="F6597" i="2"/>
  <c r="L357" i="3"/>
  <c r="M357" i="3" s="1"/>
  <c r="K357" i="3"/>
  <c r="K413" i="3"/>
  <c r="F6467" i="2"/>
  <c r="K405" i="3"/>
  <c r="D7304" i="2"/>
  <c r="D7300" i="2"/>
  <c r="D7299" i="2"/>
  <c r="D7295" i="2"/>
  <c r="D7273" i="2"/>
  <c r="D7274" i="2"/>
  <c r="D7269" i="2"/>
  <c r="D7222" i="2"/>
  <c r="D7217" i="2"/>
  <c r="D7065" i="2"/>
  <c r="D7066" i="2"/>
  <c r="D7061" i="2"/>
  <c r="D6967" i="2"/>
  <c r="D6962" i="2"/>
  <c r="D6963" i="2"/>
  <c r="D6958" i="2"/>
  <c r="D6936" i="2" l="1"/>
  <c r="D6937" i="2"/>
  <c r="D6932" i="2"/>
  <c r="D6884" i="2"/>
  <c r="D6885" i="2"/>
  <c r="D6880" i="2"/>
  <c r="K409" i="3" l="1"/>
  <c r="K408" i="3"/>
  <c r="L399" i="3"/>
  <c r="K399" i="3"/>
  <c r="M399" i="3" s="1"/>
  <c r="L398" i="3"/>
  <c r="K398" i="3"/>
  <c r="M398" i="3" s="1"/>
  <c r="M387" i="3"/>
  <c r="L387" i="3"/>
  <c r="K387" i="3"/>
  <c r="M385" i="3"/>
  <c r="L385" i="3"/>
  <c r="K385" i="3"/>
  <c r="K358" i="3"/>
  <c r="K351" i="3" l="1"/>
  <c r="D6832" i="2"/>
  <c r="D6831" i="2"/>
  <c r="D6828" i="2"/>
  <c r="D6827" i="2"/>
  <c r="D6779" i="2"/>
  <c r="D6775" i="2"/>
  <c r="D6754" i="2" l="1"/>
  <c r="D6753" i="2"/>
  <c r="D6750" i="2"/>
  <c r="D6749" i="2"/>
  <c r="D6728" i="2"/>
  <c r="D6727" i="2"/>
  <c r="D6724" i="2"/>
  <c r="D6723" i="2"/>
  <c r="D6702" i="2" l="1"/>
  <c r="D6701" i="2"/>
  <c r="D6698" i="2"/>
  <c r="D6697" i="2"/>
  <c r="D6675" i="2"/>
  <c r="D6676" i="2"/>
  <c r="D6671" i="2" l="1"/>
  <c r="F6806" i="2" l="1"/>
  <c r="F6805" i="2"/>
  <c r="F6780" i="2"/>
  <c r="F6779" i="2"/>
  <c r="F6781" i="2" s="1"/>
  <c r="F5530" i="2"/>
  <c r="F5374" i="2"/>
  <c r="F5035" i="2"/>
  <c r="F5009" i="2"/>
  <c r="F4957" i="2"/>
  <c r="F4956" i="2"/>
  <c r="D6649" i="2"/>
  <c r="D6650" i="2"/>
  <c r="D6645" i="2"/>
  <c r="D6630" i="2"/>
  <c r="D6623" i="2"/>
  <c r="D6624" i="2" l="1"/>
  <c r="D6619" i="2"/>
  <c r="D6492" i="2"/>
  <c r="D6232" i="2" l="1"/>
  <c r="F7432" i="2" l="1"/>
  <c r="D7425" i="2" s="1"/>
  <c r="F7458" i="2"/>
  <c r="D7451" i="2" s="1"/>
  <c r="C336" i="1"/>
  <c r="D336" i="1"/>
  <c r="E336" i="1"/>
  <c r="F336" i="1"/>
  <c r="G336" i="1"/>
  <c r="H336" i="1"/>
  <c r="I336" i="1"/>
  <c r="J336" i="1"/>
  <c r="K336" i="1"/>
  <c r="L336" i="1"/>
  <c r="M336" i="1"/>
  <c r="N334" i="1"/>
  <c r="N335" i="1" s="1"/>
  <c r="N336" i="1" s="1"/>
  <c r="N330" i="1"/>
  <c r="N331" i="1" s="1"/>
  <c r="N326" i="1"/>
  <c r="N327" i="1" s="1"/>
  <c r="N328" i="1" s="1"/>
  <c r="N322" i="1"/>
  <c r="N323" i="1" s="1"/>
  <c r="N324" i="1" s="1"/>
  <c r="N318" i="1"/>
  <c r="N319" i="1" s="1"/>
  <c r="N320" i="1" s="1"/>
  <c r="N315" i="1"/>
  <c r="N316" i="1" s="1"/>
  <c r="N314" i="1"/>
  <c r="N311" i="1"/>
  <c r="N312" i="1" s="1"/>
  <c r="N310" i="1"/>
  <c r="N306" i="1"/>
  <c r="N307" i="1" s="1"/>
  <c r="N308" i="1" s="1"/>
  <c r="N302" i="1"/>
  <c r="N303" i="1" s="1"/>
  <c r="N304" i="1" s="1"/>
  <c r="N298" i="1"/>
  <c r="N299" i="1" s="1"/>
  <c r="N300" i="1" s="1"/>
  <c r="N286" i="1"/>
  <c r="N287" i="1" s="1"/>
  <c r="N288" i="1" s="1"/>
  <c r="N282" i="1"/>
  <c r="N283" i="1" s="1"/>
  <c r="N284" i="1" s="1"/>
  <c r="N279" i="1"/>
  <c r="N280" i="1" s="1"/>
  <c r="N278" i="1"/>
  <c r="N275" i="1"/>
  <c r="N276" i="1" s="1"/>
  <c r="N274" i="1"/>
  <c r="N270" i="1"/>
  <c r="N271" i="1" s="1"/>
  <c r="N272" i="1" s="1"/>
  <c r="N267" i="1"/>
  <c r="N268" i="1" s="1"/>
  <c r="N266" i="1"/>
  <c r="N262" i="1"/>
  <c r="N263" i="1" s="1"/>
  <c r="N264" i="1" s="1"/>
  <c r="N258" i="1"/>
  <c r="N259" i="1" s="1"/>
  <c r="N260" i="1" s="1"/>
  <c r="N254" i="1"/>
  <c r="N255" i="1" s="1"/>
  <c r="N256" i="1" s="1"/>
  <c r="N250" i="1"/>
  <c r="N251" i="1" s="1"/>
  <c r="N252" i="1" s="1"/>
  <c r="N246" i="1"/>
  <c r="N247" i="1" s="1"/>
  <c r="N248" i="1" s="1"/>
  <c r="N243" i="1"/>
  <c r="N244" i="1" s="1"/>
  <c r="N242" i="1"/>
  <c r="N239" i="1"/>
  <c r="N240" i="1" s="1"/>
  <c r="N238" i="1"/>
  <c r="N235" i="1"/>
  <c r="N236" i="1" s="1"/>
  <c r="N234" i="1"/>
  <c r="N230" i="1"/>
  <c r="N231" i="1" s="1"/>
  <c r="N232" i="1" s="1"/>
  <c r="N228" i="1"/>
  <c r="N227" i="1"/>
  <c r="N226" i="1"/>
  <c r="N222" i="1"/>
  <c r="N223" i="1" s="1"/>
  <c r="N224" i="1" s="1"/>
  <c r="N218" i="1"/>
  <c r="N219" i="1" s="1"/>
  <c r="N220" i="1" s="1"/>
  <c r="N214" i="1"/>
  <c r="N215" i="1" s="1"/>
  <c r="N216" i="1" s="1"/>
  <c r="N211" i="1"/>
  <c r="N212" i="1" s="1"/>
  <c r="N210" i="1"/>
  <c r="N207" i="1"/>
  <c r="N208" i="1" s="1"/>
  <c r="N206" i="1"/>
  <c r="N203" i="1"/>
  <c r="N204" i="1" s="1"/>
  <c r="N202" i="1"/>
  <c r="N198" i="1"/>
  <c r="N199" i="1" s="1"/>
  <c r="N200" i="1" s="1"/>
  <c r="N196" i="1"/>
  <c r="N195" i="1"/>
  <c r="N194" i="1"/>
  <c r="N190" i="1"/>
  <c r="N191" i="1" s="1"/>
  <c r="N192" i="1" s="1"/>
  <c r="N186" i="1"/>
  <c r="N187" i="1" s="1"/>
  <c r="N188" i="1" s="1"/>
  <c r="N182" i="1"/>
  <c r="N183" i="1" s="1"/>
  <c r="N184" i="1" s="1"/>
  <c r="N179" i="1"/>
  <c r="N180" i="1" s="1"/>
  <c r="N178" i="1"/>
  <c r="N175" i="1"/>
  <c r="N176" i="1" s="1"/>
  <c r="N174" i="1"/>
  <c r="N171" i="1"/>
  <c r="N172" i="1" s="1"/>
  <c r="N170" i="1"/>
  <c r="N166" i="1"/>
  <c r="N167" i="1" s="1"/>
  <c r="N168" i="1" s="1"/>
  <c r="N164" i="1"/>
  <c r="N163" i="1"/>
  <c r="N162" i="1"/>
  <c r="N158" i="1"/>
  <c r="N159" i="1" s="1"/>
  <c r="N160" i="1" s="1"/>
  <c r="N154" i="1"/>
  <c r="N155" i="1" s="1"/>
  <c r="N156" i="1" s="1"/>
  <c r="N150" i="1"/>
  <c r="N151" i="1" s="1"/>
  <c r="N152" i="1" s="1"/>
  <c r="N142" i="1"/>
  <c r="N143" i="1" s="1"/>
  <c r="N144" i="1" s="1"/>
  <c r="N135" i="1"/>
  <c r="N136" i="1" s="1"/>
  <c r="N134" i="1"/>
  <c r="N130" i="1"/>
  <c r="N131" i="1" s="1"/>
  <c r="N132" i="1" s="1"/>
  <c r="N127" i="1"/>
  <c r="N128" i="1" s="1"/>
  <c r="N126" i="1"/>
  <c r="N122" i="1"/>
  <c r="N123" i="1" s="1"/>
  <c r="N124" i="1" s="1"/>
  <c r="N119" i="1"/>
  <c r="N120" i="1" s="1"/>
  <c r="N118" i="1"/>
  <c r="N114" i="1"/>
  <c r="N115" i="1" s="1"/>
  <c r="N116" i="1" s="1"/>
  <c r="N111" i="1"/>
  <c r="N112" i="1" s="1"/>
  <c r="N110" i="1"/>
  <c r="N106" i="1"/>
  <c r="N107" i="1" s="1"/>
  <c r="N108" i="1" s="1"/>
  <c r="N103" i="1"/>
  <c r="N104" i="1" s="1"/>
  <c r="N102" i="1"/>
  <c r="N98" i="1"/>
  <c r="N99" i="1" s="1"/>
  <c r="N100" i="1" s="1"/>
  <c r="N95" i="1"/>
  <c r="N96" i="1" s="1"/>
  <c r="N94" i="1"/>
  <c r="N90" i="1"/>
  <c r="N91" i="1" s="1"/>
  <c r="N92" i="1" s="1"/>
  <c r="N87" i="1"/>
  <c r="N88" i="1" s="1"/>
  <c r="N86" i="1"/>
  <c r="N82" i="1"/>
  <c r="N83" i="1" s="1"/>
  <c r="N84" i="1" s="1"/>
  <c r="N78" i="1"/>
  <c r="N79" i="1" s="1"/>
  <c r="N80" i="1" s="1"/>
  <c r="N75" i="1"/>
  <c r="N76" i="1" s="1"/>
  <c r="N74" i="1"/>
  <c r="N72" i="1"/>
  <c r="N71" i="1"/>
  <c r="N70" i="1"/>
  <c r="N66" i="1"/>
  <c r="N67" i="1" s="1"/>
  <c r="N68" i="1" s="1"/>
  <c r="N62" i="1"/>
  <c r="N63" i="1" s="1"/>
  <c r="N64" i="1" s="1"/>
  <c r="N60" i="1"/>
  <c r="N59" i="1"/>
  <c r="N58" i="1"/>
  <c r="N54" i="1"/>
  <c r="N55" i="1" s="1"/>
  <c r="N56" i="1" s="1"/>
  <c r="N50" i="1"/>
  <c r="N51" i="1" s="1"/>
  <c r="N52" i="1" s="1"/>
  <c r="N46" i="1"/>
  <c r="N47" i="1" s="1"/>
  <c r="N48" i="1" s="1"/>
  <c r="N42" i="1"/>
  <c r="N43" i="1" s="1"/>
  <c r="N44" i="1" s="1"/>
  <c r="N39" i="1"/>
  <c r="N40" i="1" s="1"/>
  <c r="N38" i="1"/>
  <c r="N34" i="1"/>
  <c r="N35" i="1" s="1"/>
  <c r="N36" i="1" s="1"/>
  <c r="N30" i="1"/>
  <c r="N31" i="1" s="1"/>
  <c r="N32" i="1" s="1"/>
  <c r="N28" i="1"/>
  <c r="N27" i="1"/>
  <c r="N26" i="1"/>
  <c r="N22" i="1"/>
  <c r="N23" i="1" s="1"/>
  <c r="N24" i="1" s="1"/>
  <c r="N18" i="1"/>
  <c r="N19" i="1" s="1"/>
  <c r="N20" i="1" s="1"/>
  <c r="N14" i="1"/>
  <c r="N15" i="1" s="1"/>
  <c r="N16" i="1" s="1"/>
  <c r="N10" i="1"/>
  <c r="N11" i="1" s="1"/>
  <c r="N12" i="1" s="1"/>
  <c r="N6" i="1"/>
  <c r="N7" i="1" s="1"/>
  <c r="F6415" i="2"/>
  <c r="F6414" i="2"/>
  <c r="F6416" i="2" s="1"/>
  <c r="F6441" i="2"/>
  <c r="F5634" i="2"/>
  <c r="K402" i="3"/>
  <c r="K401" i="3"/>
  <c r="D6518" i="2"/>
  <c r="D6519" i="2"/>
  <c r="D6514" i="2"/>
  <c r="D7493" i="2"/>
  <c r="F7484" i="2"/>
  <c r="F7486" i="2" s="1"/>
  <c r="G7486" i="2" s="1"/>
  <c r="B7480" i="2"/>
  <c r="D7477" i="2"/>
  <c r="B7454" i="2"/>
  <c r="D7429" i="2"/>
  <c r="B7428" i="2"/>
  <c r="I455" i="3"/>
  <c r="I454" i="3"/>
  <c r="D7441" i="2" l="1"/>
  <c r="D7443" i="2" s="1"/>
  <c r="F7434" i="2"/>
  <c r="G7434" i="2" s="1"/>
  <c r="D7467" i="2"/>
  <c r="D7469" i="2" s="1"/>
  <c r="F7460" i="2"/>
  <c r="G7460" i="2" s="1"/>
  <c r="D7495" i="2"/>
  <c r="D7414" i="2"/>
  <c r="D7376" i="2"/>
  <c r="F7405" i="2"/>
  <c r="F7407" i="2" s="1"/>
  <c r="G7407" i="2" s="1"/>
  <c r="B7401" i="2"/>
  <c r="F7379" i="2"/>
  <c r="F7381" i="2" s="1"/>
  <c r="G7381" i="2" s="1"/>
  <c r="B7375" i="2"/>
  <c r="D7372" i="2"/>
  <c r="D7398" i="2" l="1"/>
  <c r="D7416" i="2" s="1"/>
  <c r="D7388" i="2"/>
  <c r="D7390" i="2" s="1"/>
  <c r="D6603" i="2"/>
  <c r="D6596" i="2"/>
  <c r="D6597" i="2"/>
  <c r="D6592" i="2"/>
  <c r="D6571" i="2"/>
  <c r="D6570" i="2"/>
  <c r="D6567" i="2"/>
  <c r="D6566" i="2"/>
  <c r="D6544" i="2"/>
  <c r="D6540" i="2" l="1"/>
  <c r="D6462" i="2"/>
  <c r="D6488" i="2"/>
  <c r="F7326" i="2"/>
  <c r="F7328" i="2" s="1"/>
  <c r="F7273" i="2"/>
  <c r="F7275" i="2" s="1"/>
  <c r="L450" i="3"/>
  <c r="M450" i="3" s="1"/>
  <c r="L449" i="3"/>
  <c r="M449" i="3" s="1"/>
  <c r="L444" i="3"/>
  <c r="M444" i="3" s="1"/>
  <c r="F5347" i="2"/>
  <c r="F5346" i="2"/>
  <c r="F5348" i="2" s="1"/>
  <c r="F5556" i="2"/>
  <c r="L340" i="3"/>
  <c r="M340" i="3" s="1"/>
  <c r="I449" i="3"/>
  <c r="I448" i="3"/>
  <c r="F7144" i="2" l="1"/>
  <c r="F7143" i="2"/>
  <c r="F7118" i="2"/>
  <c r="F7247" i="2"/>
  <c r="F7249" i="2" s="1"/>
  <c r="F7221" i="2"/>
  <c r="L443" i="3"/>
  <c r="M443" i="3" s="1"/>
  <c r="L442" i="3"/>
  <c r="M442" i="3" s="1"/>
  <c r="F7196" i="2"/>
  <c r="F7195" i="2"/>
  <c r="L441" i="3"/>
  <c r="M441" i="3" s="1"/>
  <c r="F7117" i="2"/>
  <c r="F7092" i="2"/>
  <c r="F7091" i="2"/>
  <c r="L438" i="3"/>
  <c r="M438" i="3" s="1"/>
  <c r="L437" i="3"/>
  <c r="M437" i="3" s="1"/>
  <c r="F7040" i="2"/>
  <c r="F7039" i="2"/>
  <c r="F7041" i="2" s="1"/>
  <c r="G7041" i="2" s="1"/>
  <c r="F7014" i="2"/>
  <c r="F7013" i="2"/>
  <c r="F6988" i="2"/>
  <c r="F6962" i="2"/>
  <c r="F6936" i="2"/>
  <c r="F6910" i="2"/>
  <c r="F6911" i="2"/>
  <c r="L435" i="3"/>
  <c r="M435" i="3" s="1"/>
  <c r="L432" i="3"/>
  <c r="M432" i="3" s="1"/>
  <c r="L431" i="3"/>
  <c r="M431" i="3" s="1"/>
  <c r="L430" i="3"/>
  <c r="M430" i="3" s="1"/>
  <c r="F6858" i="2"/>
  <c r="F7197" i="2" l="1"/>
  <c r="F7093" i="2"/>
  <c r="F7145" i="2"/>
  <c r="F7223" i="2"/>
  <c r="F7119" i="2"/>
  <c r="F6990" i="2"/>
  <c r="F6964" i="2"/>
  <c r="F6912" i="2"/>
  <c r="F6938" i="2"/>
  <c r="F7353" i="2"/>
  <c r="F7355" i="2" s="1"/>
  <c r="G7355" i="2" s="1"/>
  <c r="D7353" i="2"/>
  <c r="D7350" i="2"/>
  <c r="B7349" i="2"/>
  <c r="D7346" i="2"/>
  <c r="G7328" i="2"/>
  <c r="D7319" i="2"/>
  <c r="B7322" i="2"/>
  <c r="F7299" i="2"/>
  <c r="F7301" i="2" s="1"/>
  <c r="G7301" i="2" s="1"/>
  <c r="D7296" i="2"/>
  <c r="D7308" i="2" s="1"/>
  <c r="B7295" i="2"/>
  <c r="D7362" i="2" l="1"/>
  <c r="D7364" i="2" s="1"/>
  <c r="D7292" i="2"/>
  <c r="D7335" i="2"/>
  <c r="D7337" i="2" s="1"/>
  <c r="D7310" i="2"/>
  <c r="G7275" i="2"/>
  <c r="D7270" i="2"/>
  <c r="D7282" i="2" s="1"/>
  <c r="B7269" i="2"/>
  <c r="D7266" i="2" l="1"/>
  <c r="D7284" i="2" s="1"/>
  <c r="D6363" i="2" l="1"/>
  <c r="D6362" i="2"/>
  <c r="D6359" i="2"/>
  <c r="D6358" i="2"/>
  <c r="D6285" i="2"/>
  <c r="D6284" i="2"/>
  <c r="D6281" i="2"/>
  <c r="D6280" i="2"/>
  <c r="D6187" i="2" l="1"/>
  <c r="D6180" i="2"/>
  <c r="D6176" i="2"/>
  <c r="L364" i="3"/>
  <c r="K364" i="3"/>
  <c r="L363" i="3"/>
  <c r="K363" i="3"/>
  <c r="L362" i="3"/>
  <c r="K362" i="3"/>
  <c r="L360" i="3"/>
  <c r="K360" i="3"/>
  <c r="L359" i="3"/>
  <c r="K359" i="3"/>
  <c r="L400" i="3"/>
  <c r="K400" i="3"/>
  <c r="M400" i="3" s="1"/>
  <c r="L382" i="3"/>
  <c r="K382" i="3"/>
  <c r="K388" i="3"/>
  <c r="L367" i="3"/>
  <c r="K367" i="3"/>
  <c r="L366" i="3"/>
  <c r="K366" i="3"/>
  <c r="L365" i="3"/>
  <c r="K365" i="3"/>
  <c r="K354" i="3"/>
  <c r="K353" i="3"/>
  <c r="D7240" i="2"/>
  <c r="D7244" i="2"/>
  <c r="D7256" i="2" s="1"/>
  <c r="B7243" i="2"/>
  <c r="D7230" i="2"/>
  <c r="G7223" i="2"/>
  <c r="D7221" i="2"/>
  <c r="D7218" i="2"/>
  <c r="B7217" i="2"/>
  <c r="D7214" i="2"/>
  <c r="G7197" i="2"/>
  <c r="B7191" i="2"/>
  <c r="D7188" i="2"/>
  <c r="F7169" i="2"/>
  <c r="F7171" i="2" s="1"/>
  <c r="G7171" i="2" s="1"/>
  <c r="B7165" i="2"/>
  <c r="G7145" i="2"/>
  <c r="B7139" i="2"/>
  <c r="D7136" i="2"/>
  <c r="D7126" i="2"/>
  <c r="G7119" i="2"/>
  <c r="D7114" i="2"/>
  <c r="B7113" i="2"/>
  <c r="D7110" i="2"/>
  <c r="G7093" i="2"/>
  <c r="D7088" i="2"/>
  <c r="B7087" i="2"/>
  <c r="D7084" i="2"/>
  <c r="F7065" i="2"/>
  <c r="F7067" i="2" s="1"/>
  <c r="G7067" i="2" s="1"/>
  <c r="D7062" i="2"/>
  <c r="D7074" i="2" s="1"/>
  <c r="B7061" i="2"/>
  <c r="D7036" i="2"/>
  <c r="B7035" i="2"/>
  <c r="D7032" i="2"/>
  <c r="F7015" i="2"/>
  <c r="G7015" i="2" s="1"/>
  <c r="D7010" i="2"/>
  <c r="B7009" i="2"/>
  <c r="D7006" i="2"/>
  <c r="G6990" i="2"/>
  <c r="D6985" i="2"/>
  <c r="D6996" i="2" s="1"/>
  <c r="B6984" i="2"/>
  <c r="D6981" i="2"/>
  <c r="G6964" i="2"/>
  <c r="D6959" i="2"/>
  <c r="D6971" i="2" s="1"/>
  <c r="B6958" i="2"/>
  <c r="D6955" i="2"/>
  <c r="G6938" i="2"/>
  <c r="D6933" i="2"/>
  <c r="D6945" i="2" s="1"/>
  <c r="B6932" i="2"/>
  <c r="D6929" i="2"/>
  <c r="G6912" i="2"/>
  <c r="D6907" i="2"/>
  <c r="D6919" i="2" s="1"/>
  <c r="B6906" i="2"/>
  <c r="F6857" i="2"/>
  <c r="D6854" i="2"/>
  <c r="D6866" i="2" s="1"/>
  <c r="B6853" i="2"/>
  <c r="D6881" i="2"/>
  <c r="F6884" i="2"/>
  <c r="B6880" i="2"/>
  <c r="D6776" i="2"/>
  <c r="D6788" i="2" s="1"/>
  <c r="D6672" i="2"/>
  <c r="D6620" i="2"/>
  <c r="F6833" i="2"/>
  <c r="G6833" i="2" s="1"/>
  <c r="B6827" i="2"/>
  <c r="D6806" i="2"/>
  <c r="D6802" i="2"/>
  <c r="F6807" i="2"/>
  <c r="G6807" i="2" s="1"/>
  <c r="D6805" i="2"/>
  <c r="B6801" i="2"/>
  <c r="D6798" i="2"/>
  <c r="G6781" i="2"/>
  <c r="D6780" i="2"/>
  <c r="B6775" i="2"/>
  <c r="D6772" i="2"/>
  <c r="K424" i="3"/>
  <c r="D6445" i="2"/>
  <c r="D6419" i="2"/>
  <c r="D6415" i="2"/>
  <c r="D6414" i="2"/>
  <c r="D6411" i="2"/>
  <c r="D6410" i="2"/>
  <c r="D6389" i="2"/>
  <c r="D6388" i="2"/>
  <c r="D6385" i="2"/>
  <c r="D6384" i="2"/>
  <c r="D6337" i="2"/>
  <c r="D6336" i="2"/>
  <c r="D6333" i="2"/>
  <c r="D6332" i="2"/>
  <c r="D6310" i="2"/>
  <c r="D6306" i="2"/>
  <c r="D6258" i="2"/>
  <c r="D6254" i="2"/>
  <c r="D6202" i="2"/>
  <c r="D6150" i="2"/>
  <c r="D6124" i="2"/>
  <c r="D6102" i="2"/>
  <c r="D6098" i="2"/>
  <c r="D6076" i="2"/>
  <c r="D6072" i="2"/>
  <c r="D6057" i="2"/>
  <c r="D6050" i="2"/>
  <c r="D6051" i="2"/>
  <c r="D6046" i="2"/>
  <c r="D6024" i="2"/>
  <c r="D6021" i="2"/>
  <c r="D6020" i="2"/>
  <c r="D5994" i="2"/>
  <c r="D5968" i="2"/>
  <c r="D5942" i="2"/>
  <c r="D7022" i="2" l="1"/>
  <c r="D7024" i="2" s="1"/>
  <c r="D7178" i="2"/>
  <c r="D7048" i="2"/>
  <c r="D7050" i="2" s="1"/>
  <c r="D7100" i="2"/>
  <c r="D7102" i="2" s="1"/>
  <c r="D7204" i="2"/>
  <c r="D7152" i="2"/>
  <c r="D7154" i="2" s="1"/>
  <c r="D6877" i="2"/>
  <c r="F6886" i="2"/>
  <c r="G6886" i="2" s="1"/>
  <c r="D7128" i="2"/>
  <c r="D6850" i="2"/>
  <c r="D6868" i="2" s="1"/>
  <c r="F6859" i="2"/>
  <c r="G6859" i="2" s="1"/>
  <c r="D7058" i="2"/>
  <c r="D7076" i="2" s="1"/>
  <c r="D7206" i="2"/>
  <c r="D7162" i="2"/>
  <c r="D6998" i="2"/>
  <c r="D7232" i="2"/>
  <c r="D6947" i="2"/>
  <c r="M365" i="3"/>
  <c r="M367" i="3"/>
  <c r="M366" i="3"/>
  <c r="M363" i="3"/>
  <c r="M359" i="3"/>
  <c r="M364" i="3"/>
  <c r="M360" i="3"/>
  <c r="M382" i="3"/>
  <c r="M362" i="3"/>
  <c r="D6973" i="2"/>
  <c r="D7258" i="2"/>
  <c r="G7249" i="2"/>
  <c r="D6903" i="2"/>
  <c r="D6921" i="2" s="1"/>
  <c r="D6840" i="2"/>
  <c r="D6824" i="2"/>
  <c r="D6842" i="2" s="1"/>
  <c r="D6893" i="2"/>
  <c r="D6814" i="2"/>
  <c r="D6816" i="2" s="1"/>
  <c r="D6790" i="2"/>
  <c r="D5864" i="2"/>
  <c r="D5786" i="2"/>
  <c r="D7180" i="2" l="1"/>
  <c r="D6895" i="2"/>
  <c r="F4774" i="2"/>
  <c r="F4696" i="2"/>
  <c r="F4644" i="2"/>
  <c r="F4540" i="2"/>
  <c r="F4055" i="2"/>
  <c r="F4003" i="2"/>
  <c r="Q289" i="3"/>
  <c r="R289" i="3" s="1"/>
  <c r="F6675" i="2"/>
  <c r="F6701" i="2"/>
  <c r="L418" i="3"/>
  <c r="M418" i="3" s="1"/>
  <c r="L417" i="3"/>
  <c r="M417" i="3" s="1"/>
  <c r="F6703" i="2" l="1"/>
  <c r="F6677" i="2"/>
  <c r="F6753" i="2"/>
  <c r="F6755" i="2" s="1"/>
  <c r="G6755" i="2" s="1"/>
  <c r="D6762" i="2"/>
  <c r="B6749" i="2"/>
  <c r="D6746" i="2"/>
  <c r="I423" i="3"/>
  <c r="D6764" i="2" l="1"/>
  <c r="F3664" i="2"/>
  <c r="F3585" i="2"/>
  <c r="F3584" i="2"/>
  <c r="F3586" i="2" s="1"/>
  <c r="F3637" i="2"/>
  <c r="Q270" i="3"/>
  <c r="R270" i="3" s="1"/>
  <c r="Q230" i="3"/>
  <c r="R230" i="3" s="1"/>
  <c r="Q229" i="3"/>
  <c r="R229" i="3" s="1"/>
  <c r="F3323" i="2"/>
  <c r="F3322" i="2"/>
  <c r="F3324" i="2" s="1"/>
  <c r="F3271" i="2"/>
  <c r="F3245" i="2"/>
  <c r="F3244" i="2"/>
  <c r="F3246" i="2" s="1"/>
  <c r="F3219" i="2"/>
  <c r="F3218" i="2"/>
  <c r="F3220" i="2" s="1"/>
  <c r="F3193" i="2"/>
  <c r="Q209" i="3"/>
  <c r="R209" i="3" s="1"/>
  <c r="Q207" i="3"/>
  <c r="R207" i="3" s="1"/>
  <c r="Q206" i="3"/>
  <c r="R206" i="3" s="1"/>
  <c r="Q205" i="3"/>
  <c r="R205" i="3" s="1"/>
  <c r="D6440" i="2"/>
  <c r="D6441" i="2"/>
  <c r="D6436" i="2"/>
  <c r="D6228" i="2"/>
  <c r="D5916" i="2"/>
  <c r="F6727" i="2" l="1"/>
  <c r="F6729" i="2" s="1"/>
  <c r="G6729" i="2" s="1"/>
  <c r="D6736" i="2"/>
  <c r="B6723" i="2"/>
  <c r="U418" i="3"/>
  <c r="I418" i="3"/>
  <c r="D6720" i="2" l="1"/>
  <c r="D6738" i="2" s="1"/>
  <c r="V418" i="3"/>
  <c r="D6694" i="2"/>
  <c r="D6668" i="2"/>
  <c r="D6710" i="2"/>
  <c r="B6697" i="2"/>
  <c r="D6684" i="2"/>
  <c r="B6671" i="2"/>
  <c r="D6686" i="2" l="1"/>
  <c r="D6712" i="2"/>
  <c r="G6703" i="2"/>
  <c r="G6677" i="2"/>
  <c r="L411" i="3"/>
  <c r="M411" i="3" s="1"/>
  <c r="F6649" i="2"/>
  <c r="F6544" i="2"/>
  <c r="F6570" i="2"/>
  <c r="F6596" i="2"/>
  <c r="F6598" i="2" s="1"/>
  <c r="F6546" i="2" l="1"/>
  <c r="F6572" i="2"/>
  <c r="F6651" i="2"/>
  <c r="D5901" i="2"/>
  <c r="D5895" i="2"/>
  <c r="D5894" i="2"/>
  <c r="D5891" i="2"/>
  <c r="D5890" i="2"/>
  <c r="D5849" i="2"/>
  <c r="D5843" i="2"/>
  <c r="D5842" i="2"/>
  <c r="D5839" i="2"/>
  <c r="D5838" i="2"/>
  <c r="D5823" i="2"/>
  <c r="D5816" i="2"/>
  <c r="D5817" i="2"/>
  <c r="D5812" i="2"/>
  <c r="D5764" i="2"/>
  <c r="D5760" i="2"/>
  <c r="K407" i="3" l="1"/>
  <c r="G6651" i="2"/>
  <c r="D6646" i="2"/>
  <c r="D6658" i="2" s="1"/>
  <c r="B6645" i="2"/>
  <c r="D6642" i="2" l="1"/>
  <c r="D6660" i="2" s="1"/>
  <c r="L345" i="3"/>
  <c r="K345" i="3"/>
  <c r="K344" i="3"/>
  <c r="F4748" i="2"/>
  <c r="F4029" i="2"/>
  <c r="F3950" i="2"/>
  <c r="F3976" i="2"/>
  <c r="F3794" i="2"/>
  <c r="Q292" i="3"/>
  <c r="R292" i="3" s="1"/>
  <c r="Q251" i="3"/>
  <c r="R251" i="3" s="1"/>
  <c r="Q250" i="3"/>
  <c r="R250" i="3" s="1"/>
  <c r="Q244" i="3"/>
  <c r="R244" i="3" s="1"/>
  <c r="D6632" i="2"/>
  <c r="F6623" i="2"/>
  <c r="D6616" i="2" s="1"/>
  <c r="B6619" i="2"/>
  <c r="M332" i="1"/>
  <c r="M331" i="1"/>
  <c r="M330" i="1"/>
  <c r="M328" i="1"/>
  <c r="M327" i="1"/>
  <c r="M326" i="1"/>
  <c r="M322" i="1"/>
  <c r="M323" i="1" s="1"/>
  <c r="M324" i="1" s="1"/>
  <c r="M318" i="1"/>
  <c r="M319" i="1" s="1"/>
  <c r="M320" i="1" s="1"/>
  <c r="M314" i="1"/>
  <c r="M315" i="1" s="1"/>
  <c r="M316" i="1" s="1"/>
  <c r="M310" i="1"/>
  <c r="M311" i="1" s="1"/>
  <c r="M312" i="1" s="1"/>
  <c r="M306" i="1"/>
  <c r="M307" i="1" s="1"/>
  <c r="M308" i="1" s="1"/>
  <c r="M302" i="1"/>
  <c r="M303" i="1" s="1"/>
  <c r="M304" i="1" s="1"/>
  <c r="M298" i="1"/>
  <c r="M299" i="1" s="1"/>
  <c r="M300" i="1" s="1"/>
  <c r="M295" i="1"/>
  <c r="M296" i="1" s="1"/>
  <c r="M294" i="1"/>
  <c r="M290" i="1"/>
  <c r="M291" i="1" s="1"/>
  <c r="M292" i="1" s="1"/>
  <c r="M286" i="1"/>
  <c r="M287" i="1" s="1"/>
  <c r="M288" i="1" s="1"/>
  <c r="M284" i="1"/>
  <c r="M283" i="1"/>
  <c r="M282" i="1"/>
  <c r="M279" i="1"/>
  <c r="M280" i="1" s="1"/>
  <c r="M278" i="1"/>
  <c r="M274" i="1"/>
  <c r="M275" i="1" s="1"/>
  <c r="M276" i="1" s="1"/>
  <c r="M270" i="1"/>
  <c r="M271" i="1" s="1"/>
  <c r="M272" i="1" s="1"/>
  <c r="M266" i="1"/>
  <c r="M267" i="1" s="1"/>
  <c r="M268" i="1" s="1"/>
  <c r="M263" i="1"/>
  <c r="M264" i="1" s="1"/>
  <c r="M262" i="1"/>
  <c r="M258" i="1"/>
  <c r="M259" i="1" s="1"/>
  <c r="M260" i="1" s="1"/>
  <c r="M254" i="1"/>
  <c r="M255" i="1" s="1"/>
  <c r="M256" i="1" s="1"/>
  <c r="M252" i="1"/>
  <c r="M251" i="1"/>
  <c r="M250" i="1"/>
  <c r="M247" i="1"/>
  <c r="M248" i="1" s="1"/>
  <c r="M246" i="1"/>
  <c r="M242" i="1"/>
  <c r="M243" i="1" s="1"/>
  <c r="M244" i="1" s="1"/>
  <c r="M238" i="1"/>
  <c r="M239" i="1" s="1"/>
  <c r="M240" i="1" s="1"/>
  <c r="M234" i="1"/>
  <c r="M235" i="1" s="1"/>
  <c r="M236" i="1" s="1"/>
  <c r="M231" i="1"/>
  <c r="M232" i="1" s="1"/>
  <c r="M230" i="1"/>
  <c r="M226" i="1"/>
  <c r="M227" i="1" s="1"/>
  <c r="M228" i="1" s="1"/>
  <c r="M222" i="1"/>
  <c r="M223" i="1" s="1"/>
  <c r="M224" i="1" s="1"/>
  <c r="M220" i="1"/>
  <c r="M219" i="1"/>
  <c r="M218" i="1"/>
  <c r="M215" i="1"/>
  <c r="M216" i="1" s="1"/>
  <c r="M214" i="1"/>
  <c r="M210" i="1"/>
  <c r="M211" i="1" s="1"/>
  <c r="M212" i="1" s="1"/>
  <c r="M206" i="1"/>
  <c r="M207" i="1" s="1"/>
  <c r="M208" i="1" s="1"/>
  <c r="M202" i="1"/>
  <c r="M203" i="1" s="1"/>
  <c r="M204" i="1" s="1"/>
  <c r="M199" i="1"/>
  <c r="M200" i="1" s="1"/>
  <c r="M198" i="1"/>
  <c r="M194" i="1"/>
  <c r="M195" i="1" s="1"/>
  <c r="M196" i="1" s="1"/>
  <c r="M190" i="1"/>
  <c r="M191" i="1" s="1"/>
  <c r="M192" i="1" s="1"/>
  <c r="M188" i="1"/>
  <c r="M187" i="1"/>
  <c r="M186" i="1"/>
  <c r="M183" i="1"/>
  <c r="M184" i="1" s="1"/>
  <c r="M182" i="1"/>
  <c r="M178" i="1"/>
  <c r="M179" i="1" s="1"/>
  <c r="M180" i="1" s="1"/>
  <c r="M174" i="1"/>
  <c r="M175" i="1" s="1"/>
  <c r="M176" i="1" s="1"/>
  <c r="M170" i="1"/>
  <c r="M171" i="1" s="1"/>
  <c r="M172" i="1" s="1"/>
  <c r="M167" i="1"/>
  <c r="M168" i="1" s="1"/>
  <c r="M166" i="1"/>
  <c r="M162" i="1"/>
  <c r="M163" i="1" s="1"/>
  <c r="M164" i="1" s="1"/>
  <c r="M158" i="1"/>
  <c r="M159" i="1" s="1"/>
  <c r="M160" i="1" s="1"/>
  <c r="M156" i="1"/>
  <c r="M155" i="1"/>
  <c r="M154" i="1"/>
  <c r="M151" i="1"/>
  <c r="M152" i="1" s="1"/>
  <c r="M150" i="1"/>
  <c r="M146" i="1"/>
  <c r="M147" i="1" s="1"/>
  <c r="M148" i="1" s="1"/>
  <c r="M142" i="1"/>
  <c r="M143" i="1" s="1"/>
  <c r="M144" i="1" s="1"/>
  <c r="M138" i="1"/>
  <c r="M139" i="1" s="1"/>
  <c r="M140" i="1" s="1"/>
  <c r="M134" i="1"/>
  <c r="M135" i="1" s="1"/>
  <c r="M136" i="1" s="1"/>
  <c r="M130" i="1"/>
  <c r="M131" i="1" s="1"/>
  <c r="M132" i="1" s="1"/>
  <c r="M126" i="1"/>
  <c r="M127" i="1" s="1"/>
  <c r="M128" i="1" s="1"/>
  <c r="M123" i="1"/>
  <c r="M124" i="1" s="1"/>
  <c r="M122" i="1"/>
  <c r="M119" i="1"/>
  <c r="M120" i="1" s="1"/>
  <c r="M118" i="1"/>
  <c r="M114" i="1"/>
  <c r="M115" i="1" s="1"/>
  <c r="M116" i="1" s="1"/>
  <c r="M110" i="1"/>
  <c r="M111" i="1" s="1"/>
  <c r="M112" i="1" s="1"/>
  <c r="M106" i="1"/>
  <c r="M107" i="1" s="1"/>
  <c r="M108" i="1" s="1"/>
  <c r="M102" i="1"/>
  <c r="M103" i="1" s="1"/>
  <c r="M104" i="1" s="1"/>
  <c r="M98" i="1"/>
  <c r="M99" i="1" s="1"/>
  <c r="M100" i="1" s="1"/>
  <c r="M94" i="1"/>
  <c r="M95" i="1" s="1"/>
  <c r="M96" i="1" s="1"/>
  <c r="M91" i="1"/>
  <c r="M92" i="1" s="1"/>
  <c r="M90" i="1"/>
  <c r="M87" i="1"/>
  <c r="M88" i="1" s="1"/>
  <c r="M86" i="1"/>
  <c r="M82" i="1"/>
  <c r="M83" i="1" s="1"/>
  <c r="M84" i="1" s="1"/>
  <c r="M78" i="1"/>
  <c r="M79" i="1" s="1"/>
  <c r="M80" i="1" s="1"/>
  <c r="M74" i="1"/>
  <c r="M75" i="1" s="1"/>
  <c r="M76" i="1" s="1"/>
  <c r="M70" i="1"/>
  <c r="M71" i="1" s="1"/>
  <c r="M72" i="1" s="1"/>
  <c r="M66" i="1"/>
  <c r="M67" i="1" s="1"/>
  <c r="M68" i="1" s="1"/>
  <c r="M62" i="1"/>
  <c r="M63" i="1" s="1"/>
  <c r="M64" i="1" s="1"/>
  <c r="M59" i="1"/>
  <c r="M60" i="1" s="1"/>
  <c r="M58" i="1"/>
  <c r="M55" i="1"/>
  <c r="M56" i="1" s="1"/>
  <c r="M54" i="1"/>
  <c r="M50" i="1"/>
  <c r="M51" i="1" s="1"/>
  <c r="M52" i="1" s="1"/>
  <c r="M46" i="1"/>
  <c r="M47" i="1" s="1"/>
  <c r="M48" i="1" s="1"/>
  <c r="M42" i="1"/>
  <c r="M43" i="1" s="1"/>
  <c r="M44" i="1" s="1"/>
  <c r="M38" i="1"/>
  <c r="M39" i="1" s="1"/>
  <c r="M40" i="1" s="1"/>
  <c r="M34" i="1"/>
  <c r="M35" i="1" s="1"/>
  <c r="M36" i="1" s="1"/>
  <c r="M30" i="1"/>
  <c r="M31" i="1" s="1"/>
  <c r="M32" i="1" s="1"/>
  <c r="M27" i="1"/>
  <c r="M28" i="1" s="1"/>
  <c r="M26" i="1"/>
  <c r="M23" i="1"/>
  <c r="M24" i="1" s="1"/>
  <c r="M22" i="1"/>
  <c r="M18" i="1"/>
  <c r="M19" i="1" s="1"/>
  <c r="M20" i="1" s="1"/>
  <c r="M14" i="1"/>
  <c r="M15" i="1" s="1"/>
  <c r="M16" i="1" s="1"/>
  <c r="M10" i="1"/>
  <c r="M11" i="1" s="1"/>
  <c r="M12" i="1" s="1"/>
  <c r="M6" i="1"/>
  <c r="M7" i="1" s="1"/>
  <c r="M345" i="3" l="1"/>
  <c r="D6634" i="2"/>
  <c r="F6625" i="2"/>
  <c r="G6625" i="2" s="1"/>
  <c r="D6589" i="2"/>
  <c r="D6593" i="2"/>
  <c r="D6605" i="2" s="1"/>
  <c r="B6592" i="2"/>
  <c r="G6572" i="2"/>
  <c r="B6566" i="2"/>
  <c r="D6563" i="2"/>
  <c r="G6546" i="2"/>
  <c r="D6545" i="2"/>
  <c r="D6541" i="2"/>
  <c r="B6540" i="2"/>
  <c r="D6537" i="2"/>
  <c r="D6579" i="2" l="1"/>
  <c r="D6581" i="2" s="1"/>
  <c r="D6607" i="2"/>
  <c r="D6553" i="2"/>
  <c r="D6555" i="2" s="1"/>
  <c r="G6598" i="2"/>
  <c r="F6440" i="2"/>
  <c r="G402" i="3"/>
  <c r="G401" i="3"/>
  <c r="D5745" i="2"/>
  <c r="D5734" i="2"/>
  <c r="D5738" i="2"/>
  <c r="D5739" i="2"/>
  <c r="F4722" i="2" l="1"/>
  <c r="Q291" i="3"/>
  <c r="R291" i="3" s="1"/>
  <c r="F4670" i="2"/>
  <c r="F6311" i="2"/>
  <c r="F6310" i="2"/>
  <c r="F6312" i="2" s="1"/>
  <c r="F6284" i="2"/>
  <c r="F6286" i="2" s="1"/>
  <c r="L394" i="3"/>
  <c r="M394" i="3" s="1"/>
  <c r="L393" i="3"/>
  <c r="M393" i="3" s="1"/>
  <c r="F6518" i="2"/>
  <c r="D6511" i="2" s="1"/>
  <c r="D6515" i="2"/>
  <c r="B6514" i="2"/>
  <c r="F6492" i="2"/>
  <c r="F6494" i="2" s="1"/>
  <c r="G6494" i="2" s="1"/>
  <c r="D6493" i="2"/>
  <c r="D6489" i="2"/>
  <c r="D6501" i="2" s="1"/>
  <c r="B6488" i="2"/>
  <c r="D6467" i="2"/>
  <c r="D6475" i="2" s="1"/>
  <c r="D6466" i="2"/>
  <c r="D6463" i="2"/>
  <c r="F6466" i="2"/>
  <c r="D6459" i="2" s="1"/>
  <c r="B6462" i="2"/>
  <c r="F6468" i="2" l="1"/>
  <c r="G6468" i="2" s="1"/>
  <c r="D6485" i="2"/>
  <c r="D6527" i="2"/>
  <c r="D6529" i="2" s="1"/>
  <c r="F6520" i="2"/>
  <c r="G6520" i="2" s="1"/>
  <c r="D6503" i="2"/>
  <c r="D6477" i="2"/>
  <c r="F5191" i="2" l="1"/>
  <c r="F5190" i="2"/>
  <c r="F5165" i="2"/>
  <c r="F5608" i="2"/>
  <c r="F5607" i="2"/>
  <c r="F5582" i="2"/>
  <c r="F5581" i="2"/>
  <c r="F5583" i="2" s="1"/>
  <c r="F5139" i="2"/>
  <c r="L320" i="3"/>
  <c r="M320" i="3" s="1"/>
  <c r="L341" i="3"/>
  <c r="M341" i="3" s="1"/>
  <c r="F6388" i="2"/>
  <c r="F6390" i="2" s="1"/>
  <c r="F6362" i="2"/>
  <c r="F6364" i="2" s="1"/>
  <c r="F6336" i="2"/>
  <c r="F6338" i="2" s="1"/>
  <c r="F6206" i="2"/>
  <c r="F6208" i="2" s="1"/>
  <c r="F5609" i="2" l="1"/>
  <c r="F5192" i="2"/>
  <c r="D5640" i="2"/>
  <c r="D5633" i="2"/>
  <c r="D5634" i="2"/>
  <c r="D5629" i="2"/>
  <c r="D5562" i="2"/>
  <c r="D5555" i="2"/>
  <c r="D5556" i="2"/>
  <c r="D5551" i="2"/>
  <c r="D5693" i="2" l="1"/>
  <c r="D5687" i="2"/>
  <c r="D5686" i="2"/>
  <c r="D5683" i="2"/>
  <c r="D5682" i="2"/>
  <c r="D5667" i="2"/>
  <c r="D5660" i="2"/>
  <c r="D5661" i="2"/>
  <c r="D5656" i="2"/>
  <c r="F6442" i="2" l="1"/>
  <c r="G6442" i="2" s="1"/>
  <c r="D6437" i="2"/>
  <c r="D6449" i="2" s="1"/>
  <c r="B6436" i="2"/>
  <c r="D6433" i="2" l="1"/>
  <c r="D6451" i="2" s="1"/>
  <c r="G6416" i="2" l="1"/>
  <c r="D6423" i="2"/>
  <c r="B6410" i="2"/>
  <c r="D6407" i="2"/>
  <c r="D6425" i="2" l="1"/>
  <c r="D6381" i="2"/>
  <c r="B6384" i="2"/>
  <c r="G6364" i="2"/>
  <c r="D6355" i="2"/>
  <c r="B6358" i="2"/>
  <c r="D6329" i="2"/>
  <c r="B6332" i="2"/>
  <c r="G6312" i="2"/>
  <c r="D6311" i="2"/>
  <c r="D6303" i="2"/>
  <c r="D6307" i="2"/>
  <c r="B6306" i="2"/>
  <c r="G6286" i="2"/>
  <c r="B6280" i="2"/>
  <c r="D6277" i="2"/>
  <c r="D6259" i="2"/>
  <c r="F6258" i="2"/>
  <c r="D6251" i="2" s="1"/>
  <c r="D6255" i="2"/>
  <c r="B6254" i="2"/>
  <c r="U456" i="3"/>
  <c r="Q456" i="3"/>
  <c r="R456" i="3" s="1"/>
  <c r="L456" i="3"/>
  <c r="M456" i="3" s="1"/>
  <c r="I456" i="3"/>
  <c r="U455" i="3"/>
  <c r="L455" i="3"/>
  <c r="M455" i="3" s="1"/>
  <c r="U454" i="3"/>
  <c r="L454" i="3"/>
  <c r="M454" i="3" s="1"/>
  <c r="U453" i="3"/>
  <c r="Q453" i="3"/>
  <c r="R453" i="3" s="1"/>
  <c r="L453" i="3"/>
  <c r="M453" i="3" s="1"/>
  <c r="I453" i="3"/>
  <c r="U452" i="3"/>
  <c r="Q452" i="3"/>
  <c r="R452" i="3" s="1"/>
  <c r="L452" i="3"/>
  <c r="M452" i="3" s="1"/>
  <c r="I452" i="3"/>
  <c r="U451" i="3"/>
  <c r="Q451" i="3"/>
  <c r="R451" i="3" s="1"/>
  <c r="L451" i="3"/>
  <c r="M451" i="3" s="1"/>
  <c r="I451" i="3"/>
  <c r="U450" i="3"/>
  <c r="Q450" i="3"/>
  <c r="R450" i="3" s="1"/>
  <c r="I450" i="3"/>
  <c r="U449" i="3"/>
  <c r="U448" i="3"/>
  <c r="Q448" i="3"/>
  <c r="R448" i="3" s="1"/>
  <c r="L448" i="3"/>
  <c r="M448" i="3" s="1"/>
  <c r="U447" i="3"/>
  <c r="Q447" i="3"/>
  <c r="R447" i="3" s="1"/>
  <c r="L447" i="3"/>
  <c r="M447" i="3" s="1"/>
  <c r="I447" i="3"/>
  <c r="U446" i="3"/>
  <c r="Q446" i="3"/>
  <c r="R446" i="3" s="1"/>
  <c r="L446" i="3"/>
  <c r="M446" i="3" s="1"/>
  <c r="I446" i="3"/>
  <c r="U445" i="3"/>
  <c r="Q445" i="3"/>
  <c r="R445" i="3" s="1"/>
  <c r="L445" i="3"/>
  <c r="M445" i="3" s="1"/>
  <c r="I445" i="3"/>
  <c r="U444" i="3"/>
  <c r="Q444" i="3"/>
  <c r="R444" i="3" s="1"/>
  <c r="I444" i="3"/>
  <c r="U443" i="3"/>
  <c r="Q443" i="3"/>
  <c r="R443" i="3" s="1"/>
  <c r="I443" i="3"/>
  <c r="U442" i="3"/>
  <c r="I442" i="3"/>
  <c r="U441" i="3"/>
  <c r="Q441" i="3"/>
  <c r="R441" i="3" s="1"/>
  <c r="I441" i="3"/>
  <c r="U440" i="3"/>
  <c r="Q440" i="3"/>
  <c r="R440" i="3" s="1"/>
  <c r="L440" i="3"/>
  <c r="M440" i="3" s="1"/>
  <c r="I440" i="3"/>
  <c r="U439" i="3"/>
  <c r="Q439" i="3"/>
  <c r="R439" i="3" s="1"/>
  <c r="L439" i="3"/>
  <c r="M439" i="3" s="1"/>
  <c r="I439" i="3"/>
  <c r="U438" i="3"/>
  <c r="Q438" i="3"/>
  <c r="R438" i="3" s="1"/>
  <c r="I438" i="3"/>
  <c r="U437" i="3"/>
  <c r="Q437" i="3"/>
  <c r="R437" i="3" s="1"/>
  <c r="I437" i="3"/>
  <c r="U436" i="3"/>
  <c r="L436" i="3"/>
  <c r="M436" i="3" s="1"/>
  <c r="I436" i="3"/>
  <c r="U435" i="3"/>
  <c r="Q435" i="3"/>
  <c r="R435" i="3" s="1"/>
  <c r="I435" i="3"/>
  <c r="U434" i="3"/>
  <c r="Q434" i="3"/>
  <c r="R434" i="3" s="1"/>
  <c r="L434" i="3"/>
  <c r="M434" i="3" s="1"/>
  <c r="I434" i="3"/>
  <c r="U433" i="3"/>
  <c r="Q433" i="3"/>
  <c r="R433" i="3" s="1"/>
  <c r="L433" i="3"/>
  <c r="M433" i="3" s="1"/>
  <c r="I433" i="3"/>
  <c r="U432" i="3"/>
  <c r="Q432" i="3"/>
  <c r="R432" i="3" s="1"/>
  <c r="I432" i="3"/>
  <c r="U431" i="3"/>
  <c r="Q431" i="3"/>
  <c r="R431" i="3" s="1"/>
  <c r="I431" i="3"/>
  <c r="U430" i="3"/>
  <c r="Q430" i="3"/>
  <c r="R430" i="3" s="1"/>
  <c r="I430" i="3"/>
  <c r="U429" i="3"/>
  <c r="Q429" i="3"/>
  <c r="R429" i="3" s="1"/>
  <c r="L429" i="3"/>
  <c r="M429" i="3" s="1"/>
  <c r="I429" i="3"/>
  <c r="U428" i="3"/>
  <c r="Q428" i="3"/>
  <c r="R428" i="3" s="1"/>
  <c r="L428" i="3"/>
  <c r="M428" i="3" s="1"/>
  <c r="I428" i="3"/>
  <c r="U427" i="3"/>
  <c r="Q427" i="3"/>
  <c r="R427" i="3" s="1"/>
  <c r="L427" i="3"/>
  <c r="M427" i="3" s="1"/>
  <c r="I427" i="3"/>
  <c r="U426" i="3"/>
  <c r="Q426" i="3"/>
  <c r="R426" i="3" s="1"/>
  <c r="L426" i="3"/>
  <c r="M426" i="3" s="1"/>
  <c r="I426" i="3"/>
  <c r="U425" i="3"/>
  <c r="Q425" i="3"/>
  <c r="R425" i="3" s="1"/>
  <c r="L425" i="3"/>
  <c r="M425" i="3" s="1"/>
  <c r="I425" i="3"/>
  <c r="U424" i="3"/>
  <c r="Q424" i="3"/>
  <c r="R424" i="3" s="1"/>
  <c r="L424" i="3"/>
  <c r="M424" i="3" s="1"/>
  <c r="I424" i="3"/>
  <c r="U423" i="3"/>
  <c r="L423" i="3"/>
  <c r="M423" i="3" s="1"/>
  <c r="U422" i="3"/>
  <c r="Q422" i="3"/>
  <c r="R422" i="3" s="1"/>
  <c r="L422" i="3"/>
  <c r="M422" i="3" s="1"/>
  <c r="I422" i="3"/>
  <c r="U421" i="3"/>
  <c r="Q421" i="3"/>
  <c r="R421" i="3" s="1"/>
  <c r="L421" i="3"/>
  <c r="M421" i="3" s="1"/>
  <c r="I421" i="3"/>
  <c r="U420" i="3"/>
  <c r="Q420" i="3"/>
  <c r="R420" i="3" s="1"/>
  <c r="L420" i="3"/>
  <c r="M420" i="3" s="1"/>
  <c r="I420" i="3"/>
  <c r="U419" i="3"/>
  <c r="Q419" i="3"/>
  <c r="R419" i="3" s="1"/>
  <c r="L419" i="3"/>
  <c r="M419" i="3" s="1"/>
  <c r="I419" i="3"/>
  <c r="U417" i="3"/>
  <c r="I417" i="3"/>
  <c r="U416" i="3"/>
  <c r="Q416" i="3"/>
  <c r="R416" i="3" s="1"/>
  <c r="L416" i="3"/>
  <c r="M416" i="3" s="1"/>
  <c r="I416" i="3"/>
  <c r="U415" i="3"/>
  <c r="Q415" i="3"/>
  <c r="R415" i="3" s="1"/>
  <c r="L415" i="3"/>
  <c r="M415" i="3" s="1"/>
  <c r="I415" i="3"/>
  <c r="U414" i="3"/>
  <c r="Q414" i="3"/>
  <c r="R414" i="3" s="1"/>
  <c r="L414" i="3"/>
  <c r="M414" i="3" s="1"/>
  <c r="I414" i="3"/>
  <c r="U413" i="3"/>
  <c r="Q413" i="3"/>
  <c r="R413" i="3" s="1"/>
  <c r="L413" i="3"/>
  <c r="M413" i="3" s="1"/>
  <c r="I413" i="3"/>
  <c r="U412" i="3"/>
  <c r="L412" i="3"/>
  <c r="M412" i="3" s="1"/>
  <c r="I412" i="3"/>
  <c r="U411" i="3"/>
  <c r="I411" i="3"/>
  <c r="U410" i="3"/>
  <c r="Q410" i="3"/>
  <c r="R410" i="3" s="1"/>
  <c r="L410" i="3"/>
  <c r="M410" i="3" s="1"/>
  <c r="I410" i="3"/>
  <c r="U409" i="3"/>
  <c r="Q409" i="3"/>
  <c r="R409" i="3" s="1"/>
  <c r="L409" i="3"/>
  <c r="M409" i="3" s="1"/>
  <c r="I409" i="3"/>
  <c r="U408" i="3"/>
  <c r="Q408" i="3"/>
  <c r="R408" i="3" s="1"/>
  <c r="L408" i="3"/>
  <c r="M408" i="3" s="1"/>
  <c r="I408" i="3"/>
  <c r="U407" i="3"/>
  <c r="Q407" i="3"/>
  <c r="R407" i="3" s="1"/>
  <c r="L407" i="3"/>
  <c r="M407" i="3" s="1"/>
  <c r="I407" i="3"/>
  <c r="U406" i="3"/>
  <c r="Q406" i="3"/>
  <c r="R406" i="3" s="1"/>
  <c r="L406" i="3"/>
  <c r="M406" i="3" s="1"/>
  <c r="I406" i="3"/>
  <c r="U405" i="3"/>
  <c r="Q405" i="3"/>
  <c r="R405" i="3" s="1"/>
  <c r="L405" i="3"/>
  <c r="M405" i="3" s="1"/>
  <c r="I405" i="3"/>
  <c r="U404" i="3"/>
  <c r="Q404" i="3"/>
  <c r="R404" i="3" s="1"/>
  <c r="L404" i="3"/>
  <c r="M404" i="3" s="1"/>
  <c r="I404" i="3"/>
  <c r="U403" i="3"/>
  <c r="Q403" i="3"/>
  <c r="R403" i="3" s="1"/>
  <c r="L403" i="3"/>
  <c r="M403" i="3" s="1"/>
  <c r="I403" i="3"/>
  <c r="U402" i="3"/>
  <c r="Q402" i="3"/>
  <c r="R402" i="3" s="1"/>
  <c r="L402" i="3"/>
  <c r="M402" i="3" s="1"/>
  <c r="I402" i="3"/>
  <c r="U401" i="3"/>
  <c r="Q401" i="3"/>
  <c r="R401" i="3" s="1"/>
  <c r="L401" i="3"/>
  <c r="M401" i="3" s="1"/>
  <c r="I401" i="3"/>
  <c r="U400" i="3"/>
  <c r="Q400" i="3"/>
  <c r="R400" i="3" s="1"/>
  <c r="I400" i="3"/>
  <c r="U399" i="3"/>
  <c r="Q399" i="3"/>
  <c r="R399" i="3" s="1"/>
  <c r="I399" i="3"/>
  <c r="U398" i="3"/>
  <c r="Q398" i="3"/>
  <c r="R398" i="3" s="1"/>
  <c r="I398" i="3"/>
  <c r="U397" i="3"/>
  <c r="L397" i="3"/>
  <c r="M397" i="3" s="1"/>
  <c r="I397" i="3"/>
  <c r="U396" i="3"/>
  <c r="L396" i="3"/>
  <c r="M396" i="3" s="1"/>
  <c r="I396" i="3"/>
  <c r="U395" i="3"/>
  <c r="L395" i="3"/>
  <c r="M395" i="3" s="1"/>
  <c r="I395" i="3"/>
  <c r="U394" i="3"/>
  <c r="Q394" i="3"/>
  <c r="R394" i="3" s="1"/>
  <c r="I394" i="3"/>
  <c r="U393" i="3"/>
  <c r="Q393" i="3"/>
  <c r="R393" i="3" s="1"/>
  <c r="I393" i="3"/>
  <c r="D5588" i="2"/>
  <c r="D5581" i="2"/>
  <c r="D5582" i="2"/>
  <c r="D5577" i="2"/>
  <c r="F6260" i="2" l="1"/>
  <c r="G6260" i="2" s="1"/>
  <c r="D6267" i="2"/>
  <c r="D6269" i="2" s="1"/>
  <c r="V443" i="3"/>
  <c r="V435" i="3"/>
  <c r="V427" i="3"/>
  <c r="V419" i="3"/>
  <c r="V455" i="3"/>
  <c r="V421" i="3"/>
  <c r="V424" i="3"/>
  <c r="V430" i="3"/>
  <c r="V439" i="3"/>
  <c r="V403" i="3"/>
  <c r="V448" i="3"/>
  <c r="V429" i="3"/>
  <c r="V423" i="3"/>
  <c r="V420" i="3"/>
  <c r="V428" i="3"/>
  <c r="V436" i="3"/>
  <c r="V444" i="3"/>
  <c r="V431" i="3"/>
  <c r="V449" i="3"/>
  <c r="V422" i="3"/>
  <c r="V432" i="3"/>
  <c r="V438" i="3"/>
  <c r="V447" i="3"/>
  <c r="V425" i="3"/>
  <c r="V433" i="3"/>
  <c r="V441" i="3"/>
  <c r="V453" i="3"/>
  <c r="V416" i="3"/>
  <c r="V415" i="3"/>
  <c r="V414" i="3"/>
  <c r="V413" i="3"/>
  <c r="V412" i="3"/>
  <c r="V411" i="3"/>
  <c r="V407" i="3"/>
  <c r="V410" i="3"/>
  <c r="V408" i="3"/>
  <c r="V406" i="3"/>
  <c r="V405" i="3"/>
  <c r="V404" i="3"/>
  <c r="D6293" i="2"/>
  <c r="D6295" i="2" s="1"/>
  <c r="D6371" i="2"/>
  <c r="D6373" i="2" s="1"/>
  <c r="D6345" i="2"/>
  <c r="D6347" i="2" s="1"/>
  <c r="D6397" i="2"/>
  <c r="D6399" i="2" s="1"/>
  <c r="D6319" i="2"/>
  <c r="D6321" i="2" s="1"/>
  <c r="V402" i="3"/>
  <c r="V400" i="3"/>
  <c r="V399" i="3"/>
  <c r="V398" i="3"/>
  <c r="G6390" i="2"/>
  <c r="G6338" i="2"/>
  <c r="V397" i="3"/>
  <c r="V396" i="3"/>
  <c r="V395" i="3"/>
  <c r="V394" i="3"/>
  <c r="V393" i="3"/>
  <c r="V437" i="3"/>
  <c r="V440" i="3"/>
  <c r="V445" i="3"/>
  <c r="V450" i="3"/>
  <c r="V452" i="3"/>
  <c r="V442" i="3"/>
  <c r="V401" i="3"/>
  <c r="V409" i="3"/>
  <c r="V417" i="3"/>
  <c r="V426" i="3"/>
  <c r="V434" i="3"/>
  <c r="V454" i="3"/>
  <c r="V451" i="3"/>
  <c r="V456" i="3"/>
  <c r="V446" i="3"/>
  <c r="D5510" i="2"/>
  <c r="D5503" i="2"/>
  <c r="D5504" i="2"/>
  <c r="D5458" i="2"/>
  <c r="D5451" i="2"/>
  <c r="D5452" i="2"/>
  <c r="D5447" i="2"/>
  <c r="L380" i="3"/>
  <c r="M380" i="3" s="1"/>
  <c r="F6154" i="2"/>
  <c r="F6156" i="2" s="1"/>
  <c r="F6128" i="2"/>
  <c r="F6102" i="2"/>
  <c r="F6076" i="2"/>
  <c r="F6078" i="2" s="1"/>
  <c r="L379" i="3"/>
  <c r="M379" i="3" s="1"/>
  <c r="L378" i="3"/>
  <c r="M378" i="3" s="1"/>
  <c r="K325" i="3"/>
  <c r="L324" i="3"/>
  <c r="K324" i="3"/>
  <c r="F5243" i="2"/>
  <c r="F5242" i="2"/>
  <c r="F5244" i="2" s="1"/>
  <c r="F5269" i="2"/>
  <c r="F5268" i="2"/>
  <c r="F5295" i="2"/>
  <c r="F5294" i="2"/>
  <c r="F5296" i="2" s="1"/>
  <c r="F5061" i="2"/>
  <c r="L326" i="3"/>
  <c r="K326" i="3"/>
  <c r="K317" i="3"/>
  <c r="F5270" i="2" l="1"/>
  <c r="F6104" i="2"/>
  <c r="F6130" i="2"/>
  <c r="M324" i="3"/>
  <c r="M326" i="3"/>
  <c r="F6232" i="2"/>
  <c r="D6225" i="2" s="1"/>
  <c r="D6229" i="2"/>
  <c r="D6233" i="2"/>
  <c r="B6228" i="2"/>
  <c r="F6234" i="2" l="1"/>
  <c r="G6234" i="2" s="1"/>
  <c r="D6241" i="2"/>
  <c r="D6243" i="2" s="1"/>
  <c r="B6202" i="2" l="1"/>
  <c r="D6203" i="2"/>
  <c r="D6206" i="2"/>
  <c r="D6199" i="2"/>
  <c r="D6207" i="2"/>
  <c r="D6181" i="2"/>
  <c r="F6180" i="2"/>
  <c r="F6182" i="2" s="1"/>
  <c r="G6182" i="2" s="1"/>
  <c r="D6177" i="2"/>
  <c r="B6176" i="2"/>
  <c r="D6215" i="2" l="1"/>
  <c r="D6217" i="2" s="1"/>
  <c r="G6208" i="2"/>
  <c r="D6189" i="2"/>
  <c r="D6173" i="2"/>
  <c r="D5614" i="2"/>
  <c r="D5607" i="2"/>
  <c r="D5608" i="2"/>
  <c r="D5603" i="2"/>
  <c r="D6191" i="2" l="1"/>
  <c r="D5536" i="2"/>
  <c r="D5529" i="2"/>
  <c r="D5530" i="2"/>
  <c r="D5525" i="2"/>
  <c r="D5499" i="2"/>
  <c r="D5477" i="2"/>
  <c r="D5478" i="2"/>
  <c r="D5473" i="2"/>
  <c r="D5376" i="2" l="1"/>
  <c r="D5373" i="2"/>
  <c r="D5374" i="2"/>
  <c r="D5369" i="2"/>
  <c r="D5145" i="2" l="1"/>
  <c r="D5139" i="2"/>
  <c r="D5138" i="2"/>
  <c r="D5135" i="2"/>
  <c r="D5134" i="2"/>
  <c r="D5015" i="2"/>
  <c r="D5008" i="2"/>
  <c r="D5009" i="2"/>
  <c r="D5035" i="2"/>
  <c r="D5034" i="2"/>
  <c r="D5031" i="2"/>
  <c r="D5030" i="2"/>
  <c r="D5004" i="2"/>
  <c r="D4963" i="2"/>
  <c r="D4956" i="2"/>
  <c r="D4957" i="2"/>
  <c r="D4952" i="2"/>
  <c r="F5895" i="2"/>
  <c r="F5894" i="2"/>
  <c r="F5868" i="2"/>
  <c r="F5870" i="2" s="1"/>
  <c r="F5842" i="2"/>
  <c r="F5844" i="2" s="1"/>
  <c r="L371" i="3"/>
  <c r="M371" i="3" s="1"/>
  <c r="L370" i="3"/>
  <c r="M370" i="3" s="1"/>
  <c r="L369" i="3"/>
  <c r="M369" i="3" s="1"/>
  <c r="F5817" i="2"/>
  <c r="F5816" i="2"/>
  <c r="F6024" i="2"/>
  <c r="F6026" i="2" s="1"/>
  <c r="F5998" i="2"/>
  <c r="L368" i="3"/>
  <c r="M368" i="3" s="1"/>
  <c r="L376" i="3"/>
  <c r="M376" i="3" s="1"/>
  <c r="L375" i="3"/>
  <c r="M375" i="3" s="1"/>
  <c r="F5972" i="2"/>
  <c r="F5946" i="2"/>
  <c r="F5948" i="2" s="1"/>
  <c r="F5818" i="2" l="1"/>
  <c r="F6000" i="2"/>
  <c r="F5896" i="2"/>
  <c r="F5974" i="2"/>
  <c r="L374" i="3"/>
  <c r="M374" i="3" s="1"/>
  <c r="L373" i="3"/>
  <c r="M373" i="3" s="1"/>
  <c r="D6155" i="2"/>
  <c r="D6147" i="2"/>
  <c r="D6154" i="2"/>
  <c r="D6151" i="2"/>
  <c r="B6150" i="2"/>
  <c r="D6129" i="2"/>
  <c r="D6121" i="2"/>
  <c r="D6128" i="2"/>
  <c r="D6125" i="2"/>
  <c r="B6124" i="2"/>
  <c r="D6103" i="2"/>
  <c r="G6104" i="2"/>
  <c r="D6099" i="2"/>
  <c r="B6098" i="2"/>
  <c r="D6095" i="2"/>
  <c r="D6077" i="2"/>
  <c r="G6078" i="2"/>
  <c r="D6073" i="2"/>
  <c r="B6072" i="2"/>
  <c r="I378" i="3"/>
  <c r="F6050" i="2"/>
  <c r="F6052" i="2" s="1"/>
  <c r="G6052" i="2" s="1"/>
  <c r="D6047" i="2"/>
  <c r="B6046" i="2"/>
  <c r="D6043" i="2" l="1"/>
  <c r="D6111" i="2"/>
  <c r="D6113" i="2" s="1"/>
  <c r="D6085" i="2"/>
  <c r="D6059" i="2"/>
  <c r="D6163" i="2"/>
  <c r="D6165" i="2" s="1"/>
  <c r="D6137" i="2"/>
  <c r="D6139" i="2" s="1"/>
  <c r="G6156" i="2"/>
  <c r="G6130" i="2"/>
  <c r="D6069" i="2"/>
  <c r="L308" i="3"/>
  <c r="K308" i="3"/>
  <c r="L306" i="3"/>
  <c r="K306" i="3"/>
  <c r="K305" i="3"/>
  <c r="L304" i="3"/>
  <c r="K304" i="3"/>
  <c r="L303" i="3"/>
  <c r="K303" i="3"/>
  <c r="L302" i="3"/>
  <c r="K302" i="3"/>
  <c r="L301" i="3"/>
  <c r="K301" i="3"/>
  <c r="K300" i="3"/>
  <c r="L254" i="3"/>
  <c r="M254" i="3" s="1"/>
  <c r="F4133" i="2"/>
  <c r="F4618" i="2"/>
  <c r="F4826" i="2"/>
  <c r="F4825" i="2"/>
  <c r="F4827" i="2" s="1"/>
  <c r="F4800" i="2"/>
  <c r="D5067" i="2"/>
  <c r="D5061" i="2"/>
  <c r="D5060" i="2"/>
  <c r="D5057" i="2"/>
  <c r="D5056" i="2"/>
  <c r="D4989" i="2"/>
  <c r="D4983" i="2"/>
  <c r="D4982" i="2"/>
  <c r="D4979" i="2"/>
  <c r="D4978" i="2"/>
  <c r="D4937" i="2"/>
  <c r="D4931" i="2"/>
  <c r="D4930" i="2"/>
  <c r="D4927" i="2"/>
  <c r="D4926" i="2"/>
  <c r="D4911" i="2"/>
  <c r="D4905" i="2"/>
  <c r="D4904" i="2"/>
  <c r="D4901" i="2"/>
  <c r="D4900" i="2"/>
  <c r="D5400" i="2"/>
  <c r="D5399" i="2"/>
  <c r="D5396" i="2"/>
  <c r="D5395" i="2"/>
  <c r="D5327" i="2"/>
  <c r="D5321" i="2"/>
  <c r="D5320" i="2"/>
  <c r="D5317" i="2"/>
  <c r="D5316" i="2"/>
  <c r="D5301" i="2"/>
  <c r="D5295" i="2"/>
  <c r="D5294" i="2"/>
  <c r="D5291" i="2"/>
  <c r="D5290" i="2"/>
  <c r="D5275" i="2"/>
  <c r="D5269" i="2"/>
  <c r="D5268" i="2"/>
  <c r="D5265" i="2"/>
  <c r="D5264" i="2"/>
  <c r="D5249" i="2"/>
  <c r="D5243" i="2"/>
  <c r="D5242" i="2"/>
  <c r="D5239" i="2"/>
  <c r="D5238" i="2"/>
  <c r="D5223" i="2"/>
  <c r="D5217" i="2"/>
  <c r="D5216" i="2"/>
  <c r="D5213" i="2"/>
  <c r="D5212" i="2"/>
  <c r="D5197" i="2"/>
  <c r="D5191" i="2"/>
  <c r="D5190" i="2"/>
  <c r="D5187" i="2"/>
  <c r="D5186" i="2"/>
  <c r="D5171" i="2"/>
  <c r="D5165" i="2"/>
  <c r="D5160" i="2"/>
  <c r="D4885" i="2"/>
  <c r="D4879" i="2"/>
  <c r="D4878" i="2"/>
  <c r="D4875" i="2"/>
  <c r="D4874" i="2"/>
  <c r="D4852" i="2"/>
  <c r="D4858" i="2"/>
  <c r="D4851" i="2"/>
  <c r="D4847" i="2"/>
  <c r="D6061" i="2" l="1"/>
  <c r="D6087" i="2"/>
  <c r="M306" i="3"/>
  <c r="M304" i="3"/>
  <c r="M303" i="3"/>
  <c r="M308" i="3"/>
  <c r="M301" i="3"/>
  <c r="M302" i="3"/>
  <c r="D6025" i="2"/>
  <c r="D6033" i="2" s="1"/>
  <c r="B6020" i="2"/>
  <c r="G6026" i="2"/>
  <c r="D6017" i="2"/>
  <c r="D5999" i="2"/>
  <c r="G6000" i="2"/>
  <c r="D5998" i="2"/>
  <c r="D5995" i="2"/>
  <c r="B5994" i="2"/>
  <c r="D5991" i="2"/>
  <c r="D5973" i="2"/>
  <c r="D5965" i="2"/>
  <c r="D5972" i="2"/>
  <c r="D5969" i="2"/>
  <c r="B5968" i="2"/>
  <c r="D5947" i="2"/>
  <c r="D5939" i="2"/>
  <c r="D5946" i="2"/>
  <c r="D5943" i="2"/>
  <c r="B5942" i="2"/>
  <c r="I375" i="3"/>
  <c r="D5921" i="2"/>
  <c r="F5920" i="2"/>
  <c r="F5922" i="2" s="1"/>
  <c r="G5922" i="2" s="1"/>
  <c r="D5920" i="2"/>
  <c r="D5917" i="2"/>
  <c r="B5916" i="2"/>
  <c r="D5887" i="2"/>
  <c r="B5890" i="2"/>
  <c r="D5869" i="2"/>
  <c r="D5861" i="2"/>
  <c r="D5868" i="2"/>
  <c r="D5865" i="2"/>
  <c r="B5864" i="2"/>
  <c r="G5844" i="2"/>
  <c r="B5838" i="2"/>
  <c r="D5835" i="2"/>
  <c r="D5809" i="2"/>
  <c r="D5813" i="2"/>
  <c r="B5812" i="2"/>
  <c r="D5791" i="2"/>
  <c r="D5790" i="2"/>
  <c r="D5787" i="2"/>
  <c r="B5786" i="2"/>
  <c r="F5790" i="2"/>
  <c r="D5783" i="2" s="1"/>
  <c r="D5799" i="2" l="1"/>
  <c r="D6007" i="2"/>
  <c r="D6009" i="2" s="1"/>
  <c r="D5955" i="2"/>
  <c r="D5957" i="2" s="1"/>
  <c r="D5929" i="2"/>
  <c r="D5903" i="2"/>
  <c r="D5905" i="2" s="1"/>
  <c r="D5825" i="2"/>
  <c r="D5827" i="2" s="1"/>
  <c r="F5792" i="2"/>
  <c r="G5792" i="2" s="1"/>
  <c r="D5877" i="2"/>
  <c r="D5879" i="2" s="1"/>
  <c r="G5948" i="2"/>
  <c r="G5896" i="2"/>
  <c r="D5851" i="2"/>
  <c r="D5853" i="2" s="1"/>
  <c r="D5981" i="2"/>
  <c r="D5983" i="2" s="1"/>
  <c r="D6035" i="2"/>
  <c r="G5974" i="2"/>
  <c r="D5913" i="2"/>
  <c r="G5870" i="2"/>
  <c r="G5818" i="2"/>
  <c r="D5801" i="2"/>
  <c r="D5931" i="2" l="1"/>
  <c r="F3297" i="2"/>
  <c r="F3428" i="2"/>
  <c r="F3559" i="2"/>
  <c r="F3533" i="2"/>
  <c r="Q226" i="3"/>
  <c r="R226" i="3" s="1"/>
  <c r="F3846" i="2"/>
  <c r="F3820" i="2"/>
  <c r="F3690" i="2"/>
  <c r="Q239" i="3"/>
  <c r="R239" i="3" s="1"/>
  <c r="Q236" i="3"/>
  <c r="R236" i="3" s="1"/>
  <c r="F5765" i="2"/>
  <c r="D5086" i="2" l="1"/>
  <c r="D5082" i="2"/>
  <c r="D5765" i="2"/>
  <c r="D5761" i="2"/>
  <c r="B5760" i="2"/>
  <c r="F5764" i="2"/>
  <c r="F5766" i="2" s="1"/>
  <c r="G5766" i="2" s="1"/>
  <c r="D5773" i="2" l="1"/>
  <c r="D5757" i="2"/>
  <c r="D5775" i="2" l="1"/>
  <c r="F4339" i="2"/>
  <c r="F4338" i="2"/>
  <c r="F4340" i="2" s="1"/>
  <c r="F4313" i="2"/>
  <c r="L267" i="3"/>
  <c r="K267" i="3"/>
  <c r="K268" i="3"/>
  <c r="F4158" i="2"/>
  <c r="F4157" i="2"/>
  <c r="F4107" i="2"/>
  <c r="L255" i="3"/>
  <c r="M255" i="3" s="1"/>
  <c r="F5738" i="2"/>
  <c r="D5731" i="2" s="1"/>
  <c r="D5735" i="2"/>
  <c r="B5734" i="2"/>
  <c r="F4159" i="2" l="1"/>
  <c r="M267" i="3"/>
  <c r="D5747" i="2"/>
  <c r="D5749" i="2" s="1"/>
  <c r="F5740" i="2"/>
  <c r="G5740" i="2" s="1"/>
  <c r="F5686" i="2"/>
  <c r="L331" i="1"/>
  <c r="L332" i="1" s="1"/>
  <c r="L330" i="1"/>
  <c r="L326" i="1"/>
  <c r="L327" i="1" s="1"/>
  <c r="L328" i="1" s="1"/>
  <c r="L323" i="1"/>
  <c r="L324" i="1" s="1"/>
  <c r="L322" i="1"/>
  <c r="L318" i="1"/>
  <c r="L319" i="1" s="1"/>
  <c r="L320" i="1" s="1"/>
  <c r="L315" i="1"/>
  <c r="L316" i="1" s="1"/>
  <c r="L314" i="1"/>
  <c r="L310" i="1"/>
  <c r="L311" i="1" s="1"/>
  <c r="L312" i="1" s="1"/>
  <c r="L307" i="1"/>
  <c r="L308" i="1" s="1"/>
  <c r="L306" i="1"/>
  <c r="L302" i="1"/>
  <c r="L303" i="1" s="1"/>
  <c r="L304" i="1" s="1"/>
  <c r="L299" i="1"/>
  <c r="L300" i="1" s="1"/>
  <c r="L298" i="1"/>
  <c r="L294" i="1"/>
  <c r="L295" i="1" s="1"/>
  <c r="L296" i="1" s="1"/>
  <c r="L291" i="1"/>
  <c r="L292" i="1" s="1"/>
  <c r="L290" i="1"/>
  <c r="L286" i="1"/>
  <c r="L287" i="1" s="1"/>
  <c r="L288" i="1" s="1"/>
  <c r="L283" i="1"/>
  <c r="L284" i="1" s="1"/>
  <c r="L282" i="1"/>
  <c r="L278" i="1"/>
  <c r="L279" i="1" s="1"/>
  <c r="L280" i="1" s="1"/>
  <c r="L275" i="1"/>
  <c r="L276" i="1" s="1"/>
  <c r="L274" i="1"/>
  <c r="L270" i="1"/>
  <c r="L271" i="1" s="1"/>
  <c r="L272" i="1" s="1"/>
  <c r="L267" i="1"/>
  <c r="L268" i="1" s="1"/>
  <c r="L266" i="1"/>
  <c r="L262" i="1"/>
  <c r="L263" i="1" s="1"/>
  <c r="L264" i="1" s="1"/>
  <c r="L259" i="1"/>
  <c r="L260" i="1" s="1"/>
  <c r="L258" i="1"/>
  <c r="L254" i="1"/>
  <c r="L255" i="1" s="1"/>
  <c r="L256" i="1" s="1"/>
  <c r="L251" i="1"/>
  <c r="L252" i="1" s="1"/>
  <c r="L250" i="1"/>
  <c r="L246" i="1"/>
  <c r="L247" i="1" s="1"/>
  <c r="L248" i="1" s="1"/>
  <c r="L243" i="1"/>
  <c r="L244" i="1" s="1"/>
  <c r="L242" i="1"/>
  <c r="L238" i="1"/>
  <c r="L239" i="1" s="1"/>
  <c r="L240" i="1" s="1"/>
  <c r="L235" i="1"/>
  <c r="L236" i="1" s="1"/>
  <c r="L234" i="1"/>
  <c r="L230" i="1"/>
  <c r="L231" i="1" s="1"/>
  <c r="L232" i="1" s="1"/>
  <c r="L227" i="1"/>
  <c r="L228" i="1" s="1"/>
  <c r="L226" i="1"/>
  <c r="L222" i="1"/>
  <c r="L223" i="1" s="1"/>
  <c r="L224" i="1" s="1"/>
  <c r="L219" i="1"/>
  <c r="L220" i="1" s="1"/>
  <c r="L218" i="1"/>
  <c r="L214" i="1"/>
  <c r="L215" i="1" s="1"/>
  <c r="L216" i="1" s="1"/>
  <c r="L211" i="1"/>
  <c r="L212" i="1" s="1"/>
  <c r="L210" i="1"/>
  <c r="L206" i="1"/>
  <c r="L207" i="1" s="1"/>
  <c r="L208" i="1" s="1"/>
  <c r="L203" i="1"/>
  <c r="L204" i="1" s="1"/>
  <c r="L202" i="1"/>
  <c r="L198" i="1"/>
  <c r="L199" i="1" s="1"/>
  <c r="L200" i="1" s="1"/>
  <c r="L195" i="1"/>
  <c r="L196" i="1" s="1"/>
  <c r="L194" i="1"/>
  <c r="L190" i="1"/>
  <c r="L191" i="1" s="1"/>
  <c r="L192" i="1" s="1"/>
  <c r="L187" i="1"/>
  <c r="L188" i="1" s="1"/>
  <c r="L186" i="1"/>
  <c r="L182" i="1"/>
  <c r="L183" i="1" s="1"/>
  <c r="L184" i="1" s="1"/>
  <c r="L179" i="1"/>
  <c r="L180" i="1" s="1"/>
  <c r="L178" i="1"/>
  <c r="L171" i="1"/>
  <c r="L172" i="1" s="1"/>
  <c r="L170" i="1"/>
  <c r="L166" i="1"/>
  <c r="L167" i="1" s="1"/>
  <c r="L168" i="1" s="1"/>
  <c r="L162" i="1"/>
  <c r="L163" i="1" s="1"/>
  <c r="L164" i="1" s="1"/>
  <c r="L158" i="1"/>
  <c r="L159" i="1" s="1"/>
  <c r="L160" i="1" s="1"/>
  <c r="L154" i="1"/>
  <c r="L155" i="1" s="1"/>
  <c r="L156" i="1" s="1"/>
  <c r="L150" i="1"/>
  <c r="L151" i="1" s="1"/>
  <c r="L152" i="1" s="1"/>
  <c r="L147" i="1"/>
  <c r="L148" i="1" s="1"/>
  <c r="L146" i="1"/>
  <c r="L143" i="1"/>
  <c r="L144" i="1" s="1"/>
  <c r="L142" i="1"/>
  <c r="L139" i="1"/>
  <c r="L140" i="1" s="1"/>
  <c r="L138" i="1"/>
  <c r="L134" i="1"/>
  <c r="L135" i="1" s="1"/>
  <c r="L136" i="1" s="1"/>
  <c r="L130" i="1"/>
  <c r="L131" i="1" s="1"/>
  <c r="L132" i="1" s="1"/>
  <c r="L126" i="1"/>
  <c r="L127" i="1" s="1"/>
  <c r="L128" i="1" s="1"/>
  <c r="L122" i="1"/>
  <c r="L123" i="1" s="1"/>
  <c r="L124" i="1" s="1"/>
  <c r="L118" i="1"/>
  <c r="L119" i="1" s="1"/>
  <c r="L120" i="1" s="1"/>
  <c r="L115" i="1"/>
  <c r="L116" i="1" s="1"/>
  <c r="L114" i="1"/>
  <c r="L111" i="1"/>
  <c r="L112" i="1" s="1"/>
  <c r="L110" i="1"/>
  <c r="L107" i="1"/>
  <c r="L108" i="1" s="1"/>
  <c r="L106" i="1"/>
  <c r="L102" i="1"/>
  <c r="L103" i="1" s="1"/>
  <c r="L104" i="1" s="1"/>
  <c r="L96" i="1"/>
  <c r="L95" i="1"/>
  <c r="L94" i="1"/>
  <c r="L92" i="1"/>
  <c r="L91" i="1"/>
  <c r="L90" i="1"/>
  <c r="L86" i="1"/>
  <c r="L87" i="1" s="1"/>
  <c r="L88" i="1" s="1"/>
  <c r="L82" i="1"/>
  <c r="L83" i="1" s="1"/>
  <c r="L84" i="1" s="1"/>
  <c r="L78" i="1"/>
  <c r="L79" i="1" s="1"/>
  <c r="L80" i="1" s="1"/>
  <c r="L74" i="1"/>
  <c r="L75" i="1" s="1"/>
  <c r="L76" i="1" s="1"/>
  <c r="L70" i="1"/>
  <c r="L71" i="1" s="1"/>
  <c r="L72" i="1" s="1"/>
  <c r="L67" i="1"/>
  <c r="L68" i="1" s="1"/>
  <c r="L66" i="1"/>
  <c r="L63" i="1"/>
  <c r="L64" i="1" s="1"/>
  <c r="L62" i="1"/>
  <c r="L58" i="1"/>
  <c r="L59" i="1" s="1"/>
  <c r="L60" i="1" s="1"/>
  <c r="L56" i="1"/>
  <c r="L55" i="1"/>
  <c r="L54" i="1"/>
  <c r="L52" i="1"/>
  <c r="L51" i="1"/>
  <c r="L50" i="1"/>
  <c r="L46" i="1"/>
  <c r="L47" i="1" s="1"/>
  <c r="L48" i="1" s="1"/>
  <c r="L42" i="1"/>
  <c r="L43" i="1" s="1"/>
  <c r="L44" i="1" s="1"/>
  <c r="L38" i="1"/>
  <c r="L39" i="1" s="1"/>
  <c r="L40" i="1" s="1"/>
  <c r="L35" i="1"/>
  <c r="L36" i="1" s="1"/>
  <c r="L34" i="1"/>
  <c r="L31" i="1"/>
  <c r="L32" i="1" s="1"/>
  <c r="L30" i="1"/>
  <c r="L26" i="1"/>
  <c r="L27" i="1" s="1"/>
  <c r="L28" i="1" s="1"/>
  <c r="L24" i="1"/>
  <c r="L23" i="1"/>
  <c r="L22" i="1"/>
  <c r="L20" i="1"/>
  <c r="L19" i="1"/>
  <c r="L18" i="1"/>
  <c r="L14" i="1"/>
  <c r="L15" i="1" s="1"/>
  <c r="L16" i="1" s="1"/>
  <c r="L10" i="1"/>
  <c r="L11" i="1" s="1"/>
  <c r="L12" i="1" s="1"/>
  <c r="L7" i="1"/>
  <c r="L6" i="1"/>
  <c r="G316" i="3"/>
  <c r="G315" i="3"/>
  <c r="F5688" i="2" l="1"/>
  <c r="D5112" i="2"/>
  <c r="D5108" i="2"/>
  <c r="D4728" i="2" l="1"/>
  <c r="D4722" i="2"/>
  <c r="D4721" i="2"/>
  <c r="D4718" i="2"/>
  <c r="D4717" i="2"/>
  <c r="D5713" i="2"/>
  <c r="F5712" i="2"/>
  <c r="F5714" i="2" s="1"/>
  <c r="G5714" i="2" s="1"/>
  <c r="D5712" i="2"/>
  <c r="D5709" i="2"/>
  <c r="B5708" i="2"/>
  <c r="D5721" i="2" l="1"/>
  <c r="D5705" i="2"/>
  <c r="D5723" i="2" s="1"/>
  <c r="D4695" i="2"/>
  <c r="D4696" i="2"/>
  <c r="D4691" i="2"/>
  <c r="D4676" i="2"/>
  <c r="D4669" i="2"/>
  <c r="D4670" i="2"/>
  <c r="D4665" i="2"/>
  <c r="F3141" i="2"/>
  <c r="F3115" i="2"/>
  <c r="F3089" i="2"/>
  <c r="F3063" i="2"/>
  <c r="F3037" i="2"/>
  <c r="Q203" i="3"/>
  <c r="R203" i="3" s="1"/>
  <c r="Q201" i="3"/>
  <c r="R201" i="3" s="1"/>
  <c r="Q200" i="3"/>
  <c r="R200" i="3" s="1"/>
  <c r="Q197" i="3"/>
  <c r="R197" i="3" s="1"/>
  <c r="F4515" i="2"/>
  <c r="F3611" i="2"/>
  <c r="F3507" i="2"/>
  <c r="K296" i="3" l="1"/>
  <c r="L296" i="3"/>
  <c r="K295" i="3"/>
  <c r="L295" i="3"/>
  <c r="K294" i="3"/>
  <c r="G5688" i="2"/>
  <c r="D5695" i="2"/>
  <c r="B5682" i="2"/>
  <c r="D5679" i="2"/>
  <c r="M295" i="3" l="1"/>
  <c r="M296" i="3"/>
  <c r="D5697" i="2"/>
  <c r="F5660" i="2"/>
  <c r="D5653" i="2" s="1"/>
  <c r="D5657" i="2"/>
  <c r="B5656" i="2"/>
  <c r="D5669" i="2" l="1"/>
  <c r="D5671" i="2" s="1"/>
  <c r="F5662" i="2"/>
  <c r="G5662" i="2" s="1"/>
  <c r="F4490" i="2" l="1"/>
  <c r="F4465" i="2"/>
  <c r="F4440" i="2"/>
  <c r="F4415" i="2"/>
  <c r="Q274" i="3"/>
  <c r="R274" i="3" s="1"/>
  <c r="Q273" i="3"/>
  <c r="R273" i="3" s="1"/>
  <c r="Q272" i="3"/>
  <c r="R272" i="3" s="1"/>
  <c r="F3742" i="2"/>
  <c r="F3716" i="2"/>
  <c r="L277" i="3"/>
  <c r="K277" i="3"/>
  <c r="L290" i="3"/>
  <c r="K290" i="3"/>
  <c r="L285" i="3"/>
  <c r="K285" i="3"/>
  <c r="L284" i="3"/>
  <c r="K284" i="3"/>
  <c r="L283" i="3"/>
  <c r="K283" i="3"/>
  <c r="L280" i="3"/>
  <c r="K280" i="3"/>
  <c r="L279" i="3"/>
  <c r="K279" i="3"/>
  <c r="K276" i="3"/>
  <c r="U390" i="3"/>
  <c r="L390" i="3"/>
  <c r="M390" i="3" s="1"/>
  <c r="I390" i="3"/>
  <c r="U389" i="3"/>
  <c r="Q389" i="3"/>
  <c r="R389" i="3" s="1"/>
  <c r="L389" i="3"/>
  <c r="M389" i="3" s="1"/>
  <c r="I389" i="3"/>
  <c r="U388" i="3"/>
  <c r="Q388" i="3"/>
  <c r="R388" i="3" s="1"/>
  <c r="L388" i="3"/>
  <c r="M388" i="3" s="1"/>
  <c r="I388" i="3"/>
  <c r="U387" i="3"/>
  <c r="Q387" i="3"/>
  <c r="R387" i="3" s="1"/>
  <c r="I387" i="3"/>
  <c r="U386" i="3"/>
  <c r="Q386" i="3"/>
  <c r="R386" i="3" s="1"/>
  <c r="I386" i="3"/>
  <c r="U385" i="3"/>
  <c r="Q385" i="3"/>
  <c r="R385" i="3" s="1"/>
  <c r="I385" i="3"/>
  <c r="U384" i="3"/>
  <c r="Q384" i="3"/>
  <c r="R384" i="3" s="1"/>
  <c r="I384" i="3"/>
  <c r="U383" i="3"/>
  <c r="Q383" i="3"/>
  <c r="R383" i="3" s="1"/>
  <c r="I383" i="3"/>
  <c r="U382" i="3"/>
  <c r="Q382" i="3"/>
  <c r="R382" i="3" s="1"/>
  <c r="I382" i="3"/>
  <c r="U381" i="3"/>
  <c r="Q381" i="3"/>
  <c r="R381" i="3" s="1"/>
  <c r="L381" i="3"/>
  <c r="M381" i="3" s="1"/>
  <c r="I381" i="3"/>
  <c r="U380" i="3"/>
  <c r="Q380" i="3"/>
  <c r="R380" i="3" s="1"/>
  <c r="I380" i="3"/>
  <c r="U379" i="3"/>
  <c r="I379" i="3"/>
  <c r="U378" i="3"/>
  <c r="U377" i="3"/>
  <c r="Q377" i="3"/>
  <c r="R377" i="3" s="1"/>
  <c r="L377" i="3"/>
  <c r="M377" i="3" s="1"/>
  <c r="I377" i="3"/>
  <c r="U376" i="3"/>
  <c r="Q376" i="3"/>
  <c r="R376" i="3" s="1"/>
  <c r="I376" i="3"/>
  <c r="U375" i="3"/>
  <c r="U374" i="3"/>
  <c r="Q374" i="3"/>
  <c r="R374" i="3" s="1"/>
  <c r="I374" i="3"/>
  <c r="U373" i="3"/>
  <c r="I373" i="3"/>
  <c r="U372" i="3"/>
  <c r="Q372" i="3"/>
  <c r="R372" i="3" s="1"/>
  <c r="L372" i="3"/>
  <c r="M372" i="3" s="1"/>
  <c r="I372" i="3"/>
  <c r="U371" i="3"/>
  <c r="Q371" i="3"/>
  <c r="R371" i="3" s="1"/>
  <c r="I371" i="3"/>
  <c r="U370" i="3"/>
  <c r="Q370" i="3"/>
  <c r="R370" i="3" s="1"/>
  <c r="I370" i="3"/>
  <c r="U369" i="3"/>
  <c r="Q369" i="3"/>
  <c r="R369" i="3" s="1"/>
  <c r="I369" i="3"/>
  <c r="U368" i="3"/>
  <c r="Q368" i="3"/>
  <c r="R368" i="3" s="1"/>
  <c r="I368" i="3"/>
  <c r="U367" i="3"/>
  <c r="Q367" i="3"/>
  <c r="R367" i="3" s="1"/>
  <c r="I367" i="3"/>
  <c r="U366" i="3"/>
  <c r="Q366" i="3"/>
  <c r="R366" i="3" s="1"/>
  <c r="I366" i="3"/>
  <c r="U365" i="3"/>
  <c r="Q365" i="3"/>
  <c r="R365" i="3" s="1"/>
  <c r="I365" i="3"/>
  <c r="U364" i="3"/>
  <c r="Q364" i="3"/>
  <c r="R364" i="3" s="1"/>
  <c r="I364" i="3"/>
  <c r="U363" i="3"/>
  <c r="Q363" i="3"/>
  <c r="R363" i="3" s="1"/>
  <c r="I363" i="3"/>
  <c r="U362" i="3"/>
  <c r="Q362" i="3"/>
  <c r="R362" i="3" s="1"/>
  <c r="I362" i="3"/>
  <c r="U361" i="3"/>
  <c r="Q361" i="3"/>
  <c r="R361" i="3" s="1"/>
  <c r="I361" i="3"/>
  <c r="D4748" i="2"/>
  <c r="D4747" i="2"/>
  <c r="D4743" i="2"/>
  <c r="D4540" i="2"/>
  <c r="M290" i="3" l="1"/>
  <c r="M279" i="3"/>
  <c r="M277" i="3"/>
  <c r="V374" i="3"/>
  <c r="M285" i="3"/>
  <c r="M283" i="3"/>
  <c r="M280" i="3"/>
  <c r="V379" i="3"/>
  <c r="V364" i="3"/>
  <c r="M284" i="3"/>
  <c r="V389" i="3"/>
  <c r="V386" i="3"/>
  <c r="V384" i="3"/>
  <c r="V372" i="3"/>
  <c r="V381" i="3"/>
  <c r="V377" i="3"/>
  <c r="V376" i="3"/>
  <c r="V375" i="3"/>
  <c r="V373" i="3"/>
  <c r="V370" i="3"/>
  <c r="V369" i="3"/>
  <c r="V367" i="3"/>
  <c r="V365" i="3"/>
  <c r="V363" i="3"/>
  <c r="V362" i="3"/>
  <c r="V382" i="3"/>
  <c r="V388" i="3"/>
  <c r="V371" i="3"/>
  <c r="V361" i="3"/>
  <c r="V368" i="3"/>
  <c r="V383" i="3"/>
  <c r="V385" i="3"/>
  <c r="V387" i="3"/>
  <c r="V390" i="3"/>
  <c r="V366" i="3"/>
  <c r="V378" i="3"/>
  <c r="V380" i="3"/>
  <c r="F4566" i="2" l="1"/>
  <c r="F4565" i="2"/>
  <c r="F4235" i="2"/>
  <c r="F4234" i="2"/>
  <c r="L281" i="3"/>
  <c r="K281" i="3"/>
  <c r="M281" i="3" s="1"/>
  <c r="L264" i="3"/>
  <c r="K264" i="3"/>
  <c r="F4287" i="2"/>
  <c r="F4286" i="2"/>
  <c r="F4261" i="2"/>
  <c r="F4260" i="2"/>
  <c r="L265" i="3"/>
  <c r="K265" i="3"/>
  <c r="L266" i="3"/>
  <c r="K266" i="3"/>
  <c r="F4592" i="2"/>
  <c r="F4365" i="2"/>
  <c r="L282" i="3"/>
  <c r="K282" i="3"/>
  <c r="L269" i="3"/>
  <c r="K269" i="3"/>
  <c r="F4209" i="2"/>
  <c r="F4183" i="2"/>
  <c r="L263" i="3"/>
  <c r="K263" i="3"/>
  <c r="K256" i="3"/>
  <c r="F5633" i="2"/>
  <c r="F5635" i="2" s="1"/>
  <c r="G5635" i="2" s="1"/>
  <c r="D5630" i="2"/>
  <c r="B5629" i="2"/>
  <c r="M269" i="3" l="1"/>
  <c r="F4288" i="2"/>
  <c r="F4567" i="2"/>
  <c r="D5642" i="2"/>
  <c r="F4262" i="2"/>
  <c r="F4236" i="2"/>
  <c r="D5626" i="2"/>
  <c r="M265" i="3"/>
  <c r="M282" i="3"/>
  <c r="M263" i="3"/>
  <c r="M266" i="3"/>
  <c r="M264" i="3"/>
  <c r="F5504" i="2"/>
  <c r="F5503" i="2"/>
  <c r="F5505" i="2" s="1"/>
  <c r="F5478" i="2"/>
  <c r="F5477" i="2"/>
  <c r="F5479" i="2" s="1"/>
  <c r="L338" i="3"/>
  <c r="M338" i="3" s="1"/>
  <c r="L337" i="3"/>
  <c r="M337" i="3" s="1"/>
  <c r="F5452" i="2"/>
  <c r="F5451" i="2"/>
  <c r="F5373" i="2"/>
  <c r="F5034" i="2"/>
  <c r="G5609" i="2"/>
  <c r="D5604" i="2"/>
  <c r="D5616" i="2" s="1"/>
  <c r="B5603" i="2"/>
  <c r="D5600" i="2"/>
  <c r="D5574" i="2"/>
  <c r="D5578" i="2"/>
  <c r="D5590" i="2" s="1"/>
  <c r="B5577" i="2"/>
  <c r="D5644" i="2" l="1"/>
  <c r="F5036" i="2"/>
  <c r="G5583" i="2"/>
  <c r="F5453" i="2"/>
  <c r="G5453" i="2" s="1"/>
  <c r="D5592" i="2"/>
  <c r="D5618" i="2"/>
  <c r="F5555" i="2"/>
  <c r="F5557" i="2" s="1"/>
  <c r="G5557" i="2" s="1"/>
  <c r="D5552" i="2"/>
  <c r="B5551" i="2"/>
  <c r="F5529" i="2"/>
  <c r="F5531" i="2" s="1"/>
  <c r="G5531" i="2" s="1"/>
  <c r="D5526" i="2"/>
  <c r="D5538" i="2" s="1"/>
  <c r="B5525" i="2"/>
  <c r="F4773" i="2"/>
  <c r="F4747" i="2"/>
  <c r="D4780" i="2"/>
  <c r="D4774" i="2"/>
  <c r="D4773" i="2"/>
  <c r="D4770" i="2"/>
  <c r="D4769" i="2"/>
  <c r="D4650" i="2"/>
  <c r="D4644" i="2"/>
  <c r="D4643" i="2"/>
  <c r="D4640" i="2"/>
  <c r="D4639" i="2"/>
  <c r="D4617" i="2"/>
  <c r="D4618" i="2"/>
  <c r="D4613" i="2"/>
  <c r="D5496" i="2"/>
  <c r="D5500" i="2"/>
  <c r="B5499" i="2"/>
  <c r="I338" i="3"/>
  <c r="L327" i="3"/>
  <c r="M327" i="3" s="1"/>
  <c r="L315" i="3"/>
  <c r="M315" i="3" s="1"/>
  <c r="L314" i="3"/>
  <c r="M314" i="3" s="1"/>
  <c r="L312" i="3"/>
  <c r="M312" i="3" s="1"/>
  <c r="F4930" i="2"/>
  <c r="F4878" i="2"/>
  <c r="F4880" i="2" s="1"/>
  <c r="F4851" i="2"/>
  <c r="L311" i="3"/>
  <c r="M311" i="3" s="1"/>
  <c r="L310" i="3"/>
  <c r="M310" i="3" s="1"/>
  <c r="D5474" i="2"/>
  <c r="G5479" i="2"/>
  <c r="B5473" i="2"/>
  <c r="D5470" i="2"/>
  <c r="D5448" i="2"/>
  <c r="D5460" i="2" s="1"/>
  <c r="B5447" i="2"/>
  <c r="D5444" i="2"/>
  <c r="F5425" i="2"/>
  <c r="D5462" i="2" l="1"/>
  <c r="D5548" i="2"/>
  <c r="D5522" i="2"/>
  <c r="D5540" i="2" s="1"/>
  <c r="D5512" i="2"/>
  <c r="D5514" i="2" s="1"/>
  <c r="F4749" i="2"/>
  <c r="D5564" i="2"/>
  <c r="D5486" i="2"/>
  <c r="D5488" i="2" s="1"/>
  <c r="F4932" i="2"/>
  <c r="F4984" i="2"/>
  <c r="F4775" i="2"/>
  <c r="G5505" i="2"/>
  <c r="F4958" i="2"/>
  <c r="F4853" i="2"/>
  <c r="D5566" i="2" l="1"/>
  <c r="F5427" i="2"/>
  <c r="G5427" i="2" s="1"/>
  <c r="D5426" i="2"/>
  <c r="D5418" i="2"/>
  <c r="D5425" i="2"/>
  <c r="D5422" i="2"/>
  <c r="B5421" i="2"/>
  <c r="D5408" i="2"/>
  <c r="F5399" i="2"/>
  <c r="F5401" i="2" s="1"/>
  <c r="G5401" i="2" s="1"/>
  <c r="B5395" i="2"/>
  <c r="D5392" i="2" l="1"/>
  <c r="D5410" i="2" s="1"/>
  <c r="D5434" i="2"/>
  <c r="D5436" i="2" s="1"/>
  <c r="D4953" i="2"/>
  <c r="G5348" i="2"/>
  <c r="D5370" i="2"/>
  <c r="D5382" i="2" s="1"/>
  <c r="B5369" i="2"/>
  <c r="F5375" i="2"/>
  <c r="G5375" i="2" s="1"/>
  <c r="D5366" i="2"/>
  <c r="D5347" i="2"/>
  <c r="D5346" i="2"/>
  <c r="D5343" i="2"/>
  <c r="B5342" i="2"/>
  <c r="D5355" i="2" l="1"/>
  <c r="D5339" i="2"/>
  <c r="D5357" i="2" s="1"/>
  <c r="D5384" i="2"/>
  <c r="D4345" i="2" l="1"/>
  <c r="D4339" i="2"/>
  <c r="D4338" i="2"/>
  <c r="D4335" i="2"/>
  <c r="D4334" i="2"/>
  <c r="D4319" i="2"/>
  <c r="D4313" i="2"/>
  <c r="D4312" i="2"/>
  <c r="D4309" i="2"/>
  <c r="D4308" i="2"/>
  <c r="D4286" i="2"/>
  <c r="D4287" i="2"/>
  <c r="D4293" i="2"/>
  <c r="D4283" i="2"/>
  <c r="D4282" i="2"/>
  <c r="D4241" i="2"/>
  <c r="D4234" i="2"/>
  <c r="D4235" i="2"/>
  <c r="D4230" i="2"/>
  <c r="D4572" i="2"/>
  <c r="D4565" i="2"/>
  <c r="D4566" i="2"/>
  <c r="D4561" i="2"/>
  <c r="D4535" i="2"/>
  <c r="D4510" i="2"/>
  <c r="D4417" i="2"/>
  <c r="D4414" i="2"/>
  <c r="D4415" i="2"/>
  <c r="D5027" i="2"/>
  <c r="D5043" i="2"/>
  <c r="B5030" i="2"/>
  <c r="U316" i="3"/>
  <c r="Q316" i="3"/>
  <c r="R316" i="3" s="1"/>
  <c r="L316" i="3"/>
  <c r="M316" i="3" s="1"/>
  <c r="I316" i="3"/>
  <c r="F5320" i="2"/>
  <c r="D5313" i="2" s="1"/>
  <c r="D5329" i="2"/>
  <c r="B5316" i="2"/>
  <c r="D5331" i="2" l="1"/>
  <c r="D5045" i="2"/>
  <c r="G5036" i="2"/>
  <c r="F5322" i="2"/>
  <c r="G5322" i="2" s="1"/>
  <c r="V316" i="3"/>
  <c r="F5060" i="2"/>
  <c r="D5053" i="2" s="1"/>
  <c r="D5069" i="2"/>
  <c r="B5056" i="2"/>
  <c r="D5071" i="2" l="1"/>
  <c r="F5062" i="2"/>
  <c r="G5062" i="2" s="1"/>
  <c r="D5303" i="2" l="1"/>
  <c r="G5296" i="2"/>
  <c r="B5290" i="2"/>
  <c r="G5270" i="2"/>
  <c r="D5277" i="2"/>
  <c r="B5264" i="2"/>
  <c r="D5261" i="2"/>
  <c r="G5244" i="2"/>
  <c r="D5251" i="2"/>
  <c r="B5238" i="2"/>
  <c r="F5216" i="2"/>
  <c r="D5209" i="2" s="1"/>
  <c r="D5225" i="2"/>
  <c r="B5212" i="2"/>
  <c r="D5235" i="2" l="1"/>
  <c r="D5253" i="2" s="1"/>
  <c r="D5287" i="2"/>
  <c r="D5305" i="2" s="1"/>
  <c r="D5279" i="2"/>
  <c r="D5227" i="2"/>
  <c r="F5218" i="2"/>
  <c r="G5218" i="2" s="1"/>
  <c r="G5192" i="2"/>
  <c r="D5199" i="2"/>
  <c r="B5186" i="2"/>
  <c r="F5164" i="2"/>
  <c r="D5157" i="2" s="1"/>
  <c r="D5164" i="2"/>
  <c r="D5161" i="2"/>
  <c r="B5160" i="2"/>
  <c r="F5138" i="2"/>
  <c r="D5131" i="2" s="1"/>
  <c r="B5134" i="2"/>
  <c r="D5113" i="2"/>
  <c r="F5112" i="2"/>
  <c r="F5114" i="2" s="1"/>
  <c r="G5114" i="2" s="1"/>
  <c r="D5109" i="2"/>
  <c r="B5108" i="2"/>
  <c r="D5087" i="2"/>
  <c r="D5083" i="2"/>
  <c r="F5086" i="2"/>
  <c r="D5079" i="2" s="1"/>
  <c r="F5088" i="2"/>
  <c r="G5088" i="2" s="1"/>
  <c r="B5082" i="2"/>
  <c r="D5005" i="2"/>
  <c r="F5008" i="2"/>
  <c r="F5010" i="2" s="1"/>
  <c r="G5010" i="2" s="1"/>
  <c r="B5004" i="2"/>
  <c r="D4975" i="2"/>
  <c r="D4991" i="2"/>
  <c r="B4978" i="2"/>
  <c r="D4949" i="2"/>
  <c r="B4952" i="2"/>
  <c r="D4923" i="2"/>
  <c r="B4926" i="2"/>
  <c r="F4904" i="2"/>
  <c r="F4906" i="2" s="1"/>
  <c r="G4906" i="2" s="1"/>
  <c r="D4913" i="2"/>
  <c r="B4900" i="2"/>
  <c r="D5121" i="2" l="1"/>
  <c r="D5017" i="2"/>
  <c r="D5183" i="2"/>
  <c r="D5201" i="2" s="1"/>
  <c r="D5095" i="2"/>
  <c r="D5097" i="2" s="1"/>
  <c r="D5147" i="2"/>
  <c r="D5149" i="2" s="1"/>
  <c r="D5173" i="2"/>
  <c r="D5175" i="2" s="1"/>
  <c r="D4965" i="2"/>
  <c r="D4967" i="2" s="1"/>
  <c r="F5166" i="2"/>
  <c r="G5166" i="2" s="1"/>
  <c r="D5001" i="2"/>
  <c r="D4939" i="2"/>
  <c r="D4941" i="2" s="1"/>
  <c r="F5140" i="2"/>
  <c r="G5140" i="2" s="1"/>
  <c r="D5105" i="2"/>
  <c r="D4993" i="2"/>
  <c r="G4984" i="2"/>
  <c r="G4958" i="2"/>
  <c r="G4932" i="2"/>
  <c r="D4897" i="2"/>
  <c r="D4915" i="2" s="1"/>
  <c r="D5123" i="2" l="1"/>
  <c r="D5019" i="2"/>
  <c r="D4887" i="2"/>
  <c r="D4871" i="2"/>
  <c r="B4874" i="2"/>
  <c r="D4889" i="2" l="1"/>
  <c r="G4880" i="2"/>
  <c r="D4848" i="2"/>
  <c r="D4796" i="2"/>
  <c r="D4588" i="2"/>
  <c r="D4562" i="2"/>
  <c r="D4536" i="2"/>
  <c r="G4853" i="2"/>
  <c r="B4847" i="2"/>
  <c r="D4860" i="2" l="1"/>
  <c r="D4844" i="2"/>
  <c r="D4862" i="2" l="1"/>
  <c r="D4799" i="2"/>
  <c r="D4800" i="2"/>
  <c r="D4795" i="2"/>
  <c r="D4495" i="2"/>
  <c r="D4490" i="2"/>
  <c r="D4489" i="2"/>
  <c r="D4486" i="2"/>
  <c r="D4485" i="2"/>
  <c r="D4395" i="2"/>
  <c r="D4390" i="2"/>
  <c r="D4389" i="2"/>
  <c r="D4386" i="2"/>
  <c r="D4385" i="2"/>
  <c r="D4410" i="2"/>
  <c r="D4411" i="2"/>
  <c r="D4371" i="2"/>
  <c r="D4364" i="2"/>
  <c r="D4365" i="2"/>
  <c r="D4360" i="2"/>
  <c r="D4267" i="2"/>
  <c r="D4260" i="2"/>
  <c r="D4261" i="2"/>
  <c r="D4256" i="2"/>
  <c r="D4215" i="2"/>
  <c r="D4208" i="2"/>
  <c r="D4209" i="2"/>
  <c r="D4204" i="2"/>
  <c r="D4164" i="2"/>
  <c r="D4158" i="2"/>
  <c r="D4157" i="2"/>
  <c r="D4154" i="2"/>
  <c r="D4153" i="2"/>
  <c r="D4139" i="2"/>
  <c r="D4132" i="2"/>
  <c r="D4133" i="2"/>
  <c r="D4128" i="2"/>
  <c r="D4113" i="2"/>
  <c r="D4106" i="2"/>
  <c r="D4107" i="2"/>
  <c r="D4102" i="2" l="1"/>
  <c r="D4054" i="2"/>
  <c r="D4062" i="2"/>
  <c r="D4055" i="2"/>
  <c r="D4050" i="2"/>
  <c r="D3949" i="2"/>
  <c r="D3950" i="2"/>
  <c r="D3945" i="2"/>
  <c r="F3924" i="2"/>
  <c r="F3923" i="2"/>
  <c r="F3925" i="2" s="1"/>
  <c r="F3898" i="2"/>
  <c r="D4445" i="2"/>
  <c r="D4440" i="2"/>
  <c r="D4439" i="2"/>
  <c r="D4436" i="2"/>
  <c r="D4435" i="2"/>
  <c r="D4470" i="2"/>
  <c r="D4465" i="2"/>
  <c r="D4464" i="2"/>
  <c r="D4460" i="2"/>
  <c r="D4189" i="2"/>
  <c r="D4183" i="2"/>
  <c r="D4182" i="2"/>
  <c r="D4178" i="2"/>
  <c r="D4081" i="2"/>
  <c r="D4080" i="2"/>
  <c r="D4077" i="2"/>
  <c r="D4076" i="2"/>
  <c r="D4029" i="2" l="1"/>
  <c r="D4028" i="2"/>
  <c r="D4025" i="2"/>
  <c r="D4024" i="2"/>
  <c r="D4003" i="2"/>
  <c r="D4002" i="2"/>
  <c r="D3999" i="2"/>
  <c r="D3998" i="2"/>
  <c r="D3976" i="2"/>
  <c r="D3975" i="2"/>
  <c r="D3971" i="2"/>
  <c r="K326" i="1"/>
  <c r="K327" i="1" s="1"/>
  <c r="K328" i="1" s="1"/>
  <c r="K322" i="1"/>
  <c r="K323" i="1" s="1"/>
  <c r="K324" i="1" s="1"/>
  <c r="K319" i="1"/>
  <c r="K320" i="1" s="1"/>
  <c r="K318" i="1"/>
  <c r="K314" i="1"/>
  <c r="K315" i="1" s="1"/>
  <c r="K316" i="1" s="1"/>
  <c r="K312" i="1"/>
  <c r="K311" i="1"/>
  <c r="K310" i="1"/>
  <c r="K306" i="1"/>
  <c r="K307" i="1" s="1"/>
  <c r="K308" i="1" s="1"/>
  <c r="K302" i="1"/>
  <c r="K303" i="1" s="1"/>
  <c r="K304" i="1" s="1"/>
  <c r="K298" i="1"/>
  <c r="K299" i="1" s="1"/>
  <c r="K300" i="1" s="1"/>
  <c r="K291" i="1"/>
  <c r="K292" i="1" s="1"/>
  <c r="K290" i="1"/>
  <c r="K286" i="1"/>
  <c r="K287" i="1" s="1"/>
  <c r="K288" i="1" s="1"/>
  <c r="K282" i="1"/>
  <c r="K283" i="1" s="1"/>
  <c r="K284" i="1" s="1"/>
  <c r="K278" i="1"/>
  <c r="K279" i="1" s="1"/>
  <c r="K280" i="1" s="1"/>
  <c r="K275" i="1"/>
  <c r="K276" i="1" s="1"/>
  <c r="K274" i="1"/>
  <c r="K270" i="1"/>
  <c r="K271" i="1" s="1"/>
  <c r="K272" i="1" s="1"/>
  <c r="K267" i="1"/>
  <c r="K268" i="1" s="1"/>
  <c r="K266" i="1"/>
  <c r="K262" i="1"/>
  <c r="K263" i="1" s="1"/>
  <c r="K264" i="1" s="1"/>
  <c r="K259" i="1"/>
  <c r="K260" i="1" s="1"/>
  <c r="K258" i="1"/>
  <c r="K254" i="1"/>
  <c r="K255" i="1" s="1"/>
  <c r="K256" i="1" s="1"/>
  <c r="K250" i="1"/>
  <c r="K251" i="1" s="1"/>
  <c r="K252" i="1" s="1"/>
  <c r="K246" i="1"/>
  <c r="K247" i="1" s="1"/>
  <c r="K248" i="1" s="1"/>
  <c r="K243" i="1"/>
  <c r="K244" i="1" s="1"/>
  <c r="K242" i="1"/>
  <c r="K238" i="1"/>
  <c r="K239" i="1" s="1"/>
  <c r="K240" i="1" s="1"/>
  <c r="K235" i="1"/>
  <c r="K236" i="1" s="1"/>
  <c r="K234" i="1"/>
  <c r="K230" i="1"/>
  <c r="K231" i="1" s="1"/>
  <c r="K232" i="1" s="1"/>
  <c r="K227" i="1"/>
  <c r="K228" i="1" s="1"/>
  <c r="K226" i="1"/>
  <c r="K222" i="1"/>
  <c r="K223" i="1" s="1"/>
  <c r="K224" i="1" s="1"/>
  <c r="K218" i="1"/>
  <c r="K219" i="1" s="1"/>
  <c r="K220" i="1" s="1"/>
  <c r="K214" i="1"/>
  <c r="K215" i="1" s="1"/>
  <c r="K216" i="1" s="1"/>
  <c r="K211" i="1"/>
  <c r="K212" i="1" s="1"/>
  <c r="K210" i="1"/>
  <c r="K206" i="1"/>
  <c r="K207" i="1" s="1"/>
  <c r="K208" i="1" s="1"/>
  <c r="K203" i="1"/>
  <c r="K204" i="1" s="1"/>
  <c r="K202" i="1"/>
  <c r="K198" i="1"/>
  <c r="K199" i="1" s="1"/>
  <c r="K200" i="1" s="1"/>
  <c r="K195" i="1"/>
  <c r="K196" i="1" s="1"/>
  <c r="K194" i="1"/>
  <c r="K190" i="1"/>
  <c r="K191" i="1" s="1"/>
  <c r="K192" i="1" s="1"/>
  <c r="K186" i="1"/>
  <c r="K187" i="1" s="1"/>
  <c r="K188" i="1" s="1"/>
  <c r="K182" i="1"/>
  <c r="K183" i="1" s="1"/>
  <c r="K184" i="1" s="1"/>
  <c r="K179" i="1"/>
  <c r="K180" i="1" s="1"/>
  <c r="K178" i="1"/>
  <c r="K174" i="1"/>
  <c r="K175" i="1" s="1"/>
  <c r="K176" i="1" s="1"/>
  <c r="K171" i="1"/>
  <c r="K172" i="1" s="1"/>
  <c r="K170" i="1"/>
  <c r="K166" i="1"/>
  <c r="K167" i="1" s="1"/>
  <c r="K168" i="1" s="1"/>
  <c r="K163" i="1"/>
  <c r="K164" i="1" s="1"/>
  <c r="K162" i="1"/>
  <c r="K158" i="1"/>
  <c r="K159" i="1" s="1"/>
  <c r="K160" i="1" s="1"/>
  <c r="K154" i="1"/>
  <c r="K155" i="1" s="1"/>
  <c r="K156" i="1" s="1"/>
  <c r="K150" i="1"/>
  <c r="K151" i="1" s="1"/>
  <c r="K152" i="1" s="1"/>
  <c r="K147" i="1"/>
  <c r="K148" i="1" s="1"/>
  <c r="K146" i="1"/>
  <c r="K142" i="1"/>
  <c r="K143" i="1" s="1"/>
  <c r="K144" i="1" s="1"/>
  <c r="K139" i="1"/>
  <c r="K140" i="1" s="1"/>
  <c r="K138" i="1"/>
  <c r="K134" i="1"/>
  <c r="K135" i="1" s="1"/>
  <c r="K136" i="1" s="1"/>
  <c r="K131" i="1"/>
  <c r="K132" i="1" s="1"/>
  <c r="K130" i="1"/>
  <c r="K122" i="1"/>
  <c r="K123" i="1" s="1"/>
  <c r="K124" i="1" s="1"/>
  <c r="K118" i="1"/>
  <c r="K119" i="1" s="1"/>
  <c r="K120" i="1" s="1"/>
  <c r="K114" i="1"/>
  <c r="K115" i="1" s="1"/>
  <c r="K116" i="1" s="1"/>
  <c r="K110" i="1"/>
  <c r="K111" i="1" s="1"/>
  <c r="K112" i="1" s="1"/>
  <c r="K106" i="1"/>
  <c r="K107" i="1" s="1"/>
  <c r="K108" i="1" s="1"/>
  <c r="K102" i="1"/>
  <c r="K103" i="1" s="1"/>
  <c r="K104" i="1" s="1"/>
  <c r="K99" i="1"/>
  <c r="K100" i="1" s="1"/>
  <c r="K98" i="1"/>
  <c r="K95" i="1"/>
  <c r="K96" i="1" s="1"/>
  <c r="K94" i="1"/>
  <c r="K90" i="1"/>
  <c r="K91" i="1" s="1"/>
  <c r="K92" i="1" s="1"/>
  <c r="K86" i="1"/>
  <c r="K87" i="1" s="1"/>
  <c r="K88" i="1" s="1"/>
  <c r="K82" i="1"/>
  <c r="K83" i="1" s="1"/>
  <c r="K84" i="1" s="1"/>
  <c r="K78" i="1"/>
  <c r="K79" i="1" s="1"/>
  <c r="K80" i="1" s="1"/>
  <c r="K74" i="1"/>
  <c r="K75" i="1" s="1"/>
  <c r="K76" i="1" s="1"/>
  <c r="K70" i="1"/>
  <c r="K71" i="1" s="1"/>
  <c r="K72" i="1" s="1"/>
  <c r="K67" i="1"/>
  <c r="K68" i="1" s="1"/>
  <c r="K66" i="1"/>
  <c r="K63" i="1"/>
  <c r="K64" i="1" s="1"/>
  <c r="K62" i="1"/>
  <c r="K58" i="1"/>
  <c r="K59" i="1" s="1"/>
  <c r="K60" i="1" s="1"/>
  <c r="K54" i="1"/>
  <c r="K55" i="1" s="1"/>
  <c r="K56" i="1" s="1"/>
  <c r="K50" i="1"/>
  <c r="K51" i="1" s="1"/>
  <c r="K52" i="1" s="1"/>
  <c r="K44" i="1"/>
  <c r="K42" i="1"/>
  <c r="K43" i="1" s="1"/>
  <c r="K38" i="1"/>
  <c r="K39" i="1" s="1"/>
  <c r="K40" i="1" s="1"/>
  <c r="K34" i="1"/>
  <c r="K35" i="1" s="1"/>
  <c r="K36" i="1" s="1"/>
  <c r="K30" i="1"/>
  <c r="K31" i="1" s="1"/>
  <c r="K32" i="1" s="1"/>
  <c r="K26" i="1"/>
  <c r="K27" i="1" s="1"/>
  <c r="K28" i="1" s="1"/>
  <c r="K23" i="1"/>
  <c r="K24" i="1" s="1"/>
  <c r="K22" i="1"/>
  <c r="K19" i="1"/>
  <c r="K20" i="1" s="1"/>
  <c r="K18" i="1"/>
  <c r="K15" i="1"/>
  <c r="K16" i="1" s="1"/>
  <c r="K14" i="1"/>
  <c r="K10" i="1"/>
  <c r="K11" i="1" s="1"/>
  <c r="K12" i="1" s="1"/>
  <c r="K7" i="1"/>
  <c r="K6" i="1"/>
  <c r="F3401" i="2"/>
  <c r="F3375" i="2"/>
  <c r="F3374" i="2"/>
  <c r="F3349" i="2"/>
  <c r="F2646" i="2"/>
  <c r="Q166" i="3"/>
  <c r="R166" i="3" s="1"/>
  <c r="Q215" i="3"/>
  <c r="R215" i="3" s="1"/>
  <c r="Q214" i="3"/>
  <c r="R214" i="3" s="1"/>
  <c r="L262" i="3"/>
  <c r="K262" i="3"/>
  <c r="L261" i="3"/>
  <c r="K261" i="3"/>
  <c r="L260" i="3"/>
  <c r="K260" i="3"/>
  <c r="L259" i="3"/>
  <c r="K259" i="3"/>
  <c r="L258" i="3"/>
  <c r="K258" i="3"/>
  <c r="K257" i="3"/>
  <c r="F2461" i="2"/>
  <c r="P159" i="3"/>
  <c r="L249" i="3"/>
  <c r="K249" i="3"/>
  <c r="K246" i="3"/>
  <c r="L246" i="3"/>
  <c r="K245" i="3"/>
  <c r="D4598" i="2"/>
  <c r="D4591" i="2"/>
  <c r="D4592" i="2"/>
  <c r="G4827" i="2"/>
  <c r="D4826" i="2"/>
  <c r="D4825" i="2"/>
  <c r="D4822" i="2"/>
  <c r="B4821" i="2"/>
  <c r="D4818" i="2"/>
  <c r="D4808" i="2"/>
  <c r="F4799" i="2"/>
  <c r="F4801" i="2" s="1"/>
  <c r="G4801" i="2" s="1"/>
  <c r="B4795" i="2"/>
  <c r="F3376" i="2" l="1"/>
  <c r="D4834" i="2"/>
  <c r="D4836" i="2" s="1"/>
  <c r="D4792" i="2"/>
  <c r="D4810" i="2" s="1"/>
  <c r="M261" i="3"/>
  <c r="M258" i="3"/>
  <c r="M249" i="3"/>
  <c r="M246" i="3"/>
  <c r="M259" i="3"/>
  <c r="M262" i="3"/>
  <c r="M260" i="3"/>
  <c r="D3610" i="2" l="1"/>
  <c r="D3611" i="2"/>
  <c r="D3606" i="2"/>
  <c r="F1581" i="2" l="1"/>
  <c r="P94" i="3"/>
  <c r="F4695" i="2"/>
  <c r="F4697" i="2" s="1"/>
  <c r="K223" i="3"/>
  <c r="K222" i="3"/>
  <c r="F3481" i="2"/>
  <c r="F3480" i="2"/>
  <c r="F3455" i="2"/>
  <c r="F3454" i="2"/>
  <c r="F2958" i="2"/>
  <c r="F2957" i="2"/>
  <c r="F2959" i="2" s="1"/>
  <c r="G2959" i="2" s="1"/>
  <c r="F2932" i="2"/>
  <c r="L186" i="3"/>
  <c r="K186" i="3"/>
  <c r="K187" i="3"/>
  <c r="G4775" i="2"/>
  <c r="B4769" i="2"/>
  <c r="D4766" i="2"/>
  <c r="G4749" i="2"/>
  <c r="D4744" i="2"/>
  <c r="D4756" i="2" s="1"/>
  <c r="B4743" i="2"/>
  <c r="D4730" i="2"/>
  <c r="F4721" i="2"/>
  <c r="D4714" i="2" s="1"/>
  <c r="B4717" i="2"/>
  <c r="F3456" i="2" l="1"/>
  <c r="F3482" i="2"/>
  <c r="D4732" i="2"/>
  <c r="F4723" i="2"/>
  <c r="G4723" i="2" s="1"/>
  <c r="D4782" i="2"/>
  <c r="D4784" i="2" s="1"/>
  <c r="M186" i="3"/>
  <c r="D4740" i="2"/>
  <c r="D4758" i="2" s="1"/>
  <c r="D3871" i="2" l="1"/>
  <c r="D3872" i="2"/>
  <c r="D3867" i="2"/>
  <c r="D3793" i="2"/>
  <c r="D3794" i="2"/>
  <c r="D3790" i="2"/>
  <c r="D3789" i="2"/>
  <c r="D3767" i="2"/>
  <c r="D3768" i="2"/>
  <c r="D3763" i="2"/>
  <c r="D3663" i="2"/>
  <c r="D3664" i="2"/>
  <c r="D3660" i="2"/>
  <c r="D3659" i="2"/>
  <c r="D3584" i="2"/>
  <c r="D3585" i="2"/>
  <c r="D3580" i="2"/>
  <c r="G4697" i="2" l="1"/>
  <c r="F4669" i="2"/>
  <c r="F4671" i="2" s="1"/>
  <c r="G4671" i="2" s="1"/>
  <c r="D4692" i="2"/>
  <c r="B4691" i="2"/>
  <c r="D4666" i="2"/>
  <c r="D4678" i="2" s="1"/>
  <c r="B4665" i="2"/>
  <c r="B4639" i="2"/>
  <c r="F4643" i="2"/>
  <c r="F4645" i="2" s="1"/>
  <c r="G4645" i="2" s="1"/>
  <c r="D4614" i="2"/>
  <c r="F4617" i="2"/>
  <c r="F4619" i="2" s="1"/>
  <c r="G4619" i="2" s="1"/>
  <c r="B4613" i="2"/>
  <c r="D4610" i="2"/>
  <c r="D4704" i="2" l="1"/>
  <c r="D4688" i="2"/>
  <c r="D4662" i="2"/>
  <c r="D4680" i="2" s="1"/>
  <c r="D4636" i="2"/>
  <c r="D4626" i="2"/>
  <c r="D4628" i="2" s="1"/>
  <c r="D4652" i="2"/>
  <c r="F4591" i="2"/>
  <c r="F4593" i="2" s="1"/>
  <c r="G4593" i="2" s="1"/>
  <c r="B4587" i="2"/>
  <c r="D3897" i="2"/>
  <c r="D3898" i="2"/>
  <c r="D3893" i="2"/>
  <c r="D3636" i="2"/>
  <c r="D3632" i="2"/>
  <c r="D3349" i="2"/>
  <c r="D3637" i="2"/>
  <c r="D3348" i="2"/>
  <c r="D3345" i="2"/>
  <c r="D3344" i="2"/>
  <c r="D4654" i="2" l="1"/>
  <c r="D4706" i="2"/>
  <c r="D4584" i="2"/>
  <c r="D4600" i="2"/>
  <c r="D4602" i="2" l="1"/>
  <c r="F3011" i="2"/>
  <c r="F3010" i="2"/>
  <c r="F2985" i="2"/>
  <c r="L191" i="3"/>
  <c r="M191" i="3" s="1"/>
  <c r="F2906" i="2"/>
  <c r="F2880" i="2"/>
  <c r="F2828" i="2"/>
  <c r="F2802" i="2"/>
  <c r="F2513" i="2"/>
  <c r="Q182" i="3"/>
  <c r="R182" i="3" s="1"/>
  <c r="Q181" i="3"/>
  <c r="R181" i="3" s="1"/>
  <c r="Q179" i="3"/>
  <c r="R179" i="3" s="1"/>
  <c r="F2750" i="2"/>
  <c r="F2672" i="2"/>
  <c r="F2540" i="2"/>
  <c r="F2487" i="2"/>
  <c r="F2486" i="2"/>
  <c r="L273" i="3"/>
  <c r="M273" i="3" s="1"/>
  <c r="L271" i="3"/>
  <c r="M271" i="3" s="1"/>
  <c r="L270" i="3"/>
  <c r="M270" i="3" s="1"/>
  <c r="F4464" i="2"/>
  <c r="F4414" i="2"/>
  <c r="F4416" i="2" s="1"/>
  <c r="G4416" i="2" s="1"/>
  <c r="F4390" i="2"/>
  <c r="F4389" i="2"/>
  <c r="F4439" i="2"/>
  <c r="F4514" i="2"/>
  <c r="F4489" i="2"/>
  <c r="L275" i="3"/>
  <c r="M275" i="3" s="1"/>
  <c r="L274" i="3"/>
  <c r="M274" i="3" s="1"/>
  <c r="D3923" i="2"/>
  <c r="D3924" i="2"/>
  <c r="D3919" i="2"/>
  <c r="F4391" i="2" l="1"/>
  <c r="G4391" i="2" s="1"/>
  <c r="F4441" i="2"/>
  <c r="G4441" i="2" s="1"/>
  <c r="F4516" i="2"/>
  <c r="G4516" i="2" s="1"/>
  <c r="F4466" i="2"/>
  <c r="G4466" i="2" s="1"/>
  <c r="F3012" i="2"/>
  <c r="D4558" i="2"/>
  <c r="B4561" i="2"/>
  <c r="D3742" i="2"/>
  <c r="D3741" i="2"/>
  <c r="D3738" i="2"/>
  <c r="D3737" i="2"/>
  <c r="D3715" i="2"/>
  <c r="D3711" i="2"/>
  <c r="G4567" i="2" l="1"/>
  <c r="D4574" i="2"/>
  <c r="D4576" i="2" s="1"/>
  <c r="F4539" i="2"/>
  <c r="D4539" i="2"/>
  <c r="D4548" i="2" l="1"/>
  <c r="F4541" i="2"/>
  <c r="G4541" i="2" s="1"/>
  <c r="B4535" i="2"/>
  <c r="D4532" i="2"/>
  <c r="D3506" i="2"/>
  <c r="D3502" i="2"/>
  <c r="D3400" i="2"/>
  <c r="D3396" i="2"/>
  <c r="D4550" i="2" l="1"/>
  <c r="D4515" i="2"/>
  <c r="D4514" i="2"/>
  <c r="D4511" i="2"/>
  <c r="B4510" i="2"/>
  <c r="D4507" i="2"/>
  <c r="F4491" i="2"/>
  <c r="G4491" i="2" s="1"/>
  <c r="B4485" i="2"/>
  <c r="D4482" i="2"/>
  <c r="D4457" i="2"/>
  <c r="D4461" i="2"/>
  <c r="B4460" i="2"/>
  <c r="D4448" i="2"/>
  <c r="B4435" i="2"/>
  <c r="D4432" i="2"/>
  <c r="D4523" i="2" l="1"/>
  <c r="D4525" i="2" s="1"/>
  <c r="D4473" i="2"/>
  <c r="D4475" i="2" s="1"/>
  <c r="D4498" i="2"/>
  <c r="D4500" i="2" s="1"/>
  <c r="D4450" i="2"/>
  <c r="B4410" i="2" l="1"/>
  <c r="D4407" i="2"/>
  <c r="D4423" i="2" l="1"/>
  <c r="D4425" i="2" s="1"/>
  <c r="D4382" i="2"/>
  <c r="D4398" i="2"/>
  <c r="B4385" i="2"/>
  <c r="D4361" i="2"/>
  <c r="F4364" i="2"/>
  <c r="D4357" i="2" s="1"/>
  <c r="F4366" i="2"/>
  <c r="G4366" i="2" s="1"/>
  <c r="B4360" i="2"/>
  <c r="G4340" i="2"/>
  <c r="B4334" i="2"/>
  <c r="F4312" i="2"/>
  <c r="D4305" i="2" s="1"/>
  <c r="B4308" i="2"/>
  <c r="D4279" i="2"/>
  <c r="B4282" i="2"/>
  <c r="D4253" i="2"/>
  <c r="D4257" i="2"/>
  <c r="B4256" i="2"/>
  <c r="D4227" i="2"/>
  <c r="D4231" i="2"/>
  <c r="B4230" i="2"/>
  <c r="F4208" i="2"/>
  <c r="F4210" i="2" s="1"/>
  <c r="G4210" i="2" s="1"/>
  <c r="D4205" i="2"/>
  <c r="B4204" i="2"/>
  <c r="D4347" i="2" l="1"/>
  <c r="D4373" i="2"/>
  <c r="D4375" i="2" s="1"/>
  <c r="D4321" i="2"/>
  <c r="D4323" i="2" s="1"/>
  <c r="D4217" i="2"/>
  <c r="G4288" i="2"/>
  <c r="F4314" i="2"/>
  <c r="G4314" i="2" s="1"/>
  <c r="D4331" i="2"/>
  <c r="D4243" i="2"/>
  <c r="D4245" i="2" s="1"/>
  <c r="D4295" i="2"/>
  <c r="D4297" i="2" s="1"/>
  <c r="D4269" i="2"/>
  <c r="D4271" i="2" s="1"/>
  <c r="G4262" i="2"/>
  <c r="D4400" i="2"/>
  <c r="G4236" i="2"/>
  <c r="D4201" i="2"/>
  <c r="D4349" i="2" l="1"/>
  <c r="D4219" i="2"/>
  <c r="F4081" i="2"/>
  <c r="F4080" i="2"/>
  <c r="F4054" i="2"/>
  <c r="F4056" i="2" s="1"/>
  <c r="L252" i="3"/>
  <c r="M252" i="3" s="1"/>
  <c r="L250" i="3"/>
  <c r="M250" i="3" s="1"/>
  <c r="F2620" i="2"/>
  <c r="F2619" i="2"/>
  <c r="F2724" i="2"/>
  <c r="F2723" i="2"/>
  <c r="F2304" i="2"/>
  <c r="D3114" i="2"/>
  <c r="D3115" i="2"/>
  <c r="D3110" i="2"/>
  <c r="D3480" i="2"/>
  <c r="D3476" i="2"/>
  <c r="D3374" i="2"/>
  <c r="D3370" i="2"/>
  <c r="J326" i="1"/>
  <c r="J327" i="1" s="1"/>
  <c r="J328" i="1" s="1"/>
  <c r="J322" i="1"/>
  <c r="J323" i="1" s="1"/>
  <c r="J324" i="1" s="1"/>
  <c r="J318" i="1"/>
  <c r="J319" i="1" s="1"/>
  <c r="J314" i="1"/>
  <c r="J315" i="1" s="1"/>
  <c r="J316" i="1" s="1"/>
  <c r="F4082" i="2" l="1"/>
  <c r="F2725" i="2"/>
  <c r="F2621" i="2"/>
  <c r="J307" i="1"/>
  <c r="J308" i="1" s="1"/>
  <c r="J306" i="1"/>
  <c r="J302" i="1"/>
  <c r="J303" i="1" s="1"/>
  <c r="J304" i="1" s="1"/>
  <c r="J298" i="1"/>
  <c r="J299" i="1" s="1"/>
  <c r="J300" i="1" s="1"/>
  <c r="J294" i="1"/>
  <c r="J295" i="1" s="1"/>
  <c r="J296" i="1" s="1"/>
  <c r="J291" i="1"/>
  <c r="J292" i="1" s="1"/>
  <c r="J290" i="1"/>
  <c r="J286" i="1"/>
  <c r="J287" i="1" s="1"/>
  <c r="J288" i="1" s="1"/>
  <c r="J283" i="1"/>
  <c r="J284" i="1" s="1"/>
  <c r="J282" i="1"/>
  <c r="J280" i="1"/>
  <c r="J279" i="1"/>
  <c r="J278" i="1"/>
  <c r="J275" i="1"/>
  <c r="J276" i="1" s="1"/>
  <c r="J274" i="1"/>
  <c r="J270" i="1"/>
  <c r="J271" i="1" s="1"/>
  <c r="J272" i="1" s="1"/>
  <c r="J266" i="1"/>
  <c r="J267" i="1" s="1"/>
  <c r="J268" i="1" s="1"/>
  <c r="J262" i="1"/>
  <c r="J263" i="1" s="1"/>
  <c r="J264" i="1" s="1"/>
  <c r="J259" i="1"/>
  <c r="J260" i="1" s="1"/>
  <c r="J258" i="1"/>
  <c r="J254" i="1"/>
  <c r="J255" i="1" s="1"/>
  <c r="J256" i="1" s="1"/>
  <c r="J251" i="1"/>
  <c r="J252" i="1" s="1"/>
  <c r="J250" i="1"/>
  <c r="J248" i="1"/>
  <c r="J247" i="1"/>
  <c r="J246" i="1"/>
  <c r="J243" i="1"/>
  <c r="J244" i="1" s="1"/>
  <c r="J242" i="1"/>
  <c r="J238" i="1"/>
  <c r="J239" i="1" s="1"/>
  <c r="J240" i="1" s="1"/>
  <c r="J234" i="1"/>
  <c r="J235" i="1" s="1"/>
  <c r="J236" i="1" s="1"/>
  <c r="J230" i="1"/>
  <c r="J231" i="1" s="1"/>
  <c r="J232" i="1" s="1"/>
  <c r="J227" i="1"/>
  <c r="J228" i="1" s="1"/>
  <c r="J226" i="1"/>
  <c r="J222" i="1"/>
  <c r="J223" i="1" s="1"/>
  <c r="J224" i="1" s="1"/>
  <c r="J219" i="1"/>
  <c r="J220" i="1" s="1"/>
  <c r="J218" i="1"/>
  <c r="J216" i="1"/>
  <c r="J215" i="1"/>
  <c r="J214" i="1"/>
  <c r="J211" i="1"/>
  <c r="J212" i="1" s="1"/>
  <c r="J210" i="1"/>
  <c r="J206" i="1"/>
  <c r="J207" i="1" s="1"/>
  <c r="J208" i="1" s="1"/>
  <c r="J202" i="1"/>
  <c r="J203" i="1" s="1"/>
  <c r="J204" i="1" s="1"/>
  <c r="J198" i="1"/>
  <c r="J199" i="1" s="1"/>
  <c r="J200" i="1" s="1"/>
  <c r="J195" i="1"/>
  <c r="J196" i="1" s="1"/>
  <c r="J194" i="1"/>
  <c r="J190" i="1"/>
  <c r="J191" i="1" s="1"/>
  <c r="J192" i="1" s="1"/>
  <c r="J187" i="1"/>
  <c r="J188" i="1" s="1"/>
  <c r="J186" i="1"/>
  <c r="J184" i="1"/>
  <c r="J183" i="1"/>
  <c r="J182" i="1"/>
  <c r="J179" i="1"/>
  <c r="J180" i="1" s="1"/>
  <c r="J178" i="1"/>
  <c r="J174" i="1"/>
  <c r="J175" i="1" s="1"/>
  <c r="J176" i="1" s="1"/>
  <c r="J170" i="1"/>
  <c r="J171" i="1" s="1"/>
  <c r="J172" i="1" s="1"/>
  <c r="J166" i="1"/>
  <c r="J167" i="1" s="1"/>
  <c r="J168" i="1" s="1"/>
  <c r="J163" i="1"/>
  <c r="J164" i="1" s="1"/>
  <c r="J162" i="1"/>
  <c r="J158" i="1"/>
  <c r="J159" i="1" s="1"/>
  <c r="J160" i="1" s="1"/>
  <c r="J155" i="1"/>
  <c r="J156" i="1" s="1"/>
  <c r="J154" i="1"/>
  <c r="J152" i="1"/>
  <c r="J151" i="1"/>
  <c r="J150" i="1"/>
  <c r="J147" i="1"/>
  <c r="J148" i="1" s="1"/>
  <c r="J146" i="1"/>
  <c r="J142" i="1"/>
  <c r="J143" i="1" s="1"/>
  <c r="J144" i="1" s="1"/>
  <c r="J140" i="1"/>
  <c r="J139" i="1"/>
  <c r="J138" i="1"/>
  <c r="J134" i="1"/>
  <c r="J135" i="1" s="1"/>
  <c r="J136" i="1" s="1"/>
  <c r="J131" i="1"/>
  <c r="J132" i="1" s="1"/>
  <c r="J130" i="1"/>
  <c r="J126" i="1"/>
  <c r="J127" i="1" s="1"/>
  <c r="J128" i="1" s="1"/>
  <c r="J123" i="1"/>
  <c r="J124" i="1" s="1"/>
  <c r="J122" i="1"/>
  <c r="J120" i="1"/>
  <c r="J119" i="1"/>
  <c r="J118" i="1"/>
  <c r="J115" i="1"/>
  <c r="J116" i="1" s="1"/>
  <c r="J114" i="1"/>
  <c r="J110" i="1"/>
  <c r="J111" i="1" s="1"/>
  <c r="J112" i="1" s="1"/>
  <c r="J108" i="1"/>
  <c r="J107" i="1"/>
  <c r="J106" i="1"/>
  <c r="J102" i="1"/>
  <c r="J103" i="1" s="1"/>
  <c r="J104" i="1" s="1"/>
  <c r="J99" i="1"/>
  <c r="J100" i="1" s="1"/>
  <c r="J98" i="1"/>
  <c r="J94" i="1"/>
  <c r="J95" i="1" s="1"/>
  <c r="J96" i="1" s="1"/>
  <c r="J91" i="1"/>
  <c r="J92" i="1" s="1"/>
  <c r="J90" i="1"/>
  <c r="J88" i="1"/>
  <c r="J87" i="1"/>
  <c r="J86" i="1"/>
  <c r="J83" i="1"/>
  <c r="J84" i="1" s="1"/>
  <c r="J82" i="1"/>
  <c r="J78" i="1"/>
  <c r="J79" i="1" s="1"/>
  <c r="J80" i="1" s="1"/>
  <c r="J76" i="1"/>
  <c r="J75" i="1"/>
  <c r="J74" i="1"/>
  <c r="J70" i="1"/>
  <c r="J71" i="1" s="1"/>
  <c r="J72" i="1" s="1"/>
  <c r="J66" i="1"/>
  <c r="J67" i="1" s="1"/>
  <c r="J68" i="1" s="1"/>
  <c r="J62" i="1"/>
  <c r="J63" i="1" s="1"/>
  <c r="J64" i="1" s="1"/>
  <c r="J59" i="1"/>
  <c r="J60" i="1" s="1"/>
  <c r="J58" i="1"/>
  <c r="J55" i="1"/>
  <c r="J56" i="1" s="1"/>
  <c r="J54" i="1"/>
  <c r="J51" i="1"/>
  <c r="J52" i="1" s="1"/>
  <c r="J50" i="1"/>
  <c r="J46" i="1"/>
  <c r="J47" i="1" s="1"/>
  <c r="J48" i="1" s="1"/>
  <c r="J44" i="1"/>
  <c r="J43" i="1"/>
  <c r="J42" i="1"/>
  <c r="J38" i="1"/>
  <c r="J39" i="1" s="1"/>
  <c r="J40" i="1" s="1"/>
  <c r="J34" i="1"/>
  <c r="J35" i="1" s="1"/>
  <c r="J36" i="1" s="1"/>
  <c r="J30" i="1"/>
  <c r="J31" i="1" s="1"/>
  <c r="J32" i="1" s="1"/>
  <c r="J26" i="1"/>
  <c r="J27" i="1" s="1"/>
  <c r="J28" i="1" s="1"/>
  <c r="J23" i="1"/>
  <c r="J24" i="1" s="1"/>
  <c r="J22" i="1"/>
  <c r="J19" i="1"/>
  <c r="J20" i="1" s="1"/>
  <c r="J18" i="1"/>
  <c r="J14" i="1"/>
  <c r="J12" i="1"/>
  <c r="J11" i="1"/>
  <c r="J10" i="1"/>
  <c r="J7" i="1"/>
  <c r="J6" i="1"/>
  <c r="D365" i="1"/>
  <c r="D369" i="1" s="1"/>
  <c r="E365" i="1"/>
  <c r="E369" i="1" s="1"/>
  <c r="F365" i="1"/>
  <c r="F369" i="1" s="1"/>
  <c r="G365" i="1"/>
  <c r="G369" i="1" s="1"/>
  <c r="H365" i="1"/>
  <c r="H368" i="1" s="1"/>
  <c r="I365" i="1"/>
  <c r="I368" i="1" s="1"/>
  <c r="J365" i="1"/>
  <c r="J369" i="1" s="1"/>
  <c r="K365" i="1"/>
  <c r="K369" i="1" s="1"/>
  <c r="L365" i="1"/>
  <c r="L369" i="1" s="1"/>
  <c r="M365" i="1"/>
  <c r="M369" i="1" s="1"/>
  <c r="N365" i="1"/>
  <c r="N369" i="1" s="1"/>
  <c r="C365" i="1"/>
  <c r="N354" i="1"/>
  <c r="N355" i="1" s="1"/>
  <c r="N356" i="1" s="1"/>
  <c r="M354" i="1"/>
  <c r="M355" i="1" s="1"/>
  <c r="M356" i="1" s="1"/>
  <c r="L354" i="1"/>
  <c r="L355" i="1" s="1"/>
  <c r="L356" i="1" s="1"/>
  <c r="K354" i="1"/>
  <c r="K355" i="1" s="1"/>
  <c r="K356" i="1" s="1"/>
  <c r="J354" i="1"/>
  <c r="J355" i="1" s="1"/>
  <c r="J356" i="1" s="1"/>
  <c r="I354" i="1"/>
  <c r="I355" i="1" s="1"/>
  <c r="I356" i="1" s="1"/>
  <c r="H354" i="1"/>
  <c r="H355" i="1" s="1"/>
  <c r="H356" i="1" s="1"/>
  <c r="G354" i="1"/>
  <c r="G355" i="1" s="1"/>
  <c r="G356" i="1" s="1"/>
  <c r="F354" i="1"/>
  <c r="F355" i="1" s="1"/>
  <c r="F356" i="1" s="1"/>
  <c r="E354" i="1"/>
  <c r="E355" i="1" s="1"/>
  <c r="E356" i="1" s="1"/>
  <c r="D354" i="1"/>
  <c r="D355" i="1" s="1"/>
  <c r="D356" i="1" s="1"/>
  <c r="C354" i="1"/>
  <c r="C355" i="1" s="1"/>
  <c r="O353" i="1"/>
  <c r="N350" i="1"/>
  <c r="N351" i="1" s="1"/>
  <c r="N352" i="1" s="1"/>
  <c r="M350" i="1"/>
  <c r="M351" i="1" s="1"/>
  <c r="M352" i="1" s="1"/>
  <c r="L350" i="1"/>
  <c r="L351" i="1" s="1"/>
  <c r="L352" i="1" s="1"/>
  <c r="K350" i="1"/>
  <c r="K351" i="1" s="1"/>
  <c r="K352" i="1" s="1"/>
  <c r="J350" i="1"/>
  <c r="J351" i="1" s="1"/>
  <c r="J352" i="1" s="1"/>
  <c r="I350" i="1"/>
  <c r="I351" i="1" s="1"/>
  <c r="I352" i="1" s="1"/>
  <c r="H350" i="1"/>
  <c r="H351" i="1" s="1"/>
  <c r="H352" i="1" s="1"/>
  <c r="G350" i="1"/>
  <c r="G351" i="1" s="1"/>
  <c r="G352" i="1" s="1"/>
  <c r="F350" i="1"/>
  <c r="F351" i="1" s="1"/>
  <c r="F352" i="1" s="1"/>
  <c r="E350" i="1"/>
  <c r="E351" i="1" s="1"/>
  <c r="E352" i="1" s="1"/>
  <c r="D350" i="1"/>
  <c r="D351" i="1" s="1"/>
  <c r="D352" i="1" s="1"/>
  <c r="C350" i="1"/>
  <c r="C351" i="1" s="1"/>
  <c r="O349" i="1"/>
  <c r="N346" i="1"/>
  <c r="N347" i="1" s="1"/>
  <c r="N348" i="1" s="1"/>
  <c r="M346" i="1"/>
  <c r="M347" i="1" s="1"/>
  <c r="M348" i="1" s="1"/>
  <c r="L346" i="1"/>
  <c r="L347" i="1" s="1"/>
  <c r="L348" i="1" s="1"/>
  <c r="K346" i="1"/>
  <c r="K347" i="1" s="1"/>
  <c r="K348" i="1" s="1"/>
  <c r="J346" i="1"/>
  <c r="J347" i="1" s="1"/>
  <c r="J348" i="1" s="1"/>
  <c r="I346" i="1"/>
  <c r="I347" i="1" s="1"/>
  <c r="I348" i="1" s="1"/>
  <c r="H346" i="1"/>
  <c r="H347" i="1" s="1"/>
  <c r="H348" i="1" s="1"/>
  <c r="G346" i="1"/>
  <c r="G347" i="1" s="1"/>
  <c r="G348" i="1" s="1"/>
  <c r="F346" i="1"/>
  <c r="E346" i="1"/>
  <c r="E347" i="1" s="1"/>
  <c r="E348" i="1" s="1"/>
  <c r="D346" i="1"/>
  <c r="D347" i="1" s="1"/>
  <c r="D348" i="1" s="1"/>
  <c r="C346" i="1"/>
  <c r="C347" i="1" s="1"/>
  <c r="C348" i="1" s="1"/>
  <c r="O345" i="1"/>
  <c r="N342" i="1"/>
  <c r="N343" i="1" s="1"/>
  <c r="N344" i="1" s="1"/>
  <c r="M342" i="1"/>
  <c r="M343" i="1" s="1"/>
  <c r="M344" i="1" s="1"/>
  <c r="L342" i="1"/>
  <c r="L343" i="1" s="1"/>
  <c r="L344" i="1" s="1"/>
  <c r="K342" i="1"/>
  <c r="K343" i="1" s="1"/>
  <c r="K344" i="1" s="1"/>
  <c r="J342" i="1"/>
  <c r="J343" i="1" s="1"/>
  <c r="J344" i="1" s="1"/>
  <c r="I342" i="1"/>
  <c r="I343" i="1" s="1"/>
  <c r="I344" i="1" s="1"/>
  <c r="H342" i="1"/>
  <c r="H343" i="1" s="1"/>
  <c r="H344" i="1" s="1"/>
  <c r="G342" i="1"/>
  <c r="G343" i="1" s="1"/>
  <c r="G344" i="1" s="1"/>
  <c r="F342" i="1"/>
  <c r="E342" i="1"/>
  <c r="E343" i="1" s="1"/>
  <c r="E344" i="1" s="1"/>
  <c r="D342" i="1"/>
  <c r="D343" i="1" s="1"/>
  <c r="D344" i="1" s="1"/>
  <c r="C342" i="1"/>
  <c r="C343" i="1" s="1"/>
  <c r="C344" i="1" s="1"/>
  <c r="O341" i="1"/>
  <c r="N338" i="1"/>
  <c r="N339" i="1" s="1"/>
  <c r="N340" i="1" s="1"/>
  <c r="M338" i="1"/>
  <c r="M339" i="1" s="1"/>
  <c r="M340" i="1" s="1"/>
  <c r="L338" i="1"/>
  <c r="L339" i="1" s="1"/>
  <c r="L340" i="1" s="1"/>
  <c r="K338" i="1"/>
  <c r="K339" i="1" s="1"/>
  <c r="K340" i="1" s="1"/>
  <c r="J338" i="1"/>
  <c r="J339" i="1" s="1"/>
  <c r="J340" i="1" s="1"/>
  <c r="I338" i="1"/>
  <c r="I339" i="1" s="1"/>
  <c r="I340" i="1" s="1"/>
  <c r="H338" i="1"/>
  <c r="H339" i="1" s="1"/>
  <c r="H340" i="1" s="1"/>
  <c r="G338" i="1"/>
  <c r="G339" i="1" s="1"/>
  <c r="G340" i="1" s="1"/>
  <c r="F338" i="1"/>
  <c r="E338" i="1"/>
  <c r="E339" i="1" s="1"/>
  <c r="E340" i="1" s="1"/>
  <c r="D338" i="1"/>
  <c r="D339" i="1" s="1"/>
  <c r="D340" i="1" s="1"/>
  <c r="C338" i="1"/>
  <c r="C339" i="1" s="1"/>
  <c r="C340" i="1" s="1"/>
  <c r="O337" i="1"/>
  <c r="M334" i="1"/>
  <c r="M335" i="1" s="1"/>
  <c r="L334" i="1"/>
  <c r="L335" i="1" s="1"/>
  <c r="K334" i="1"/>
  <c r="K335" i="1" s="1"/>
  <c r="J334" i="1"/>
  <c r="J335" i="1" s="1"/>
  <c r="I334" i="1"/>
  <c r="I335" i="1" s="1"/>
  <c r="H334" i="1"/>
  <c r="H335" i="1" s="1"/>
  <c r="G334" i="1"/>
  <c r="G335" i="1" s="1"/>
  <c r="F334" i="1"/>
  <c r="E334" i="1"/>
  <c r="E335" i="1" s="1"/>
  <c r="D334" i="1"/>
  <c r="D335" i="1" s="1"/>
  <c r="C334" i="1"/>
  <c r="C335" i="1" s="1"/>
  <c r="O333" i="1"/>
  <c r="N332" i="1"/>
  <c r="K330" i="1"/>
  <c r="K331" i="1" s="1"/>
  <c r="K332" i="1" s="1"/>
  <c r="J330" i="1"/>
  <c r="J331" i="1" s="1"/>
  <c r="J332" i="1" s="1"/>
  <c r="I330" i="1"/>
  <c r="I331" i="1" s="1"/>
  <c r="I332" i="1" s="1"/>
  <c r="H330" i="1"/>
  <c r="H331" i="1" s="1"/>
  <c r="H332" i="1" s="1"/>
  <c r="G330" i="1"/>
  <c r="G331" i="1" s="1"/>
  <c r="G332" i="1" s="1"/>
  <c r="F330" i="1"/>
  <c r="F331" i="1" s="1"/>
  <c r="F332" i="1" s="1"/>
  <c r="E330" i="1"/>
  <c r="E331" i="1" s="1"/>
  <c r="E332" i="1" s="1"/>
  <c r="D330" i="1"/>
  <c r="D331" i="1" s="1"/>
  <c r="D332" i="1" s="1"/>
  <c r="C330" i="1"/>
  <c r="O329" i="1"/>
  <c r="E327" i="1"/>
  <c r="E328" i="1" s="1"/>
  <c r="I326" i="1"/>
  <c r="I327" i="1" s="1"/>
  <c r="I328" i="1" s="1"/>
  <c r="H326" i="1"/>
  <c r="H327" i="1" s="1"/>
  <c r="H328" i="1" s="1"/>
  <c r="G326" i="1"/>
  <c r="G327" i="1" s="1"/>
  <c r="G328" i="1" s="1"/>
  <c r="F326" i="1"/>
  <c r="O326" i="1" s="1"/>
  <c r="E326" i="1"/>
  <c r="D326" i="1"/>
  <c r="D327" i="1" s="1"/>
  <c r="D328" i="1" s="1"/>
  <c r="C326" i="1"/>
  <c r="C327" i="1" s="1"/>
  <c r="C328" i="1" s="1"/>
  <c r="O325" i="1"/>
  <c r="I322" i="1"/>
  <c r="I323" i="1" s="1"/>
  <c r="I324" i="1" s="1"/>
  <c r="H322" i="1"/>
  <c r="H323" i="1" s="1"/>
  <c r="H324" i="1" s="1"/>
  <c r="G322" i="1"/>
  <c r="G323" i="1" s="1"/>
  <c r="G324" i="1" s="1"/>
  <c r="F322" i="1"/>
  <c r="F323" i="1" s="1"/>
  <c r="F324" i="1" s="1"/>
  <c r="E322" i="1"/>
  <c r="E323" i="1" s="1"/>
  <c r="E324" i="1" s="1"/>
  <c r="D322" i="1"/>
  <c r="D323" i="1" s="1"/>
  <c r="D324" i="1" s="1"/>
  <c r="C322" i="1"/>
  <c r="O322" i="1" s="1"/>
  <c r="O321" i="1"/>
  <c r="I319" i="1"/>
  <c r="I320" i="1" s="1"/>
  <c r="C319" i="1"/>
  <c r="C320" i="1" s="1"/>
  <c r="J320" i="1"/>
  <c r="I318" i="1"/>
  <c r="H318" i="1"/>
  <c r="H319" i="1" s="1"/>
  <c r="H320" i="1" s="1"/>
  <c r="G318" i="1"/>
  <c r="G319" i="1" s="1"/>
  <c r="G320" i="1" s="1"/>
  <c r="F318" i="1"/>
  <c r="F319" i="1" s="1"/>
  <c r="F320" i="1" s="1"/>
  <c r="E318" i="1"/>
  <c r="E319" i="1" s="1"/>
  <c r="E320" i="1" s="1"/>
  <c r="D318" i="1"/>
  <c r="D319" i="1" s="1"/>
  <c r="D320" i="1" s="1"/>
  <c r="C318" i="1"/>
  <c r="O317" i="1"/>
  <c r="I315" i="1"/>
  <c r="I316" i="1" s="1"/>
  <c r="C315" i="1"/>
  <c r="C316" i="1" s="1"/>
  <c r="I314" i="1"/>
  <c r="H314" i="1"/>
  <c r="H315" i="1" s="1"/>
  <c r="H316" i="1" s="1"/>
  <c r="G314" i="1"/>
  <c r="G315" i="1" s="1"/>
  <c r="G316" i="1" s="1"/>
  <c r="F314" i="1"/>
  <c r="E314" i="1"/>
  <c r="E315" i="1" s="1"/>
  <c r="E316" i="1" s="1"/>
  <c r="D314" i="1"/>
  <c r="D315" i="1" s="1"/>
  <c r="D316" i="1" s="1"/>
  <c r="C314" i="1"/>
  <c r="O313" i="1"/>
  <c r="D312" i="1"/>
  <c r="J311" i="1"/>
  <c r="J312" i="1" s="1"/>
  <c r="D311" i="1"/>
  <c r="C311" i="1"/>
  <c r="C312" i="1" s="1"/>
  <c r="J310" i="1"/>
  <c r="I310" i="1"/>
  <c r="I311" i="1" s="1"/>
  <c r="I312" i="1" s="1"/>
  <c r="H310" i="1"/>
  <c r="H311" i="1" s="1"/>
  <c r="H312" i="1" s="1"/>
  <c r="G310" i="1"/>
  <c r="G311" i="1" s="1"/>
  <c r="G312" i="1" s="1"/>
  <c r="F310" i="1"/>
  <c r="E310" i="1"/>
  <c r="E311" i="1" s="1"/>
  <c r="E312" i="1" s="1"/>
  <c r="D310" i="1"/>
  <c r="C310" i="1"/>
  <c r="O309" i="1"/>
  <c r="D3846" i="2"/>
  <c r="D3845" i="2"/>
  <c r="D3842" i="2"/>
  <c r="D3841" i="2"/>
  <c r="D3820" i="2"/>
  <c r="D3819" i="2"/>
  <c r="D3816" i="2"/>
  <c r="D3815" i="2"/>
  <c r="D3690" i="2"/>
  <c r="D3689" i="2"/>
  <c r="D3686" i="2"/>
  <c r="D3685" i="2"/>
  <c r="D3454" i="2"/>
  <c r="D3450" i="2"/>
  <c r="D3140" i="2"/>
  <c r="D3147" i="2"/>
  <c r="D3141" i="2"/>
  <c r="D3136" i="2"/>
  <c r="D3089" i="2"/>
  <c r="D3088" i="2"/>
  <c r="D3085" i="2"/>
  <c r="D3084" i="2"/>
  <c r="D3063" i="2"/>
  <c r="D3062" i="2"/>
  <c r="D3059" i="2"/>
  <c r="D3058" i="2"/>
  <c r="D2964" i="2"/>
  <c r="D2958" i="2"/>
  <c r="D2957" i="2"/>
  <c r="D2954" i="2"/>
  <c r="D2953" i="2"/>
  <c r="D2938" i="2"/>
  <c r="D2931" i="2"/>
  <c r="D2932" i="2"/>
  <c r="D2927" i="2"/>
  <c r="D3036" i="2"/>
  <c r="D3037" i="2"/>
  <c r="D3032" i="2"/>
  <c r="D368" i="1" l="1"/>
  <c r="M368" i="1"/>
  <c r="G368" i="1"/>
  <c r="F368" i="1"/>
  <c r="I369" i="1"/>
  <c r="H369" i="1"/>
  <c r="N368" i="1"/>
  <c r="E368" i="1"/>
  <c r="L368" i="1"/>
  <c r="K368" i="1"/>
  <c r="J368" i="1"/>
  <c r="J15" i="1"/>
  <c r="J16" i="1" s="1"/>
  <c r="O310" i="1"/>
  <c r="O338" i="1"/>
  <c r="O330" i="1"/>
  <c r="C323" i="1"/>
  <c r="C324" i="1" s="1"/>
  <c r="O324" i="1" s="1"/>
  <c r="O334" i="1"/>
  <c r="O346" i="1"/>
  <c r="O342" i="1"/>
  <c r="O314" i="1"/>
  <c r="O318" i="1"/>
  <c r="C331" i="1"/>
  <c r="C332" i="1" s="1"/>
  <c r="O332" i="1" s="1"/>
  <c r="C356" i="1"/>
  <c r="O356" i="1" s="1"/>
  <c r="O355" i="1"/>
  <c r="C352" i="1"/>
  <c r="O352" i="1" s="1"/>
  <c r="O351" i="1"/>
  <c r="O350" i="1"/>
  <c r="O354" i="1"/>
  <c r="F343" i="1"/>
  <c r="F344" i="1" s="1"/>
  <c r="O344" i="1" s="1"/>
  <c r="F347" i="1"/>
  <c r="F348" i="1" s="1"/>
  <c r="O348" i="1" s="1"/>
  <c r="F335" i="1"/>
  <c r="O336" i="1" s="1"/>
  <c r="F339" i="1"/>
  <c r="F340" i="1" s="1"/>
  <c r="O340" i="1" s="1"/>
  <c r="F327" i="1"/>
  <c r="F328" i="1" s="1"/>
  <c r="O328" i="1" s="1"/>
  <c r="O327" i="1"/>
  <c r="O320" i="1"/>
  <c r="O319" i="1"/>
  <c r="F311" i="1"/>
  <c r="F312" i="1" s="1"/>
  <c r="O312" i="1" s="1"/>
  <c r="F315" i="1"/>
  <c r="F316" i="1" s="1"/>
  <c r="O316" i="1" s="1"/>
  <c r="O315" i="1"/>
  <c r="D3427" i="2"/>
  <c r="D3428" i="2"/>
  <c r="D3424" i="2"/>
  <c r="D3423" i="2"/>
  <c r="F4182" i="2"/>
  <c r="D4175" i="2" s="1"/>
  <c r="D4179" i="2"/>
  <c r="B4178" i="2"/>
  <c r="B4153" i="2"/>
  <c r="D4150" i="2"/>
  <c r="F4132" i="2"/>
  <c r="F4134" i="2" s="1"/>
  <c r="G4134" i="2" s="1"/>
  <c r="D4129" i="2"/>
  <c r="B4128" i="2"/>
  <c r="I256" i="3"/>
  <c r="F4106" i="2"/>
  <c r="D4099" i="2" s="1"/>
  <c r="D4103" i="2"/>
  <c r="B4102" i="2"/>
  <c r="G4082" i="2"/>
  <c r="B4076" i="2"/>
  <c r="D4073" i="2"/>
  <c r="D3972" i="2"/>
  <c r="D4047" i="2"/>
  <c r="D4051" i="2"/>
  <c r="B4050" i="2"/>
  <c r="D4115" i="2" l="1"/>
  <c r="D4117" i="2" s="1"/>
  <c r="O335" i="1"/>
  <c r="O331" i="1"/>
  <c r="O323" i="1"/>
  <c r="O347" i="1"/>
  <c r="O343" i="1"/>
  <c r="O339" i="1"/>
  <c r="O311" i="1"/>
  <c r="D4141" i="2"/>
  <c r="D4089" i="2"/>
  <c r="D4091" i="2" s="1"/>
  <c r="F4108" i="2"/>
  <c r="G4108" i="2" s="1"/>
  <c r="D4191" i="2"/>
  <c r="D4193" i="2" s="1"/>
  <c r="D4166" i="2"/>
  <c r="D4168" i="2" s="1"/>
  <c r="D4125" i="2"/>
  <c r="F4184" i="2"/>
  <c r="G4184" i="2" s="1"/>
  <c r="G4056" i="2"/>
  <c r="D4063" i="2"/>
  <c r="D4065" i="2" s="1"/>
  <c r="G4159" i="2"/>
  <c r="D4143" i="2" l="1"/>
  <c r="F4028" i="2"/>
  <c r="F4030" i="2" s="1"/>
  <c r="G4030" i="2" s="1"/>
  <c r="D4037" i="2"/>
  <c r="B4024" i="2"/>
  <c r="F2698" i="2"/>
  <c r="F2594" i="2"/>
  <c r="Q164" i="3"/>
  <c r="R164" i="3" s="1"/>
  <c r="D3559" i="2"/>
  <c r="D3558" i="2"/>
  <c r="D3555" i="2"/>
  <c r="D3554" i="2"/>
  <c r="D4021" i="2" l="1"/>
  <c r="D4039" i="2" s="1"/>
  <c r="D3532" i="2"/>
  <c r="D3528" i="2"/>
  <c r="D3188" i="2"/>
  <c r="D3221" i="2"/>
  <c r="D3219" i="2"/>
  <c r="D3218" i="2"/>
  <c r="D3215" i="2"/>
  <c r="D3214" i="2"/>
  <c r="D3169" i="2"/>
  <c r="D3166" i="2"/>
  <c r="D3167" i="2"/>
  <c r="D3162" i="2"/>
  <c r="F4002" i="2"/>
  <c r="D3995" i="2" s="1"/>
  <c r="B3998" i="2"/>
  <c r="D4011" i="2" l="1"/>
  <c r="D4013" i="2" s="1"/>
  <c r="F4004" i="2"/>
  <c r="G4004" i="2" s="1"/>
  <c r="D3270" i="2"/>
  <c r="D3273" i="2"/>
  <c r="D3271" i="2"/>
  <c r="D3267" i="2"/>
  <c r="D3266" i="2"/>
  <c r="D3244" i="2"/>
  <c r="D3247" i="2"/>
  <c r="D3245" i="2"/>
  <c r="D3241" i="2"/>
  <c r="D3240" i="2"/>
  <c r="D3195" i="2"/>
  <c r="D3193" i="2"/>
  <c r="D3192" i="2"/>
  <c r="F3949" i="2" l="1"/>
  <c r="D3297" i="2"/>
  <c r="D3296" i="2"/>
  <c r="D3293" i="2"/>
  <c r="D3292" i="2"/>
  <c r="D3318" i="2"/>
  <c r="D3322" i="2"/>
  <c r="L212" i="3"/>
  <c r="K212" i="3"/>
  <c r="L211" i="3"/>
  <c r="K211" i="3"/>
  <c r="L210" i="3"/>
  <c r="K210" i="3"/>
  <c r="K219" i="3"/>
  <c r="K218" i="3"/>
  <c r="K217" i="3"/>
  <c r="D3984" i="2"/>
  <c r="B3971" i="2"/>
  <c r="F3975" i="2"/>
  <c r="F3977" i="2" s="1"/>
  <c r="G3977" i="2" s="1"/>
  <c r="D3946" i="2"/>
  <c r="M211" i="3" l="1"/>
  <c r="M212" i="3"/>
  <c r="M210" i="3"/>
  <c r="F3951" i="2"/>
  <c r="G3951" i="2" s="1"/>
  <c r="D3968" i="2"/>
  <c r="D3986" i="2" s="1"/>
  <c r="D3958" i="2"/>
  <c r="B3945" i="2"/>
  <c r="D3942" i="2"/>
  <c r="D3960" i="2" l="1"/>
  <c r="D3916" i="2"/>
  <c r="D3920" i="2"/>
  <c r="B3919" i="2"/>
  <c r="Q163" i="3"/>
  <c r="R163" i="3" s="1"/>
  <c r="Q153" i="3"/>
  <c r="R153" i="3" s="1"/>
  <c r="F2567" i="2"/>
  <c r="F2435" i="2"/>
  <c r="F2409" i="2"/>
  <c r="D3017" i="2"/>
  <c r="D3011" i="2"/>
  <c r="D3010" i="2"/>
  <c r="D3007" i="2"/>
  <c r="D3006" i="2"/>
  <c r="D2991" i="2"/>
  <c r="D2984" i="2"/>
  <c r="D2985" i="2"/>
  <c r="D2980" i="2"/>
  <c r="F3872" i="2"/>
  <c r="F3871" i="2"/>
  <c r="D3864" i="2" s="1"/>
  <c r="L240" i="3"/>
  <c r="M240" i="3" s="1"/>
  <c r="L239" i="3"/>
  <c r="M239" i="3" s="1"/>
  <c r="L231" i="3"/>
  <c r="M231" i="3" s="1"/>
  <c r="F2776" i="2"/>
  <c r="F3897" i="2"/>
  <c r="D3890" i="2" s="1"/>
  <c r="D3894" i="2"/>
  <c r="B3893" i="2"/>
  <c r="F3845" i="2"/>
  <c r="F3689" i="2"/>
  <c r="F3558" i="2"/>
  <c r="F3532" i="2"/>
  <c r="F3741" i="2"/>
  <c r="F3715" i="2"/>
  <c r="L233" i="3"/>
  <c r="M233" i="3" s="1"/>
  <c r="L232" i="3"/>
  <c r="M232" i="3" s="1"/>
  <c r="F3636" i="2"/>
  <c r="F3610" i="2"/>
  <c r="F3819" i="2"/>
  <c r="F3821" i="2" s="1"/>
  <c r="G3821" i="2" s="1"/>
  <c r="F3793" i="2"/>
  <c r="F3768" i="2"/>
  <c r="D3868" i="2"/>
  <c r="B3867" i="2"/>
  <c r="B3841" i="2"/>
  <c r="U241" i="3"/>
  <c r="Q241" i="3"/>
  <c r="R241" i="3" s="1"/>
  <c r="L241" i="3"/>
  <c r="M241" i="3" s="1"/>
  <c r="I241" i="3"/>
  <c r="B3815" i="2"/>
  <c r="D3802" i="2"/>
  <c r="B3789" i="2"/>
  <c r="D3764" i="2"/>
  <c r="F3743" i="2" l="1"/>
  <c r="G3743" i="2" s="1"/>
  <c r="F3717" i="2"/>
  <c r="G3717" i="2" s="1"/>
  <c r="D3906" i="2"/>
  <c r="D3908" i="2" s="1"/>
  <c r="D3880" i="2"/>
  <c r="D3882" i="2" s="1"/>
  <c r="D3828" i="2"/>
  <c r="D3854" i="2"/>
  <c r="F3795" i="2"/>
  <c r="G3795" i="2" s="1"/>
  <c r="F3560" i="2"/>
  <c r="F3612" i="2"/>
  <c r="F3691" i="2"/>
  <c r="G3691" i="2" s="1"/>
  <c r="D3932" i="2"/>
  <c r="D3934" i="2" s="1"/>
  <c r="F3638" i="2"/>
  <c r="F3847" i="2"/>
  <c r="G3847" i="2" s="1"/>
  <c r="F3534" i="2"/>
  <c r="G3925" i="2"/>
  <c r="F3873" i="2"/>
  <c r="G3873" i="2" s="1"/>
  <c r="F3899" i="2"/>
  <c r="G3899" i="2" s="1"/>
  <c r="D3838" i="2"/>
  <c r="D3812" i="2"/>
  <c r="D3786" i="2"/>
  <c r="D3804" i="2" s="1"/>
  <c r="V241" i="3"/>
  <c r="F3767" i="2"/>
  <c r="F3769" i="2" s="1"/>
  <c r="G3769" i="2" s="1"/>
  <c r="D3776" i="2"/>
  <c r="B3763" i="2"/>
  <c r="B3737" i="2"/>
  <c r="D3734" i="2"/>
  <c r="D3716" i="2"/>
  <c r="D3712" i="2"/>
  <c r="B3711" i="2"/>
  <c r="D3708" i="2"/>
  <c r="B3685" i="2"/>
  <c r="D3682" i="2"/>
  <c r="F3663" i="2"/>
  <c r="D3656" i="2" s="1"/>
  <c r="B3659" i="2"/>
  <c r="D3750" i="2" l="1"/>
  <c r="D3752" i="2" s="1"/>
  <c r="D3830" i="2"/>
  <c r="D3724" i="2"/>
  <c r="D3726" i="2" s="1"/>
  <c r="D3760" i="2"/>
  <c r="D3778" i="2" s="1"/>
  <c r="D3856" i="2"/>
  <c r="D3698" i="2"/>
  <c r="D3700" i="2" s="1"/>
  <c r="D3672" i="2"/>
  <c r="D3674" i="2" s="1"/>
  <c r="F3665" i="2"/>
  <c r="G3665" i="2" s="1"/>
  <c r="G3638" i="2"/>
  <c r="D3633" i="2"/>
  <c r="B3632" i="2"/>
  <c r="G3612" i="2"/>
  <c r="D3607" i="2"/>
  <c r="B3606" i="2"/>
  <c r="D3603" i="2"/>
  <c r="D3577" i="2"/>
  <c r="D3581" i="2"/>
  <c r="B3580" i="2"/>
  <c r="D3567" i="2"/>
  <c r="G3560" i="2"/>
  <c r="B3554" i="2"/>
  <c r="D3593" i="2" l="1"/>
  <c r="D3595" i="2" s="1"/>
  <c r="D3645" i="2"/>
  <c r="D3619" i="2"/>
  <c r="D3621" i="2" s="1"/>
  <c r="D3629" i="2"/>
  <c r="G3586" i="2"/>
  <c r="D3551" i="2"/>
  <c r="D3569" i="2" s="1"/>
  <c r="D3647" i="2" l="1"/>
  <c r="D3533" i="2"/>
  <c r="D3525" i="2"/>
  <c r="D3529" i="2"/>
  <c r="B3528" i="2"/>
  <c r="F3506" i="2"/>
  <c r="F3508" i="2" s="1"/>
  <c r="G3508" i="2" s="1"/>
  <c r="D3507" i="2"/>
  <c r="D3503" i="2"/>
  <c r="B3502" i="2"/>
  <c r="D3515" i="2" l="1"/>
  <c r="D3541" i="2"/>
  <c r="D3543" i="2" s="1"/>
  <c r="G3534" i="2"/>
  <c r="D3499" i="2"/>
  <c r="D3481" i="2"/>
  <c r="D3473" i="2"/>
  <c r="D3477" i="2"/>
  <c r="B3476" i="2"/>
  <c r="D3455" i="2"/>
  <c r="D3447" i="2"/>
  <c r="D3451" i="2"/>
  <c r="B3450" i="2"/>
  <c r="D2911" i="2"/>
  <c r="D2906" i="2"/>
  <c r="D2905" i="2"/>
  <c r="D2902" i="2"/>
  <c r="D2901" i="2"/>
  <c r="D2885" i="2"/>
  <c r="D2879" i="2"/>
  <c r="D2875" i="2"/>
  <c r="D2849" i="2"/>
  <c r="D2880" i="2"/>
  <c r="D2827" i="2"/>
  <c r="D2833" i="2"/>
  <c r="D2828" i="2"/>
  <c r="D2823" i="2"/>
  <c r="D2807" i="2"/>
  <c r="D2802" i="2"/>
  <c r="D2801" i="2"/>
  <c r="D2797" i="2"/>
  <c r="D2645" i="2"/>
  <c r="D2646" i="2"/>
  <c r="D2641" i="2"/>
  <c r="D3517" i="2" l="1"/>
  <c r="D3463" i="2"/>
  <c r="D3465" i="2" s="1"/>
  <c r="G3456" i="2"/>
  <c r="G3482" i="2"/>
  <c r="D3489" i="2"/>
  <c r="D3491" i="2" s="1"/>
  <c r="F3400" i="2"/>
  <c r="D2667" i="2"/>
  <c r="D2671" i="2"/>
  <c r="D2672" i="2"/>
  <c r="D2750" i="2"/>
  <c r="F3402" i="2" l="1"/>
  <c r="G3402" i="2" s="1"/>
  <c r="F1956" i="2"/>
  <c r="F1848" i="2"/>
  <c r="F1794" i="2"/>
  <c r="L190" i="3"/>
  <c r="K190" i="3"/>
  <c r="L189" i="3"/>
  <c r="K189" i="3"/>
  <c r="L185" i="3"/>
  <c r="K185" i="3"/>
  <c r="L184" i="3"/>
  <c r="K184" i="3"/>
  <c r="K183" i="3"/>
  <c r="F1608" i="2"/>
  <c r="F3427" i="2"/>
  <c r="D3420" i="2" s="1"/>
  <c r="D3436" i="2"/>
  <c r="B3423" i="2"/>
  <c r="D3401" i="2"/>
  <c r="D3397" i="2"/>
  <c r="B3396" i="2"/>
  <c r="D3375" i="2"/>
  <c r="G3376" i="2"/>
  <c r="D3371" i="2"/>
  <c r="B3370" i="2"/>
  <c r="D3367" i="2"/>
  <c r="F3348" i="2"/>
  <c r="D3341" i="2" s="1"/>
  <c r="B3344" i="2"/>
  <c r="F2383" i="2"/>
  <c r="D2698" i="2"/>
  <c r="D2693" i="2"/>
  <c r="M184" i="3" l="1"/>
  <c r="D3409" i="2"/>
  <c r="D3357" i="2"/>
  <c r="D3359" i="2" s="1"/>
  <c r="D3383" i="2"/>
  <c r="D3385" i="2" s="1"/>
  <c r="D3438" i="2"/>
  <c r="M189" i="3"/>
  <c r="M190" i="3"/>
  <c r="M185" i="3"/>
  <c r="F3429" i="2"/>
  <c r="G3429" i="2" s="1"/>
  <c r="D3393" i="2"/>
  <c r="F3350" i="2"/>
  <c r="G3350" i="2" s="1"/>
  <c r="F2252" i="2"/>
  <c r="F3167" i="2"/>
  <c r="F3166" i="2"/>
  <c r="F3140" i="2"/>
  <c r="F3192" i="2"/>
  <c r="L206" i="3"/>
  <c r="M206" i="3" s="1"/>
  <c r="L205" i="3"/>
  <c r="M205" i="3" s="1"/>
  <c r="L204" i="3"/>
  <c r="M204" i="3" s="1"/>
  <c r="F3296" i="2"/>
  <c r="L209" i="3"/>
  <c r="M209" i="3" s="1"/>
  <c r="L208" i="3"/>
  <c r="M208" i="3" s="1"/>
  <c r="K112" i="3"/>
  <c r="F1715" i="2"/>
  <c r="F1714" i="2"/>
  <c r="F2144" i="2"/>
  <c r="F2143" i="2"/>
  <c r="F2278" i="2"/>
  <c r="F1716" i="2" l="1"/>
  <c r="D3411" i="2"/>
  <c r="F3194" i="2"/>
  <c r="F2145" i="2"/>
  <c r="F3298" i="2"/>
  <c r="F3168" i="2"/>
  <c r="F3142" i="2"/>
  <c r="F3088" i="2"/>
  <c r="F3062" i="2"/>
  <c r="L200" i="3"/>
  <c r="M200" i="3" s="1"/>
  <c r="L197" i="3"/>
  <c r="M197" i="3" s="1"/>
  <c r="D2456" i="2"/>
  <c r="F2460" i="2"/>
  <c r="I294" i="1"/>
  <c r="I295" i="1" s="1"/>
  <c r="I296" i="1" s="1"/>
  <c r="I290" i="1"/>
  <c r="I291" i="1" s="1"/>
  <c r="I292" i="1" s="1"/>
  <c r="I286" i="1"/>
  <c r="I287" i="1" s="1"/>
  <c r="I288" i="1" s="1"/>
  <c r="I282" i="1"/>
  <c r="I283" i="1" s="1"/>
  <c r="I284" i="1" s="1"/>
  <c r="I278" i="1"/>
  <c r="I279" i="1" s="1"/>
  <c r="I280" i="1" s="1"/>
  <c r="I274" i="1"/>
  <c r="I275" i="1" s="1"/>
  <c r="I276" i="1" s="1"/>
  <c r="I270" i="1"/>
  <c r="I271" i="1" s="1"/>
  <c r="I272" i="1" s="1"/>
  <c r="I266" i="1"/>
  <c r="I267" i="1" s="1"/>
  <c r="I268" i="1" s="1"/>
  <c r="I262" i="1"/>
  <c r="I263" i="1" s="1"/>
  <c r="I264" i="1" s="1"/>
  <c r="I258" i="1"/>
  <c r="I259" i="1" s="1"/>
  <c r="I260" i="1" s="1"/>
  <c r="I254" i="1"/>
  <c r="I255" i="1" s="1"/>
  <c r="I256" i="1" s="1"/>
  <c r="I250" i="1"/>
  <c r="I251" i="1" s="1"/>
  <c r="I252" i="1" s="1"/>
  <c r="I246" i="1"/>
  <c r="I247" i="1" s="1"/>
  <c r="I248" i="1" s="1"/>
  <c r="I242" i="1"/>
  <c r="I243" i="1" s="1"/>
  <c r="I244" i="1" s="1"/>
  <c r="I238" i="1"/>
  <c r="I239" i="1" s="1"/>
  <c r="I240" i="1" s="1"/>
  <c r="I234" i="1"/>
  <c r="I235" i="1" s="1"/>
  <c r="I236" i="1" s="1"/>
  <c r="I230" i="1"/>
  <c r="I231" i="1" s="1"/>
  <c r="I232" i="1" s="1"/>
  <c r="I226" i="1"/>
  <c r="I227" i="1" s="1"/>
  <c r="I228" i="1" s="1"/>
  <c r="I222" i="1"/>
  <c r="I223" i="1" s="1"/>
  <c r="I224" i="1" s="1"/>
  <c r="I218" i="1"/>
  <c r="I219" i="1" s="1"/>
  <c r="I220" i="1" s="1"/>
  <c r="I214" i="1"/>
  <c r="I215" i="1" s="1"/>
  <c r="I216" i="1" s="1"/>
  <c r="I210" i="1"/>
  <c r="I211" i="1" s="1"/>
  <c r="I212" i="1" s="1"/>
  <c r="I206" i="1"/>
  <c r="I207" i="1" s="1"/>
  <c r="I208" i="1" s="1"/>
  <c r="I203" i="1"/>
  <c r="I204" i="1" s="1"/>
  <c r="I202" i="1"/>
  <c r="I199" i="1"/>
  <c r="I200" i="1" s="1"/>
  <c r="I198" i="1"/>
  <c r="I194" i="1"/>
  <c r="I195" i="1" s="1"/>
  <c r="I196" i="1" s="1"/>
  <c r="I190" i="1"/>
  <c r="I191" i="1" s="1"/>
  <c r="I192" i="1" s="1"/>
  <c r="I186" i="1"/>
  <c r="I187" i="1" s="1"/>
  <c r="I188" i="1" s="1"/>
  <c r="I182" i="1"/>
  <c r="I183" i="1" s="1"/>
  <c r="I184" i="1" s="1"/>
  <c r="I178" i="1"/>
  <c r="I179" i="1" s="1"/>
  <c r="I180" i="1" s="1"/>
  <c r="I174" i="1"/>
  <c r="I175" i="1" s="1"/>
  <c r="I176" i="1" s="1"/>
  <c r="I170" i="1"/>
  <c r="I171" i="1" s="1"/>
  <c r="I172" i="1" s="1"/>
  <c r="I166" i="1"/>
  <c r="I167" i="1" s="1"/>
  <c r="I168" i="1" s="1"/>
  <c r="I162" i="1"/>
  <c r="I163" i="1" s="1"/>
  <c r="I164" i="1" s="1"/>
  <c r="I158" i="1"/>
  <c r="I159" i="1" s="1"/>
  <c r="I160" i="1" s="1"/>
  <c r="I154" i="1"/>
  <c r="I155" i="1" s="1"/>
  <c r="I156" i="1" s="1"/>
  <c r="I150" i="1"/>
  <c r="I151" i="1" s="1"/>
  <c r="I152" i="1" s="1"/>
  <c r="I146" i="1"/>
  <c r="I147" i="1" s="1"/>
  <c r="I148" i="1" s="1"/>
  <c r="I142" i="1"/>
  <c r="I143" i="1" s="1"/>
  <c r="I144" i="1" s="1"/>
  <c r="I138" i="1"/>
  <c r="I139" i="1" s="1"/>
  <c r="I140" i="1" s="1"/>
  <c r="I134" i="1"/>
  <c r="I135" i="1" s="1"/>
  <c r="I136" i="1" s="1"/>
  <c r="I130" i="1"/>
  <c r="I131" i="1" s="1"/>
  <c r="I132" i="1" s="1"/>
  <c r="I126" i="1"/>
  <c r="I127" i="1" s="1"/>
  <c r="I128" i="1" s="1"/>
  <c r="I122" i="1"/>
  <c r="I123" i="1" s="1"/>
  <c r="I124" i="1" s="1"/>
  <c r="I118" i="1"/>
  <c r="I119" i="1" s="1"/>
  <c r="I120" i="1" s="1"/>
  <c r="I114" i="1"/>
  <c r="I115" i="1" s="1"/>
  <c r="I116" i="1" s="1"/>
  <c r="I110" i="1"/>
  <c r="I111" i="1" s="1"/>
  <c r="I112" i="1" s="1"/>
  <c r="I106" i="1"/>
  <c r="I107" i="1" s="1"/>
  <c r="I108" i="1" s="1"/>
  <c r="I102" i="1"/>
  <c r="I103" i="1" s="1"/>
  <c r="I104" i="1" s="1"/>
  <c r="I98" i="1"/>
  <c r="I99" i="1" s="1"/>
  <c r="I100" i="1" s="1"/>
  <c r="I94" i="1"/>
  <c r="I95" i="1" s="1"/>
  <c r="I96" i="1" s="1"/>
  <c r="I90" i="1"/>
  <c r="I91" i="1" s="1"/>
  <c r="I92" i="1" s="1"/>
  <c r="I86" i="1"/>
  <c r="I87" i="1" s="1"/>
  <c r="I88" i="1" s="1"/>
  <c r="I82" i="1"/>
  <c r="I83" i="1" s="1"/>
  <c r="I84" i="1" s="1"/>
  <c r="I78" i="1"/>
  <c r="I79" i="1" s="1"/>
  <c r="I80" i="1" s="1"/>
  <c r="I74" i="1"/>
  <c r="I75" i="1" s="1"/>
  <c r="I76" i="1" s="1"/>
  <c r="I70" i="1"/>
  <c r="I71" i="1" s="1"/>
  <c r="I72" i="1" s="1"/>
  <c r="I66" i="1"/>
  <c r="I67" i="1" s="1"/>
  <c r="I68" i="1" s="1"/>
  <c r="I62" i="1"/>
  <c r="I63" i="1" s="1"/>
  <c r="I64" i="1" s="1"/>
  <c r="I58" i="1"/>
  <c r="I59" i="1" s="1"/>
  <c r="I60" i="1" s="1"/>
  <c r="I54" i="1"/>
  <c r="I55" i="1" s="1"/>
  <c r="I56" i="1" s="1"/>
  <c r="I50" i="1"/>
  <c r="I51" i="1" s="1"/>
  <c r="I52" i="1" s="1"/>
  <c r="I46" i="1"/>
  <c r="I47" i="1" s="1"/>
  <c r="I48" i="1" s="1"/>
  <c r="I42" i="1"/>
  <c r="I43" i="1" s="1"/>
  <c r="I44" i="1" s="1"/>
  <c r="I38" i="1"/>
  <c r="I39" i="1" s="1"/>
  <c r="I40" i="1" s="1"/>
  <c r="I34" i="1"/>
  <c r="I35" i="1" s="1"/>
  <c r="I36" i="1" s="1"/>
  <c r="I30" i="1"/>
  <c r="I31" i="1" s="1"/>
  <c r="I32" i="1" s="1"/>
  <c r="I26" i="1"/>
  <c r="I27" i="1" s="1"/>
  <c r="I28" i="1" s="1"/>
  <c r="I22" i="1"/>
  <c r="I23" i="1" s="1"/>
  <c r="I24" i="1" s="1"/>
  <c r="I18" i="1"/>
  <c r="I19" i="1" s="1"/>
  <c r="I20" i="1" s="1"/>
  <c r="I14" i="1"/>
  <c r="I15" i="1" s="1"/>
  <c r="I16" i="1" s="1"/>
  <c r="I10" i="1"/>
  <c r="I11" i="1" s="1"/>
  <c r="I12" i="1" s="1"/>
  <c r="I6" i="1"/>
  <c r="I7" i="1" s="1"/>
  <c r="D2856" i="2"/>
  <c r="D2853" i="2"/>
  <c r="F3064" i="2" l="1"/>
  <c r="F3090" i="2"/>
  <c r="D2775" i="2"/>
  <c r="D2771" i="2"/>
  <c r="G3324" i="2"/>
  <c r="D3323" i="2"/>
  <c r="D3319" i="2"/>
  <c r="B3318" i="2"/>
  <c r="D3315" i="2"/>
  <c r="D3289" i="2"/>
  <c r="D3305" i="2"/>
  <c r="B3292" i="2"/>
  <c r="D3279" i="2"/>
  <c r="F3270" i="2"/>
  <c r="D3263" i="2" s="1"/>
  <c r="B3266" i="2"/>
  <c r="D3253" i="2"/>
  <c r="G3246" i="2"/>
  <c r="B3240" i="2"/>
  <c r="D3237" i="2"/>
  <c r="D3211" i="2"/>
  <c r="D3227" i="2"/>
  <c r="B3214" i="2"/>
  <c r="G3194" i="2"/>
  <c r="D3189" i="2"/>
  <c r="D3201" i="2" s="1"/>
  <c r="B3188" i="2"/>
  <c r="D3185" i="2"/>
  <c r="D3163" i="2"/>
  <c r="D3175" i="2" s="1"/>
  <c r="G3168" i="2"/>
  <c r="B3162" i="2"/>
  <c r="D3159" i="2"/>
  <c r="G3142" i="2"/>
  <c r="D3137" i="2"/>
  <c r="B3136" i="2"/>
  <c r="D3133" i="2"/>
  <c r="F3114" i="2"/>
  <c r="F3116" i="2" s="1"/>
  <c r="G3116" i="2" s="1"/>
  <c r="D3111" i="2"/>
  <c r="D3123" i="2" s="1"/>
  <c r="B3110" i="2"/>
  <c r="D2626" i="2"/>
  <c r="D2620" i="2"/>
  <c r="D2615" i="2"/>
  <c r="D2589" i="2"/>
  <c r="D2593" i="2"/>
  <c r="D2594" i="2"/>
  <c r="D3331" i="2" l="1"/>
  <c r="D3333" i="2" s="1"/>
  <c r="F3272" i="2"/>
  <c r="G3272" i="2" s="1"/>
  <c r="D3107" i="2"/>
  <c r="D3125" i="2" s="1"/>
  <c r="D3149" i="2"/>
  <c r="D3151" i="2" s="1"/>
  <c r="D3255" i="2"/>
  <c r="D3281" i="2"/>
  <c r="D3203" i="2"/>
  <c r="D3307" i="2"/>
  <c r="G3298" i="2"/>
  <c r="D3229" i="2"/>
  <c r="G3220" i="2"/>
  <c r="D3177" i="2"/>
  <c r="D2546" i="2"/>
  <c r="D2539" i="2"/>
  <c r="D2540" i="2"/>
  <c r="D2536" i="2"/>
  <c r="L176" i="3"/>
  <c r="K176" i="3"/>
  <c r="K174" i="3"/>
  <c r="K173" i="3"/>
  <c r="D2535" i="2"/>
  <c r="G3090" i="2"/>
  <c r="B3084" i="2"/>
  <c r="D3081" i="2"/>
  <c r="D2493" i="2"/>
  <c r="D2486" i="2"/>
  <c r="D2487" i="2"/>
  <c r="D2482" i="2"/>
  <c r="D2730" i="2"/>
  <c r="D2724" i="2"/>
  <c r="D2723" i="2"/>
  <c r="D2719" i="2"/>
  <c r="G3064" i="2"/>
  <c r="D3055" i="2"/>
  <c r="D3071" i="2"/>
  <c r="B3058" i="2"/>
  <c r="D2512" i="2"/>
  <c r="D2508" i="2"/>
  <c r="D2382" i="2"/>
  <c r="D2383" i="2"/>
  <c r="D2378" i="2"/>
  <c r="D2356" i="2"/>
  <c r="F2356" i="2"/>
  <c r="F2303" i="2"/>
  <c r="D2352" i="2"/>
  <c r="D2310" i="2"/>
  <c r="D2303" i="2"/>
  <c r="D2304" i="2"/>
  <c r="D2299" i="2"/>
  <c r="D3073" i="2" l="1"/>
  <c r="D3097" i="2"/>
  <c r="D3099" i="2" s="1"/>
  <c r="M176" i="3"/>
  <c r="Q144" i="3"/>
  <c r="R144" i="3" s="1"/>
  <c r="F2226" i="2"/>
  <c r="F2172" i="2"/>
  <c r="F2092" i="2"/>
  <c r="F3036" i="2"/>
  <c r="D3029" i="2" s="1"/>
  <c r="D3033" i="2"/>
  <c r="B3032" i="2"/>
  <c r="D2437" i="2"/>
  <c r="D2434" i="2"/>
  <c r="D2430" i="2"/>
  <c r="G3012" i="2"/>
  <c r="B3006" i="2"/>
  <c r="D2566" i="2"/>
  <c r="D2562" i="2"/>
  <c r="D2408" i="2"/>
  <c r="D2404" i="2"/>
  <c r="D2326" i="2"/>
  <c r="D2330" i="2"/>
  <c r="D2331" i="2"/>
  <c r="D2981" i="2"/>
  <c r="D2993" i="2" s="1"/>
  <c r="F2984" i="2"/>
  <c r="D2977" i="2" s="1"/>
  <c r="B2980" i="2"/>
  <c r="D3045" i="2" l="1"/>
  <c r="D3047" i="2" s="1"/>
  <c r="F3038" i="2"/>
  <c r="G3038" i="2" s="1"/>
  <c r="F2986" i="2"/>
  <c r="G2986" i="2" s="1"/>
  <c r="D3019" i="2"/>
  <c r="D3003" i="2"/>
  <c r="D2995" i="2"/>
  <c r="D3021" i="2" l="1"/>
  <c r="D2966" i="2"/>
  <c r="B2953" i="2"/>
  <c r="F2011" i="2"/>
  <c r="F1984" i="2"/>
  <c r="F1928" i="2"/>
  <c r="F919" i="2"/>
  <c r="F2065" i="2"/>
  <c r="F2038" i="2"/>
  <c r="F2199" i="2"/>
  <c r="Q141" i="3"/>
  <c r="R141" i="3" s="1"/>
  <c r="Q132" i="3"/>
  <c r="R132" i="3" s="1"/>
  <c r="F2931" i="2"/>
  <c r="D2924" i="2" s="1"/>
  <c r="D2928" i="2"/>
  <c r="D2940" i="2" s="1"/>
  <c r="B2927" i="2"/>
  <c r="D2950" i="2" l="1"/>
  <c r="D2968" i="2" s="1"/>
  <c r="F2933" i="2"/>
  <c r="G2933" i="2" s="1"/>
  <c r="D2942" i="2"/>
  <c r="L168" i="3"/>
  <c r="K168" i="3"/>
  <c r="L157" i="3"/>
  <c r="K157" i="3"/>
  <c r="L155" i="3"/>
  <c r="K155" i="3"/>
  <c r="K154" i="3"/>
  <c r="D2277" i="2"/>
  <c r="D2273" i="2"/>
  <c r="D2247" i="2"/>
  <c r="D2251" i="2"/>
  <c r="D2252" i="2"/>
  <c r="D1843" i="2"/>
  <c r="D1847" i="2"/>
  <c r="M157" i="3" l="1"/>
  <c r="M155" i="3"/>
  <c r="M168" i="3"/>
  <c r="F2905" i="2"/>
  <c r="F2907" i="2" s="1"/>
  <c r="G2907" i="2" s="1"/>
  <c r="L181" i="3"/>
  <c r="M181" i="3" s="1"/>
  <c r="F2827" i="2"/>
  <c r="D2820" i="2" s="1"/>
  <c r="D2914" i="2"/>
  <c r="B2901" i="2"/>
  <c r="F2879" i="2"/>
  <c r="D2872" i="2" s="1"/>
  <c r="D2876" i="2"/>
  <c r="B2875" i="2"/>
  <c r="D2854" i="2"/>
  <c r="F2853" i="2"/>
  <c r="F2855" i="2" s="1"/>
  <c r="G2855" i="2" s="1"/>
  <c r="D2850" i="2"/>
  <c r="B2849" i="2"/>
  <c r="D2824" i="2"/>
  <c r="D2836" i="2" s="1"/>
  <c r="B2823" i="2"/>
  <c r="F2749" i="2"/>
  <c r="F2751" i="2" s="1"/>
  <c r="G2751" i="2" s="1"/>
  <c r="D2749" i="2"/>
  <c r="D2746" i="2"/>
  <c r="B2745" i="2"/>
  <c r="D2758" i="2" l="1"/>
  <c r="D2846" i="2"/>
  <c r="D2888" i="2"/>
  <c r="D2890" i="2" s="1"/>
  <c r="D2862" i="2"/>
  <c r="D2898" i="2"/>
  <c r="D2916" i="2" s="1"/>
  <c r="F2881" i="2"/>
  <c r="G2881" i="2" s="1"/>
  <c r="F2829" i="2"/>
  <c r="G2829" i="2" s="1"/>
  <c r="D2838" i="2"/>
  <c r="D2742" i="2"/>
  <c r="F2801" i="2"/>
  <c r="D2794" i="2" s="1"/>
  <c r="D2798" i="2"/>
  <c r="B2797" i="2"/>
  <c r="F2775" i="2"/>
  <c r="F2777" i="2" s="1"/>
  <c r="G2777" i="2" s="1"/>
  <c r="D2776" i="2"/>
  <c r="D2772" i="2"/>
  <c r="B2771" i="2"/>
  <c r="D2760" i="2" l="1"/>
  <c r="D2864" i="2"/>
  <c r="D2784" i="2"/>
  <c r="D2810" i="2"/>
  <c r="D2812" i="2" s="1"/>
  <c r="F2803" i="2"/>
  <c r="G2803" i="2" s="1"/>
  <c r="D2768" i="2"/>
  <c r="K156" i="3"/>
  <c r="D1956" i="2"/>
  <c r="D1955" i="2"/>
  <c r="D1952" i="2"/>
  <c r="D1951" i="2"/>
  <c r="D1794" i="2"/>
  <c r="D1793" i="2"/>
  <c r="D1790" i="2"/>
  <c r="D1789" i="2"/>
  <c r="D1603" i="2"/>
  <c r="D1607" i="2"/>
  <c r="D1608" i="2"/>
  <c r="D2786" i="2" l="1"/>
  <c r="F1689" i="2"/>
  <c r="D2225" i="2"/>
  <c r="D2221" i="2"/>
  <c r="D2171" i="2" l="1"/>
  <c r="D2167" i="2"/>
  <c r="H274" i="1"/>
  <c r="H275" i="1" s="1"/>
  <c r="H276" i="1" s="1"/>
  <c r="H270" i="1"/>
  <c r="H271" i="1" s="1"/>
  <c r="H272" i="1" s="1"/>
  <c r="H266" i="1"/>
  <c r="H267" i="1" s="1"/>
  <c r="H268" i="1" s="1"/>
  <c r="H262" i="1"/>
  <c r="H263" i="1" s="1"/>
  <c r="H264" i="1" s="1"/>
  <c r="H258" i="1"/>
  <c r="H259" i="1" s="1"/>
  <c r="H260" i="1" s="1"/>
  <c r="H254" i="1"/>
  <c r="H255" i="1" s="1"/>
  <c r="H256" i="1" s="1"/>
  <c r="H250" i="1"/>
  <c r="H251" i="1" s="1"/>
  <c r="H252" i="1" s="1"/>
  <c r="H246" i="1"/>
  <c r="H247" i="1" s="1"/>
  <c r="H248" i="1" s="1"/>
  <c r="H242" i="1"/>
  <c r="H243" i="1" s="1"/>
  <c r="H244" i="1" s="1"/>
  <c r="H238" i="1"/>
  <c r="H239" i="1" s="1"/>
  <c r="H240" i="1" s="1"/>
  <c r="H234" i="1"/>
  <c r="H235" i="1" s="1"/>
  <c r="H236" i="1" s="1"/>
  <c r="H230" i="1"/>
  <c r="H231" i="1" s="1"/>
  <c r="H232" i="1" s="1"/>
  <c r="H226" i="1"/>
  <c r="H227" i="1" s="1"/>
  <c r="H228" i="1" s="1"/>
  <c r="H222" i="1"/>
  <c r="H223" i="1" s="1"/>
  <c r="H224" i="1" s="1"/>
  <c r="H218" i="1"/>
  <c r="H219" i="1" s="1"/>
  <c r="H220" i="1" s="1"/>
  <c r="H214" i="1"/>
  <c r="H215" i="1" s="1"/>
  <c r="H216" i="1" s="1"/>
  <c r="H210" i="1"/>
  <c r="H211" i="1" s="1"/>
  <c r="H212" i="1" s="1"/>
  <c r="H206" i="1"/>
  <c r="H207" i="1" s="1"/>
  <c r="H208" i="1" s="1"/>
  <c r="H202" i="1"/>
  <c r="H203" i="1" s="1"/>
  <c r="H204" i="1" s="1"/>
  <c r="H198" i="1"/>
  <c r="H199" i="1" s="1"/>
  <c r="H200" i="1" s="1"/>
  <c r="H194" i="1"/>
  <c r="H195" i="1" s="1"/>
  <c r="H196" i="1" s="1"/>
  <c r="H190" i="1"/>
  <c r="H191" i="1" s="1"/>
  <c r="H192" i="1" s="1"/>
  <c r="H186" i="1"/>
  <c r="H187" i="1" s="1"/>
  <c r="H188" i="1" s="1"/>
  <c r="H182" i="1"/>
  <c r="H183" i="1" s="1"/>
  <c r="H184" i="1" s="1"/>
  <c r="H178" i="1"/>
  <c r="H179" i="1" s="1"/>
  <c r="H180" i="1" s="1"/>
  <c r="H174" i="1"/>
  <c r="H175" i="1" s="1"/>
  <c r="H176" i="1" s="1"/>
  <c r="H170" i="1"/>
  <c r="H171" i="1" s="1"/>
  <c r="H172" i="1" s="1"/>
  <c r="H166" i="1"/>
  <c r="H167" i="1" s="1"/>
  <c r="H168" i="1" s="1"/>
  <c r="H162" i="1"/>
  <c r="H163" i="1" s="1"/>
  <c r="H164" i="1" s="1"/>
  <c r="H158" i="1"/>
  <c r="H159" i="1" s="1"/>
  <c r="H160" i="1" s="1"/>
  <c r="H154" i="1"/>
  <c r="H155" i="1" s="1"/>
  <c r="H156" i="1" s="1"/>
  <c r="H150" i="1"/>
  <c r="H151" i="1" s="1"/>
  <c r="H152" i="1" s="1"/>
  <c r="H146" i="1"/>
  <c r="H147" i="1" s="1"/>
  <c r="H148" i="1" s="1"/>
  <c r="H142" i="1"/>
  <c r="H143" i="1" s="1"/>
  <c r="H144" i="1" s="1"/>
  <c r="H138" i="1"/>
  <c r="H139" i="1" s="1"/>
  <c r="H140" i="1" s="1"/>
  <c r="H134" i="1"/>
  <c r="H135" i="1" s="1"/>
  <c r="H136" i="1" s="1"/>
  <c r="H130" i="1"/>
  <c r="H131" i="1" s="1"/>
  <c r="H132" i="1" s="1"/>
  <c r="H126" i="1"/>
  <c r="H127" i="1" s="1"/>
  <c r="H128" i="1" s="1"/>
  <c r="H122" i="1"/>
  <c r="H123" i="1" s="1"/>
  <c r="H124" i="1" s="1"/>
  <c r="H118" i="1"/>
  <c r="H119" i="1" s="1"/>
  <c r="H120" i="1" s="1"/>
  <c r="H114" i="1"/>
  <c r="H115" i="1" s="1"/>
  <c r="H116" i="1" s="1"/>
  <c r="H110" i="1"/>
  <c r="H111" i="1" s="1"/>
  <c r="H112" i="1" s="1"/>
  <c r="H106" i="1"/>
  <c r="H107" i="1" s="1"/>
  <c r="H108" i="1" s="1"/>
  <c r="H102" i="1"/>
  <c r="H103" i="1" s="1"/>
  <c r="H104" i="1" s="1"/>
  <c r="H98" i="1"/>
  <c r="H99" i="1" s="1"/>
  <c r="H100" i="1" s="1"/>
  <c r="H94" i="1"/>
  <c r="H95" i="1" s="1"/>
  <c r="H96" i="1" s="1"/>
  <c r="H90" i="1"/>
  <c r="H91" i="1" s="1"/>
  <c r="H92" i="1" s="1"/>
  <c r="H86" i="1"/>
  <c r="H87" i="1" s="1"/>
  <c r="H88" i="1" s="1"/>
  <c r="H82" i="1"/>
  <c r="H83" i="1" s="1"/>
  <c r="H84" i="1" s="1"/>
  <c r="H78" i="1"/>
  <c r="H79" i="1" s="1"/>
  <c r="H80" i="1" s="1"/>
  <c r="H74" i="1"/>
  <c r="H75" i="1" s="1"/>
  <c r="H76" i="1" s="1"/>
  <c r="H70" i="1"/>
  <c r="H71" i="1" s="1"/>
  <c r="H72" i="1" s="1"/>
  <c r="H66" i="1"/>
  <c r="H67" i="1" s="1"/>
  <c r="H68" i="1" s="1"/>
  <c r="H62" i="1"/>
  <c r="H63" i="1" s="1"/>
  <c r="H64" i="1" s="1"/>
  <c r="H58" i="1"/>
  <c r="H59" i="1" s="1"/>
  <c r="H60" i="1" s="1"/>
  <c r="H54" i="1"/>
  <c r="H55" i="1" s="1"/>
  <c r="H56" i="1" s="1"/>
  <c r="H50" i="1"/>
  <c r="H51" i="1" s="1"/>
  <c r="H52" i="1" s="1"/>
  <c r="H46" i="1"/>
  <c r="H47" i="1" s="1"/>
  <c r="H48" i="1" s="1"/>
  <c r="H42" i="1"/>
  <c r="H43" i="1" s="1"/>
  <c r="H44" i="1" s="1"/>
  <c r="H38" i="1"/>
  <c r="H39" i="1" s="1"/>
  <c r="H40" i="1" s="1"/>
  <c r="H34" i="1"/>
  <c r="H35" i="1" s="1"/>
  <c r="H36" i="1" s="1"/>
  <c r="H30" i="1"/>
  <c r="H31" i="1" s="1"/>
  <c r="H32" i="1" s="1"/>
  <c r="H26" i="1"/>
  <c r="H27" i="1" s="1"/>
  <c r="H28" i="1" s="1"/>
  <c r="H22" i="1"/>
  <c r="H23" i="1" s="1"/>
  <c r="H24" i="1" s="1"/>
  <c r="H18" i="1"/>
  <c r="H19" i="1" s="1"/>
  <c r="H20" i="1" s="1"/>
  <c r="H14" i="1"/>
  <c r="H15" i="1" s="1"/>
  <c r="H16" i="1" s="1"/>
  <c r="H10" i="1"/>
  <c r="H11" i="1" s="1"/>
  <c r="H12" i="1" s="1"/>
  <c r="H6" i="1"/>
  <c r="H7" i="1" s="1"/>
  <c r="H294" i="1"/>
  <c r="H295" i="1" s="1"/>
  <c r="H296" i="1" s="1"/>
  <c r="H290" i="1"/>
  <c r="H291" i="1" s="1"/>
  <c r="H292" i="1" s="1"/>
  <c r="H286" i="1"/>
  <c r="H287" i="1" s="1"/>
  <c r="H288" i="1" s="1"/>
  <c r="H282" i="1"/>
  <c r="H283" i="1" s="1"/>
  <c r="H284" i="1" s="1"/>
  <c r="H278" i="1"/>
  <c r="H279" i="1" s="1"/>
  <c r="H280" i="1" s="1"/>
  <c r="I306" i="1"/>
  <c r="I307" i="1" s="1"/>
  <c r="I308" i="1" s="1"/>
  <c r="H306" i="1"/>
  <c r="H307" i="1" s="1"/>
  <c r="H308" i="1" s="1"/>
  <c r="G306" i="1"/>
  <c r="G307" i="1" s="1"/>
  <c r="G308" i="1" s="1"/>
  <c r="F306" i="1"/>
  <c r="F307" i="1" s="1"/>
  <c r="F308" i="1" s="1"/>
  <c r="E306" i="1"/>
  <c r="E307" i="1" s="1"/>
  <c r="E308" i="1" s="1"/>
  <c r="D306" i="1"/>
  <c r="D307" i="1" s="1"/>
  <c r="D308" i="1" s="1"/>
  <c r="C306" i="1"/>
  <c r="C307" i="1" s="1"/>
  <c r="C308" i="1" s="1"/>
  <c r="O305" i="1"/>
  <c r="I302" i="1"/>
  <c r="I303" i="1" s="1"/>
  <c r="I304" i="1" s="1"/>
  <c r="H302" i="1"/>
  <c r="H303" i="1" s="1"/>
  <c r="H304" i="1" s="1"/>
  <c r="G302" i="1"/>
  <c r="G303" i="1" s="1"/>
  <c r="G304" i="1" s="1"/>
  <c r="F302" i="1"/>
  <c r="F303" i="1" s="1"/>
  <c r="F304" i="1" s="1"/>
  <c r="E302" i="1"/>
  <c r="E303" i="1" s="1"/>
  <c r="E304" i="1" s="1"/>
  <c r="D302" i="1"/>
  <c r="D303" i="1" s="1"/>
  <c r="D304" i="1" s="1"/>
  <c r="C302" i="1"/>
  <c r="C303" i="1" s="1"/>
  <c r="O301" i="1"/>
  <c r="I298" i="1"/>
  <c r="H298" i="1"/>
  <c r="H299" i="1" s="1"/>
  <c r="H300" i="1" s="1"/>
  <c r="G298" i="1"/>
  <c r="G299" i="1" s="1"/>
  <c r="G300" i="1" s="1"/>
  <c r="F298" i="1"/>
  <c r="F299" i="1" s="1"/>
  <c r="F300" i="1" s="1"/>
  <c r="E298" i="1"/>
  <c r="E299" i="1" s="1"/>
  <c r="E300" i="1" s="1"/>
  <c r="D298" i="1"/>
  <c r="D299" i="1" s="1"/>
  <c r="D300" i="1" s="1"/>
  <c r="C298" i="1"/>
  <c r="C299" i="1" s="1"/>
  <c r="O297" i="1"/>
  <c r="N294" i="1"/>
  <c r="N295" i="1" s="1"/>
  <c r="N296" i="1" s="1"/>
  <c r="K294" i="1"/>
  <c r="K295" i="1" s="1"/>
  <c r="K296" i="1" s="1"/>
  <c r="G294" i="1"/>
  <c r="G295" i="1" s="1"/>
  <c r="G296" i="1" s="1"/>
  <c r="F294" i="1"/>
  <c r="F295" i="1" s="1"/>
  <c r="F296" i="1" s="1"/>
  <c r="E294" i="1"/>
  <c r="E295" i="1" s="1"/>
  <c r="E296" i="1" s="1"/>
  <c r="D294" i="1"/>
  <c r="D295" i="1" s="1"/>
  <c r="D296" i="1" s="1"/>
  <c r="C294" i="1"/>
  <c r="C295" i="1" s="1"/>
  <c r="O293" i="1"/>
  <c r="N290" i="1"/>
  <c r="N291" i="1" s="1"/>
  <c r="N292" i="1" s="1"/>
  <c r="G290" i="1"/>
  <c r="G291" i="1" s="1"/>
  <c r="G292" i="1" s="1"/>
  <c r="F290" i="1"/>
  <c r="F291" i="1" s="1"/>
  <c r="F292" i="1" s="1"/>
  <c r="E290" i="1"/>
  <c r="E291" i="1" s="1"/>
  <c r="E292" i="1" s="1"/>
  <c r="D290" i="1"/>
  <c r="D291" i="1" s="1"/>
  <c r="D292" i="1" s="1"/>
  <c r="C290" i="1"/>
  <c r="C291" i="1" s="1"/>
  <c r="C292" i="1" s="1"/>
  <c r="O289" i="1"/>
  <c r="G286" i="1"/>
  <c r="G287" i="1" s="1"/>
  <c r="G288" i="1" s="1"/>
  <c r="F286" i="1"/>
  <c r="F287" i="1" s="1"/>
  <c r="F288" i="1" s="1"/>
  <c r="E286" i="1"/>
  <c r="E287" i="1" s="1"/>
  <c r="E288" i="1" s="1"/>
  <c r="D286" i="1"/>
  <c r="D287" i="1" s="1"/>
  <c r="D288" i="1" s="1"/>
  <c r="C286" i="1"/>
  <c r="C287" i="1" s="1"/>
  <c r="C288" i="1" s="1"/>
  <c r="O285" i="1"/>
  <c r="G282" i="1"/>
  <c r="G283" i="1" s="1"/>
  <c r="G284" i="1" s="1"/>
  <c r="F282" i="1"/>
  <c r="F283" i="1" s="1"/>
  <c r="F284" i="1" s="1"/>
  <c r="E282" i="1"/>
  <c r="E283" i="1" s="1"/>
  <c r="E284" i="1" s="1"/>
  <c r="D282" i="1"/>
  <c r="D283" i="1" s="1"/>
  <c r="D284" i="1" s="1"/>
  <c r="C282" i="1"/>
  <c r="C283" i="1" s="1"/>
  <c r="C284" i="1" s="1"/>
  <c r="O281" i="1"/>
  <c r="G278" i="1"/>
  <c r="G279" i="1" s="1"/>
  <c r="G280" i="1" s="1"/>
  <c r="F278" i="1"/>
  <c r="F279" i="1" s="1"/>
  <c r="F280" i="1" s="1"/>
  <c r="E278" i="1"/>
  <c r="E279" i="1" s="1"/>
  <c r="E280" i="1" s="1"/>
  <c r="D278" i="1"/>
  <c r="D279" i="1" s="1"/>
  <c r="D280" i="1" s="1"/>
  <c r="C278" i="1"/>
  <c r="C279" i="1" s="1"/>
  <c r="C280" i="1" s="1"/>
  <c r="O277" i="1"/>
  <c r="K147" i="3"/>
  <c r="K146" i="3"/>
  <c r="D2716" i="2"/>
  <c r="D2720" i="2"/>
  <c r="B2719" i="2"/>
  <c r="F2697" i="2"/>
  <c r="D2690" i="2" s="1"/>
  <c r="D2697" i="2"/>
  <c r="D2694" i="2"/>
  <c r="B2693" i="2"/>
  <c r="D2706" i="2" l="1"/>
  <c r="D2708" i="2" s="1"/>
  <c r="G2725" i="2"/>
  <c r="F2699" i="2"/>
  <c r="G2699" i="2" s="1"/>
  <c r="D2732" i="2"/>
  <c r="D2734" i="2" s="1"/>
  <c r="I299" i="1"/>
  <c r="I300" i="1" s="1"/>
  <c r="O282" i="1"/>
  <c r="O286" i="1"/>
  <c r="O308" i="1"/>
  <c r="O307" i="1"/>
  <c r="O306" i="1"/>
  <c r="C304" i="1"/>
  <c r="O304" i="1" s="1"/>
  <c r="O303" i="1"/>
  <c r="O302" i="1"/>
  <c r="C300" i="1"/>
  <c r="O298" i="1"/>
  <c r="C296" i="1"/>
  <c r="O296" i="1" s="1"/>
  <c r="O295" i="1"/>
  <c r="O294" i="1"/>
  <c r="O292" i="1"/>
  <c r="O290" i="1"/>
  <c r="O291" i="1"/>
  <c r="O288" i="1"/>
  <c r="O287" i="1"/>
  <c r="O284" i="1"/>
  <c r="O283" i="1"/>
  <c r="O280" i="1"/>
  <c r="O278" i="1"/>
  <c r="O279" i="1"/>
  <c r="D2091" i="2"/>
  <c r="D2087" i="2"/>
  <c r="L166" i="3"/>
  <c r="M166" i="3" s="1"/>
  <c r="O299" i="1" l="1"/>
  <c r="O300" i="1"/>
  <c r="D2612" i="2" l="1"/>
  <c r="D2619" i="2"/>
  <c r="D2616" i="2"/>
  <c r="B2615" i="2"/>
  <c r="F2671" i="2"/>
  <c r="F2673" i="2" s="1"/>
  <c r="G2673" i="2" s="1"/>
  <c r="D2668" i="2"/>
  <c r="B2667" i="2"/>
  <c r="D2628" i="2" l="1"/>
  <c r="D2630" i="2" s="1"/>
  <c r="D2664" i="2"/>
  <c r="D2680" i="2"/>
  <c r="G2621" i="2"/>
  <c r="D2682" i="2" l="1"/>
  <c r="F2645" i="2"/>
  <c r="D2638" i="2" s="1"/>
  <c r="D2642" i="2"/>
  <c r="B2641" i="2"/>
  <c r="D2654" i="2" l="1"/>
  <c r="D2656" i="2" s="1"/>
  <c r="F2647" i="2"/>
  <c r="G2647" i="2" s="1"/>
  <c r="F2566" i="2"/>
  <c r="F2539" i="2"/>
  <c r="F2512" i="2"/>
  <c r="F2514" i="2" s="1"/>
  <c r="F2488" i="2"/>
  <c r="F2434" i="2"/>
  <c r="L159" i="3"/>
  <c r="M159" i="3" s="1"/>
  <c r="L158" i="3"/>
  <c r="M158" i="3" s="1"/>
  <c r="F2462" i="2" l="1"/>
  <c r="F2568" i="2"/>
  <c r="F2541" i="2"/>
  <c r="F2436" i="2"/>
  <c r="D2590" i="2"/>
  <c r="F2593" i="2"/>
  <c r="F2595" i="2" s="1"/>
  <c r="G2595" i="2" s="1"/>
  <c r="B2589" i="2"/>
  <c r="D2602" i="2" l="1"/>
  <c r="D2586" i="2"/>
  <c r="F2118" i="2"/>
  <c r="F2117" i="2"/>
  <c r="F1875" i="2"/>
  <c r="L136" i="3"/>
  <c r="K136" i="3"/>
  <c r="M136" i="3" s="1"/>
  <c r="L123" i="3"/>
  <c r="K123" i="3"/>
  <c r="F1902" i="2"/>
  <c r="F1901" i="2"/>
  <c r="F1821" i="2"/>
  <c r="F1820" i="2"/>
  <c r="L124" i="3"/>
  <c r="K124" i="3"/>
  <c r="L117" i="3"/>
  <c r="K117" i="3"/>
  <c r="F1768" i="2"/>
  <c r="F1767" i="2"/>
  <c r="F1741" i="2"/>
  <c r="L113" i="3"/>
  <c r="K113" i="3"/>
  <c r="M113" i="3" s="1"/>
  <c r="K111" i="3"/>
  <c r="D2060" i="2"/>
  <c r="D2567" i="2"/>
  <c r="G2568" i="2"/>
  <c r="D2563" i="2"/>
  <c r="B2562" i="2"/>
  <c r="D2559" i="2"/>
  <c r="G2541" i="2"/>
  <c r="B2535" i="2"/>
  <c r="D2532" i="2"/>
  <c r="D2513" i="2"/>
  <c r="D2505" i="2"/>
  <c r="D2509" i="2"/>
  <c r="B2508" i="2"/>
  <c r="G2488" i="2"/>
  <c r="D2483" i="2"/>
  <c r="D2495" i="2" s="1"/>
  <c r="B2482" i="2"/>
  <c r="D2479" i="2"/>
  <c r="I160" i="3"/>
  <c r="G2462" i="2"/>
  <c r="D2461" i="2"/>
  <c r="D2460" i="2"/>
  <c r="D2457" i="2"/>
  <c r="B2456" i="2"/>
  <c r="D2453" i="2"/>
  <c r="D2113" i="2"/>
  <c r="D2435" i="2"/>
  <c r="G2436" i="2"/>
  <c r="D2431" i="2"/>
  <c r="B2430" i="2"/>
  <c r="D2198" i="2"/>
  <c r="D2064" i="2"/>
  <c r="D1923" i="2"/>
  <c r="D1927" i="2"/>
  <c r="M124" i="3" l="1"/>
  <c r="D2469" i="2"/>
  <c r="D2471" i="2" s="1"/>
  <c r="M117" i="3"/>
  <c r="M123" i="3"/>
  <c r="F1822" i="2"/>
  <c r="D2548" i="2"/>
  <c r="D2550" i="2" s="1"/>
  <c r="F1769" i="2"/>
  <c r="F1903" i="2"/>
  <c r="D2604" i="2"/>
  <c r="D2521" i="2"/>
  <c r="D2523" i="2" s="1"/>
  <c r="D2443" i="2"/>
  <c r="D2575" i="2"/>
  <c r="D2577" i="2" s="1"/>
  <c r="D2497" i="2"/>
  <c r="F2119" i="2"/>
  <c r="G2514" i="2"/>
  <c r="D2427" i="2"/>
  <c r="D2038" i="2"/>
  <c r="D2037" i="2"/>
  <c r="D2034" i="2"/>
  <c r="D2011" i="2"/>
  <c r="D2010" i="2"/>
  <c r="D1990" i="2"/>
  <c r="D1989" i="2"/>
  <c r="D1983" i="2"/>
  <c r="D1984" i="2"/>
  <c r="L143" i="3"/>
  <c r="K143" i="3"/>
  <c r="L142" i="3"/>
  <c r="K142" i="3"/>
  <c r="L139" i="3"/>
  <c r="K139" i="3"/>
  <c r="K140" i="3"/>
  <c r="D2139" i="2"/>
  <c r="D2144" i="2"/>
  <c r="D2143" i="2"/>
  <c r="M139" i="3" l="1"/>
  <c r="M143" i="3"/>
  <c r="M142" i="3"/>
  <c r="D2445" i="2"/>
  <c r="D2409" i="2"/>
  <c r="F2408" i="2"/>
  <c r="D2401" i="2" s="1"/>
  <c r="D2405" i="2"/>
  <c r="B2404" i="2"/>
  <c r="D2117" i="2"/>
  <c r="D2118" i="2"/>
  <c r="D2379" i="2"/>
  <c r="D2327" i="2"/>
  <c r="F2382" i="2"/>
  <c r="F2384" i="2" s="1"/>
  <c r="G2384" i="2" s="1"/>
  <c r="B2378" i="2"/>
  <c r="D2417" i="2" l="1"/>
  <c r="D2419" i="2" s="1"/>
  <c r="D2375" i="2"/>
  <c r="F2410" i="2"/>
  <c r="G2410" i="2" s="1"/>
  <c r="D2391" i="2"/>
  <c r="F1289" i="2"/>
  <c r="F679" i="2"/>
  <c r="F653" i="2"/>
  <c r="F626" i="2"/>
  <c r="F1555" i="2"/>
  <c r="D2357" i="2"/>
  <c r="F2358" i="2"/>
  <c r="G2358" i="2" s="1"/>
  <c r="D2353" i="2"/>
  <c r="B2352" i="2"/>
  <c r="D2349" i="2"/>
  <c r="F2330" i="2"/>
  <c r="F2332" i="2" s="1"/>
  <c r="G2332" i="2" s="1"/>
  <c r="B2326" i="2"/>
  <c r="F1607" i="2"/>
  <c r="F1847" i="2"/>
  <c r="G118" i="3"/>
  <c r="G105" i="3"/>
  <c r="D2296" i="2"/>
  <c r="D2300" i="2"/>
  <c r="D2312" i="2" s="1"/>
  <c r="B2299" i="2"/>
  <c r="D2278" i="2"/>
  <c r="F2277" i="2"/>
  <c r="D2270" i="2" s="1"/>
  <c r="D2274" i="2"/>
  <c r="B2273" i="2"/>
  <c r="F1635" i="2"/>
  <c r="F1662" i="2"/>
  <c r="G126" i="3"/>
  <c r="F1955" i="2"/>
  <c r="F1793" i="2"/>
  <c r="G114" i="3"/>
  <c r="D2323" i="2" l="1"/>
  <c r="D2339" i="2"/>
  <c r="D2393" i="2"/>
  <c r="D2365" i="2"/>
  <c r="D2367" i="2" s="1"/>
  <c r="D2286" i="2"/>
  <c r="D2288" i="2" s="1"/>
  <c r="D2314" i="2"/>
  <c r="F2305" i="2"/>
  <c r="G2305" i="2" s="1"/>
  <c r="F2279" i="2"/>
  <c r="G2279" i="2" s="1"/>
  <c r="D2341" i="2" l="1"/>
  <c r="F2251" i="2"/>
  <c r="D2244" i="2" s="1"/>
  <c r="D2248" i="2"/>
  <c r="D2260" i="2" s="1"/>
  <c r="B2247" i="2"/>
  <c r="D2262" i="2" l="1"/>
  <c r="F2253" i="2"/>
  <c r="G2253" i="2" s="1"/>
  <c r="D2226" i="2"/>
  <c r="D2222" i="2"/>
  <c r="F2225" i="2"/>
  <c r="F2227" i="2" s="1"/>
  <c r="G2227" i="2" s="1"/>
  <c r="B2221" i="2"/>
  <c r="D2218" i="2"/>
  <c r="D2234" i="2" l="1"/>
  <c r="D2236" i="2" s="1"/>
  <c r="D1821" i="2" l="1"/>
  <c r="D1820" i="2"/>
  <c r="D1827" i="2"/>
  <c r="D1747" i="2"/>
  <c r="D1741" i="2"/>
  <c r="D1740" i="2"/>
  <c r="D1688" i="2"/>
  <c r="D1908" i="2"/>
  <c r="D1902" i="2"/>
  <c r="D1901" i="2" l="1"/>
  <c r="F1477" i="2"/>
  <c r="F1476" i="2"/>
  <c r="F1450" i="2"/>
  <c r="F1449" i="2"/>
  <c r="L75" i="3"/>
  <c r="M75" i="3" s="1"/>
  <c r="F1132" i="2"/>
  <c r="F1131" i="2"/>
  <c r="F1106" i="2"/>
  <c r="F1105" i="2"/>
  <c r="F1079" i="2"/>
  <c r="L121" i="3"/>
  <c r="K121" i="3"/>
  <c r="L120" i="3"/>
  <c r="K120" i="3"/>
  <c r="L119" i="3"/>
  <c r="K119" i="3"/>
  <c r="K92" i="3"/>
  <c r="D2199" i="2"/>
  <c r="F2198" i="2"/>
  <c r="F2200" i="2" s="1"/>
  <c r="G2200" i="2" s="1"/>
  <c r="D2195" i="2"/>
  <c r="B2194" i="2"/>
  <c r="D1774" i="2"/>
  <c r="D1768" i="2"/>
  <c r="D1767" i="2"/>
  <c r="D1764" i="2"/>
  <c r="D1763" i="2"/>
  <c r="D1721" i="2"/>
  <c r="D1714" i="2"/>
  <c r="D1715" i="2"/>
  <c r="F1133" i="2" l="1"/>
  <c r="M119" i="3"/>
  <c r="M120" i="3"/>
  <c r="M121" i="3"/>
  <c r="D2207" i="2"/>
  <c r="F1451" i="2"/>
  <c r="F1107" i="2"/>
  <c r="F1478" i="2"/>
  <c r="D2191" i="2"/>
  <c r="D2172" i="2"/>
  <c r="D2168" i="2"/>
  <c r="B2167" i="2"/>
  <c r="F2171" i="2"/>
  <c r="F2173" i="2" s="1"/>
  <c r="G2173" i="2" s="1"/>
  <c r="D2180" i="2" l="1"/>
  <c r="D2209" i="2"/>
  <c r="D2164" i="2"/>
  <c r="D2182" i="2" l="1"/>
  <c r="F1424" i="2"/>
  <c r="F1343" i="2"/>
  <c r="G2145" i="2"/>
  <c r="D2140" i="2"/>
  <c r="D2152" i="2" s="1"/>
  <c r="B2139" i="2"/>
  <c r="G270" i="1"/>
  <c r="G271" i="1" s="1"/>
  <c r="G272" i="1" s="1"/>
  <c r="G266" i="1"/>
  <c r="G267" i="1" s="1"/>
  <c r="G268" i="1" s="1"/>
  <c r="G262" i="1"/>
  <c r="G263" i="1" s="1"/>
  <c r="G264" i="1" s="1"/>
  <c r="G258" i="1"/>
  <c r="G259" i="1" s="1"/>
  <c r="G260" i="1" s="1"/>
  <c r="G254" i="1"/>
  <c r="G255" i="1" s="1"/>
  <c r="G256" i="1" s="1"/>
  <c r="G250" i="1"/>
  <c r="G251" i="1" s="1"/>
  <c r="G252" i="1" s="1"/>
  <c r="G246" i="1"/>
  <c r="G247" i="1" s="1"/>
  <c r="G248" i="1" s="1"/>
  <c r="G242" i="1"/>
  <c r="G243" i="1" s="1"/>
  <c r="G244" i="1" s="1"/>
  <c r="G238" i="1"/>
  <c r="G239" i="1" s="1"/>
  <c r="G240" i="1" s="1"/>
  <c r="G234" i="1"/>
  <c r="G235" i="1" s="1"/>
  <c r="G236" i="1" s="1"/>
  <c r="G230" i="1"/>
  <c r="G231" i="1" s="1"/>
  <c r="G232" i="1" s="1"/>
  <c r="G226" i="1"/>
  <c r="G227" i="1" s="1"/>
  <c r="G228" i="1" s="1"/>
  <c r="G222" i="1"/>
  <c r="G223" i="1" s="1"/>
  <c r="G224" i="1" s="1"/>
  <c r="G218" i="1"/>
  <c r="G219" i="1" s="1"/>
  <c r="G220" i="1" s="1"/>
  <c r="G214" i="1"/>
  <c r="G215" i="1" s="1"/>
  <c r="G216" i="1" s="1"/>
  <c r="G210" i="1"/>
  <c r="G211" i="1" s="1"/>
  <c r="G212" i="1" s="1"/>
  <c r="G206" i="1"/>
  <c r="G207" i="1" s="1"/>
  <c r="G208" i="1" s="1"/>
  <c r="G202" i="1"/>
  <c r="G203" i="1" s="1"/>
  <c r="G204" i="1" s="1"/>
  <c r="G198" i="1"/>
  <c r="G199" i="1" s="1"/>
  <c r="G200" i="1" s="1"/>
  <c r="G194" i="1"/>
  <c r="G195" i="1" s="1"/>
  <c r="G196" i="1" s="1"/>
  <c r="G190" i="1"/>
  <c r="G191" i="1" s="1"/>
  <c r="G192" i="1" s="1"/>
  <c r="G186" i="1"/>
  <c r="G187" i="1" s="1"/>
  <c r="G188" i="1" s="1"/>
  <c r="G182" i="1"/>
  <c r="G183" i="1" s="1"/>
  <c r="G184" i="1" s="1"/>
  <c r="G178" i="1"/>
  <c r="G179" i="1" s="1"/>
  <c r="G180" i="1" s="1"/>
  <c r="G174" i="1"/>
  <c r="G175" i="1" s="1"/>
  <c r="G176" i="1" s="1"/>
  <c r="G170" i="1"/>
  <c r="G171" i="1" s="1"/>
  <c r="G172" i="1" s="1"/>
  <c r="G166" i="1"/>
  <c r="G167" i="1" s="1"/>
  <c r="G168" i="1" s="1"/>
  <c r="G162" i="1"/>
  <c r="G163" i="1" s="1"/>
  <c r="G164" i="1" s="1"/>
  <c r="G158" i="1"/>
  <c r="G159" i="1" s="1"/>
  <c r="G160" i="1" s="1"/>
  <c r="G154" i="1"/>
  <c r="G155" i="1" s="1"/>
  <c r="G156" i="1" s="1"/>
  <c r="G150" i="1"/>
  <c r="G151" i="1" s="1"/>
  <c r="G152" i="1" s="1"/>
  <c r="G146" i="1"/>
  <c r="G147" i="1" s="1"/>
  <c r="G148" i="1" s="1"/>
  <c r="G142" i="1"/>
  <c r="G143" i="1" s="1"/>
  <c r="G144" i="1" s="1"/>
  <c r="G138" i="1"/>
  <c r="G139" i="1" s="1"/>
  <c r="G140" i="1" s="1"/>
  <c r="G134" i="1"/>
  <c r="G135" i="1" s="1"/>
  <c r="G136" i="1" s="1"/>
  <c r="G130" i="1"/>
  <c r="G131" i="1" s="1"/>
  <c r="G132" i="1" s="1"/>
  <c r="G126" i="1"/>
  <c r="G127" i="1" s="1"/>
  <c r="G128" i="1" s="1"/>
  <c r="G118" i="1"/>
  <c r="G119" i="1" s="1"/>
  <c r="G120" i="1" s="1"/>
  <c r="G114" i="1"/>
  <c r="G115" i="1" s="1"/>
  <c r="G116" i="1" s="1"/>
  <c r="G110" i="1"/>
  <c r="G111" i="1" s="1"/>
  <c r="G112" i="1" s="1"/>
  <c r="G106" i="1"/>
  <c r="G107" i="1" s="1"/>
  <c r="G108" i="1" s="1"/>
  <c r="G102" i="1"/>
  <c r="G103" i="1" s="1"/>
  <c r="G104" i="1" s="1"/>
  <c r="G98" i="1"/>
  <c r="G99" i="1" s="1"/>
  <c r="G100" i="1" s="1"/>
  <c r="G94" i="1"/>
  <c r="G95" i="1" s="1"/>
  <c r="G96" i="1" s="1"/>
  <c r="G90" i="1"/>
  <c r="G91" i="1" s="1"/>
  <c r="G92" i="1" s="1"/>
  <c r="G86" i="1"/>
  <c r="G87" i="1" s="1"/>
  <c r="G88" i="1" s="1"/>
  <c r="G82" i="1"/>
  <c r="G83" i="1" s="1"/>
  <c r="G84" i="1" s="1"/>
  <c r="G78" i="1"/>
  <c r="G79" i="1" s="1"/>
  <c r="G80" i="1" s="1"/>
  <c r="G74" i="1"/>
  <c r="G75" i="1" s="1"/>
  <c r="G76" i="1" s="1"/>
  <c r="G70" i="1"/>
  <c r="G71" i="1" s="1"/>
  <c r="G72" i="1" s="1"/>
  <c r="G66" i="1"/>
  <c r="G67" i="1" s="1"/>
  <c r="G68" i="1" s="1"/>
  <c r="G62" i="1"/>
  <c r="G63" i="1" s="1"/>
  <c r="G64" i="1" s="1"/>
  <c r="G58" i="1"/>
  <c r="G59" i="1" s="1"/>
  <c r="G60" i="1" s="1"/>
  <c r="G54" i="1"/>
  <c r="G55" i="1" s="1"/>
  <c r="G56" i="1" s="1"/>
  <c r="G50" i="1"/>
  <c r="G51" i="1" s="1"/>
  <c r="G52" i="1" s="1"/>
  <c r="G46" i="1"/>
  <c r="G47" i="1" s="1"/>
  <c r="G48" i="1" s="1"/>
  <c r="G42" i="1"/>
  <c r="G43" i="1" s="1"/>
  <c r="G44" i="1" s="1"/>
  <c r="G38" i="1"/>
  <c r="G39" i="1" s="1"/>
  <c r="G40" i="1" s="1"/>
  <c r="G34" i="1"/>
  <c r="G35" i="1" s="1"/>
  <c r="G36" i="1" s="1"/>
  <c r="G30" i="1"/>
  <c r="G31" i="1" s="1"/>
  <c r="G32" i="1" s="1"/>
  <c r="G26" i="1"/>
  <c r="G27" i="1" s="1"/>
  <c r="G28" i="1" s="1"/>
  <c r="G22" i="1"/>
  <c r="G23" i="1" s="1"/>
  <c r="G24" i="1" s="1"/>
  <c r="G18" i="1"/>
  <c r="G19" i="1" s="1"/>
  <c r="G20" i="1" s="1"/>
  <c r="G14" i="1"/>
  <c r="G15" i="1" s="1"/>
  <c r="G16" i="1" s="1"/>
  <c r="G10" i="1"/>
  <c r="G11" i="1" s="1"/>
  <c r="G12" i="1" s="1"/>
  <c r="G6" i="1"/>
  <c r="G7" i="1" s="1"/>
  <c r="D2136" i="2" l="1"/>
  <c r="D2154" i="2" s="1"/>
  <c r="D2110" i="2"/>
  <c r="D2114" i="2"/>
  <c r="D2126" i="2" s="1"/>
  <c r="B2113" i="2"/>
  <c r="F1874" i="2"/>
  <c r="F1529" i="2"/>
  <c r="F1528" i="2"/>
  <c r="F1503" i="2"/>
  <c r="D1661" i="2"/>
  <c r="D1662" i="2"/>
  <c r="D1587" i="2"/>
  <c r="F1530" i="2" l="1"/>
  <c r="D2128" i="2"/>
  <c r="G2119" i="2"/>
  <c r="D1580" i="2"/>
  <c r="D1581" i="2"/>
  <c r="F2037" i="2"/>
  <c r="F2039" i="2" s="1"/>
  <c r="L132" i="3"/>
  <c r="M132" i="3" s="1"/>
  <c r="D2092" i="2" l="1"/>
  <c r="D2088" i="2"/>
  <c r="F2091" i="2" l="1"/>
  <c r="F2093" i="2" s="1"/>
  <c r="G2093" i="2" s="1"/>
  <c r="D2100" i="2"/>
  <c r="B2087" i="2"/>
  <c r="D1426" i="2"/>
  <c r="D1423" i="2"/>
  <c r="D1424" i="2"/>
  <c r="D2084" i="2" l="1"/>
  <c r="D2102" i="2" s="1"/>
  <c r="D2065" i="2"/>
  <c r="F2064" i="2"/>
  <c r="F2066" i="2" s="1"/>
  <c r="G2066" i="2" s="1"/>
  <c r="D2061" i="2"/>
  <c r="D2073" i="2" s="1"/>
  <c r="B2060" i="2"/>
  <c r="D2057" i="2"/>
  <c r="D2075" i="2" l="1"/>
  <c r="D1634" i="2"/>
  <c r="D1635" i="2"/>
  <c r="D1554" i="2"/>
  <c r="D1555" i="2"/>
  <c r="G2039" i="2" l="1"/>
  <c r="D2033" i="2"/>
  <c r="D2046" i="2" s="1"/>
  <c r="B2033" i="2"/>
  <c r="L110" i="3"/>
  <c r="K110" i="3"/>
  <c r="L109" i="3"/>
  <c r="K109" i="3"/>
  <c r="L104" i="3"/>
  <c r="K104" i="3"/>
  <c r="K96" i="3"/>
  <c r="F1795" i="2"/>
  <c r="K105" i="3"/>
  <c r="L118" i="3"/>
  <c r="M118" i="3" s="1"/>
  <c r="D1401" i="2"/>
  <c r="D1396" i="2"/>
  <c r="D1397" i="2"/>
  <c r="M109" i="3" l="1"/>
  <c r="M110" i="3"/>
  <c r="M104" i="3"/>
  <c r="D2030" i="2"/>
  <c r="D2048" i="2" s="1"/>
  <c r="F2010" i="2"/>
  <c r="D2003" i="2" s="1"/>
  <c r="D1948" i="2"/>
  <c r="D2007" i="2"/>
  <c r="D2006" i="2"/>
  <c r="B2006" i="2"/>
  <c r="F1983" i="2"/>
  <c r="D1980" i="2"/>
  <c r="D1979" i="2"/>
  <c r="B1979" i="2"/>
  <c r="B1951" i="2"/>
  <c r="D1928" i="2"/>
  <c r="D1689" i="2"/>
  <c r="F1927" i="2"/>
  <c r="D1920" i="2" s="1"/>
  <c r="D1924" i="2"/>
  <c r="B1923" i="2"/>
  <c r="D1894" i="2"/>
  <c r="D1898" i="2"/>
  <c r="D1897" i="2"/>
  <c r="B1897" i="2"/>
  <c r="D1875" i="2"/>
  <c r="F1876" i="2"/>
  <c r="G1876" i="2" s="1"/>
  <c r="D1874" i="2"/>
  <c r="D1871" i="2"/>
  <c r="D1870" i="2"/>
  <c r="B1870" i="2"/>
  <c r="F1263" i="2"/>
  <c r="F1262" i="2"/>
  <c r="D1255" i="2" s="1"/>
  <c r="F1237" i="2"/>
  <c r="Q83" i="3"/>
  <c r="R83" i="3" s="1"/>
  <c r="Q82" i="3"/>
  <c r="R82" i="3" s="1"/>
  <c r="F946" i="2"/>
  <c r="Q43" i="3"/>
  <c r="R43" i="3" s="1"/>
  <c r="Q42" i="3"/>
  <c r="R42" i="3" s="1"/>
  <c r="F865" i="2"/>
  <c r="F1052" i="2"/>
  <c r="F1051" i="2"/>
  <c r="D1044" i="2" s="1"/>
  <c r="F1026" i="2"/>
  <c r="F1025" i="2"/>
  <c r="F1000" i="2"/>
  <c r="F973" i="2"/>
  <c r="F1158" i="2"/>
  <c r="F1184" i="2"/>
  <c r="F1210" i="2"/>
  <c r="Q79" i="3"/>
  <c r="R79" i="3" s="1"/>
  <c r="Q78" i="3"/>
  <c r="R78" i="3" s="1"/>
  <c r="Q77" i="3"/>
  <c r="R77" i="3" s="1"/>
  <c r="F1316" i="2"/>
  <c r="D1867" i="2"/>
  <c r="F1957" i="2"/>
  <c r="G1957" i="2" s="1"/>
  <c r="G1903" i="2"/>
  <c r="F811" i="2"/>
  <c r="D1848" i="2"/>
  <c r="D1840" i="2"/>
  <c r="F1849" i="2"/>
  <c r="G1849" i="2" s="1"/>
  <c r="D1844" i="2"/>
  <c r="B1843" i="2"/>
  <c r="D1604" i="2"/>
  <c r="D1616" i="2" s="1"/>
  <c r="D1535" i="2"/>
  <c r="D1529" i="2"/>
  <c r="D1528" i="2"/>
  <c r="D1509" i="2"/>
  <c r="D1503" i="2"/>
  <c r="D1502" i="2"/>
  <c r="D1483" i="2"/>
  <c r="D1477" i="2"/>
  <c r="D1476" i="2"/>
  <c r="D1456" i="2"/>
  <c r="D1450" i="2"/>
  <c r="D1449" i="2"/>
  <c r="D1294" i="2"/>
  <c r="D1288" i="2"/>
  <c r="D1289" i="2"/>
  <c r="I116" i="3"/>
  <c r="L116" i="3"/>
  <c r="M116" i="3" s="1"/>
  <c r="Q116" i="3"/>
  <c r="R116" i="3" s="1"/>
  <c r="U116" i="3"/>
  <c r="D1349" i="2"/>
  <c r="D1342" i="2"/>
  <c r="D1343" i="2"/>
  <c r="D1813" i="2"/>
  <c r="D1817" i="2"/>
  <c r="D1816" i="2"/>
  <c r="B1816" i="2"/>
  <c r="G1795" i="2"/>
  <c r="D1786" i="2"/>
  <c r="B1789" i="2"/>
  <c r="F1423" i="2"/>
  <c r="F1425" i="2" s="1"/>
  <c r="G1425" i="2" s="1"/>
  <c r="G1769" i="2"/>
  <c r="B1763" i="2"/>
  <c r="D1760" i="2"/>
  <c r="C368" i="1"/>
  <c r="K376" i="1"/>
  <c r="P376" i="1" s="1"/>
  <c r="K377" i="1"/>
  <c r="P377" i="1" s="1"/>
  <c r="K378" i="1"/>
  <c r="P378" i="1" s="1"/>
  <c r="F6" i="1"/>
  <c r="F10" i="1"/>
  <c r="F11" i="1" s="1"/>
  <c r="F12" i="1" s="1"/>
  <c r="F14" i="1"/>
  <c r="F18" i="1"/>
  <c r="F22" i="1"/>
  <c r="F26" i="1"/>
  <c r="F27" i="1" s="1"/>
  <c r="F28" i="1" s="1"/>
  <c r="F30" i="1"/>
  <c r="F31" i="1" s="1"/>
  <c r="F32" i="1" s="1"/>
  <c r="F34" i="1"/>
  <c r="F35" i="1" s="1"/>
  <c r="F36" i="1" s="1"/>
  <c r="F38" i="1"/>
  <c r="F42" i="1"/>
  <c r="F46" i="1"/>
  <c r="F47" i="1" s="1"/>
  <c r="F48" i="1" s="1"/>
  <c r="F50" i="1"/>
  <c r="F54" i="1"/>
  <c r="F55" i="1" s="1"/>
  <c r="F56" i="1" s="1"/>
  <c r="F58" i="1"/>
  <c r="F59" i="1" s="1"/>
  <c r="F60" i="1" s="1"/>
  <c r="F62" i="1"/>
  <c r="F63" i="1" s="1"/>
  <c r="F64" i="1" s="1"/>
  <c r="F66" i="1"/>
  <c r="F67" i="1" s="1"/>
  <c r="F68" i="1" s="1"/>
  <c r="F70" i="1"/>
  <c r="F74" i="1"/>
  <c r="F78" i="1"/>
  <c r="F79" i="1" s="1"/>
  <c r="F80" i="1" s="1"/>
  <c r="F82" i="1"/>
  <c r="F86" i="1"/>
  <c r="F87" i="1" s="1"/>
  <c r="F88" i="1" s="1"/>
  <c r="F90" i="1"/>
  <c r="F91" i="1" s="1"/>
  <c r="F92" i="1" s="1"/>
  <c r="F94" i="1"/>
  <c r="F95" i="1" s="1"/>
  <c r="F96" i="1" s="1"/>
  <c r="F98" i="1"/>
  <c r="F99" i="1" s="1"/>
  <c r="F100" i="1" s="1"/>
  <c r="F102" i="1"/>
  <c r="F103" i="1" s="1"/>
  <c r="F104" i="1" s="1"/>
  <c r="F106" i="1"/>
  <c r="F107" i="1" s="1"/>
  <c r="F108" i="1" s="1"/>
  <c r="F110" i="1"/>
  <c r="F111" i="1" s="1"/>
  <c r="F112" i="1" s="1"/>
  <c r="F114" i="1"/>
  <c r="F118" i="1"/>
  <c r="F119" i="1" s="1"/>
  <c r="F120" i="1" s="1"/>
  <c r="F122" i="1"/>
  <c r="F123" i="1" s="1"/>
  <c r="F124" i="1" s="1"/>
  <c r="F126" i="1"/>
  <c r="F127" i="1" s="1"/>
  <c r="F128" i="1" s="1"/>
  <c r="F130" i="1"/>
  <c r="F131" i="1" s="1"/>
  <c r="F132" i="1" s="1"/>
  <c r="F134" i="1"/>
  <c r="F138" i="1"/>
  <c r="F139" i="1" s="1"/>
  <c r="F140" i="1" s="1"/>
  <c r="F142" i="1"/>
  <c r="F146" i="1"/>
  <c r="F150" i="1"/>
  <c r="F151" i="1" s="1"/>
  <c r="F152" i="1" s="1"/>
  <c r="F154" i="1"/>
  <c r="F155" i="1" s="1"/>
  <c r="F156" i="1" s="1"/>
  <c r="F158" i="1"/>
  <c r="F159" i="1" s="1"/>
  <c r="F160" i="1" s="1"/>
  <c r="F162" i="1"/>
  <c r="F163" i="1" s="1"/>
  <c r="F164" i="1" s="1"/>
  <c r="F166" i="1"/>
  <c r="F170" i="1"/>
  <c r="F171" i="1" s="1"/>
  <c r="F172" i="1" s="1"/>
  <c r="F174" i="1"/>
  <c r="F175" i="1" s="1"/>
  <c r="F176" i="1" s="1"/>
  <c r="F178" i="1"/>
  <c r="F182" i="1"/>
  <c r="F183" i="1" s="1"/>
  <c r="F184" i="1" s="1"/>
  <c r="F186" i="1"/>
  <c r="F190" i="1"/>
  <c r="F191" i="1" s="1"/>
  <c r="F192" i="1" s="1"/>
  <c r="F194" i="1"/>
  <c r="F195" i="1" s="1"/>
  <c r="F196" i="1" s="1"/>
  <c r="F198" i="1"/>
  <c r="F202" i="1"/>
  <c r="F206" i="1"/>
  <c r="F207" i="1" s="1"/>
  <c r="F208" i="1" s="1"/>
  <c r="F210" i="1"/>
  <c r="F214" i="1"/>
  <c r="F215" i="1" s="1"/>
  <c r="F216" i="1" s="1"/>
  <c r="F218" i="1"/>
  <c r="F219" i="1" s="1"/>
  <c r="F220" i="1" s="1"/>
  <c r="F222" i="1"/>
  <c r="F223" i="1" s="1"/>
  <c r="F224" i="1" s="1"/>
  <c r="F226" i="1"/>
  <c r="F227" i="1" s="1"/>
  <c r="F228" i="1" s="1"/>
  <c r="F230" i="1"/>
  <c r="F231" i="1" s="1"/>
  <c r="F232" i="1" s="1"/>
  <c r="F234" i="1"/>
  <c r="F235" i="1" s="1"/>
  <c r="F236" i="1" s="1"/>
  <c r="F238" i="1"/>
  <c r="F242" i="1"/>
  <c r="F246" i="1"/>
  <c r="F247" i="1" s="1"/>
  <c r="F248" i="1" s="1"/>
  <c r="F250" i="1"/>
  <c r="F251" i="1" s="1"/>
  <c r="F252" i="1" s="1"/>
  <c r="F254" i="1"/>
  <c r="F258" i="1"/>
  <c r="F259" i="1" s="1"/>
  <c r="F260" i="1" s="1"/>
  <c r="F262" i="1"/>
  <c r="F263" i="1" s="1"/>
  <c r="F264" i="1" s="1"/>
  <c r="F266" i="1"/>
  <c r="F267" i="1" s="1"/>
  <c r="F268" i="1" s="1"/>
  <c r="G122" i="1"/>
  <c r="G123" i="1" s="1"/>
  <c r="G124" i="1" s="1"/>
  <c r="K46" i="1"/>
  <c r="K47" i="1" s="1"/>
  <c r="K48" i="1" s="1"/>
  <c r="K126" i="1"/>
  <c r="K127" i="1" s="1"/>
  <c r="K128" i="1" s="1"/>
  <c r="L98" i="1"/>
  <c r="L174" i="1"/>
  <c r="N138" i="1"/>
  <c r="N139" i="1" s="1"/>
  <c r="N140" i="1" s="1"/>
  <c r="N146" i="1"/>
  <c r="N147" i="1" s="1"/>
  <c r="N148" i="1" s="1"/>
  <c r="C6" i="1"/>
  <c r="C7" i="1" s="1"/>
  <c r="C10" i="1"/>
  <c r="C14" i="1"/>
  <c r="C15" i="1" s="1"/>
  <c r="C16" i="1" s="1"/>
  <c r="C18" i="1"/>
  <c r="C19" i="1" s="1"/>
  <c r="C20" i="1" s="1"/>
  <c r="C22" i="1"/>
  <c r="C26" i="1"/>
  <c r="C30" i="1"/>
  <c r="C31" i="1" s="1"/>
  <c r="C32" i="1" s="1"/>
  <c r="C34" i="1"/>
  <c r="C35" i="1" s="1"/>
  <c r="C36" i="1" s="1"/>
  <c r="C38" i="1"/>
  <c r="C39" i="1" s="1"/>
  <c r="C40" i="1" s="1"/>
  <c r="C42" i="1"/>
  <c r="C46" i="1"/>
  <c r="C50" i="1"/>
  <c r="C51" i="1" s="1"/>
  <c r="C52" i="1" s="1"/>
  <c r="C54" i="1"/>
  <c r="C58" i="1"/>
  <c r="C62" i="1"/>
  <c r="C63" i="1" s="1"/>
  <c r="C64" i="1" s="1"/>
  <c r="C66" i="1"/>
  <c r="C67" i="1" s="1"/>
  <c r="C68" i="1" s="1"/>
  <c r="C70" i="1"/>
  <c r="C71" i="1" s="1"/>
  <c r="C72" i="1" s="1"/>
  <c r="C74" i="1"/>
  <c r="C78" i="1"/>
  <c r="C82" i="1"/>
  <c r="C83" i="1" s="1"/>
  <c r="C84" i="1" s="1"/>
  <c r="C86" i="1"/>
  <c r="C90" i="1"/>
  <c r="C91" i="1" s="1"/>
  <c r="C92" i="1" s="1"/>
  <c r="C94" i="1"/>
  <c r="C95" i="1" s="1"/>
  <c r="C96" i="1" s="1"/>
  <c r="C98" i="1"/>
  <c r="C99" i="1" s="1"/>
  <c r="C100" i="1" s="1"/>
  <c r="C102" i="1"/>
  <c r="C103" i="1" s="1"/>
  <c r="C104" i="1" s="1"/>
  <c r="C106" i="1"/>
  <c r="C110" i="1"/>
  <c r="C111" i="1" s="1"/>
  <c r="C112" i="1" s="1"/>
  <c r="C114" i="1"/>
  <c r="C118" i="1"/>
  <c r="C122" i="1"/>
  <c r="C126" i="1"/>
  <c r="C127" i="1" s="1"/>
  <c r="C128" i="1" s="1"/>
  <c r="C130" i="1"/>
  <c r="C131" i="1" s="1"/>
  <c r="C132" i="1" s="1"/>
  <c r="C134" i="1"/>
  <c r="C138" i="1"/>
  <c r="C142" i="1"/>
  <c r="C143" i="1" s="1"/>
  <c r="C144" i="1" s="1"/>
  <c r="C146" i="1"/>
  <c r="C147" i="1" s="1"/>
  <c r="C148" i="1" s="1"/>
  <c r="C150" i="1"/>
  <c r="C154" i="1"/>
  <c r="C155" i="1" s="1"/>
  <c r="C156" i="1" s="1"/>
  <c r="C158" i="1"/>
  <c r="C159" i="1" s="1"/>
  <c r="C160" i="1" s="1"/>
  <c r="C162" i="1"/>
  <c r="C163" i="1" s="1"/>
  <c r="C164" i="1" s="1"/>
  <c r="C166" i="1"/>
  <c r="C167" i="1" s="1"/>
  <c r="C170" i="1"/>
  <c r="C174" i="1"/>
  <c r="C175" i="1" s="1"/>
  <c r="C176" i="1" s="1"/>
  <c r="C178" i="1"/>
  <c r="C179" i="1" s="1"/>
  <c r="C180" i="1" s="1"/>
  <c r="C182" i="1"/>
  <c r="C186" i="1"/>
  <c r="C187" i="1" s="1"/>
  <c r="C188" i="1" s="1"/>
  <c r="C190" i="1"/>
  <c r="C191" i="1" s="1"/>
  <c r="C192" i="1" s="1"/>
  <c r="C194" i="1"/>
  <c r="C195" i="1" s="1"/>
  <c r="C196" i="1" s="1"/>
  <c r="C198" i="1"/>
  <c r="C199" i="1" s="1"/>
  <c r="C202" i="1"/>
  <c r="C206" i="1"/>
  <c r="C207" i="1" s="1"/>
  <c r="C208" i="1" s="1"/>
  <c r="C210" i="1"/>
  <c r="C211" i="1" s="1"/>
  <c r="C212" i="1" s="1"/>
  <c r="C214" i="1"/>
  <c r="C218" i="1"/>
  <c r="C222" i="1"/>
  <c r="C223" i="1" s="1"/>
  <c r="C224" i="1" s="1"/>
  <c r="C226" i="1"/>
  <c r="C227" i="1" s="1"/>
  <c r="C228" i="1" s="1"/>
  <c r="C230" i="1"/>
  <c r="C231" i="1" s="1"/>
  <c r="C232" i="1" s="1"/>
  <c r="C234" i="1"/>
  <c r="C238" i="1"/>
  <c r="C242" i="1"/>
  <c r="C243" i="1" s="1"/>
  <c r="C244" i="1" s="1"/>
  <c r="C246" i="1"/>
  <c r="C247" i="1" s="1"/>
  <c r="C248" i="1" s="1"/>
  <c r="C250" i="1"/>
  <c r="C251" i="1" s="1"/>
  <c r="C252" i="1" s="1"/>
  <c r="C254" i="1"/>
  <c r="C255" i="1" s="1"/>
  <c r="C256" i="1" s="1"/>
  <c r="C258" i="1"/>
  <c r="C259" i="1" s="1"/>
  <c r="C260" i="1" s="1"/>
  <c r="C262" i="1"/>
  <c r="C263" i="1" s="1"/>
  <c r="C264" i="1" s="1"/>
  <c r="C266" i="1"/>
  <c r="D6" i="1"/>
  <c r="D7" i="1" s="1"/>
  <c r="D10" i="1"/>
  <c r="D14" i="1"/>
  <c r="D18" i="1"/>
  <c r="D19" i="1" s="1"/>
  <c r="D20" i="1" s="1"/>
  <c r="D22" i="1"/>
  <c r="D23" i="1" s="1"/>
  <c r="D24" i="1" s="1"/>
  <c r="D26" i="1"/>
  <c r="D27" i="1" s="1"/>
  <c r="D28" i="1" s="1"/>
  <c r="D30" i="1"/>
  <c r="D31" i="1" s="1"/>
  <c r="D32" i="1" s="1"/>
  <c r="D34" i="1"/>
  <c r="D38" i="1"/>
  <c r="D42" i="1"/>
  <c r="D46" i="1"/>
  <c r="D50" i="1"/>
  <c r="D51" i="1" s="1"/>
  <c r="D52" i="1" s="1"/>
  <c r="D54" i="1"/>
  <c r="D55" i="1" s="1"/>
  <c r="D56" i="1" s="1"/>
  <c r="D58" i="1"/>
  <c r="D59" i="1" s="1"/>
  <c r="D60" i="1" s="1"/>
  <c r="D62" i="1"/>
  <c r="D63" i="1" s="1"/>
  <c r="D64" i="1" s="1"/>
  <c r="D66" i="1"/>
  <c r="D67" i="1" s="1"/>
  <c r="D70" i="1"/>
  <c r="D71" i="1" s="1"/>
  <c r="D72" i="1" s="1"/>
  <c r="D74" i="1"/>
  <c r="D75" i="1" s="1"/>
  <c r="D76" i="1" s="1"/>
  <c r="D78" i="1"/>
  <c r="D82" i="1"/>
  <c r="D83" i="1" s="1"/>
  <c r="D84" i="1" s="1"/>
  <c r="D86" i="1"/>
  <c r="D87" i="1" s="1"/>
  <c r="D88" i="1" s="1"/>
  <c r="D90" i="1"/>
  <c r="D91" i="1" s="1"/>
  <c r="D92" i="1" s="1"/>
  <c r="D94" i="1"/>
  <c r="D95" i="1" s="1"/>
  <c r="D96" i="1" s="1"/>
  <c r="D98" i="1"/>
  <c r="D102" i="1"/>
  <c r="D103" i="1" s="1"/>
  <c r="D104" i="1" s="1"/>
  <c r="D106" i="1"/>
  <c r="D107" i="1" s="1"/>
  <c r="D108" i="1" s="1"/>
  <c r="D110" i="1"/>
  <c r="D114" i="1"/>
  <c r="D115" i="1" s="1"/>
  <c r="D116" i="1" s="1"/>
  <c r="D118" i="1"/>
  <c r="D119" i="1" s="1"/>
  <c r="D120" i="1" s="1"/>
  <c r="D122" i="1"/>
  <c r="D123" i="1" s="1"/>
  <c r="D124" i="1" s="1"/>
  <c r="D126" i="1"/>
  <c r="D127" i="1" s="1"/>
  <c r="D128" i="1" s="1"/>
  <c r="D130" i="1"/>
  <c r="D134" i="1"/>
  <c r="D135" i="1" s="1"/>
  <c r="D136" i="1" s="1"/>
  <c r="D138" i="1"/>
  <c r="D142" i="1"/>
  <c r="D146" i="1"/>
  <c r="D147" i="1" s="1"/>
  <c r="D148" i="1" s="1"/>
  <c r="D150" i="1"/>
  <c r="D151" i="1" s="1"/>
  <c r="D152" i="1" s="1"/>
  <c r="D154" i="1"/>
  <c r="D155" i="1" s="1"/>
  <c r="D156" i="1" s="1"/>
  <c r="D158" i="1"/>
  <c r="D159" i="1" s="1"/>
  <c r="D160" i="1" s="1"/>
  <c r="D162" i="1"/>
  <c r="D163" i="1" s="1"/>
  <c r="D166" i="1"/>
  <c r="D167" i="1" s="1"/>
  <c r="D168" i="1" s="1"/>
  <c r="D170" i="1"/>
  <c r="D174" i="1"/>
  <c r="D178" i="1"/>
  <c r="D179" i="1" s="1"/>
  <c r="D180" i="1" s="1"/>
  <c r="D182" i="1"/>
  <c r="D183" i="1" s="1"/>
  <c r="D184" i="1" s="1"/>
  <c r="D186" i="1"/>
  <c r="D187" i="1" s="1"/>
  <c r="D188" i="1" s="1"/>
  <c r="D190" i="1"/>
  <c r="D191" i="1" s="1"/>
  <c r="D192" i="1" s="1"/>
  <c r="D194" i="1"/>
  <c r="D198" i="1"/>
  <c r="D199" i="1" s="1"/>
  <c r="D200" i="1" s="1"/>
  <c r="D202" i="1"/>
  <c r="D203" i="1" s="1"/>
  <c r="D204" i="1" s="1"/>
  <c r="D206" i="1"/>
  <c r="D210" i="1"/>
  <c r="D211" i="1" s="1"/>
  <c r="D212" i="1" s="1"/>
  <c r="D214" i="1"/>
  <c r="D215" i="1" s="1"/>
  <c r="D216" i="1" s="1"/>
  <c r="D218" i="1"/>
  <c r="D219" i="1" s="1"/>
  <c r="D220" i="1" s="1"/>
  <c r="D222" i="1"/>
  <c r="D223" i="1" s="1"/>
  <c r="D224" i="1" s="1"/>
  <c r="D226" i="1"/>
  <c r="D230" i="1"/>
  <c r="D231" i="1" s="1"/>
  <c r="D232" i="1" s="1"/>
  <c r="D234" i="1"/>
  <c r="D238" i="1"/>
  <c r="D242" i="1"/>
  <c r="D243" i="1" s="1"/>
  <c r="D244" i="1" s="1"/>
  <c r="D246" i="1"/>
  <c r="D247" i="1" s="1"/>
  <c r="D248" i="1" s="1"/>
  <c r="D250" i="1"/>
  <c r="D251" i="1" s="1"/>
  <c r="D252" i="1" s="1"/>
  <c r="D254" i="1"/>
  <c r="D255" i="1" s="1"/>
  <c r="D256" i="1" s="1"/>
  <c r="D258" i="1"/>
  <c r="D262" i="1"/>
  <c r="D266" i="1"/>
  <c r="D267" i="1" s="1"/>
  <c r="D268" i="1" s="1"/>
  <c r="E6" i="1"/>
  <c r="E7" i="1" s="1"/>
  <c r="E10" i="1"/>
  <c r="E11" i="1" s="1"/>
  <c r="E12" i="1" s="1"/>
  <c r="E14" i="1"/>
  <c r="E15" i="1" s="1"/>
  <c r="E16" i="1" s="1"/>
  <c r="E18" i="1"/>
  <c r="E19" i="1" s="1"/>
  <c r="E20" i="1" s="1"/>
  <c r="E22" i="1"/>
  <c r="E23" i="1" s="1"/>
  <c r="E24" i="1" s="1"/>
  <c r="E26" i="1"/>
  <c r="E27" i="1" s="1"/>
  <c r="E30" i="1"/>
  <c r="E31" i="1" s="1"/>
  <c r="E32" i="1" s="1"/>
  <c r="E34" i="1"/>
  <c r="E35" i="1" s="1"/>
  <c r="E36" i="1" s="1"/>
  <c r="E38" i="1"/>
  <c r="E39" i="1" s="1"/>
  <c r="E40" i="1" s="1"/>
  <c r="E42" i="1"/>
  <c r="E43" i="1" s="1"/>
  <c r="E44" i="1" s="1"/>
  <c r="E46" i="1"/>
  <c r="E50" i="1"/>
  <c r="E51" i="1" s="1"/>
  <c r="E52" i="1" s="1"/>
  <c r="E54" i="1"/>
  <c r="E55" i="1" s="1"/>
  <c r="E56" i="1" s="1"/>
  <c r="E58" i="1"/>
  <c r="E59" i="1" s="1"/>
  <c r="E60" i="1" s="1"/>
  <c r="E62" i="1"/>
  <c r="E63" i="1" s="1"/>
  <c r="E64" i="1" s="1"/>
  <c r="E66" i="1"/>
  <c r="E67" i="1" s="1"/>
  <c r="E68" i="1" s="1"/>
  <c r="E70" i="1"/>
  <c r="E71" i="1" s="1"/>
  <c r="E72" i="1" s="1"/>
  <c r="E74" i="1"/>
  <c r="E75" i="1" s="1"/>
  <c r="E76" i="1" s="1"/>
  <c r="E78" i="1"/>
  <c r="E79" i="1" s="1"/>
  <c r="E80" i="1" s="1"/>
  <c r="E82" i="1"/>
  <c r="E83" i="1" s="1"/>
  <c r="E84" i="1" s="1"/>
  <c r="E86" i="1"/>
  <c r="E87" i="1" s="1"/>
  <c r="E88" i="1" s="1"/>
  <c r="E90" i="1"/>
  <c r="E91" i="1" s="1"/>
  <c r="E92" i="1" s="1"/>
  <c r="E94" i="1"/>
  <c r="E95" i="1" s="1"/>
  <c r="E96" i="1" s="1"/>
  <c r="E98" i="1"/>
  <c r="E99" i="1" s="1"/>
  <c r="E100" i="1" s="1"/>
  <c r="E102" i="1"/>
  <c r="E103" i="1" s="1"/>
  <c r="E104" i="1" s="1"/>
  <c r="E106" i="1"/>
  <c r="E107" i="1" s="1"/>
  <c r="E108" i="1" s="1"/>
  <c r="E110" i="1"/>
  <c r="E111" i="1" s="1"/>
  <c r="E112" i="1" s="1"/>
  <c r="E114" i="1"/>
  <c r="E115" i="1" s="1"/>
  <c r="E116" i="1" s="1"/>
  <c r="E118" i="1"/>
  <c r="E119" i="1" s="1"/>
  <c r="E120" i="1" s="1"/>
  <c r="E122" i="1"/>
  <c r="E123" i="1" s="1"/>
  <c r="E124" i="1" s="1"/>
  <c r="E126" i="1"/>
  <c r="E127" i="1" s="1"/>
  <c r="E128" i="1" s="1"/>
  <c r="E130" i="1"/>
  <c r="E131" i="1" s="1"/>
  <c r="E132" i="1" s="1"/>
  <c r="E134" i="1"/>
  <c r="E135" i="1" s="1"/>
  <c r="E136" i="1" s="1"/>
  <c r="E138" i="1"/>
  <c r="E139" i="1" s="1"/>
  <c r="E140" i="1" s="1"/>
  <c r="E142" i="1"/>
  <c r="E143" i="1" s="1"/>
  <c r="E144" i="1" s="1"/>
  <c r="E146" i="1"/>
  <c r="E147" i="1" s="1"/>
  <c r="E148" i="1" s="1"/>
  <c r="E150" i="1"/>
  <c r="E151" i="1" s="1"/>
  <c r="E152" i="1" s="1"/>
  <c r="E154" i="1"/>
  <c r="E158" i="1"/>
  <c r="E159" i="1" s="1"/>
  <c r="E160" i="1" s="1"/>
  <c r="E162" i="1"/>
  <c r="E163" i="1" s="1"/>
  <c r="E164" i="1" s="1"/>
  <c r="E166" i="1"/>
  <c r="E167" i="1" s="1"/>
  <c r="E168" i="1" s="1"/>
  <c r="E170" i="1"/>
  <c r="E171" i="1" s="1"/>
  <c r="E172" i="1" s="1"/>
  <c r="E174" i="1"/>
  <c r="E175" i="1" s="1"/>
  <c r="E176" i="1" s="1"/>
  <c r="E178" i="1"/>
  <c r="E179" i="1" s="1"/>
  <c r="E180" i="1" s="1"/>
  <c r="E182" i="1"/>
  <c r="E183" i="1" s="1"/>
  <c r="E184" i="1" s="1"/>
  <c r="E186" i="1"/>
  <c r="E187" i="1" s="1"/>
  <c r="E188" i="1" s="1"/>
  <c r="E190" i="1"/>
  <c r="E191" i="1" s="1"/>
  <c r="E192" i="1" s="1"/>
  <c r="E194" i="1"/>
  <c r="E195" i="1" s="1"/>
  <c r="E196" i="1" s="1"/>
  <c r="E198" i="1"/>
  <c r="E199" i="1" s="1"/>
  <c r="E200" i="1" s="1"/>
  <c r="E202" i="1"/>
  <c r="E203" i="1" s="1"/>
  <c r="E204" i="1" s="1"/>
  <c r="E206" i="1"/>
  <c r="E207" i="1" s="1"/>
  <c r="E208" i="1" s="1"/>
  <c r="E210" i="1"/>
  <c r="E211" i="1" s="1"/>
  <c r="E212" i="1" s="1"/>
  <c r="E214" i="1"/>
  <c r="E215" i="1" s="1"/>
  <c r="E216" i="1" s="1"/>
  <c r="E218" i="1"/>
  <c r="E219" i="1" s="1"/>
  <c r="E220" i="1" s="1"/>
  <c r="E222" i="1"/>
  <c r="E223" i="1" s="1"/>
  <c r="E224" i="1" s="1"/>
  <c r="E226" i="1"/>
  <c r="E227" i="1" s="1"/>
  <c r="E228" i="1" s="1"/>
  <c r="E230" i="1"/>
  <c r="E231" i="1" s="1"/>
  <c r="E232" i="1" s="1"/>
  <c r="E234" i="1"/>
  <c r="E235" i="1" s="1"/>
  <c r="E236" i="1" s="1"/>
  <c r="E238" i="1"/>
  <c r="E239" i="1" s="1"/>
  <c r="E240" i="1" s="1"/>
  <c r="E242" i="1"/>
  <c r="E243" i="1" s="1"/>
  <c r="E244" i="1" s="1"/>
  <c r="E246" i="1"/>
  <c r="E247" i="1" s="1"/>
  <c r="E248" i="1" s="1"/>
  <c r="E250" i="1"/>
  <c r="E254" i="1"/>
  <c r="E255" i="1" s="1"/>
  <c r="E256" i="1" s="1"/>
  <c r="E258" i="1"/>
  <c r="E259" i="1" s="1"/>
  <c r="E260" i="1" s="1"/>
  <c r="E262" i="1"/>
  <c r="E263" i="1" s="1"/>
  <c r="E264" i="1" s="1"/>
  <c r="E266" i="1"/>
  <c r="E267" i="1" s="1"/>
  <c r="E268" i="1" s="1"/>
  <c r="D1776" i="2"/>
  <c r="G1822" i="2"/>
  <c r="D1472" i="2"/>
  <c r="D1498" i="2"/>
  <c r="D1524" i="2"/>
  <c r="D1550" i="2"/>
  <c r="D1576" i="2"/>
  <c r="D1710" i="2"/>
  <c r="D1736" i="2"/>
  <c r="F1688" i="2"/>
  <c r="D1681" i="2" s="1"/>
  <c r="F1740" i="2"/>
  <c r="D1733" i="2" s="1"/>
  <c r="D1737" i="2"/>
  <c r="B1736" i="2"/>
  <c r="D1707" i="2"/>
  <c r="D1711" i="2"/>
  <c r="B1710" i="2"/>
  <c r="F1661" i="2"/>
  <c r="F1663" i="2" s="1"/>
  <c r="G1663" i="2" s="1"/>
  <c r="F1634" i="2"/>
  <c r="D1627" i="2" s="1"/>
  <c r="F255" i="1"/>
  <c r="F256" i="1" s="1"/>
  <c r="F243" i="1"/>
  <c r="F244" i="1" s="1"/>
  <c r="F239" i="1"/>
  <c r="F240" i="1" s="1"/>
  <c r="F211" i="1"/>
  <c r="F212" i="1" s="1"/>
  <c r="F203" i="1"/>
  <c r="F204" i="1" s="1"/>
  <c r="F199" i="1"/>
  <c r="F200" i="1" s="1"/>
  <c r="F187" i="1"/>
  <c r="F188" i="1" s="1"/>
  <c r="F179" i="1"/>
  <c r="F180" i="1" s="1"/>
  <c r="F167" i="1"/>
  <c r="F168" i="1" s="1"/>
  <c r="F147" i="1"/>
  <c r="F148" i="1" s="1"/>
  <c r="F143" i="1"/>
  <c r="F144" i="1" s="1"/>
  <c r="F135" i="1"/>
  <c r="F136" i="1" s="1"/>
  <c r="F115" i="1"/>
  <c r="F116" i="1" s="1"/>
  <c r="F83" i="1"/>
  <c r="F84" i="1" s="1"/>
  <c r="F75" i="1"/>
  <c r="F76" i="1" s="1"/>
  <c r="F71" i="1"/>
  <c r="F72" i="1" s="1"/>
  <c r="F51" i="1"/>
  <c r="F52" i="1" s="1"/>
  <c r="F43" i="1"/>
  <c r="F44" i="1" s="1"/>
  <c r="F39" i="1"/>
  <c r="F40" i="1" s="1"/>
  <c r="F19" i="1"/>
  <c r="F20" i="1" s="1"/>
  <c r="F15" i="1"/>
  <c r="F16" i="1" s="1"/>
  <c r="F7" i="1"/>
  <c r="D1320" i="2"/>
  <c r="D1315" i="2"/>
  <c r="D1316" i="2"/>
  <c r="D1265" i="2"/>
  <c r="D1262" i="2"/>
  <c r="D1263" i="2"/>
  <c r="D1685" i="2"/>
  <c r="D1684" i="2"/>
  <c r="B1684" i="2"/>
  <c r="D1658" i="2"/>
  <c r="D1657" i="2"/>
  <c r="B1657" i="2"/>
  <c r="D1630" i="2"/>
  <c r="D1631" i="2"/>
  <c r="B1630" i="2"/>
  <c r="F1609" i="2"/>
  <c r="G1609" i="2" s="1"/>
  <c r="B1603" i="2"/>
  <c r="D1600" i="2"/>
  <c r="D1239" i="2"/>
  <c r="D1236" i="2"/>
  <c r="D1237" i="2"/>
  <c r="D1577" i="2"/>
  <c r="F1580" i="2"/>
  <c r="F1582" i="2" s="1"/>
  <c r="G1582" i="2" s="1"/>
  <c r="B1576" i="2"/>
  <c r="D1112" i="2"/>
  <c r="D1105" i="2"/>
  <c r="D1106" i="2"/>
  <c r="D1209" i="2"/>
  <c r="D1214" i="2"/>
  <c r="D1210" i="2"/>
  <c r="D1206" i="2"/>
  <c r="D1205" i="2"/>
  <c r="D1188" i="2"/>
  <c r="D1184" i="2"/>
  <c r="D1183" i="2"/>
  <c r="D1180" i="2"/>
  <c r="D1179" i="2"/>
  <c r="D1162" i="2"/>
  <c r="D1157" i="2"/>
  <c r="L33" i="3"/>
  <c r="M33" i="3" s="1"/>
  <c r="K37" i="3"/>
  <c r="U37" i="3" s="1"/>
  <c r="L89" i="3"/>
  <c r="K89" i="3"/>
  <c r="U89" i="3" s="1"/>
  <c r="L69" i="3"/>
  <c r="K69" i="3"/>
  <c r="U69" i="3" s="1"/>
  <c r="L67" i="3"/>
  <c r="K67" i="3"/>
  <c r="U67" i="3" s="1"/>
  <c r="K66" i="3"/>
  <c r="U66" i="3" s="1"/>
  <c r="F573" i="2"/>
  <c r="F732" i="2"/>
  <c r="K58" i="3"/>
  <c r="U58" i="3" s="1"/>
  <c r="L58" i="3"/>
  <c r="L54" i="3"/>
  <c r="K54" i="3"/>
  <c r="U54" i="3" s="1"/>
  <c r="L53" i="3"/>
  <c r="K53" i="3"/>
  <c r="K65" i="3"/>
  <c r="D1085" i="2"/>
  <c r="D1078" i="2"/>
  <c r="D1079" i="2"/>
  <c r="F838" i="2"/>
  <c r="F837" i="2"/>
  <c r="D830" i="2" s="1"/>
  <c r="F520" i="2"/>
  <c r="F519" i="2"/>
  <c r="M51" i="3"/>
  <c r="D1138" i="2"/>
  <c r="D1132" i="2"/>
  <c r="D918" i="2"/>
  <c r="D1551" i="2"/>
  <c r="F1554" i="2"/>
  <c r="F1556" i="2" s="1"/>
  <c r="G1556" i="2" s="1"/>
  <c r="B1550" i="2"/>
  <c r="F1397" i="2"/>
  <c r="G1530" i="2"/>
  <c r="D1525" i="2"/>
  <c r="B1524" i="2"/>
  <c r="F1502" i="2"/>
  <c r="D1495" i="2" s="1"/>
  <c r="D1499" i="2"/>
  <c r="B1498" i="2"/>
  <c r="D1521" i="2"/>
  <c r="D1005" i="2"/>
  <c r="D1445" i="2"/>
  <c r="D1469" i="2"/>
  <c r="D1473" i="2"/>
  <c r="B1472" i="2"/>
  <c r="G1451" i="2"/>
  <c r="D1446" i="2"/>
  <c r="B1445" i="2"/>
  <c r="D1442" i="2"/>
  <c r="G1478" i="2"/>
  <c r="D978" i="2"/>
  <c r="D973" i="2"/>
  <c r="D972" i="2"/>
  <c r="D969" i="2"/>
  <c r="D968" i="2"/>
  <c r="F972" i="2"/>
  <c r="D1031" i="2"/>
  <c r="D1420" i="2"/>
  <c r="D1419" i="2"/>
  <c r="B1419" i="2"/>
  <c r="D1416" i="2"/>
  <c r="D1339" i="2"/>
  <c r="K57" i="3"/>
  <c r="F309" i="2"/>
  <c r="F283" i="2"/>
  <c r="F1396" i="2"/>
  <c r="D1393" i="2"/>
  <c r="D1392" i="2"/>
  <c r="B1392" i="2"/>
  <c r="D1057" i="2"/>
  <c r="F892" i="2"/>
  <c r="F784" i="2"/>
  <c r="F783" i="2"/>
  <c r="D776" i="2" s="1"/>
  <c r="F758" i="2"/>
  <c r="F415" i="2"/>
  <c r="F68" i="2"/>
  <c r="F95" i="2"/>
  <c r="F42" i="2"/>
  <c r="F15" i="2"/>
  <c r="F706" i="2"/>
  <c r="F600" i="2"/>
  <c r="F494" i="2"/>
  <c r="F468" i="2"/>
  <c r="Q44" i="3"/>
  <c r="R44" i="3" s="1"/>
  <c r="Q40" i="3"/>
  <c r="R40" i="3" s="1"/>
  <c r="Q32" i="3"/>
  <c r="R32" i="3" s="1"/>
  <c r="F1369" i="2"/>
  <c r="F1370" i="2"/>
  <c r="L82" i="3"/>
  <c r="M82" i="3" s="1"/>
  <c r="F202" i="2"/>
  <c r="F201" i="2"/>
  <c r="D194" i="2" s="1"/>
  <c r="F175" i="2"/>
  <c r="F174" i="2"/>
  <c r="F148" i="2"/>
  <c r="Q18" i="3"/>
  <c r="R18" i="3" s="1"/>
  <c r="Q17" i="3"/>
  <c r="R17" i="3" s="1"/>
  <c r="Q14" i="3"/>
  <c r="R14" i="3" s="1"/>
  <c r="Q13" i="3"/>
  <c r="R13" i="3" s="1"/>
  <c r="F1342" i="2"/>
  <c r="D1335" i="2" s="1"/>
  <c r="D1366" i="2"/>
  <c r="D1370" i="2"/>
  <c r="D1369" i="2"/>
  <c r="D1365" i="2"/>
  <c r="B1365" i="2"/>
  <c r="D1284" i="2"/>
  <c r="D1338" i="2"/>
  <c r="D1311" i="2"/>
  <c r="D1258" i="2"/>
  <c r="D1232" i="2"/>
  <c r="B1338" i="2"/>
  <c r="D946" i="2"/>
  <c r="D945" i="2"/>
  <c r="D1312" i="2"/>
  <c r="F1315" i="2"/>
  <c r="D1308" i="2" s="1"/>
  <c r="B1311" i="2"/>
  <c r="F918" i="2"/>
  <c r="D911" i="2" s="1"/>
  <c r="G57" i="3"/>
  <c r="I57" i="3" s="1"/>
  <c r="D867" i="2"/>
  <c r="D865" i="2"/>
  <c r="D864" i="2"/>
  <c r="D861" i="2"/>
  <c r="D860" i="2"/>
  <c r="D894" i="2"/>
  <c r="D891" i="2"/>
  <c r="D892" i="2"/>
  <c r="D837" i="2"/>
  <c r="E4" i="4"/>
  <c r="E5" i="4"/>
  <c r="E6" i="4"/>
  <c r="E7" i="4"/>
  <c r="E8" i="4"/>
  <c r="E9" i="4"/>
  <c r="E10" i="4"/>
  <c r="E11" i="4"/>
  <c r="E12" i="4"/>
  <c r="E13" i="4"/>
  <c r="E14" i="4"/>
  <c r="E3" i="4"/>
  <c r="F1209" i="2"/>
  <c r="F1183" i="2"/>
  <c r="F1288" i="2"/>
  <c r="D1281" i="2" s="1"/>
  <c r="D1285" i="2"/>
  <c r="B1284" i="2"/>
  <c r="D1259" i="2"/>
  <c r="B1258" i="2"/>
  <c r="F1236" i="2"/>
  <c r="D1229" i="2" s="1"/>
  <c r="D1233" i="2"/>
  <c r="B1232" i="2"/>
  <c r="L73" i="3"/>
  <c r="M73" i="3" s="1"/>
  <c r="L72" i="3"/>
  <c r="M72" i="3" s="1"/>
  <c r="L74" i="3"/>
  <c r="M74" i="3" s="1"/>
  <c r="F891" i="2"/>
  <c r="L57" i="3"/>
  <c r="L56" i="3"/>
  <c r="M56" i="3" s="1"/>
  <c r="E251" i="1"/>
  <c r="E252" i="1" s="1"/>
  <c r="E155" i="1"/>
  <c r="E156" i="1" s="1"/>
  <c r="K399" i="1"/>
  <c r="P399" i="1" s="1"/>
  <c r="K400" i="1"/>
  <c r="P400" i="1" s="1"/>
  <c r="K401" i="1"/>
  <c r="P401" i="1" s="1"/>
  <c r="K383" i="1"/>
  <c r="P383" i="1" s="1"/>
  <c r="K384" i="1"/>
  <c r="P384" i="1" s="1"/>
  <c r="K385" i="1"/>
  <c r="P385" i="1" s="1"/>
  <c r="K405" i="1"/>
  <c r="P405" i="1" s="1"/>
  <c r="N362" i="1"/>
  <c r="N363" i="1" s="1"/>
  <c r="N364" i="1" s="1"/>
  <c r="M362" i="1"/>
  <c r="M363" i="1" s="1"/>
  <c r="M364" i="1" s="1"/>
  <c r="L362" i="1"/>
  <c r="L363" i="1" s="1"/>
  <c r="L364" i="1" s="1"/>
  <c r="K362" i="1"/>
  <c r="K363" i="1" s="1"/>
  <c r="K364" i="1" s="1"/>
  <c r="J362" i="1"/>
  <c r="J363" i="1" s="1"/>
  <c r="J364" i="1" s="1"/>
  <c r="I362" i="1"/>
  <c r="I363" i="1" s="1"/>
  <c r="I364" i="1" s="1"/>
  <c r="H362" i="1"/>
  <c r="H363" i="1" s="1"/>
  <c r="H364" i="1" s="1"/>
  <c r="G362" i="1"/>
  <c r="G363" i="1" s="1"/>
  <c r="G364" i="1" s="1"/>
  <c r="F362" i="1"/>
  <c r="F363" i="1" s="1"/>
  <c r="F364" i="1" s="1"/>
  <c r="E362" i="1"/>
  <c r="E363" i="1" s="1"/>
  <c r="E364" i="1" s="1"/>
  <c r="D362" i="1"/>
  <c r="D363" i="1" s="1"/>
  <c r="D364" i="1" s="1"/>
  <c r="C362" i="1"/>
  <c r="O361" i="1"/>
  <c r="N358" i="1"/>
  <c r="M358" i="1"/>
  <c r="L358" i="1"/>
  <c r="K358" i="1"/>
  <c r="J358" i="1"/>
  <c r="I358" i="1"/>
  <c r="I366" i="1" s="1"/>
  <c r="I370" i="1" s="1"/>
  <c r="H358" i="1"/>
  <c r="G358" i="1"/>
  <c r="F358" i="1"/>
  <c r="E358" i="1"/>
  <c r="D358" i="1"/>
  <c r="C358" i="1"/>
  <c r="O357" i="1"/>
  <c r="G274" i="1"/>
  <c r="G275" i="1" s="1"/>
  <c r="G276" i="1" s="1"/>
  <c r="F274" i="1"/>
  <c r="F275" i="1" s="1"/>
  <c r="F276" i="1" s="1"/>
  <c r="E274" i="1"/>
  <c r="E275" i="1" s="1"/>
  <c r="E276" i="1" s="1"/>
  <c r="D274" i="1"/>
  <c r="D275" i="1" s="1"/>
  <c r="D276" i="1" s="1"/>
  <c r="C274" i="1"/>
  <c r="C275" i="1" s="1"/>
  <c r="C276" i="1" s="1"/>
  <c r="O273" i="1"/>
  <c r="F270" i="1"/>
  <c r="F271" i="1" s="1"/>
  <c r="F272" i="1" s="1"/>
  <c r="E270" i="1"/>
  <c r="E271" i="1" s="1"/>
  <c r="E272" i="1" s="1"/>
  <c r="D270" i="1"/>
  <c r="D271" i="1" s="1"/>
  <c r="D272" i="1" s="1"/>
  <c r="C270" i="1"/>
  <c r="C271" i="1" s="1"/>
  <c r="O269" i="1"/>
  <c r="C267" i="1"/>
  <c r="C268" i="1" s="1"/>
  <c r="O265" i="1"/>
  <c r="D1127" i="2"/>
  <c r="D1101" i="2"/>
  <c r="D1074" i="2"/>
  <c r="D15" i="1"/>
  <c r="D16" i="1" s="1"/>
  <c r="D39" i="1"/>
  <c r="D40" i="1" s="1"/>
  <c r="D47" i="1"/>
  <c r="D48" i="1" s="1"/>
  <c r="D79" i="1"/>
  <c r="D80" i="1" s="1"/>
  <c r="D99" i="1"/>
  <c r="D100" i="1" s="1"/>
  <c r="D111" i="1"/>
  <c r="D112" i="1" s="1"/>
  <c r="D131" i="1"/>
  <c r="D132" i="1" s="1"/>
  <c r="D143" i="1"/>
  <c r="D144" i="1" s="1"/>
  <c r="D171" i="1"/>
  <c r="D172" i="1" s="1"/>
  <c r="D175" i="1"/>
  <c r="D176" i="1" s="1"/>
  <c r="D195" i="1"/>
  <c r="D196" i="1" s="1"/>
  <c r="D207" i="1"/>
  <c r="D208" i="1" s="1"/>
  <c r="D227" i="1"/>
  <c r="D228" i="1" s="1"/>
  <c r="D239" i="1"/>
  <c r="D240" i="1" s="1"/>
  <c r="D259" i="1"/>
  <c r="D260" i="1" s="1"/>
  <c r="D263" i="1"/>
  <c r="D264" i="1" s="1"/>
  <c r="L99" i="1"/>
  <c r="L100" i="1" s="1"/>
  <c r="K395" i="1"/>
  <c r="P395" i="1" s="1"/>
  <c r="K382" i="1"/>
  <c r="P382" i="1" s="1"/>
  <c r="D658" i="2"/>
  <c r="D631" i="2"/>
  <c r="B1205" i="2"/>
  <c r="B1179" i="2"/>
  <c r="D1158" i="2"/>
  <c r="F1157" i="2"/>
  <c r="D1154" i="2"/>
  <c r="D1153" i="2"/>
  <c r="B1153" i="2"/>
  <c r="C11" i="1"/>
  <c r="C12" i="1" s="1"/>
  <c r="C23" i="1"/>
  <c r="C24" i="1" s="1"/>
  <c r="C43" i="1"/>
  <c r="C44" i="1" s="1"/>
  <c r="C47" i="1"/>
  <c r="C48" i="1" s="1"/>
  <c r="C75" i="1"/>
  <c r="C76" i="1" s="1"/>
  <c r="C79" i="1"/>
  <c r="C80" i="1" s="1"/>
  <c r="C87" i="1"/>
  <c r="C107" i="1"/>
  <c r="C108" i="1" s="1"/>
  <c r="C115" i="1"/>
  <c r="C116" i="1" s="1"/>
  <c r="C135" i="1"/>
  <c r="C136" i="1" s="1"/>
  <c r="C139" i="1"/>
  <c r="C140" i="1" s="1"/>
  <c r="C151" i="1"/>
  <c r="C171" i="1"/>
  <c r="C172" i="1" s="1"/>
  <c r="C203" i="1"/>
  <c r="C204" i="1" s="1"/>
  <c r="C235" i="1"/>
  <c r="C236" i="1" s="1"/>
  <c r="C239" i="1"/>
  <c r="C240" i="1" s="1"/>
  <c r="G1133" i="2"/>
  <c r="D1131" i="2"/>
  <c r="D1128" i="2"/>
  <c r="B1127" i="2"/>
  <c r="D1124" i="2"/>
  <c r="G1107" i="2"/>
  <c r="D1102" i="2"/>
  <c r="B1101" i="2"/>
  <c r="F1078" i="2"/>
  <c r="D1071" i="2" s="1"/>
  <c r="D1075" i="2"/>
  <c r="B1074" i="2"/>
  <c r="D1098" i="2"/>
  <c r="D1052" i="2"/>
  <c r="D1051" i="2"/>
  <c r="D1048" i="2"/>
  <c r="D1047" i="2"/>
  <c r="B1047" i="2"/>
  <c r="D1026" i="2"/>
  <c r="D1025" i="2"/>
  <c r="D1022" i="2"/>
  <c r="D1021" i="2"/>
  <c r="B1021" i="2"/>
  <c r="D1018" i="2"/>
  <c r="D1000" i="2"/>
  <c r="F999" i="2"/>
  <c r="F1001" i="2" s="1"/>
  <c r="G1001" i="2" s="1"/>
  <c r="D999" i="2"/>
  <c r="D996" i="2"/>
  <c r="D995" i="2"/>
  <c r="B995" i="2"/>
  <c r="B968" i="2"/>
  <c r="D817" i="2"/>
  <c r="D810" i="2"/>
  <c r="D811" i="2"/>
  <c r="D786" i="2"/>
  <c r="D783" i="2"/>
  <c r="D760" i="2"/>
  <c r="D757" i="2"/>
  <c r="F442" i="2"/>
  <c r="F441" i="2"/>
  <c r="F546" i="2"/>
  <c r="F545" i="2"/>
  <c r="D538" i="2" s="1"/>
  <c r="L34" i="3"/>
  <c r="D678" i="2"/>
  <c r="D731" i="2"/>
  <c r="D941" i="2"/>
  <c r="F945" i="2"/>
  <c r="D938" i="2" s="1"/>
  <c r="D942" i="2"/>
  <c r="B941" i="2"/>
  <c r="F678" i="2"/>
  <c r="D671" i="2" s="1"/>
  <c r="F652" i="2"/>
  <c r="F654" i="2" s="1"/>
  <c r="G654" i="2" s="1"/>
  <c r="F625" i="2"/>
  <c r="F627" i="2" s="1"/>
  <c r="G627" i="2" s="1"/>
  <c r="D572" i="2"/>
  <c r="D414" i="2"/>
  <c r="D705" i="2"/>
  <c r="D599" i="2"/>
  <c r="D526" i="2"/>
  <c r="D520" i="2"/>
  <c r="D519" i="2"/>
  <c r="F336" i="2"/>
  <c r="F256" i="2"/>
  <c r="F229" i="2"/>
  <c r="Q19" i="3"/>
  <c r="R19" i="3" s="1"/>
  <c r="Q16" i="3"/>
  <c r="R16" i="3" s="1"/>
  <c r="D493" i="2"/>
  <c r="D919" i="2"/>
  <c r="D915" i="2"/>
  <c r="D914" i="2"/>
  <c r="B914" i="2"/>
  <c r="D888" i="2"/>
  <c r="D887" i="2"/>
  <c r="B887" i="2"/>
  <c r="F864" i="2"/>
  <c r="D857" i="2" s="1"/>
  <c r="B860" i="2"/>
  <c r="D448" i="2"/>
  <c r="D441" i="2"/>
  <c r="D442" i="2"/>
  <c r="D552" i="2"/>
  <c r="D545" i="2"/>
  <c r="D546" i="2"/>
  <c r="D467" i="2"/>
  <c r="D468" i="2"/>
  <c r="D464" i="2"/>
  <c r="F757" i="2"/>
  <c r="D753" i="2"/>
  <c r="D779" i="2"/>
  <c r="D806" i="2"/>
  <c r="D833" i="2"/>
  <c r="F121" i="2"/>
  <c r="F810" i="2"/>
  <c r="D838" i="2"/>
  <c r="D834" i="2"/>
  <c r="B833" i="2"/>
  <c r="D807" i="2"/>
  <c r="B806" i="2"/>
  <c r="F389" i="2"/>
  <c r="F388" i="2"/>
  <c r="D381" i="2" s="1"/>
  <c r="F362" i="2"/>
  <c r="D784" i="2"/>
  <c r="D780" i="2"/>
  <c r="B779" i="2"/>
  <c r="D758" i="2"/>
  <c r="D754" i="2"/>
  <c r="B753" i="2"/>
  <c r="D727" i="2"/>
  <c r="D701" i="2"/>
  <c r="D674" i="2"/>
  <c r="D648" i="2"/>
  <c r="D621" i="2"/>
  <c r="D595" i="2"/>
  <c r="D568" i="2"/>
  <c r="F731" i="2"/>
  <c r="F705" i="2"/>
  <c r="D698" i="2" s="1"/>
  <c r="L45" i="3"/>
  <c r="M45" i="3" s="1"/>
  <c r="L44" i="3"/>
  <c r="M44" i="3" s="1"/>
  <c r="L43" i="3"/>
  <c r="M43" i="3" s="1"/>
  <c r="L42" i="3"/>
  <c r="M42" i="3" s="1"/>
  <c r="L41" i="3"/>
  <c r="M41" i="3" s="1"/>
  <c r="D311" i="2"/>
  <c r="D309" i="2"/>
  <c r="D308" i="2"/>
  <c r="D305" i="2"/>
  <c r="D304" i="2"/>
  <c r="D285" i="2"/>
  <c r="D282" i="2"/>
  <c r="D732" i="2"/>
  <c r="D728" i="2"/>
  <c r="B727" i="2"/>
  <c r="D706" i="2"/>
  <c r="D702" i="2"/>
  <c r="B701" i="2"/>
  <c r="D679" i="2"/>
  <c r="D675" i="2"/>
  <c r="B674" i="2"/>
  <c r="D653" i="2"/>
  <c r="D652" i="2"/>
  <c r="D649" i="2"/>
  <c r="B648" i="2"/>
  <c r="D626" i="2"/>
  <c r="D625" i="2"/>
  <c r="D622" i="2"/>
  <c r="B621" i="2"/>
  <c r="D600" i="2"/>
  <c r="F599" i="2"/>
  <c r="D592" i="2" s="1"/>
  <c r="D596" i="2"/>
  <c r="B595" i="2"/>
  <c r="F493" i="2"/>
  <c r="F495" i="2" s="1"/>
  <c r="G495" i="2" s="1"/>
  <c r="F467" i="2"/>
  <c r="D460" i="2" s="1"/>
  <c r="L32" i="3"/>
  <c r="M32" i="3" s="1"/>
  <c r="L31" i="3"/>
  <c r="M31" i="3" s="1"/>
  <c r="D573" i="2"/>
  <c r="F572" i="2"/>
  <c r="D565" i="2" s="1"/>
  <c r="D569" i="2"/>
  <c r="B568" i="2"/>
  <c r="D235" i="2"/>
  <c r="D102" i="2"/>
  <c r="D101" i="2"/>
  <c r="D95" i="2"/>
  <c r="D342" i="2"/>
  <c r="D542" i="2"/>
  <c r="D541" i="2"/>
  <c r="B541" i="2"/>
  <c r="D512" i="2"/>
  <c r="D516" i="2"/>
  <c r="D515" i="2"/>
  <c r="B515" i="2"/>
  <c r="D494" i="2"/>
  <c r="D490" i="2"/>
  <c r="D489" i="2"/>
  <c r="B489" i="2"/>
  <c r="D486" i="2"/>
  <c r="D463" i="2"/>
  <c r="B463" i="2"/>
  <c r="D438" i="2"/>
  <c r="D437" i="2"/>
  <c r="B437" i="2"/>
  <c r="D261" i="2"/>
  <c r="D258" i="2"/>
  <c r="D256" i="2"/>
  <c r="F282" i="2"/>
  <c r="D275" i="2" s="1"/>
  <c r="F308" i="2"/>
  <c r="D415" i="2"/>
  <c r="F414" i="2"/>
  <c r="D407" i="2" s="1"/>
  <c r="D411" i="2"/>
  <c r="D410" i="2"/>
  <c r="B410" i="2"/>
  <c r="D154" i="2"/>
  <c r="D208" i="2"/>
  <c r="D20" i="2"/>
  <c r="D181" i="2"/>
  <c r="D74" i="2"/>
  <c r="D48" i="2"/>
  <c r="D395" i="2"/>
  <c r="D389" i="2"/>
  <c r="D127" i="2"/>
  <c r="D121" i="2"/>
  <c r="D117" i="2"/>
  <c r="D368" i="2"/>
  <c r="D362" i="2"/>
  <c r="F361" i="2"/>
  <c r="D354" i="2" s="1"/>
  <c r="F255" i="2"/>
  <c r="D248" i="2" s="1"/>
  <c r="L18" i="3"/>
  <c r="M18" i="3" s="1"/>
  <c r="L17" i="3"/>
  <c r="M17" i="3" s="1"/>
  <c r="F228" i="2"/>
  <c r="L19" i="3"/>
  <c r="M19" i="3" s="1"/>
  <c r="D388" i="2"/>
  <c r="D385" i="2"/>
  <c r="D384" i="2"/>
  <c r="B384" i="2"/>
  <c r="D361" i="2"/>
  <c r="D358" i="2"/>
  <c r="D357" i="2"/>
  <c r="B357" i="2"/>
  <c r="D336" i="2"/>
  <c r="F335" i="2"/>
  <c r="D335" i="2"/>
  <c r="D332" i="2"/>
  <c r="D331" i="2"/>
  <c r="B331" i="2"/>
  <c r="B304" i="2"/>
  <c r="D278" i="2"/>
  <c r="D251" i="2"/>
  <c r="D283" i="2"/>
  <c r="D279" i="2"/>
  <c r="B278" i="2"/>
  <c r="D255" i="2"/>
  <c r="D252" i="2"/>
  <c r="B251" i="2"/>
  <c r="D229" i="2"/>
  <c r="D225" i="2"/>
  <c r="D228" i="2"/>
  <c r="D224" i="2"/>
  <c r="B224" i="2"/>
  <c r="D63" i="2"/>
  <c r="D37" i="2"/>
  <c r="D10" i="2"/>
  <c r="F14" i="2"/>
  <c r="D202" i="2"/>
  <c r="D201" i="2"/>
  <c r="D198" i="2"/>
  <c r="D197" i="2"/>
  <c r="D175" i="2"/>
  <c r="D174" i="2"/>
  <c r="D171" i="2"/>
  <c r="D170" i="2"/>
  <c r="D148" i="2"/>
  <c r="D147" i="2"/>
  <c r="D144" i="2"/>
  <c r="D143" i="2"/>
  <c r="D94" i="2"/>
  <c r="D91" i="2"/>
  <c r="D90" i="2"/>
  <c r="D68" i="2"/>
  <c r="D67" i="2"/>
  <c r="D64" i="2"/>
  <c r="B197" i="2"/>
  <c r="B170" i="2"/>
  <c r="D120" i="2"/>
  <c r="D42" i="2"/>
  <c r="D41" i="2"/>
  <c r="D38" i="2"/>
  <c r="D15" i="2"/>
  <c r="D14" i="2"/>
  <c r="F120" i="2"/>
  <c r="D113" i="2" s="1"/>
  <c r="D116" i="2"/>
  <c r="B116" i="2"/>
  <c r="F147" i="2"/>
  <c r="B143" i="2"/>
  <c r="F94" i="2"/>
  <c r="B90" i="2"/>
  <c r="F67" i="2"/>
  <c r="D60" i="2" s="1"/>
  <c r="B63" i="2"/>
  <c r="F41" i="2"/>
  <c r="B37" i="2"/>
  <c r="D11" i="2"/>
  <c r="Q360" i="3"/>
  <c r="R360" i="3" s="1"/>
  <c r="Q359" i="3"/>
  <c r="R359" i="3" s="1"/>
  <c r="Q358" i="3"/>
  <c r="R358" i="3" s="1"/>
  <c r="Q357" i="3"/>
  <c r="R357" i="3" s="1"/>
  <c r="Q356" i="3"/>
  <c r="R356" i="3" s="1"/>
  <c r="Q355" i="3"/>
  <c r="R355" i="3" s="1"/>
  <c r="Q354" i="3"/>
  <c r="R354" i="3" s="1"/>
  <c r="Q353" i="3"/>
  <c r="R353" i="3" s="1"/>
  <c r="Q352" i="3"/>
  <c r="R352" i="3" s="1"/>
  <c r="Q351" i="3"/>
  <c r="R351" i="3" s="1"/>
  <c r="Q350" i="3"/>
  <c r="R350" i="3" s="1"/>
  <c r="Q349" i="3"/>
  <c r="R349" i="3" s="1"/>
  <c r="Q348" i="3"/>
  <c r="R348" i="3" s="1"/>
  <c r="Q347" i="3"/>
  <c r="R347" i="3" s="1"/>
  <c r="Q346" i="3"/>
  <c r="R346" i="3" s="1"/>
  <c r="Q345" i="3"/>
  <c r="R345" i="3" s="1"/>
  <c r="Q344" i="3"/>
  <c r="R344" i="3" s="1"/>
  <c r="Q343" i="3"/>
  <c r="R343" i="3" s="1"/>
  <c r="Q342" i="3"/>
  <c r="R342" i="3" s="1"/>
  <c r="Q341" i="3"/>
  <c r="R341" i="3" s="1"/>
  <c r="Q340" i="3"/>
  <c r="R340" i="3" s="1"/>
  <c r="Q339" i="3"/>
  <c r="R339" i="3" s="1"/>
  <c r="Q338" i="3"/>
  <c r="R338" i="3" s="1"/>
  <c r="Q337" i="3"/>
  <c r="R337" i="3" s="1"/>
  <c r="Q336" i="3"/>
  <c r="R336" i="3" s="1"/>
  <c r="Q335" i="3"/>
  <c r="R335" i="3" s="1"/>
  <c r="Q334" i="3"/>
  <c r="R334" i="3" s="1"/>
  <c r="Q333" i="3"/>
  <c r="R333" i="3" s="1"/>
  <c r="Q332" i="3"/>
  <c r="R332" i="3" s="1"/>
  <c r="Q331" i="3"/>
  <c r="R331" i="3" s="1"/>
  <c r="Q330" i="3"/>
  <c r="R330" i="3" s="1"/>
  <c r="Q329" i="3"/>
  <c r="R329" i="3" s="1"/>
  <c r="Q328" i="3"/>
  <c r="R328" i="3" s="1"/>
  <c r="Q327" i="3"/>
  <c r="R327" i="3" s="1"/>
  <c r="Q326" i="3"/>
  <c r="R326" i="3" s="1"/>
  <c r="Q325" i="3"/>
  <c r="R325" i="3" s="1"/>
  <c r="Q324" i="3"/>
  <c r="R324" i="3" s="1"/>
  <c r="Q323" i="3"/>
  <c r="R323" i="3" s="1"/>
  <c r="Q322" i="3"/>
  <c r="R322" i="3" s="1"/>
  <c r="Q321" i="3"/>
  <c r="R321" i="3" s="1"/>
  <c r="Q320" i="3"/>
  <c r="R320" i="3" s="1"/>
  <c r="Q319" i="3"/>
  <c r="R319" i="3" s="1"/>
  <c r="Q318" i="3"/>
  <c r="R318" i="3" s="1"/>
  <c r="Q317" i="3"/>
  <c r="R317" i="3" s="1"/>
  <c r="Q315" i="3"/>
  <c r="R315" i="3" s="1"/>
  <c r="Q314" i="3"/>
  <c r="R314" i="3" s="1"/>
  <c r="Q313" i="3"/>
  <c r="R313" i="3" s="1"/>
  <c r="Q311" i="3"/>
  <c r="R311" i="3" s="1"/>
  <c r="Q310" i="3"/>
  <c r="R310" i="3" s="1"/>
  <c r="Q309" i="3"/>
  <c r="R309" i="3" s="1"/>
  <c r="Q308" i="3"/>
  <c r="R308" i="3" s="1"/>
  <c r="Q307" i="3"/>
  <c r="R307" i="3" s="1"/>
  <c r="Q306" i="3"/>
  <c r="R306" i="3" s="1"/>
  <c r="Q305" i="3"/>
  <c r="R305" i="3" s="1"/>
  <c r="Q304" i="3"/>
  <c r="R304" i="3" s="1"/>
  <c r="Q303" i="3"/>
  <c r="R303" i="3" s="1"/>
  <c r="Q302" i="3"/>
  <c r="R302" i="3" s="1"/>
  <c r="Q301" i="3"/>
  <c r="R301" i="3" s="1"/>
  <c r="Q300" i="3"/>
  <c r="R300" i="3" s="1"/>
  <c r="Q299" i="3"/>
  <c r="R299" i="3" s="1"/>
  <c r="Q298" i="3"/>
  <c r="R298" i="3" s="1"/>
  <c r="Q297" i="3"/>
  <c r="R297" i="3" s="1"/>
  <c r="Q296" i="3"/>
  <c r="R296" i="3" s="1"/>
  <c r="Q295" i="3"/>
  <c r="R295" i="3" s="1"/>
  <c r="Q294" i="3"/>
  <c r="R294" i="3" s="1"/>
  <c r="Q293" i="3"/>
  <c r="R293" i="3" s="1"/>
  <c r="Q290" i="3"/>
  <c r="R290" i="3" s="1"/>
  <c r="Q288" i="3"/>
  <c r="R288" i="3" s="1"/>
  <c r="Q287" i="3"/>
  <c r="R287" i="3" s="1"/>
  <c r="Q286" i="3"/>
  <c r="R286" i="3" s="1"/>
  <c r="Q285" i="3"/>
  <c r="R285" i="3" s="1"/>
  <c r="Q284" i="3"/>
  <c r="R284" i="3" s="1"/>
  <c r="Q283" i="3"/>
  <c r="R283" i="3" s="1"/>
  <c r="Q282" i="3"/>
  <c r="R282" i="3" s="1"/>
  <c r="Q281" i="3"/>
  <c r="R281" i="3" s="1"/>
  <c r="Q280" i="3"/>
  <c r="R280" i="3" s="1"/>
  <c r="Q279" i="3"/>
  <c r="R279" i="3" s="1"/>
  <c r="Q278" i="3"/>
  <c r="R278" i="3" s="1"/>
  <c r="Q277" i="3"/>
  <c r="R277" i="3" s="1"/>
  <c r="Q276" i="3"/>
  <c r="R276" i="3" s="1"/>
  <c r="Q275" i="3"/>
  <c r="R275" i="3" s="1"/>
  <c r="Q271" i="3"/>
  <c r="R271" i="3" s="1"/>
  <c r="Q269" i="3"/>
  <c r="R269" i="3" s="1"/>
  <c r="Q268" i="3"/>
  <c r="R268" i="3" s="1"/>
  <c r="Q267" i="3"/>
  <c r="R267" i="3" s="1"/>
  <c r="Q266" i="3"/>
  <c r="R266" i="3" s="1"/>
  <c r="Q265" i="3"/>
  <c r="R265" i="3" s="1"/>
  <c r="Q264" i="3"/>
  <c r="R264" i="3" s="1"/>
  <c r="Q263" i="3"/>
  <c r="R263" i="3" s="1"/>
  <c r="Q262" i="3"/>
  <c r="R262" i="3" s="1"/>
  <c r="Q261" i="3"/>
  <c r="R261" i="3" s="1"/>
  <c r="Q260" i="3"/>
  <c r="R260" i="3" s="1"/>
  <c r="Q259" i="3"/>
  <c r="R259" i="3" s="1"/>
  <c r="Q258" i="3"/>
  <c r="R258" i="3" s="1"/>
  <c r="Q257" i="3"/>
  <c r="R257" i="3" s="1"/>
  <c r="Q256" i="3"/>
  <c r="R256" i="3" s="1"/>
  <c r="Q255" i="3"/>
  <c r="R255" i="3" s="1"/>
  <c r="Q254" i="3"/>
  <c r="R254" i="3" s="1"/>
  <c r="Q253" i="3"/>
  <c r="R253" i="3" s="1"/>
  <c r="Q252" i="3"/>
  <c r="R252" i="3" s="1"/>
  <c r="Q249" i="3"/>
  <c r="R249" i="3" s="1"/>
  <c r="Q248" i="3"/>
  <c r="R248" i="3" s="1"/>
  <c r="Q247" i="3"/>
  <c r="R247" i="3" s="1"/>
  <c r="Q246" i="3"/>
  <c r="R246" i="3" s="1"/>
  <c r="Q245" i="3"/>
  <c r="R245" i="3" s="1"/>
  <c r="Q243" i="3"/>
  <c r="R243" i="3" s="1"/>
  <c r="Q242" i="3"/>
  <c r="R242" i="3" s="1"/>
  <c r="Q240" i="3"/>
  <c r="R240" i="3" s="1"/>
  <c r="Q238" i="3"/>
  <c r="R238" i="3" s="1"/>
  <c r="Q237" i="3"/>
  <c r="R237" i="3" s="1"/>
  <c r="Q235" i="3"/>
  <c r="R235" i="3" s="1"/>
  <c r="Q234" i="3"/>
  <c r="R234" i="3" s="1"/>
  <c r="Q233" i="3"/>
  <c r="R233" i="3" s="1"/>
  <c r="Q232" i="3"/>
  <c r="R232" i="3" s="1"/>
  <c r="Q231" i="3"/>
  <c r="R231" i="3" s="1"/>
  <c r="Q228" i="3"/>
  <c r="R228" i="3" s="1"/>
  <c r="Q227" i="3"/>
  <c r="R227" i="3" s="1"/>
  <c r="Q225" i="3"/>
  <c r="R225" i="3" s="1"/>
  <c r="Q224" i="3"/>
  <c r="R224" i="3" s="1"/>
  <c r="Q223" i="3"/>
  <c r="R223" i="3" s="1"/>
  <c r="Q222" i="3"/>
  <c r="R222" i="3" s="1"/>
  <c r="Q221" i="3"/>
  <c r="R221" i="3" s="1"/>
  <c r="Q220" i="3"/>
  <c r="R220" i="3" s="1"/>
  <c r="Q219" i="3"/>
  <c r="R219" i="3" s="1"/>
  <c r="Q218" i="3"/>
  <c r="R218" i="3" s="1"/>
  <c r="Q217" i="3"/>
  <c r="R217" i="3" s="1"/>
  <c r="Q216" i="3"/>
  <c r="R216" i="3" s="1"/>
  <c r="Q213" i="3"/>
  <c r="R213" i="3" s="1"/>
  <c r="Q212" i="3"/>
  <c r="R212" i="3" s="1"/>
  <c r="Q211" i="3"/>
  <c r="R211" i="3" s="1"/>
  <c r="Q210" i="3"/>
  <c r="R210" i="3" s="1"/>
  <c r="Q208" i="3"/>
  <c r="R208" i="3" s="1"/>
  <c r="Q204" i="3"/>
  <c r="R204" i="3" s="1"/>
  <c r="Q202" i="3"/>
  <c r="R202" i="3" s="1"/>
  <c r="Q199" i="3"/>
  <c r="R199" i="3" s="1"/>
  <c r="Q198" i="3"/>
  <c r="R198" i="3" s="1"/>
  <c r="Q196" i="3"/>
  <c r="R196" i="3" s="1"/>
  <c r="Q195" i="3"/>
  <c r="R195" i="3" s="1"/>
  <c r="Q194" i="3"/>
  <c r="R194" i="3" s="1"/>
  <c r="Q193" i="3"/>
  <c r="R193" i="3" s="1"/>
  <c r="Q192" i="3"/>
  <c r="R192" i="3" s="1"/>
  <c r="Q191" i="3"/>
  <c r="R191" i="3" s="1"/>
  <c r="Q190" i="3"/>
  <c r="R190" i="3" s="1"/>
  <c r="Q189" i="3"/>
  <c r="R189" i="3" s="1"/>
  <c r="Q188" i="3"/>
  <c r="R188" i="3" s="1"/>
  <c r="Q187" i="3"/>
  <c r="R187" i="3" s="1"/>
  <c r="Q186" i="3"/>
  <c r="R186" i="3" s="1"/>
  <c r="Q185" i="3"/>
  <c r="R185" i="3" s="1"/>
  <c r="Q184" i="3"/>
  <c r="R184" i="3" s="1"/>
  <c r="Q183" i="3"/>
  <c r="R183" i="3" s="1"/>
  <c r="Q180" i="3"/>
  <c r="R180" i="3" s="1"/>
  <c r="Q178" i="3"/>
  <c r="R178" i="3" s="1"/>
  <c r="Q177" i="3"/>
  <c r="R177" i="3" s="1"/>
  <c r="Q176" i="3"/>
  <c r="R176" i="3" s="1"/>
  <c r="Q175" i="3"/>
  <c r="R175" i="3" s="1"/>
  <c r="Q174" i="3"/>
  <c r="R174" i="3" s="1"/>
  <c r="Q173" i="3"/>
  <c r="R173" i="3" s="1"/>
  <c r="Q172" i="3"/>
  <c r="R172" i="3" s="1"/>
  <c r="Q171" i="3"/>
  <c r="R171" i="3" s="1"/>
  <c r="Q170" i="3"/>
  <c r="R170" i="3" s="1"/>
  <c r="Q169" i="3"/>
  <c r="R169" i="3" s="1"/>
  <c r="Q168" i="3"/>
  <c r="R168" i="3" s="1"/>
  <c r="Q167" i="3"/>
  <c r="R167" i="3" s="1"/>
  <c r="Q165" i="3"/>
  <c r="R165" i="3" s="1"/>
  <c r="Q162" i="3"/>
  <c r="R162" i="3" s="1"/>
  <c r="Q161" i="3"/>
  <c r="R161" i="3" s="1"/>
  <c r="Q160" i="3"/>
  <c r="R160" i="3" s="1"/>
  <c r="V160" i="3" s="1"/>
  <c r="Q159" i="3"/>
  <c r="R159" i="3" s="1"/>
  <c r="Q158" i="3"/>
  <c r="R158" i="3" s="1"/>
  <c r="Q157" i="3"/>
  <c r="R157" i="3" s="1"/>
  <c r="Q156" i="3"/>
  <c r="R156" i="3" s="1"/>
  <c r="Q155" i="3"/>
  <c r="R155" i="3" s="1"/>
  <c r="Q154" i="3"/>
  <c r="R154" i="3" s="1"/>
  <c r="Q152" i="3"/>
  <c r="R152" i="3" s="1"/>
  <c r="Q151" i="3"/>
  <c r="R151" i="3" s="1"/>
  <c r="Q150" i="3"/>
  <c r="R150" i="3" s="1"/>
  <c r="Q149" i="3"/>
  <c r="R149" i="3" s="1"/>
  <c r="Q148" i="3"/>
  <c r="R148" i="3" s="1"/>
  <c r="Q147" i="3"/>
  <c r="R147" i="3" s="1"/>
  <c r="Q146" i="3"/>
  <c r="R146" i="3" s="1"/>
  <c r="Q145" i="3"/>
  <c r="R145" i="3" s="1"/>
  <c r="Q143" i="3"/>
  <c r="R143" i="3" s="1"/>
  <c r="Q142" i="3"/>
  <c r="R142" i="3" s="1"/>
  <c r="Q140" i="3"/>
  <c r="R140" i="3" s="1"/>
  <c r="Q139" i="3"/>
  <c r="R139" i="3" s="1"/>
  <c r="Q138" i="3"/>
  <c r="R138" i="3" s="1"/>
  <c r="Q137" i="3"/>
  <c r="R137" i="3" s="1"/>
  <c r="Q136" i="3"/>
  <c r="R136" i="3" s="1"/>
  <c r="Q135" i="3"/>
  <c r="R135" i="3" s="1"/>
  <c r="Q134" i="3"/>
  <c r="R134" i="3" s="1"/>
  <c r="Q133" i="3"/>
  <c r="R133" i="3" s="1"/>
  <c r="Q131" i="3"/>
  <c r="R131" i="3" s="1"/>
  <c r="Q130" i="3"/>
  <c r="R130" i="3" s="1"/>
  <c r="Q129" i="3"/>
  <c r="R129" i="3" s="1"/>
  <c r="Q128" i="3"/>
  <c r="R128" i="3" s="1"/>
  <c r="Q127" i="3"/>
  <c r="R127" i="3" s="1"/>
  <c r="Q126" i="3"/>
  <c r="R126" i="3" s="1"/>
  <c r="Q125" i="3"/>
  <c r="R125" i="3" s="1"/>
  <c r="Q124" i="3"/>
  <c r="R124" i="3" s="1"/>
  <c r="Q123" i="3"/>
  <c r="R123" i="3" s="1"/>
  <c r="Q122" i="3"/>
  <c r="R122" i="3" s="1"/>
  <c r="Q121" i="3"/>
  <c r="R121" i="3" s="1"/>
  <c r="Q120" i="3"/>
  <c r="R120" i="3" s="1"/>
  <c r="Q119" i="3"/>
  <c r="R119" i="3" s="1"/>
  <c r="Q118" i="3"/>
  <c r="R118" i="3" s="1"/>
  <c r="Q117" i="3"/>
  <c r="R117" i="3" s="1"/>
  <c r="Q115" i="3"/>
  <c r="R115" i="3" s="1"/>
  <c r="Q114" i="3"/>
  <c r="R114" i="3" s="1"/>
  <c r="Q113" i="3"/>
  <c r="R113" i="3" s="1"/>
  <c r="Q112" i="3"/>
  <c r="R112" i="3" s="1"/>
  <c r="Q111" i="3"/>
  <c r="R111" i="3" s="1"/>
  <c r="Q110" i="3"/>
  <c r="R110" i="3" s="1"/>
  <c r="Q109" i="3"/>
  <c r="R109" i="3" s="1"/>
  <c r="Q108" i="3"/>
  <c r="R108" i="3" s="1"/>
  <c r="Q107" i="3"/>
  <c r="R107" i="3" s="1"/>
  <c r="Q106" i="3"/>
  <c r="R106" i="3" s="1"/>
  <c r="Q105" i="3"/>
  <c r="R105" i="3" s="1"/>
  <c r="Q104" i="3"/>
  <c r="R104" i="3" s="1"/>
  <c r="Q103" i="3"/>
  <c r="R103" i="3" s="1"/>
  <c r="Q102" i="3"/>
  <c r="R102" i="3" s="1"/>
  <c r="Q101" i="3"/>
  <c r="R101" i="3" s="1"/>
  <c r="Q100" i="3"/>
  <c r="R100" i="3" s="1"/>
  <c r="Q99" i="3"/>
  <c r="R99" i="3" s="1"/>
  <c r="Q98" i="3"/>
  <c r="R98" i="3" s="1"/>
  <c r="Q97" i="3"/>
  <c r="R97" i="3" s="1"/>
  <c r="Q96" i="3"/>
  <c r="R96" i="3" s="1"/>
  <c r="Q95" i="3"/>
  <c r="R95" i="3" s="1"/>
  <c r="Q94" i="3"/>
  <c r="R94" i="3" s="1"/>
  <c r="Q93" i="3"/>
  <c r="R93" i="3" s="1"/>
  <c r="Q92" i="3"/>
  <c r="R92" i="3" s="1"/>
  <c r="Q91" i="3"/>
  <c r="R91" i="3" s="1"/>
  <c r="Q90" i="3"/>
  <c r="R90" i="3" s="1"/>
  <c r="Q89" i="3"/>
  <c r="R89" i="3" s="1"/>
  <c r="Q88" i="3"/>
  <c r="R88" i="3" s="1"/>
  <c r="Q87" i="3"/>
  <c r="R87" i="3" s="1"/>
  <c r="Q86" i="3"/>
  <c r="R86" i="3" s="1"/>
  <c r="Q85" i="3"/>
  <c r="R85" i="3" s="1"/>
  <c r="Q84" i="3"/>
  <c r="R84" i="3" s="1"/>
  <c r="Q81" i="3"/>
  <c r="R81" i="3" s="1"/>
  <c r="Q80" i="3"/>
  <c r="R80" i="3" s="1"/>
  <c r="Q76" i="3"/>
  <c r="R76" i="3" s="1"/>
  <c r="Q75" i="3"/>
  <c r="R75" i="3" s="1"/>
  <c r="Q74" i="3"/>
  <c r="R74" i="3" s="1"/>
  <c r="Q73" i="3"/>
  <c r="R73" i="3" s="1"/>
  <c r="Q72" i="3"/>
  <c r="R72" i="3" s="1"/>
  <c r="Q71" i="3"/>
  <c r="R71" i="3" s="1"/>
  <c r="Q70" i="3"/>
  <c r="R70" i="3" s="1"/>
  <c r="Q69" i="3"/>
  <c r="R69" i="3" s="1"/>
  <c r="Q68" i="3"/>
  <c r="R68" i="3" s="1"/>
  <c r="Q67" i="3"/>
  <c r="R67" i="3" s="1"/>
  <c r="Q66" i="3"/>
  <c r="R66" i="3" s="1"/>
  <c r="Q65" i="3"/>
  <c r="R65" i="3" s="1"/>
  <c r="Q64" i="3"/>
  <c r="R64" i="3" s="1"/>
  <c r="Q63" i="3"/>
  <c r="R63" i="3" s="1"/>
  <c r="Q62" i="3"/>
  <c r="R62" i="3" s="1"/>
  <c r="Q61" i="3"/>
  <c r="R61" i="3" s="1"/>
  <c r="Q60" i="3"/>
  <c r="R60" i="3" s="1"/>
  <c r="Q59" i="3"/>
  <c r="R59" i="3" s="1"/>
  <c r="Q58" i="3"/>
  <c r="R58" i="3" s="1"/>
  <c r="Q57" i="3"/>
  <c r="R57" i="3" s="1"/>
  <c r="Q56" i="3"/>
  <c r="R56" i="3" s="1"/>
  <c r="Q55" i="3"/>
  <c r="R55" i="3" s="1"/>
  <c r="Q54" i="3"/>
  <c r="R54" i="3" s="1"/>
  <c r="Q53" i="3"/>
  <c r="R53" i="3" s="1"/>
  <c r="Q52" i="3"/>
  <c r="R52" i="3" s="1"/>
  <c r="Q51" i="3"/>
  <c r="R51" i="3" s="1"/>
  <c r="Q50" i="3"/>
  <c r="R50" i="3" s="1"/>
  <c r="Q49" i="3"/>
  <c r="R49" i="3" s="1"/>
  <c r="Q48" i="3"/>
  <c r="R48" i="3" s="1"/>
  <c r="Q47" i="3"/>
  <c r="R47" i="3" s="1"/>
  <c r="Q46" i="3"/>
  <c r="R46" i="3" s="1"/>
  <c r="Q45" i="3"/>
  <c r="R45" i="3" s="1"/>
  <c r="Q41" i="3"/>
  <c r="R41" i="3" s="1"/>
  <c r="Q39" i="3"/>
  <c r="R39" i="3" s="1"/>
  <c r="Q38" i="3"/>
  <c r="R38" i="3" s="1"/>
  <c r="Q37" i="3"/>
  <c r="R37" i="3" s="1"/>
  <c r="Q36" i="3"/>
  <c r="R36" i="3" s="1"/>
  <c r="Q35" i="3"/>
  <c r="R35" i="3" s="1"/>
  <c r="Q34" i="3"/>
  <c r="R34" i="3" s="1"/>
  <c r="Q33" i="3"/>
  <c r="R33" i="3" s="1"/>
  <c r="Q31" i="3"/>
  <c r="R31" i="3" s="1"/>
  <c r="Q30" i="3"/>
  <c r="R30" i="3" s="1"/>
  <c r="Q29" i="3"/>
  <c r="R29" i="3" s="1"/>
  <c r="Q28" i="3"/>
  <c r="R28" i="3" s="1"/>
  <c r="Q27" i="3"/>
  <c r="R27" i="3" s="1"/>
  <c r="Q26" i="3"/>
  <c r="R26" i="3" s="1"/>
  <c r="Q25" i="3"/>
  <c r="R25" i="3" s="1"/>
  <c r="Q24" i="3"/>
  <c r="R24" i="3" s="1"/>
  <c r="Q23" i="3"/>
  <c r="R23" i="3" s="1"/>
  <c r="Q22" i="3"/>
  <c r="R22" i="3" s="1"/>
  <c r="Q21" i="3"/>
  <c r="R21" i="3" s="1"/>
  <c r="Q20" i="3"/>
  <c r="R20" i="3" s="1"/>
  <c r="Q15" i="3"/>
  <c r="R15" i="3" s="1"/>
  <c r="Q12" i="3"/>
  <c r="R12" i="3" s="1"/>
  <c r="Q11" i="3"/>
  <c r="R11" i="3" s="1"/>
  <c r="Q10" i="3"/>
  <c r="R10" i="3" s="1"/>
  <c r="Q9" i="3"/>
  <c r="R9" i="3" s="1"/>
  <c r="L392" i="3"/>
  <c r="M392" i="3" s="1"/>
  <c r="L391" i="3"/>
  <c r="M391" i="3" s="1"/>
  <c r="L358" i="3"/>
  <c r="M358" i="3" s="1"/>
  <c r="L356" i="3"/>
  <c r="M356" i="3" s="1"/>
  <c r="L355" i="3"/>
  <c r="M355" i="3" s="1"/>
  <c r="L354" i="3"/>
  <c r="M354" i="3" s="1"/>
  <c r="L353" i="3"/>
  <c r="M353" i="3" s="1"/>
  <c r="L352" i="3"/>
  <c r="M352" i="3" s="1"/>
  <c r="L351" i="3"/>
  <c r="M351" i="3" s="1"/>
  <c r="L350" i="3"/>
  <c r="M350" i="3" s="1"/>
  <c r="L349" i="3"/>
  <c r="M349" i="3" s="1"/>
  <c r="L348" i="3"/>
  <c r="M348" i="3" s="1"/>
  <c r="L347" i="3"/>
  <c r="M347" i="3" s="1"/>
  <c r="L346" i="3"/>
  <c r="M346" i="3" s="1"/>
  <c r="L344" i="3"/>
  <c r="M344" i="3" s="1"/>
  <c r="L343" i="3"/>
  <c r="M343" i="3" s="1"/>
  <c r="L342" i="3"/>
  <c r="M342" i="3" s="1"/>
  <c r="L339" i="3"/>
  <c r="M339" i="3" s="1"/>
  <c r="L336" i="3"/>
  <c r="M336" i="3" s="1"/>
  <c r="L335" i="3"/>
  <c r="M335" i="3" s="1"/>
  <c r="L334" i="3"/>
  <c r="M334" i="3" s="1"/>
  <c r="L333" i="3"/>
  <c r="M333" i="3" s="1"/>
  <c r="L332" i="3"/>
  <c r="M332" i="3" s="1"/>
  <c r="L331" i="3"/>
  <c r="M331" i="3" s="1"/>
  <c r="L330" i="3"/>
  <c r="M330" i="3" s="1"/>
  <c r="L329" i="3"/>
  <c r="M329" i="3" s="1"/>
  <c r="L328" i="3"/>
  <c r="M328" i="3" s="1"/>
  <c r="L325" i="3"/>
  <c r="M325" i="3" s="1"/>
  <c r="I324" i="3"/>
  <c r="L323" i="3"/>
  <c r="M323" i="3" s="1"/>
  <c r="L322" i="3"/>
  <c r="M322" i="3" s="1"/>
  <c r="L321" i="3"/>
  <c r="M321" i="3" s="1"/>
  <c r="L319" i="3"/>
  <c r="M319" i="3" s="1"/>
  <c r="L318" i="3"/>
  <c r="M318" i="3" s="1"/>
  <c r="L317" i="3"/>
  <c r="M317" i="3" s="1"/>
  <c r="L313" i="3"/>
  <c r="M313" i="3" s="1"/>
  <c r="L309" i="3"/>
  <c r="M309" i="3" s="1"/>
  <c r="L305" i="3"/>
  <c r="M305" i="3" s="1"/>
  <c r="L300" i="3"/>
  <c r="M300" i="3" s="1"/>
  <c r="L299" i="3"/>
  <c r="M299" i="3" s="1"/>
  <c r="L298" i="3"/>
  <c r="M298" i="3" s="1"/>
  <c r="L297" i="3"/>
  <c r="M297" i="3" s="1"/>
  <c r="L294" i="3"/>
  <c r="M294" i="3" s="1"/>
  <c r="L293" i="3"/>
  <c r="M293" i="3" s="1"/>
  <c r="L292" i="3"/>
  <c r="M292" i="3" s="1"/>
  <c r="L291" i="3"/>
  <c r="M291" i="3" s="1"/>
  <c r="L289" i="3"/>
  <c r="M289" i="3" s="1"/>
  <c r="L288" i="3"/>
  <c r="M288" i="3" s="1"/>
  <c r="L287" i="3"/>
  <c r="M287" i="3" s="1"/>
  <c r="L286" i="3"/>
  <c r="M286" i="3" s="1"/>
  <c r="L278" i="3"/>
  <c r="M278" i="3" s="1"/>
  <c r="L276" i="3"/>
  <c r="M276" i="3" s="1"/>
  <c r="L272" i="3"/>
  <c r="M272" i="3" s="1"/>
  <c r="L268" i="3"/>
  <c r="M268" i="3" s="1"/>
  <c r="L257" i="3"/>
  <c r="M257" i="3" s="1"/>
  <c r="L256" i="3"/>
  <c r="M256" i="3" s="1"/>
  <c r="L253" i="3"/>
  <c r="M253" i="3" s="1"/>
  <c r="L251" i="3"/>
  <c r="M251" i="3" s="1"/>
  <c r="L248" i="3"/>
  <c r="M248" i="3" s="1"/>
  <c r="L247" i="3"/>
  <c r="M247" i="3" s="1"/>
  <c r="L245" i="3"/>
  <c r="M245" i="3" s="1"/>
  <c r="L244" i="3"/>
  <c r="M244" i="3" s="1"/>
  <c r="L243" i="3"/>
  <c r="M243" i="3" s="1"/>
  <c r="L242" i="3"/>
  <c r="M242" i="3" s="1"/>
  <c r="L238" i="3"/>
  <c r="M238" i="3" s="1"/>
  <c r="L237" i="3"/>
  <c r="M237" i="3" s="1"/>
  <c r="L236" i="3"/>
  <c r="M236" i="3" s="1"/>
  <c r="L235" i="3"/>
  <c r="M235" i="3" s="1"/>
  <c r="L234" i="3"/>
  <c r="M234" i="3" s="1"/>
  <c r="L230" i="3"/>
  <c r="M230" i="3" s="1"/>
  <c r="L229" i="3"/>
  <c r="M229" i="3" s="1"/>
  <c r="L228" i="3"/>
  <c r="M228" i="3" s="1"/>
  <c r="L227" i="3"/>
  <c r="M227" i="3" s="1"/>
  <c r="L226" i="3"/>
  <c r="M226" i="3" s="1"/>
  <c r="L225" i="3"/>
  <c r="M225" i="3" s="1"/>
  <c r="L224" i="3"/>
  <c r="M224" i="3" s="1"/>
  <c r="L223" i="3"/>
  <c r="M223" i="3" s="1"/>
  <c r="L222" i="3"/>
  <c r="M222" i="3" s="1"/>
  <c r="L221" i="3"/>
  <c r="M221" i="3" s="1"/>
  <c r="L220" i="3"/>
  <c r="M220" i="3" s="1"/>
  <c r="L219" i="3"/>
  <c r="M219" i="3" s="1"/>
  <c r="L218" i="3"/>
  <c r="M218" i="3" s="1"/>
  <c r="L217" i="3"/>
  <c r="M217" i="3" s="1"/>
  <c r="L216" i="3"/>
  <c r="M216" i="3" s="1"/>
  <c r="L215" i="3"/>
  <c r="M215" i="3" s="1"/>
  <c r="L214" i="3"/>
  <c r="M214" i="3" s="1"/>
  <c r="L213" i="3"/>
  <c r="M213" i="3" s="1"/>
  <c r="L207" i="3"/>
  <c r="M207" i="3" s="1"/>
  <c r="L203" i="3"/>
  <c r="M203" i="3" s="1"/>
  <c r="L202" i="3"/>
  <c r="M202" i="3" s="1"/>
  <c r="L201" i="3"/>
  <c r="M201" i="3" s="1"/>
  <c r="L194" i="3"/>
  <c r="M194" i="3" s="1"/>
  <c r="L193" i="3"/>
  <c r="M193" i="3" s="1"/>
  <c r="L192" i="3"/>
  <c r="M192" i="3" s="1"/>
  <c r="L188" i="3"/>
  <c r="M188" i="3" s="1"/>
  <c r="L187" i="3"/>
  <c r="M187" i="3" s="1"/>
  <c r="L183" i="3"/>
  <c r="M183" i="3" s="1"/>
  <c r="L182" i="3"/>
  <c r="M182" i="3" s="1"/>
  <c r="L180" i="3"/>
  <c r="M180" i="3" s="1"/>
  <c r="L179" i="3"/>
  <c r="M179" i="3" s="1"/>
  <c r="L178" i="3"/>
  <c r="M178" i="3" s="1"/>
  <c r="L177" i="3"/>
  <c r="M177" i="3" s="1"/>
  <c r="L175" i="3"/>
  <c r="M175" i="3" s="1"/>
  <c r="L174" i="3"/>
  <c r="M174" i="3" s="1"/>
  <c r="L173" i="3"/>
  <c r="M173" i="3" s="1"/>
  <c r="L172" i="3"/>
  <c r="M172" i="3" s="1"/>
  <c r="L171" i="3"/>
  <c r="M171" i="3" s="1"/>
  <c r="L170" i="3"/>
  <c r="M170" i="3" s="1"/>
  <c r="L169" i="3"/>
  <c r="M169" i="3" s="1"/>
  <c r="L167" i="3"/>
  <c r="M167" i="3" s="1"/>
  <c r="L165" i="3"/>
  <c r="M165" i="3" s="1"/>
  <c r="L164" i="3"/>
  <c r="M164" i="3" s="1"/>
  <c r="L156" i="3"/>
  <c r="M156" i="3" s="1"/>
  <c r="L154" i="3"/>
  <c r="M154" i="3" s="1"/>
  <c r="L153" i="3"/>
  <c r="M153" i="3" s="1"/>
  <c r="L152" i="3"/>
  <c r="M152" i="3" s="1"/>
  <c r="L151" i="3"/>
  <c r="M151" i="3" s="1"/>
  <c r="L150" i="3"/>
  <c r="M150" i="3" s="1"/>
  <c r="L149" i="3"/>
  <c r="M149" i="3" s="1"/>
  <c r="L148" i="3"/>
  <c r="M148" i="3" s="1"/>
  <c r="L147" i="3"/>
  <c r="M147" i="3" s="1"/>
  <c r="L146" i="3"/>
  <c r="M146" i="3" s="1"/>
  <c r="L145" i="3"/>
  <c r="M145" i="3" s="1"/>
  <c r="L144" i="3"/>
  <c r="M144" i="3" s="1"/>
  <c r="I142" i="3"/>
  <c r="L141" i="3"/>
  <c r="M141" i="3" s="1"/>
  <c r="L140" i="3"/>
  <c r="M140" i="3" s="1"/>
  <c r="L138" i="3"/>
  <c r="M138" i="3" s="1"/>
  <c r="L135" i="3"/>
  <c r="M135" i="3" s="1"/>
  <c r="L134" i="3"/>
  <c r="M134" i="3" s="1"/>
  <c r="L133" i="3"/>
  <c r="M133" i="3" s="1"/>
  <c r="L131" i="3"/>
  <c r="M131" i="3" s="1"/>
  <c r="L130" i="3"/>
  <c r="M130" i="3" s="1"/>
  <c r="L129" i="3"/>
  <c r="M129" i="3" s="1"/>
  <c r="L128" i="3"/>
  <c r="M128" i="3" s="1"/>
  <c r="L127" i="3"/>
  <c r="M127" i="3" s="1"/>
  <c r="L126" i="3"/>
  <c r="M126" i="3" s="1"/>
  <c r="L125" i="3"/>
  <c r="M125" i="3" s="1"/>
  <c r="L122" i="3"/>
  <c r="M122" i="3" s="1"/>
  <c r="L115" i="3"/>
  <c r="M115" i="3" s="1"/>
  <c r="L114" i="3"/>
  <c r="M114" i="3" s="1"/>
  <c r="L112" i="3"/>
  <c r="M112" i="3" s="1"/>
  <c r="L111" i="3"/>
  <c r="M111" i="3" s="1"/>
  <c r="L108" i="3"/>
  <c r="M108" i="3" s="1"/>
  <c r="L107" i="3"/>
  <c r="M107" i="3" s="1"/>
  <c r="L106" i="3"/>
  <c r="M106" i="3" s="1"/>
  <c r="L105" i="3"/>
  <c r="M105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1" i="3"/>
  <c r="M71" i="3" s="1"/>
  <c r="L70" i="3"/>
  <c r="M70" i="3" s="1"/>
  <c r="L68" i="3"/>
  <c r="M68" i="3" s="1"/>
  <c r="L66" i="3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5" i="3"/>
  <c r="M55" i="3" s="1"/>
  <c r="L52" i="3"/>
  <c r="M52" i="3" s="1"/>
  <c r="M50" i="3"/>
  <c r="L49" i="3"/>
  <c r="M49" i="3" s="1"/>
  <c r="L48" i="3"/>
  <c r="M48" i="3" s="1"/>
  <c r="L47" i="3"/>
  <c r="M47" i="3" s="1"/>
  <c r="L46" i="3"/>
  <c r="M46" i="3" s="1"/>
  <c r="L40" i="3"/>
  <c r="M40" i="3" s="1"/>
  <c r="L39" i="3"/>
  <c r="M39" i="3" s="1"/>
  <c r="L38" i="3"/>
  <c r="M38" i="3" s="1"/>
  <c r="L37" i="3"/>
  <c r="L36" i="3"/>
  <c r="M36" i="3" s="1"/>
  <c r="L35" i="3"/>
  <c r="M35" i="3" s="1"/>
  <c r="M34" i="3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U392" i="3"/>
  <c r="I392" i="3"/>
  <c r="U391" i="3"/>
  <c r="I391" i="3"/>
  <c r="U360" i="3"/>
  <c r="I360" i="3"/>
  <c r="U359" i="3"/>
  <c r="I359" i="3"/>
  <c r="U358" i="3"/>
  <c r="I358" i="3"/>
  <c r="U357" i="3"/>
  <c r="I357" i="3"/>
  <c r="U356" i="3"/>
  <c r="I356" i="3"/>
  <c r="U355" i="3"/>
  <c r="I355" i="3"/>
  <c r="U354" i="3"/>
  <c r="I354" i="3"/>
  <c r="U353" i="3"/>
  <c r="I353" i="3"/>
  <c r="U352" i="3"/>
  <c r="I352" i="3"/>
  <c r="U351" i="3"/>
  <c r="I351" i="3"/>
  <c r="U350" i="3"/>
  <c r="I350" i="3"/>
  <c r="U349" i="3"/>
  <c r="I349" i="3"/>
  <c r="U348" i="3"/>
  <c r="I348" i="3"/>
  <c r="U347" i="3"/>
  <c r="I347" i="3"/>
  <c r="U346" i="3"/>
  <c r="I346" i="3"/>
  <c r="U345" i="3"/>
  <c r="I345" i="3"/>
  <c r="U344" i="3"/>
  <c r="I344" i="3"/>
  <c r="U343" i="3"/>
  <c r="I343" i="3"/>
  <c r="U342" i="3"/>
  <c r="I342" i="3"/>
  <c r="U341" i="3"/>
  <c r="I341" i="3"/>
  <c r="U340" i="3"/>
  <c r="I340" i="3"/>
  <c r="U339" i="3"/>
  <c r="I339" i="3"/>
  <c r="U338" i="3"/>
  <c r="U337" i="3"/>
  <c r="I337" i="3"/>
  <c r="U336" i="3"/>
  <c r="I336" i="3"/>
  <c r="U335" i="3"/>
  <c r="I335" i="3"/>
  <c r="U334" i="3"/>
  <c r="I334" i="3"/>
  <c r="U333" i="3"/>
  <c r="I333" i="3"/>
  <c r="U332" i="3"/>
  <c r="I332" i="3"/>
  <c r="U331" i="3"/>
  <c r="I331" i="3"/>
  <c r="U330" i="3"/>
  <c r="I330" i="3"/>
  <c r="U329" i="3"/>
  <c r="I329" i="3"/>
  <c r="U328" i="3"/>
  <c r="I328" i="3"/>
  <c r="U327" i="3"/>
  <c r="I327" i="3"/>
  <c r="U326" i="3"/>
  <c r="I326" i="3"/>
  <c r="U325" i="3"/>
  <c r="I325" i="3"/>
  <c r="U324" i="3"/>
  <c r="U323" i="3"/>
  <c r="I323" i="3"/>
  <c r="U322" i="3"/>
  <c r="I322" i="3"/>
  <c r="U321" i="3"/>
  <c r="I321" i="3"/>
  <c r="U320" i="3"/>
  <c r="I320" i="3"/>
  <c r="U319" i="3"/>
  <c r="I319" i="3"/>
  <c r="U318" i="3"/>
  <c r="I318" i="3"/>
  <c r="U317" i="3"/>
  <c r="I317" i="3"/>
  <c r="U315" i="3"/>
  <c r="I315" i="3"/>
  <c r="U314" i="3"/>
  <c r="I314" i="3"/>
  <c r="U313" i="3"/>
  <c r="I313" i="3"/>
  <c r="U312" i="3"/>
  <c r="I312" i="3"/>
  <c r="U311" i="3"/>
  <c r="I311" i="3"/>
  <c r="U310" i="3"/>
  <c r="I310" i="3"/>
  <c r="U309" i="3"/>
  <c r="I309" i="3"/>
  <c r="U308" i="3"/>
  <c r="I308" i="3"/>
  <c r="U307" i="3"/>
  <c r="I307" i="3"/>
  <c r="U306" i="3"/>
  <c r="I306" i="3"/>
  <c r="U305" i="3"/>
  <c r="I305" i="3"/>
  <c r="U304" i="3"/>
  <c r="I304" i="3"/>
  <c r="U303" i="3"/>
  <c r="I303" i="3"/>
  <c r="U302" i="3"/>
  <c r="I302" i="3"/>
  <c r="U301" i="3"/>
  <c r="I301" i="3"/>
  <c r="U300" i="3"/>
  <c r="I300" i="3"/>
  <c r="U299" i="3"/>
  <c r="I299" i="3"/>
  <c r="U298" i="3"/>
  <c r="I298" i="3"/>
  <c r="U297" i="3"/>
  <c r="I297" i="3"/>
  <c r="U296" i="3"/>
  <c r="I296" i="3"/>
  <c r="U295" i="3"/>
  <c r="I295" i="3"/>
  <c r="U294" i="3"/>
  <c r="I294" i="3"/>
  <c r="U293" i="3"/>
  <c r="I293" i="3"/>
  <c r="U292" i="3"/>
  <c r="I292" i="3"/>
  <c r="U291" i="3"/>
  <c r="I291" i="3"/>
  <c r="U290" i="3"/>
  <c r="I290" i="3"/>
  <c r="U289" i="3"/>
  <c r="I289" i="3"/>
  <c r="U288" i="3"/>
  <c r="I288" i="3"/>
  <c r="U287" i="3"/>
  <c r="I287" i="3"/>
  <c r="U286" i="3"/>
  <c r="I286" i="3"/>
  <c r="U285" i="3"/>
  <c r="I285" i="3"/>
  <c r="U284" i="3"/>
  <c r="I284" i="3"/>
  <c r="U283" i="3"/>
  <c r="I283" i="3"/>
  <c r="U282" i="3"/>
  <c r="I282" i="3"/>
  <c r="U281" i="3"/>
  <c r="I281" i="3"/>
  <c r="U280" i="3"/>
  <c r="I280" i="3"/>
  <c r="U279" i="3"/>
  <c r="I279" i="3"/>
  <c r="U278" i="3"/>
  <c r="I278" i="3"/>
  <c r="U277" i="3"/>
  <c r="I277" i="3"/>
  <c r="U276" i="3"/>
  <c r="I276" i="3"/>
  <c r="U275" i="3"/>
  <c r="I275" i="3"/>
  <c r="U274" i="3"/>
  <c r="I274" i="3"/>
  <c r="U273" i="3"/>
  <c r="I273" i="3"/>
  <c r="U272" i="3"/>
  <c r="I272" i="3"/>
  <c r="U271" i="3"/>
  <c r="I271" i="3"/>
  <c r="U270" i="3"/>
  <c r="I270" i="3"/>
  <c r="U269" i="3"/>
  <c r="I269" i="3"/>
  <c r="U268" i="3"/>
  <c r="I268" i="3"/>
  <c r="U267" i="3"/>
  <c r="I267" i="3"/>
  <c r="U266" i="3"/>
  <c r="I266" i="3"/>
  <c r="U265" i="3"/>
  <c r="I265" i="3"/>
  <c r="U264" i="3"/>
  <c r="I264" i="3"/>
  <c r="U263" i="3"/>
  <c r="I263" i="3"/>
  <c r="U262" i="3"/>
  <c r="I262" i="3"/>
  <c r="U261" i="3"/>
  <c r="I261" i="3"/>
  <c r="U260" i="3"/>
  <c r="I260" i="3"/>
  <c r="U259" i="3"/>
  <c r="I259" i="3"/>
  <c r="U258" i="3"/>
  <c r="I258" i="3"/>
  <c r="U257" i="3"/>
  <c r="I257" i="3"/>
  <c r="U256" i="3"/>
  <c r="U255" i="3"/>
  <c r="I255" i="3"/>
  <c r="U254" i="3"/>
  <c r="I254" i="3"/>
  <c r="U253" i="3"/>
  <c r="I253" i="3"/>
  <c r="U252" i="3"/>
  <c r="I252" i="3"/>
  <c r="U251" i="3"/>
  <c r="I251" i="3"/>
  <c r="U250" i="3"/>
  <c r="I250" i="3"/>
  <c r="U249" i="3"/>
  <c r="I249" i="3"/>
  <c r="U248" i="3"/>
  <c r="I248" i="3"/>
  <c r="U247" i="3"/>
  <c r="I247" i="3"/>
  <c r="U246" i="3"/>
  <c r="I246" i="3"/>
  <c r="U245" i="3"/>
  <c r="I245" i="3"/>
  <c r="U244" i="3"/>
  <c r="I244" i="3"/>
  <c r="U243" i="3"/>
  <c r="I243" i="3"/>
  <c r="U242" i="3"/>
  <c r="I242" i="3"/>
  <c r="U240" i="3"/>
  <c r="I240" i="3"/>
  <c r="U239" i="3"/>
  <c r="I239" i="3"/>
  <c r="U238" i="3"/>
  <c r="I238" i="3"/>
  <c r="U237" i="3"/>
  <c r="I237" i="3"/>
  <c r="U236" i="3"/>
  <c r="I236" i="3"/>
  <c r="U235" i="3"/>
  <c r="I235" i="3"/>
  <c r="U234" i="3"/>
  <c r="I234" i="3"/>
  <c r="U233" i="3"/>
  <c r="I233" i="3"/>
  <c r="U232" i="3"/>
  <c r="I232" i="3"/>
  <c r="U231" i="3"/>
  <c r="I231" i="3"/>
  <c r="U230" i="3"/>
  <c r="I230" i="3"/>
  <c r="U229" i="3"/>
  <c r="I229" i="3"/>
  <c r="U228" i="3"/>
  <c r="I228" i="3"/>
  <c r="U227" i="3"/>
  <c r="I227" i="3"/>
  <c r="U226" i="3"/>
  <c r="I226" i="3"/>
  <c r="U225" i="3"/>
  <c r="I225" i="3"/>
  <c r="U224" i="3"/>
  <c r="I224" i="3"/>
  <c r="U223" i="3"/>
  <c r="I223" i="3"/>
  <c r="U222" i="3"/>
  <c r="I222" i="3"/>
  <c r="U221" i="3"/>
  <c r="I221" i="3"/>
  <c r="U220" i="3"/>
  <c r="I220" i="3"/>
  <c r="U219" i="3"/>
  <c r="I219" i="3"/>
  <c r="U218" i="3"/>
  <c r="I218" i="3"/>
  <c r="U217" i="3"/>
  <c r="I217" i="3"/>
  <c r="U216" i="3"/>
  <c r="I216" i="3"/>
  <c r="U215" i="3"/>
  <c r="I215" i="3"/>
  <c r="U214" i="3"/>
  <c r="I214" i="3"/>
  <c r="U213" i="3"/>
  <c r="I213" i="3"/>
  <c r="U212" i="3"/>
  <c r="I212" i="3"/>
  <c r="U211" i="3"/>
  <c r="I211" i="3"/>
  <c r="U210" i="3"/>
  <c r="I210" i="3"/>
  <c r="U209" i="3"/>
  <c r="I209" i="3"/>
  <c r="U208" i="3"/>
  <c r="I208" i="3"/>
  <c r="U207" i="3"/>
  <c r="I207" i="3"/>
  <c r="U206" i="3"/>
  <c r="I206" i="3"/>
  <c r="U205" i="3"/>
  <c r="I205" i="3"/>
  <c r="U204" i="3"/>
  <c r="I204" i="3"/>
  <c r="U203" i="3"/>
  <c r="I203" i="3"/>
  <c r="U202" i="3"/>
  <c r="I202" i="3"/>
  <c r="U201" i="3"/>
  <c r="I201" i="3"/>
  <c r="U200" i="3"/>
  <c r="I200" i="3"/>
  <c r="U199" i="3"/>
  <c r="I199" i="3"/>
  <c r="U198" i="3"/>
  <c r="I198" i="3"/>
  <c r="U197" i="3"/>
  <c r="I197" i="3"/>
  <c r="U196" i="3"/>
  <c r="I196" i="3"/>
  <c r="U195" i="3"/>
  <c r="I195" i="3"/>
  <c r="U194" i="3"/>
  <c r="I194" i="3"/>
  <c r="U193" i="3"/>
  <c r="I193" i="3"/>
  <c r="U192" i="3"/>
  <c r="I192" i="3"/>
  <c r="U191" i="3"/>
  <c r="I191" i="3"/>
  <c r="U190" i="3"/>
  <c r="I190" i="3"/>
  <c r="U189" i="3"/>
  <c r="I189" i="3"/>
  <c r="U188" i="3"/>
  <c r="I188" i="3"/>
  <c r="U187" i="3"/>
  <c r="I187" i="3"/>
  <c r="U186" i="3"/>
  <c r="I186" i="3"/>
  <c r="V186" i="3" s="1"/>
  <c r="U185" i="3"/>
  <c r="I185" i="3"/>
  <c r="U184" i="3"/>
  <c r="I184" i="3"/>
  <c r="U183" i="3"/>
  <c r="I183" i="3"/>
  <c r="U182" i="3"/>
  <c r="I182" i="3"/>
  <c r="U181" i="3"/>
  <c r="I181" i="3"/>
  <c r="U180" i="3"/>
  <c r="I180" i="3"/>
  <c r="U179" i="3"/>
  <c r="I179" i="3"/>
  <c r="U178" i="3"/>
  <c r="I178" i="3"/>
  <c r="U177" i="3"/>
  <c r="I177" i="3"/>
  <c r="U176" i="3"/>
  <c r="I176" i="3"/>
  <c r="U175" i="3"/>
  <c r="I175" i="3"/>
  <c r="U174" i="3"/>
  <c r="I174" i="3"/>
  <c r="U173" i="3"/>
  <c r="I173" i="3"/>
  <c r="U172" i="3"/>
  <c r="I172" i="3"/>
  <c r="U171" i="3"/>
  <c r="I171" i="3"/>
  <c r="U170" i="3"/>
  <c r="I170" i="3"/>
  <c r="U169" i="3"/>
  <c r="I169" i="3"/>
  <c r="U168" i="3"/>
  <c r="I168" i="3"/>
  <c r="U167" i="3"/>
  <c r="I167" i="3"/>
  <c r="U166" i="3"/>
  <c r="I166" i="3"/>
  <c r="U165" i="3"/>
  <c r="I165" i="3"/>
  <c r="U164" i="3"/>
  <c r="I164" i="3"/>
  <c r="U163" i="3"/>
  <c r="I163" i="3"/>
  <c r="V163" i="3" s="1"/>
  <c r="U162" i="3"/>
  <c r="I162" i="3"/>
  <c r="U161" i="3"/>
  <c r="I161" i="3"/>
  <c r="U160" i="3"/>
  <c r="U159" i="3"/>
  <c r="I159" i="3"/>
  <c r="U158" i="3"/>
  <c r="I158" i="3"/>
  <c r="U157" i="3"/>
  <c r="I157" i="3"/>
  <c r="U156" i="3"/>
  <c r="I156" i="3"/>
  <c r="U155" i="3"/>
  <c r="I155" i="3"/>
  <c r="U154" i="3"/>
  <c r="I154" i="3"/>
  <c r="U153" i="3"/>
  <c r="I153" i="3"/>
  <c r="U152" i="3"/>
  <c r="I152" i="3"/>
  <c r="U151" i="3"/>
  <c r="I151" i="3"/>
  <c r="U150" i="3"/>
  <c r="I150" i="3"/>
  <c r="U149" i="3"/>
  <c r="I149" i="3"/>
  <c r="U148" i="3"/>
  <c r="I148" i="3"/>
  <c r="U147" i="3"/>
  <c r="I147" i="3"/>
  <c r="U146" i="3"/>
  <c r="I146" i="3"/>
  <c r="U145" i="3"/>
  <c r="I145" i="3"/>
  <c r="U144" i="3"/>
  <c r="I144" i="3"/>
  <c r="U143" i="3"/>
  <c r="I143" i="3"/>
  <c r="U142" i="3"/>
  <c r="U141" i="3"/>
  <c r="I141" i="3"/>
  <c r="U140" i="3"/>
  <c r="I140" i="3"/>
  <c r="U139" i="3"/>
  <c r="I139" i="3"/>
  <c r="U138" i="3"/>
  <c r="I138" i="3"/>
  <c r="U137" i="3"/>
  <c r="I137" i="3"/>
  <c r="U136" i="3"/>
  <c r="I136" i="3"/>
  <c r="U135" i="3"/>
  <c r="I135" i="3"/>
  <c r="U134" i="3"/>
  <c r="I134" i="3"/>
  <c r="U133" i="3"/>
  <c r="I133" i="3"/>
  <c r="U132" i="3"/>
  <c r="I132" i="3"/>
  <c r="V132" i="3" s="1"/>
  <c r="U131" i="3"/>
  <c r="I131" i="3"/>
  <c r="U130" i="3"/>
  <c r="I130" i="3"/>
  <c r="U129" i="3"/>
  <c r="I129" i="3"/>
  <c r="U128" i="3"/>
  <c r="I128" i="3"/>
  <c r="U127" i="3"/>
  <c r="I127" i="3"/>
  <c r="U126" i="3"/>
  <c r="I126" i="3"/>
  <c r="U125" i="3"/>
  <c r="I125" i="3"/>
  <c r="U124" i="3"/>
  <c r="I124" i="3"/>
  <c r="U123" i="3"/>
  <c r="I123" i="3"/>
  <c r="U122" i="3"/>
  <c r="I122" i="3"/>
  <c r="U121" i="3"/>
  <c r="I121" i="3"/>
  <c r="U120" i="3"/>
  <c r="I120" i="3"/>
  <c r="V120" i="3" s="1"/>
  <c r="U119" i="3"/>
  <c r="I119" i="3"/>
  <c r="U118" i="3"/>
  <c r="I118" i="3"/>
  <c r="U117" i="3"/>
  <c r="I117" i="3"/>
  <c r="U115" i="3"/>
  <c r="I115" i="3"/>
  <c r="U114" i="3"/>
  <c r="I114" i="3"/>
  <c r="U113" i="3"/>
  <c r="I113" i="3"/>
  <c r="U112" i="3"/>
  <c r="I112" i="3"/>
  <c r="U111" i="3"/>
  <c r="I111" i="3"/>
  <c r="U110" i="3"/>
  <c r="I110" i="3"/>
  <c r="U109" i="3"/>
  <c r="I109" i="3"/>
  <c r="U108" i="3"/>
  <c r="I108" i="3"/>
  <c r="U107" i="3"/>
  <c r="I107" i="3"/>
  <c r="U106" i="3"/>
  <c r="I106" i="3"/>
  <c r="U105" i="3"/>
  <c r="I105" i="3"/>
  <c r="U104" i="3"/>
  <c r="I104" i="3"/>
  <c r="V104" i="3" s="1"/>
  <c r="U103" i="3"/>
  <c r="I103" i="3"/>
  <c r="U102" i="3"/>
  <c r="I102" i="3"/>
  <c r="U101" i="3"/>
  <c r="I101" i="3"/>
  <c r="U100" i="3"/>
  <c r="I100" i="3"/>
  <c r="U99" i="3"/>
  <c r="I99" i="3"/>
  <c r="U98" i="3"/>
  <c r="I98" i="3"/>
  <c r="U97" i="3"/>
  <c r="I97" i="3"/>
  <c r="U96" i="3"/>
  <c r="I96" i="3"/>
  <c r="U95" i="3"/>
  <c r="I95" i="3"/>
  <c r="U94" i="3"/>
  <c r="I94" i="3"/>
  <c r="U93" i="3"/>
  <c r="I93" i="3"/>
  <c r="U92" i="3"/>
  <c r="I92" i="3"/>
  <c r="U91" i="3"/>
  <c r="I91" i="3"/>
  <c r="U90" i="3"/>
  <c r="I90" i="3"/>
  <c r="I89" i="3"/>
  <c r="U88" i="3"/>
  <c r="I88" i="3"/>
  <c r="U87" i="3"/>
  <c r="I87" i="3"/>
  <c r="U86" i="3"/>
  <c r="I86" i="3"/>
  <c r="U85" i="3"/>
  <c r="I85" i="3"/>
  <c r="U84" i="3"/>
  <c r="I84" i="3"/>
  <c r="U83" i="3"/>
  <c r="I83" i="3"/>
  <c r="U82" i="3"/>
  <c r="I82" i="3"/>
  <c r="U81" i="3"/>
  <c r="I81" i="3"/>
  <c r="U80" i="3"/>
  <c r="I80" i="3"/>
  <c r="U79" i="3"/>
  <c r="I79" i="3"/>
  <c r="U78" i="3"/>
  <c r="I78" i="3"/>
  <c r="U77" i="3"/>
  <c r="I77" i="3"/>
  <c r="U76" i="3"/>
  <c r="I76" i="3"/>
  <c r="U75" i="3"/>
  <c r="I75" i="3"/>
  <c r="V75" i="3" s="1"/>
  <c r="U74" i="3"/>
  <c r="I74" i="3"/>
  <c r="U73" i="3"/>
  <c r="I73" i="3"/>
  <c r="U72" i="3"/>
  <c r="I72" i="3"/>
  <c r="U71" i="3"/>
  <c r="I71" i="3"/>
  <c r="U70" i="3"/>
  <c r="I70" i="3"/>
  <c r="I69" i="3"/>
  <c r="U68" i="3"/>
  <c r="I68" i="3"/>
  <c r="I67" i="3"/>
  <c r="I66" i="3"/>
  <c r="U65" i="3"/>
  <c r="I65" i="3"/>
  <c r="U64" i="3"/>
  <c r="I64" i="3"/>
  <c r="U63" i="3"/>
  <c r="I63" i="3"/>
  <c r="U62" i="3"/>
  <c r="I62" i="3"/>
  <c r="U61" i="3"/>
  <c r="I61" i="3"/>
  <c r="U60" i="3"/>
  <c r="I60" i="3"/>
  <c r="U59" i="3"/>
  <c r="I59" i="3"/>
  <c r="I58" i="3"/>
  <c r="U56" i="3"/>
  <c r="I56" i="3"/>
  <c r="U55" i="3"/>
  <c r="I55" i="3"/>
  <c r="I54" i="3"/>
  <c r="U53" i="3"/>
  <c r="I53" i="3"/>
  <c r="U52" i="3"/>
  <c r="I52" i="3"/>
  <c r="U51" i="3"/>
  <c r="I51" i="3"/>
  <c r="U50" i="3"/>
  <c r="I50" i="3"/>
  <c r="U49" i="3"/>
  <c r="I49" i="3"/>
  <c r="U48" i="3"/>
  <c r="I48" i="3"/>
  <c r="U47" i="3"/>
  <c r="I47" i="3"/>
  <c r="U46" i="3"/>
  <c r="I46" i="3"/>
  <c r="U45" i="3"/>
  <c r="I45" i="3"/>
  <c r="U44" i="3"/>
  <c r="I44" i="3"/>
  <c r="U43" i="3"/>
  <c r="I43" i="3"/>
  <c r="U42" i="3"/>
  <c r="I42" i="3"/>
  <c r="U41" i="3"/>
  <c r="I41" i="3"/>
  <c r="U40" i="3"/>
  <c r="I40" i="3"/>
  <c r="U39" i="3"/>
  <c r="I39" i="3"/>
  <c r="U38" i="3"/>
  <c r="I38" i="3"/>
  <c r="I37" i="3"/>
  <c r="U36" i="3"/>
  <c r="I36" i="3"/>
  <c r="U35" i="3"/>
  <c r="I35" i="3"/>
  <c r="U34" i="3"/>
  <c r="I34" i="3"/>
  <c r="U33" i="3"/>
  <c r="I33" i="3"/>
  <c r="U32" i="3"/>
  <c r="I32" i="3"/>
  <c r="U31" i="3"/>
  <c r="I31" i="3"/>
  <c r="U30" i="3"/>
  <c r="I30" i="3"/>
  <c r="U29" i="3"/>
  <c r="I29" i="3"/>
  <c r="U28" i="3"/>
  <c r="I28" i="3"/>
  <c r="U27" i="3"/>
  <c r="I27" i="3"/>
  <c r="U26" i="3"/>
  <c r="I26" i="3"/>
  <c r="U25" i="3"/>
  <c r="I25" i="3"/>
  <c r="U24" i="3"/>
  <c r="I24" i="3"/>
  <c r="U23" i="3"/>
  <c r="I23" i="3"/>
  <c r="U22" i="3"/>
  <c r="I22" i="3"/>
  <c r="U21" i="3"/>
  <c r="I21" i="3"/>
  <c r="U20" i="3"/>
  <c r="I20" i="3"/>
  <c r="U19" i="3"/>
  <c r="I19" i="3"/>
  <c r="U18" i="3"/>
  <c r="I18" i="3"/>
  <c r="U17" i="3"/>
  <c r="I17" i="3"/>
  <c r="U16" i="3"/>
  <c r="I16" i="3"/>
  <c r="U15" i="3"/>
  <c r="I15" i="3"/>
  <c r="U14" i="3"/>
  <c r="I14" i="3"/>
  <c r="U13" i="3"/>
  <c r="I13" i="3"/>
  <c r="U12" i="3"/>
  <c r="I12" i="3"/>
  <c r="U11" i="3"/>
  <c r="I11" i="3"/>
  <c r="U10" i="3"/>
  <c r="I10" i="3"/>
  <c r="U9" i="3"/>
  <c r="I9" i="3"/>
  <c r="U8" i="3"/>
  <c r="Q8" i="3"/>
  <c r="R8" i="3" s="1"/>
  <c r="L8" i="3"/>
  <c r="M8" i="3" s="1"/>
  <c r="I8" i="3"/>
  <c r="U7" i="3"/>
  <c r="Q7" i="3"/>
  <c r="R7" i="3" s="1"/>
  <c r="L7" i="3"/>
  <c r="M7" i="3" s="1"/>
  <c r="I7" i="3"/>
  <c r="B10" i="2"/>
  <c r="G407" i="1"/>
  <c r="O388" i="1"/>
  <c r="G388" i="1"/>
  <c r="O261" i="1"/>
  <c r="O257" i="1"/>
  <c r="O253" i="1"/>
  <c r="O249" i="1"/>
  <c r="O245" i="1"/>
  <c r="O241" i="1"/>
  <c r="O237" i="1"/>
  <c r="O233" i="1"/>
  <c r="O229" i="1"/>
  <c r="O225" i="1"/>
  <c r="O221" i="1"/>
  <c r="O217" i="1"/>
  <c r="O213" i="1"/>
  <c r="O209" i="1"/>
  <c r="O205" i="1"/>
  <c r="O201" i="1"/>
  <c r="O197" i="1"/>
  <c r="O193" i="1"/>
  <c r="O189" i="1"/>
  <c r="O185" i="1"/>
  <c r="O181" i="1"/>
  <c r="O177" i="1"/>
  <c r="O173" i="1"/>
  <c r="O169" i="1"/>
  <c r="O165" i="1"/>
  <c r="O161" i="1"/>
  <c r="O157" i="1"/>
  <c r="O153" i="1"/>
  <c r="O149" i="1"/>
  <c r="O145" i="1"/>
  <c r="O141" i="1"/>
  <c r="O137" i="1"/>
  <c r="O133" i="1"/>
  <c r="O129" i="1"/>
  <c r="O125" i="1"/>
  <c r="O121" i="1"/>
  <c r="O117" i="1"/>
  <c r="O113" i="1"/>
  <c r="O109" i="1"/>
  <c r="O105" i="1"/>
  <c r="O101" i="1"/>
  <c r="O97" i="1"/>
  <c r="O93" i="1"/>
  <c r="O89" i="1"/>
  <c r="O85" i="1"/>
  <c r="O81" i="1"/>
  <c r="O77" i="1"/>
  <c r="O73" i="1"/>
  <c r="O69" i="1"/>
  <c r="O65" i="1"/>
  <c r="O61" i="1"/>
  <c r="O57" i="1"/>
  <c r="O53" i="1"/>
  <c r="O49" i="1"/>
  <c r="O45" i="1"/>
  <c r="O41" i="1"/>
  <c r="O37" i="1"/>
  <c r="O33" i="1"/>
  <c r="O29" i="1"/>
  <c r="O25" i="1"/>
  <c r="O21" i="1"/>
  <c r="O17" i="1"/>
  <c r="O13" i="1"/>
  <c r="O9" i="1"/>
  <c r="O5" i="1"/>
  <c r="C369" i="1"/>
  <c r="K394" i="1" s="1"/>
  <c r="P394" i="1" s="1"/>
  <c r="J366" i="1" l="1"/>
  <c r="J370" i="1" s="1"/>
  <c r="C366" i="1"/>
  <c r="C370" i="1" s="1"/>
  <c r="C394" i="1" s="1"/>
  <c r="H394" i="1" s="1"/>
  <c r="V185" i="3"/>
  <c r="V306" i="3"/>
  <c r="V258" i="3"/>
  <c r="V356" i="3"/>
  <c r="F149" i="2"/>
  <c r="G149" i="2" s="1"/>
  <c r="V315" i="3"/>
  <c r="V56" i="3"/>
  <c r="V20" i="3"/>
  <c r="V117" i="3"/>
  <c r="V141" i="3"/>
  <c r="V155" i="3"/>
  <c r="D645" i="2"/>
  <c r="V124" i="3"/>
  <c r="V60" i="3"/>
  <c r="V322" i="3"/>
  <c r="V206" i="3"/>
  <c r="V77" i="3"/>
  <c r="V28" i="3"/>
  <c r="V248" i="3"/>
  <c r="M54" i="3"/>
  <c r="V54" i="3" s="1"/>
  <c r="M69" i="3"/>
  <c r="V69" i="3" s="1"/>
  <c r="V8" i="3"/>
  <c r="V74" i="3"/>
  <c r="V21" i="3"/>
  <c r="V140" i="3"/>
  <c r="V342" i="3"/>
  <c r="M89" i="3"/>
  <c r="V89" i="3" s="1"/>
  <c r="V318" i="3"/>
  <c r="V324" i="3"/>
  <c r="V312" i="3"/>
  <c r="M58" i="3"/>
  <c r="V58" i="3" s="1"/>
  <c r="V10" i="3"/>
  <c r="V16" i="3"/>
  <c r="V39" i="3"/>
  <c r="V348" i="3"/>
  <c r="V121" i="3"/>
  <c r="M53" i="3"/>
  <c r="V53" i="3" s="1"/>
  <c r="V187" i="3"/>
  <c r="V195" i="3"/>
  <c r="V331" i="3"/>
  <c r="V346" i="3"/>
  <c r="M67" i="3"/>
  <c r="V67" i="3" s="1"/>
  <c r="K366" i="1"/>
  <c r="K370" i="1" s="1"/>
  <c r="L366" i="1"/>
  <c r="L370" i="1" s="1"/>
  <c r="D366" i="1"/>
  <c r="D370" i="1" s="1"/>
  <c r="V294" i="3"/>
  <c r="V292" i="3"/>
  <c r="V289" i="3"/>
  <c r="F1211" i="2"/>
  <c r="G1211" i="2" s="1"/>
  <c r="F812" i="2"/>
  <c r="G812" i="2" s="1"/>
  <c r="F680" i="2"/>
  <c r="G680" i="2" s="1"/>
  <c r="D1654" i="2"/>
  <c r="D618" i="2"/>
  <c r="V272" i="3"/>
  <c r="D1749" i="2"/>
  <c r="D1751" i="2" s="1"/>
  <c r="V265" i="3"/>
  <c r="D140" i="2"/>
  <c r="E366" i="1"/>
  <c r="E370" i="1" s="1"/>
  <c r="M366" i="1"/>
  <c r="M370" i="1" s="1"/>
  <c r="F366" i="1"/>
  <c r="F370" i="1" s="1"/>
  <c r="N366" i="1"/>
  <c r="N370" i="1" s="1"/>
  <c r="G366" i="1"/>
  <c r="G370" i="1" s="1"/>
  <c r="H366" i="1"/>
  <c r="H370" i="1" s="1"/>
  <c r="F759" i="2"/>
  <c r="G759" i="2" s="1"/>
  <c r="F1690" i="2"/>
  <c r="G1690" i="2" s="1"/>
  <c r="D1511" i="2"/>
  <c r="D1513" i="2" s="1"/>
  <c r="F443" i="2"/>
  <c r="G443" i="2" s="1"/>
  <c r="D2019" i="2"/>
  <c r="D1589" i="2"/>
  <c r="F1742" i="2"/>
  <c r="G1742" i="2" s="1"/>
  <c r="D1910" i="2"/>
  <c r="D1912" i="2" s="1"/>
  <c r="V246" i="3"/>
  <c r="V25" i="3"/>
  <c r="V329" i="3"/>
  <c r="V360" i="3"/>
  <c r="V247" i="3"/>
  <c r="V262" i="3"/>
  <c r="U57" i="3"/>
  <c r="V184" i="3"/>
  <c r="V204" i="3"/>
  <c r="V305" i="3"/>
  <c r="V123" i="3"/>
  <c r="V50" i="3"/>
  <c r="M37" i="3"/>
  <c r="V37" i="3" s="1"/>
  <c r="V326" i="3"/>
  <c r="V284" i="3"/>
  <c r="V290" i="3"/>
  <c r="V313" i="3"/>
  <c r="V18" i="3"/>
  <c r="V34" i="3"/>
  <c r="V115" i="3"/>
  <c r="V242" i="3"/>
  <c r="V257" i="3"/>
  <c r="V286" i="3"/>
  <c r="V391" i="3"/>
  <c r="V270" i="3"/>
  <c r="V277" i="3"/>
  <c r="V300" i="3"/>
  <c r="V98" i="3"/>
  <c r="V279" i="3"/>
  <c r="V293" i="3"/>
  <c r="V314" i="3"/>
  <c r="M57" i="3"/>
  <c r="V57" i="3" s="1"/>
  <c r="V126" i="3"/>
  <c r="V137" i="3"/>
  <c r="V99" i="3"/>
  <c r="V36" i="3"/>
  <c r="V32" i="3"/>
  <c r="M66" i="3"/>
  <c r="V66" i="3" s="1"/>
  <c r="V274" i="3"/>
  <c r="V349" i="3"/>
  <c r="V302" i="3"/>
  <c r="V236" i="3"/>
  <c r="V234" i="3"/>
  <c r="V229" i="3"/>
  <c r="V321" i="3"/>
  <c r="V59" i="3"/>
  <c r="V71" i="3"/>
  <c r="V91" i="3"/>
  <c r="V103" i="3"/>
  <c r="V161" i="3"/>
  <c r="V205" i="3"/>
  <c r="V240" i="3"/>
  <c r="V252" i="3"/>
  <c r="V268" i="3"/>
  <c r="V280" i="3"/>
  <c r="V308" i="3"/>
  <c r="V9" i="3"/>
  <c r="V70" i="3"/>
  <c r="V285" i="3"/>
  <c r="V343" i="3"/>
  <c r="V354" i="3"/>
  <c r="V263" i="3"/>
  <c r="V333" i="3"/>
  <c r="V33" i="3"/>
  <c r="V23" i="3"/>
  <c r="V218" i="3"/>
  <c r="V226" i="3"/>
  <c r="V238" i="3"/>
  <c r="V269" i="3"/>
  <c r="V304" i="3"/>
  <c r="V310" i="3"/>
  <c r="V191" i="3"/>
  <c r="V297" i="3"/>
  <c r="V309" i="3"/>
  <c r="V24" i="3"/>
  <c r="V40" i="3"/>
  <c r="V48" i="3"/>
  <c r="V146" i="3"/>
  <c r="V11" i="3"/>
  <c r="V231" i="3"/>
  <c r="V288" i="3"/>
  <c r="V299" i="3"/>
  <c r="V31" i="3"/>
  <c r="V109" i="3"/>
  <c r="V81" i="3"/>
  <c r="V100" i="3"/>
  <c r="V128" i="3"/>
  <c r="V110" i="3"/>
  <c r="V235" i="3"/>
  <c r="V266" i="3"/>
  <c r="V311" i="3"/>
  <c r="V337" i="3"/>
  <c r="V43" i="3"/>
  <c r="V13" i="3"/>
  <c r="V45" i="3"/>
  <c r="V227" i="3"/>
  <c r="V335" i="3"/>
  <c r="V341" i="3"/>
  <c r="V49" i="3"/>
  <c r="V281" i="3"/>
  <c r="V344" i="3"/>
  <c r="V65" i="3"/>
  <c r="V73" i="3"/>
  <c r="V176" i="3"/>
  <c r="V96" i="3"/>
  <c r="V122" i="3"/>
  <c r="V278" i="3"/>
  <c r="V301" i="3"/>
  <c r="V330" i="3"/>
  <c r="V339" i="3"/>
  <c r="V80" i="3"/>
  <c r="V22" i="3"/>
  <c r="V347" i="3"/>
  <c r="V351" i="3"/>
  <c r="V355" i="3"/>
  <c r="V359" i="3"/>
  <c r="V85" i="3"/>
  <c r="V102" i="3"/>
  <c r="V239" i="3"/>
  <c r="V256" i="3"/>
  <c r="V267" i="3"/>
  <c r="V320" i="3"/>
  <c r="V51" i="3"/>
  <c r="V119" i="3"/>
  <c r="V181" i="3"/>
  <c r="V275" i="3"/>
  <c r="V295" i="3"/>
  <c r="V352" i="3"/>
  <c r="V357" i="3"/>
  <c r="V251" i="3"/>
  <c r="V127" i="3"/>
  <c r="V283" i="3"/>
  <c r="V222" i="3"/>
  <c r="V47" i="3"/>
  <c r="V72" i="3"/>
  <c r="V332" i="3"/>
  <c r="V230" i="3"/>
  <c r="V245" i="3"/>
  <c r="V249" i="3"/>
  <c r="V253" i="3"/>
  <c r="V261" i="3"/>
  <c r="V325" i="3"/>
  <c r="V15" i="3"/>
  <c r="V174" i="3"/>
  <c r="V224" i="3"/>
  <c r="V19" i="3"/>
  <c r="V237" i="3"/>
  <c r="V273" i="3"/>
  <c r="V317" i="3"/>
  <c r="V213" i="3"/>
  <c r="V225" i="3"/>
  <c r="V243" i="3"/>
  <c r="V44" i="3"/>
  <c r="V78" i="3"/>
  <c r="V82" i="3"/>
  <c r="V86" i="3"/>
  <c r="V200" i="3"/>
  <c r="V345" i="3"/>
  <c r="V259" i="3"/>
  <c r="V264" i="3"/>
  <c r="V291" i="3"/>
  <c r="V296" i="3"/>
  <c r="V307" i="3"/>
  <c r="V323" i="3"/>
  <c r="V338" i="3"/>
  <c r="V358" i="3"/>
  <c r="V12" i="3"/>
  <c r="V41" i="3"/>
  <c r="V92" i="3"/>
  <c r="V108" i="3"/>
  <c r="V113" i="3"/>
  <c r="V42" i="3"/>
  <c r="V14" i="3"/>
  <c r="V38" i="3"/>
  <c r="V156" i="3"/>
  <c r="V298" i="3"/>
  <c r="V52" i="3"/>
  <c r="V61" i="3"/>
  <c r="V88" i="3"/>
  <c r="V93" i="3"/>
  <c r="V97" i="3"/>
  <c r="V101" i="3"/>
  <c r="V106" i="3"/>
  <c r="V112" i="3"/>
  <c r="V254" i="3"/>
  <c r="V133" i="3"/>
  <c r="V64" i="3"/>
  <c r="V232" i="3"/>
  <c r="V63" i="3"/>
  <c r="V79" i="3"/>
  <c r="V83" i="3"/>
  <c r="V87" i="3"/>
  <c r="V95" i="3"/>
  <c r="V136" i="3"/>
  <c r="V392" i="3"/>
  <c r="V26" i="3"/>
  <c r="V170" i="3"/>
  <c r="V250" i="3"/>
  <c r="V255" i="3"/>
  <c r="V260" i="3"/>
  <c r="V271" i="3"/>
  <c r="V303" i="3"/>
  <c r="V319" i="3"/>
  <c r="V334" i="3"/>
  <c r="V30" i="3"/>
  <c r="V276" i="3"/>
  <c r="V282" i="3"/>
  <c r="V68" i="3"/>
  <c r="V55" i="3"/>
  <c r="V27" i="3"/>
  <c r="V35" i="3"/>
  <c r="V166" i="3"/>
  <c r="V223" i="3"/>
  <c r="V216" i="3"/>
  <c r="V221" i="3"/>
  <c r="V220" i="3"/>
  <c r="V219" i="3"/>
  <c r="V217" i="3"/>
  <c r="V215" i="3"/>
  <c r="V214" i="3"/>
  <c r="V203" i="3"/>
  <c r="V212" i="3"/>
  <c r="V211" i="3"/>
  <c r="V210" i="3"/>
  <c r="V209" i="3"/>
  <c r="V208" i="3"/>
  <c r="V202" i="3"/>
  <c r="V201" i="3"/>
  <c r="V199" i="3"/>
  <c r="V198" i="3"/>
  <c r="F284" i="2"/>
  <c r="G284" i="2" s="1"/>
  <c r="D1563" i="2"/>
  <c r="F16" i="2"/>
  <c r="G16" i="2" s="1"/>
  <c r="D766" i="2"/>
  <c r="F707" i="2"/>
  <c r="G707" i="2" s="1"/>
  <c r="V197" i="3"/>
  <c r="V196" i="3"/>
  <c r="V194" i="3"/>
  <c r="V193" i="3"/>
  <c r="V192" i="3"/>
  <c r="V190" i="3"/>
  <c r="V189" i="3"/>
  <c r="V188" i="3"/>
  <c r="V125" i="3"/>
  <c r="V129" i="3"/>
  <c r="V7" i="3"/>
  <c r="V327" i="3"/>
  <c r="V353" i="3"/>
  <c r="V84" i="3"/>
  <c r="V149" i="3"/>
  <c r="V29" i="3"/>
  <c r="V183" i="3"/>
  <c r="V287" i="3"/>
  <c r="V350" i="3"/>
  <c r="V76" i="3"/>
  <c r="V228" i="3"/>
  <c r="F974" i="2"/>
  <c r="G974" i="2" s="1"/>
  <c r="D965" i="2"/>
  <c r="V62" i="3"/>
  <c r="V207" i="3"/>
  <c r="V233" i="3"/>
  <c r="V244" i="3"/>
  <c r="V328" i="3"/>
  <c r="V111" i="3"/>
  <c r="V150" i="3"/>
  <c r="V46" i="3"/>
  <c r="V336" i="3"/>
  <c r="V340" i="3"/>
  <c r="V159" i="3"/>
  <c r="V17" i="3"/>
  <c r="D554" i="2"/>
  <c r="D556" i="2" s="1"/>
  <c r="D581" i="2"/>
  <c r="D583" i="2" s="1"/>
  <c r="F1080" i="2"/>
  <c r="G1080" i="2" s="1"/>
  <c r="F1185" i="2"/>
  <c r="G1185" i="2" s="1"/>
  <c r="D1176" i="2"/>
  <c r="D1670" i="2"/>
  <c r="D1672" i="2" s="1"/>
  <c r="V105" i="3"/>
  <c r="V118" i="3"/>
  <c r="V171" i="3"/>
  <c r="V179" i="3"/>
  <c r="V182" i="3"/>
  <c r="F43" i="2"/>
  <c r="G43" i="2" s="1"/>
  <c r="D129" i="2"/>
  <c r="D131" i="2" s="1"/>
  <c r="F230" i="2"/>
  <c r="G230" i="2" s="1"/>
  <c r="F893" i="2"/>
  <c r="G893" i="2" s="1"/>
  <c r="D884" i="2"/>
  <c r="V151" i="3"/>
  <c r="V107" i="3"/>
  <c r="O218" i="1"/>
  <c r="O122" i="1"/>
  <c r="D608" i="2"/>
  <c r="D610" i="2" s="1"/>
  <c r="F733" i="2"/>
  <c r="G733" i="2" s="1"/>
  <c r="D750" i="2"/>
  <c r="E16" i="4"/>
  <c r="F16" i="4" s="1"/>
  <c r="V116" i="3"/>
  <c r="V90" i="3"/>
  <c r="V94" i="3"/>
  <c r="F310" i="2"/>
  <c r="G310" i="2" s="1"/>
  <c r="F920" i="2"/>
  <c r="G920" i="2" s="1"/>
  <c r="F574" i="2"/>
  <c r="G574" i="2" s="1"/>
  <c r="V172" i="3"/>
  <c r="V180" i="3"/>
  <c r="F337" i="2"/>
  <c r="G337" i="2" s="1"/>
  <c r="D687" i="2"/>
  <c r="D689" i="2" s="1"/>
  <c r="D981" i="2"/>
  <c r="V158" i="3"/>
  <c r="D1272" i="2"/>
  <c r="D1274" i="2" s="1"/>
  <c r="F1398" i="2"/>
  <c r="G1398" i="2" s="1"/>
  <c r="O46" i="1"/>
  <c r="O58" i="1"/>
  <c r="O26" i="1"/>
  <c r="F1053" i="2"/>
  <c r="G1053" i="2" s="1"/>
  <c r="F521" i="2"/>
  <c r="G521" i="2" s="1"/>
  <c r="D423" i="2"/>
  <c r="D425" i="2" s="1"/>
  <c r="D803" i="2"/>
  <c r="F1371" i="2"/>
  <c r="G1371" i="2" s="1"/>
  <c r="D1458" i="2"/>
  <c r="D1460" i="2" s="1"/>
  <c r="D1537" i="2"/>
  <c r="D1539" i="2" s="1"/>
  <c r="D103" i="2"/>
  <c r="D50" i="2"/>
  <c r="D846" i="2"/>
  <c r="D848" i="2" s="1"/>
  <c r="D927" i="2"/>
  <c r="D929" i="2" s="1"/>
  <c r="D954" i="2"/>
  <c r="D956" i="2" s="1"/>
  <c r="D1324" i="2"/>
  <c r="F176" i="2"/>
  <c r="G176" i="2" s="1"/>
  <c r="D434" i="2"/>
  <c r="F1159" i="2"/>
  <c r="G1159" i="2" s="1"/>
  <c r="D714" i="2"/>
  <c r="D716" i="2" s="1"/>
  <c r="D900" i="2"/>
  <c r="D1060" i="2"/>
  <c r="D1062" i="2" s="1"/>
  <c r="D23" i="2"/>
  <c r="D317" i="2"/>
  <c r="F547" i="2"/>
  <c r="G547" i="2" s="1"/>
  <c r="D1246" i="2"/>
  <c r="D1248" i="2" s="1"/>
  <c r="D1883" i="2"/>
  <c r="D1885" i="2" s="1"/>
  <c r="D7" i="2"/>
  <c r="D210" i="2"/>
  <c r="D212" i="2" s="1"/>
  <c r="D1405" i="2"/>
  <c r="G1716" i="2"/>
  <c r="D1936" i="2"/>
  <c r="D1938" i="2" s="1"/>
  <c r="F1985" i="2"/>
  <c r="G1985" i="2" s="1"/>
  <c r="F69" i="2"/>
  <c r="G69" i="2" s="1"/>
  <c r="F257" i="2"/>
  <c r="G257" i="2" s="1"/>
  <c r="D397" i="2"/>
  <c r="D399" i="2" s="1"/>
  <c r="F866" i="2"/>
  <c r="G866" i="2" s="1"/>
  <c r="D873" i="2"/>
  <c r="D875" i="2" s="1"/>
  <c r="F469" i="2"/>
  <c r="G469" i="2" s="1"/>
  <c r="F839" i="2"/>
  <c r="G839" i="2" s="1"/>
  <c r="D1192" i="2"/>
  <c r="D1218" i="2"/>
  <c r="D1643" i="2"/>
  <c r="D1645" i="2" s="1"/>
  <c r="D1351" i="2"/>
  <c r="D1353" i="2" s="1"/>
  <c r="D1573" i="2"/>
  <c r="D1591" i="2" s="1"/>
  <c r="D1485" i="2"/>
  <c r="D1487" i="2" s="1"/>
  <c r="D183" i="2"/>
  <c r="D1297" i="2"/>
  <c r="D1299" i="2" s="1"/>
  <c r="F96" i="2"/>
  <c r="G96" i="2" s="1"/>
  <c r="D370" i="2"/>
  <c r="D372" i="2" s="1"/>
  <c r="D476" i="2"/>
  <c r="D478" i="2" s="1"/>
  <c r="F390" i="2"/>
  <c r="G390" i="2" s="1"/>
  <c r="D1087" i="2"/>
  <c r="D1089" i="2" s="1"/>
  <c r="D1202" i="2"/>
  <c r="F785" i="2"/>
  <c r="G785" i="2" s="1"/>
  <c r="D1723" i="2"/>
  <c r="D1725" i="2" s="1"/>
  <c r="F1929" i="2"/>
  <c r="G1929" i="2" s="1"/>
  <c r="D156" i="2"/>
  <c r="D158" i="2" s="1"/>
  <c r="D634" i="2"/>
  <c r="D636" i="2" s="1"/>
  <c r="D1829" i="2"/>
  <c r="D1831" i="2" s="1"/>
  <c r="D2021" i="2"/>
  <c r="D992" i="2"/>
  <c r="D1150" i="2"/>
  <c r="D1992" i="2"/>
  <c r="D1034" i="2"/>
  <c r="D1036" i="2" s="1"/>
  <c r="D1114" i="2"/>
  <c r="D1116" i="2" s="1"/>
  <c r="D1697" i="2"/>
  <c r="D1699" i="2" s="1"/>
  <c r="F122" i="2"/>
  <c r="G122" i="2" s="1"/>
  <c r="D264" i="2"/>
  <c r="D266" i="2" s="1"/>
  <c r="V178" i="3"/>
  <c r="V177" i="3"/>
  <c r="V175" i="3"/>
  <c r="V173" i="3"/>
  <c r="F359" i="1"/>
  <c r="F360" i="1" s="1"/>
  <c r="N359" i="1"/>
  <c r="N360" i="1" s="1"/>
  <c r="G359" i="1"/>
  <c r="G360" i="1" s="1"/>
  <c r="G367" i="1" s="1"/>
  <c r="C379" i="1" s="1"/>
  <c r="H379" i="1" s="1"/>
  <c r="H359" i="1"/>
  <c r="H360" i="1" s="1"/>
  <c r="H367" i="1" s="1"/>
  <c r="I359" i="1"/>
  <c r="I360" i="1" s="1"/>
  <c r="J359" i="1"/>
  <c r="J360" i="1" s="1"/>
  <c r="C359" i="1"/>
  <c r="C360" i="1" s="1"/>
  <c r="K359" i="1"/>
  <c r="K360" i="1" s="1"/>
  <c r="K367" i="1" s="1"/>
  <c r="C383" i="1" s="1"/>
  <c r="H383" i="1" s="1"/>
  <c r="D359" i="1"/>
  <c r="D360" i="1" s="1"/>
  <c r="L359" i="1"/>
  <c r="L360" i="1" s="1"/>
  <c r="E359" i="1"/>
  <c r="E360" i="1" s="1"/>
  <c r="M359" i="1"/>
  <c r="M360" i="1" s="1"/>
  <c r="M367" i="1" s="1"/>
  <c r="C385" i="1" s="1"/>
  <c r="H385" i="1" s="1"/>
  <c r="O250" i="1"/>
  <c r="O154" i="1"/>
  <c r="O214" i="1"/>
  <c r="O182" i="1"/>
  <c r="O118" i="1"/>
  <c r="O86" i="1"/>
  <c r="O54" i="1"/>
  <c r="O22" i="1"/>
  <c r="E47" i="1"/>
  <c r="E48" i="1" s="1"/>
  <c r="O48" i="1" s="1"/>
  <c r="O158" i="1"/>
  <c r="O188" i="1"/>
  <c r="O90" i="1"/>
  <c r="O150" i="1"/>
  <c r="C59" i="1"/>
  <c r="C60" i="1" s="1"/>
  <c r="O60" i="1" s="1"/>
  <c r="K396" i="1"/>
  <c r="P396" i="1" s="1"/>
  <c r="O178" i="1"/>
  <c r="C219" i="1"/>
  <c r="O219" i="1" s="1"/>
  <c r="O248" i="1"/>
  <c r="O238" i="1"/>
  <c r="O206" i="1"/>
  <c r="O174" i="1"/>
  <c r="O110" i="1"/>
  <c r="O254" i="1"/>
  <c r="O222" i="1"/>
  <c r="O190" i="1"/>
  <c r="O126" i="1"/>
  <c r="O94" i="1"/>
  <c r="O30" i="1"/>
  <c r="O230" i="1"/>
  <c r="O198" i="1"/>
  <c r="O166" i="1"/>
  <c r="O134" i="1"/>
  <c r="O70" i="1"/>
  <c r="O38" i="1"/>
  <c r="O98" i="1"/>
  <c r="O186" i="1"/>
  <c r="O244" i="1"/>
  <c r="C27" i="1"/>
  <c r="C28" i="1" s="1"/>
  <c r="O234" i="1"/>
  <c r="O170" i="1"/>
  <c r="O138" i="1"/>
  <c r="O74" i="1"/>
  <c r="O42" i="1"/>
  <c r="O10" i="1"/>
  <c r="O50" i="1"/>
  <c r="O18" i="1"/>
  <c r="O106" i="1"/>
  <c r="C123" i="1"/>
  <c r="C124" i="1" s="1"/>
  <c r="O124" i="1" s="1"/>
  <c r="O210" i="1"/>
  <c r="O82" i="1"/>
  <c r="O212" i="1"/>
  <c r="O159" i="1"/>
  <c r="O148" i="1"/>
  <c r="O16" i="1"/>
  <c r="O15" i="1"/>
  <c r="C168" i="1"/>
  <c r="O151" i="1"/>
  <c r="C152" i="1"/>
  <c r="O152" i="1" s="1"/>
  <c r="E28" i="1"/>
  <c r="C200" i="1"/>
  <c r="C88" i="1"/>
  <c r="O88" i="1" s="1"/>
  <c r="O87" i="1"/>
  <c r="C272" i="1"/>
  <c r="O272" i="1" s="1"/>
  <c r="O271" i="1"/>
  <c r="O108" i="1"/>
  <c r="O132" i="1"/>
  <c r="O202" i="1"/>
  <c r="O66" i="1"/>
  <c r="O146" i="1"/>
  <c r="O142" i="1"/>
  <c r="O264" i="1"/>
  <c r="O196" i="1"/>
  <c r="O172" i="1"/>
  <c r="O64" i="1"/>
  <c r="O266" i="1"/>
  <c r="L175" i="1"/>
  <c r="L176" i="1" s="1"/>
  <c r="O112" i="1"/>
  <c r="D139" i="1"/>
  <c r="D140" i="1" s="1"/>
  <c r="O140" i="1" s="1"/>
  <c r="O192" i="1"/>
  <c r="O252" i="1"/>
  <c r="O251" i="1"/>
  <c r="O104" i="1"/>
  <c r="O62" i="1"/>
  <c r="O143" i="1"/>
  <c r="C215" i="1"/>
  <c r="C216" i="1" s="1"/>
  <c r="O216" i="1" s="1"/>
  <c r="O171" i="1"/>
  <c r="O103" i="1"/>
  <c r="O240" i="1"/>
  <c r="D235" i="1"/>
  <c r="D43" i="1"/>
  <c r="D44" i="1" s="1"/>
  <c r="O44" i="1" s="1"/>
  <c r="O78" i="1"/>
  <c r="O144" i="1"/>
  <c r="O80" i="1"/>
  <c r="O135" i="1"/>
  <c r="O180" i="1"/>
  <c r="O242" i="1"/>
  <c r="O262" i="1"/>
  <c r="O102" i="1"/>
  <c r="O114" i="1"/>
  <c r="O6" i="1"/>
  <c r="O187" i="1"/>
  <c r="C119" i="1"/>
  <c r="C55" i="1"/>
  <c r="O208" i="1"/>
  <c r="O128" i="1"/>
  <c r="O72" i="1"/>
  <c r="O40" i="1"/>
  <c r="O20" i="1"/>
  <c r="O34" i="1"/>
  <c r="O232" i="1"/>
  <c r="O228" i="1"/>
  <c r="O204" i="1"/>
  <c r="O160" i="1"/>
  <c r="O136" i="1"/>
  <c r="O84" i="1"/>
  <c r="D11" i="1"/>
  <c r="D12" i="1" s="1"/>
  <c r="O12" i="1" s="1"/>
  <c r="O268" i="1"/>
  <c r="O231" i="1"/>
  <c r="O203" i="1"/>
  <c r="C183" i="1"/>
  <c r="C184" i="1" s="1"/>
  <c r="O184" i="1" s="1"/>
  <c r="O92" i="1"/>
  <c r="O224" i="1"/>
  <c r="O95" i="1"/>
  <c r="O246" i="1"/>
  <c r="O14" i="1"/>
  <c r="O247" i="1"/>
  <c r="O116" i="1"/>
  <c r="O260" i="1"/>
  <c r="O163" i="1"/>
  <c r="D164" i="1"/>
  <c r="O164" i="1" s="1"/>
  <c r="D68" i="1"/>
  <c r="O68" i="1" s="1"/>
  <c r="O67" i="1"/>
  <c r="O76" i="1"/>
  <c r="O156" i="1"/>
  <c r="O100" i="1"/>
  <c r="O99" i="1"/>
  <c r="O270" i="1"/>
  <c r="O195" i="1"/>
  <c r="O131" i="1"/>
  <c r="O263" i="1"/>
  <c r="O147" i="1"/>
  <c r="O258" i="1"/>
  <c r="O194" i="1"/>
  <c r="O130" i="1"/>
  <c r="O107" i="1"/>
  <c r="O259" i="1"/>
  <c r="O63" i="1"/>
  <c r="O115" i="1"/>
  <c r="O79" i="1"/>
  <c r="O226" i="1"/>
  <c r="O155" i="1"/>
  <c r="O83" i="1"/>
  <c r="O267" i="1"/>
  <c r="D35" i="1"/>
  <c r="O227" i="1"/>
  <c r="O211" i="1"/>
  <c r="O75" i="1"/>
  <c r="O243" i="1"/>
  <c r="O91" i="1"/>
  <c r="O162" i="1"/>
  <c r="F23" i="1"/>
  <c r="F24" i="1" s="1"/>
  <c r="O24" i="1" s="1"/>
  <c r="O274" i="1"/>
  <c r="K404" i="1"/>
  <c r="P404" i="1" s="1"/>
  <c r="K386" i="1"/>
  <c r="P386" i="1" s="1"/>
  <c r="K397" i="1"/>
  <c r="V169" i="3"/>
  <c r="V168" i="3"/>
  <c r="V167" i="3"/>
  <c r="D76" i="2"/>
  <c r="D78" i="2" s="1"/>
  <c r="F416" i="2"/>
  <c r="G416" i="2" s="1"/>
  <c r="D450" i="2"/>
  <c r="D502" i="2"/>
  <c r="D504" i="2" s="1"/>
  <c r="D1326" i="2"/>
  <c r="D1378" i="2"/>
  <c r="F203" i="2"/>
  <c r="G203" i="2" s="1"/>
  <c r="D167" i="2"/>
  <c r="D344" i="2"/>
  <c r="D740" i="2"/>
  <c r="D724" i="2"/>
  <c r="D792" i="2"/>
  <c r="D794" i="2" s="1"/>
  <c r="D1140" i="2"/>
  <c r="D1142" i="2" s="1"/>
  <c r="D1166" i="2"/>
  <c r="F1238" i="2"/>
  <c r="G1238" i="2" s="1"/>
  <c r="F1344" i="2"/>
  <c r="G1344" i="2" s="1"/>
  <c r="F1504" i="2"/>
  <c r="G1504" i="2" s="1"/>
  <c r="F1636" i="2"/>
  <c r="G1636" i="2" s="1"/>
  <c r="D1802" i="2"/>
  <c r="D1804" i="2" s="1"/>
  <c r="D328" i="2"/>
  <c r="F363" i="2"/>
  <c r="G363" i="2" s="1"/>
  <c r="D819" i="2"/>
  <c r="F1290" i="2"/>
  <c r="G1290" i="2" s="1"/>
  <c r="D1389" i="2"/>
  <c r="D87" i="2"/>
  <c r="D291" i="2"/>
  <c r="D293" i="2" s="1"/>
  <c r="D528" i="2"/>
  <c r="D530" i="2" s="1"/>
  <c r="F601" i="2"/>
  <c r="G601" i="2" s="1"/>
  <c r="F947" i="2"/>
  <c r="G947" i="2" s="1"/>
  <c r="D1008" i="2"/>
  <c r="F1264" i="2"/>
  <c r="G1264" i="2" s="1"/>
  <c r="F2012" i="2"/>
  <c r="G2012" i="2" s="1"/>
  <c r="D237" i="2"/>
  <c r="D1362" i="2"/>
  <c r="F1027" i="2"/>
  <c r="G1027" i="2" s="1"/>
  <c r="D221" i="2"/>
  <c r="D301" i="2"/>
  <c r="D661" i="2"/>
  <c r="D663" i="2" s="1"/>
  <c r="D1432" i="2"/>
  <c r="D1434" i="2" s="1"/>
  <c r="D1856" i="2"/>
  <c r="D1858" i="2" s="1"/>
  <c r="D1976" i="2"/>
  <c r="D1964" i="2"/>
  <c r="D1966" i="2" s="1"/>
  <c r="F1317" i="2"/>
  <c r="G1317" i="2" s="1"/>
  <c r="D1547" i="2"/>
  <c r="D34" i="2"/>
  <c r="D1778" i="2"/>
  <c r="D1618" i="2"/>
  <c r="V165" i="3"/>
  <c r="V153" i="3"/>
  <c r="V164" i="3"/>
  <c r="V162" i="3"/>
  <c r="V157" i="3"/>
  <c r="V154" i="3"/>
  <c r="V152" i="3"/>
  <c r="V148" i="3"/>
  <c r="V114" i="3"/>
  <c r="V147" i="3"/>
  <c r="V145" i="3"/>
  <c r="V144" i="3"/>
  <c r="V143" i="3"/>
  <c r="V142" i="3"/>
  <c r="V139" i="3"/>
  <c r="V138" i="3"/>
  <c r="K381" i="1"/>
  <c r="P381" i="1" s="1"/>
  <c r="O362" i="1"/>
  <c r="K402" i="1"/>
  <c r="P402" i="1" s="1"/>
  <c r="O358" i="1"/>
  <c r="O276" i="1"/>
  <c r="K375" i="1"/>
  <c r="P375" i="1" s="1"/>
  <c r="C363" i="1"/>
  <c r="O275" i="1"/>
  <c r="K403" i="1"/>
  <c r="P403" i="1" s="1"/>
  <c r="O365" i="1"/>
  <c r="K380" i="1"/>
  <c r="P380" i="1" s="1"/>
  <c r="K379" i="1"/>
  <c r="P379" i="1" s="1"/>
  <c r="K398" i="1"/>
  <c r="V135" i="3"/>
  <c r="V134" i="3"/>
  <c r="V131" i="3"/>
  <c r="V130" i="3"/>
  <c r="C398" i="1" l="1"/>
  <c r="H398" i="1" s="1"/>
  <c r="D1565" i="2"/>
  <c r="C403" i="1"/>
  <c r="H403" i="1" s="1"/>
  <c r="D821" i="2"/>
  <c r="D1194" i="2"/>
  <c r="D768" i="2"/>
  <c r="D185" i="2"/>
  <c r="D52" i="2"/>
  <c r="D1994" i="2"/>
  <c r="D105" i="2"/>
  <c r="D452" i="2"/>
  <c r="D25" i="2"/>
  <c r="D983" i="2"/>
  <c r="D319" i="2"/>
  <c r="D902" i="2"/>
  <c r="D742" i="2"/>
  <c r="D346" i="2"/>
  <c r="I367" i="1"/>
  <c r="C381" i="1" s="1"/>
  <c r="F367" i="1"/>
  <c r="C378" i="1" s="1"/>
  <c r="H378" i="1" s="1"/>
  <c r="O123" i="1"/>
  <c r="E367" i="1"/>
  <c r="C377" i="1" s="1"/>
  <c r="H377" i="1" s="1"/>
  <c r="D1407" i="2"/>
  <c r="L367" i="1"/>
  <c r="C384" i="1" s="1"/>
  <c r="H384" i="1" s="1"/>
  <c r="N367" i="1"/>
  <c r="C386" i="1" s="1"/>
  <c r="H386" i="1" s="1"/>
  <c r="D1010" i="2"/>
  <c r="D1168" i="2"/>
  <c r="D1220" i="2"/>
  <c r="D1380" i="2"/>
  <c r="O359" i="1"/>
  <c r="O360" i="1"/>
  <c r="O176" i="1"/>
  <c r="O183" i="1"/>
  <c r="C220" i="1"/>
  <c r="O220" i="1" s="1"/>
  <c r="O47" i="1"/>
  <c r="O59" i="1"/>
  <c r="O215" i="1"/>
  <c r="O139" i="1"/>
  <c r="O207" i="1"/>
  <c r="O111" i="1"/>
  <c r="O200" i="1"/>
  <c r="O223" i="1"/>
  <c r="O168" i="1"/>
  <c r="O191" i="1"/>
  <c r="O19" i="1"/>
  <c r="O179" i="1"/>
  <c r="C399" i="1"/>
  <c r="H399" i="1" s="1"/>
  <c r="O239" i="1"/>
  <c r="O27" i="1"/>
  <c r="O11" i="1"/>
  <c r="O175" i="1"/>
  <c r="O96" i="1"/>
  <c r="O39" i="1"/>
  <c r="O167" i="1"/>
  <c r="O43" i="1"/>
  <c r="O51" i="1"/>
  <c r="O127" i="1"/>
  <c r="O256" i="1"/>
  <c r="O255" i="1"/>
  <c r="O31" i="1"/>
  <c r="O199" i="1"/>
  <c r="O71" i="1"/>
  <c r="O28" i="1"/>
  <c r="O23" i="1"/>
  <c r="O55" i="1"/>
  <c r="C56" i="1"/>
  <c r="O56" i="1" s="1"/>
  <c r="O235" i="1"/>
  <c r="D236" i="1"/>
  <c r="O236" i="1" s="1"/>
  <c r="O119" i="1"/>
  <c r="C120" i="1"/>
  <c r="O120" i="1" s="1"/>
  <c r="C401" i="1"/>
  <c r="H401" i="1" s="1"/>
  <c r="O8" i="1"/>
  <c r="C396" i="1"/>
  <c r="H396" i="1" s="1"/>
  <c r="O7" i="1"/>
  <c r="C400" i="1"/>
  <c r="H400" i="1" s="1"/>
  <c r="D36" i="1"/>
  <c r="D367" i="1" s="1"/>
  <c r="O35" i="1"/>
  <c r="O369" i="1"/>
  <c r="C402" i="1"/>
  <c r="H402" i="1" s="1"/>
  <c r="C397" i="1"/>
  <c r="H397" i="1" s="1"/>
  <c r="O366" i="1"/>
  <c r="C405" i="1"/>
  <c r="H405" i="1" s="1"/>
  <c r="C404" i="1"/>
  <c r="H404" i="1" s="1"/>
  <c r="O397" i="1"/>
  <c r="O398" i="1"/>
  <c r="P398" i="1" s="1"/>
  <c r="D239" i="2"/>
  <c r="O363" i="1"/>
  <c r="C364" i="1"/>
  <c r="P388" i="1"/>
  <c r="K388" i="1"/>
  <c r="O368" i="1"/>
  <c r="K407" i="1"/>
  <c r="J367" i="1" l="1"/>
  <c r="C382" i="1" s="1"/>
  <c r="H382" i="1" s="1"/>
  <c r="C367" i="1"/>
  <c r="O370" i="1"/>
  <c r="O52" i="1"/>
  <c r="O32" i="1"/>
  <c r="C395" i="1"/>
  <c r="O36" i="1"/>
  <c r="C376" i="1"/>
  <c r="H376" i="1" s="1"/>
  <c r="O407" i="1"/>
  <c r="P397" i="1"/>
  <c r="P407" i="1" s="1"/>
  <c r="O364" i="1"/>
  <c r="H381" i="1" l="1"/>
  <c r="C380" i="1"/>
  <c r="H380" i="1" s="1"/>
  <c r="H395" i="1"/>
  <c r="H407" i="1" s="1"/>
  <c r="C407" i="1"/>
  <c r="O367" i="1"/>
  <c r="C375" i="1"/>
  <c r="H375" i="1" l="1"/>
  <c r="H388" i="1" s="1"/>
  <c r="C388" i="1"/>
</calcChain>
</file>

<file path=xl/sharedStrings.xml><?xml version="1.0" encoding="utf-8"?>
<sst xmlns="http://schemas.openxmlformats.org/spreadsheetml/2006/main" count="15166" uniqueCount="1768">
  <si>
    <t>SH MALIK LOGISTICS COMPANY LIMITED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</si>
  <si>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</si>
  <si>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</si>
  <si>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</si>
  <si>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</si>
  <si>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</si>
  <si>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</si>
  <si>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</si>
  <si>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</si>
  <si>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</si>
  <si>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</si>
  <si>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</si>
  <si>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</si>
  <si>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</si>
  <si>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ABDULMALIK SULEIMAN AHMED</t>
  </si>
  <si>
    <t>NSSF</t>
  </si>
  <si>
    <t>TAXABLE</t>
  </si>
  <si>
    <t>PAYE</t>
  </si>
  <si>
    <t>MAHSEIN SELEMANI AHMED</t>
  </si>
  <si>
    <t>MOHAMED AHMED SULEIMAN</t>
  </si>
  <si>
    <t>SALIM HILAL SALIM</t>
  </si>
  <si>
    <t>SHABANI SAIDI TANDURA</t>
  </si>
  <si>
    <t>HAMZA KULWA SAID</t>
  </si>
  <si>
    <t>HAMAD JUMA CHADE</t>
  </si>
  <si>
    <t>RAMADHANI SALIMU RAMADHANI</t>
  </si>
  <si>
    <t>ABDALLA SIJA ABDALLA</t>
  </si>
  <si>
    <t>HAMIS HAMIS ATHUMAN</t>
  </si>
  <si>
    <t>RAMADHANI ASHIBAE SALUM</t>
  </si>
  <si>
    <t>JOSHUA JACOBO WILBROAD</t>
  </si>
  <si>
    <t>SHABANI HUSSEIN ABBASI</t>
  </si>
  <si>
    <t>ABASI HATIBU WAZIRI</t>
  </si>
  <si>
    <t>FAUSTIN BONIFAS DANIEL</t>
  </si>
  <si>
    <t>SALIMU AMOURY JUMA</t>
  </si>
  <si>
    <t>MWALIMU JAKA SHABANI</t>
  </si>
  <si>
    <t>MECKFASON JARED MAWALA</t>
  </si>
  <si>
    <t>FADHILI ABUBAKAR GWILA</t>
  </si>
  <si>
    <t>PAULO LAZARO KWAMBAZA</t>
  </si>
  <si>
    <t>SHABANI IBRAHIM HASSANI</t>
  </si>
  <si>
    <t>HAMZA KONDO MIJAFA</t>
  </si>
  <si>
    <t>SHOMARI ABDUL SHOMARI</t>
  </si>
  <si>
    <t>BAKARI SAHEEDE SABUNI</t>
  </si>
  <si>
    <t>FRANK LAZARO CHACHA</t>
  </si>
  <si>
    <t>ABEID SHABAN MOHAMED</t>
  </si>
  <si>
    <t>OMARY SAID KABELWA</t>
  </si>
  <si>
    <t>RASHID YUSUPH MBOGO</t>
  </si>
  <si>
    <t>JOSEPH LUCAS MBWANA</t>
  </si>
  <si>
    <t>NYANDA AMON NASON</t>
  </si>
  <si>
    <t>SALUM MOHAMED NAMAKONJE</t>
  </si>
  <si>
    <t>MOHAMEDI WAZIRI MOHAMEDI</t>
  </si>
  <si>
    <t>SHUKURU AMRI KIBWANA</t>
  </si>
  <si>
    <t>GODFREY HUSSEIN KIONDO</t>
  </si>
  <si>
    <t>HUSSEIN SAID SELEMANI</t>
  </si>
  <si>
    <t>MIRAJI RAMADHANI ALUTE</t>
  </si>
  <si>
    <t>ABDALLAH MOHAMED NGOJI</t>
  </si>
  <si>
    <t>BILALY ALLY BILALY</t>
  </si>
  <si>
    <t>ISAYA PAULO KIDUGO</t>
  </si>
  <si>
    <t>ABDALLA HAMISI ABDALLA</t>
  </si>
  <si>
    <t>SALUM SAID LIGONJARA</t>
  </si>
  <si>
    <t>ABDALLAH SAID MKAGILE</t>
  </si>
  <si>
    <t>MJUNI CHARLES LEONARD</t>
  </si>
  <si>
    <t>BAKARI OMARI BAKARI</t>
  </si>
  <si>
    <t>HASHIM MOHAMED RASHID</t>
  </si>
  <si>
    <t>KHAMISI IMAMU ATHUMANI</t>
  </si>
  <si>
    <t>KADILU RASHID SHOMARI</t>
  </si>
  <si>
    <t>ATHUMANI OMARI ABDALLAH</t>
  </si>
  <si>
    <t>HUSEN SAID BAADAYE</t>
  </si>
  <si>
    <t>HASSAN MNANKA MARWA</t>
  </si>
  <si>
    <t>AYUBU LAWRENCE SHEDRACK</t>
  </si>
  <si>
    <t>STEVEN LOSSI MWASOMOLA</t>
  </si>
  <si>
    <t xml:space="preserve"> RAMADHANI SHABANI NYANGALA</t>
  </si>
  <si>
    <t>OMARI ALLY JUMA</t>
  </si>
  <si>
    <t>FADHILI ATHUMANI KIWANDA</t>
  </si>
  <si>
    <t>GROSS SALARY</t>
  </si>
  <si>
    <t>SDL</t>
  </si>
  <si>
    <t>WCF</t>
  </si>
  <si>
    <t>NSSF Empl</t>
  </si>
  <si>
    <t>PAYE TAX</t>
  </si>
  <si>
    <t>PAYMENT DETAILS</t>
  </si>
  <si>
    <t>SDL TAX</t>
  </si>
  <si>
    <t>MONTHS</t>
  </si>
  <si>
    <t>BALANCE</t>
  </si>
  <si>
    <t>DATE</t>
  </si>
  <si>
    <t>CONTROL #</t>
  </si>
  <si>
    <t>BANK</t>
  </si>
  <si>
    <t>AMOUNT</t>
  </si>
  <si>
    <t>ARREARS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</si>
  <si>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</si>
  <si>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</si>
  <si>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</si>
  <si>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</si>
  <si>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</si>
  <si>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</si>
  <si>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</si>
  <si>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</si>
  <si>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</si>
  <si>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</si>
  <si>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</si>
  <si>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MRSU5087400</t>
  </si>
  <si>
    <t>T458DZS</t>
  </si>
  <si>
    <t>MSKU9591316</t>
  </si>
  <si>
    <t>T874DZX</t>
  </si>
  <si>
    <t>MRKU2280075</t>
  </si>
  <si>
    <t>TRUCK # T530DPK/T724EAQ</t>
  </si>
  <si>
    <t>INCOME AND LOSS PER VEHICLE &amp; TRIP</t>
  </si>
  <si>
    <t>MONTH</t>
  </si>
  <si>
    <t>DESCRIPTION</t>
  </si>
  <si>
    <t>HONEST LOGISTICS LTD</t>
  </si>
  <si>
    <t>EXPENSES &amp; ON TRIP SERVICE ( TZS )</t>
  </si>
  <si>
    <t>AMOUNT ( TZS )</t>
  </si>
  <si>
    <t>DAR ES SALAAM</t>
  </si>
  <si>
    <t>MILEAGE</t>
  </si>
  <si>
    <t>TO</t>
  </si>
  <si>
    <t>KING'AMUZI</t>
  </si>
  <si>
    <t>INCOME</t>
  </si>
  <si>
    <t>NDOLA</t>
  </si>
  <si>
    <t>COUNCIL ZAMBIA</t>
  </si>
  <si>
    <t>GOING</t>
  </si>
  <si>
    <t>TOLL GATE</t>
  </si>
  <si>
    <t xml:space="preserve">ADV RECEIVED </t>
  </si>
  <si>
    <t>CONTAINER NO:</t>
  </si>
  <si>
    <t>CAR WASH</t>
  </si>
  <si>
    <t>BAL REMAIN</t>
  </si>
  <si>
    <t>OFFLOADING CONTAINER</t>
  </si>
  <si>
    <t>COUNCIL TUNDUMA</t>
  </si>
  <si>
    <t>RETURN</t>
  </si>
  <si>
    <t>POSHO CONTAINER</t>
  </si>
  <si>
    <t>PARKING FEE</t>
  </si>
  <si>
    <t>RECEIVED CHEQUE</t>
  </si>
  <si>
    <t>COUNCIL KAPIRI</t>
  </si>
  <si>
    <t>TOTAL=</t>
  </si>
  <si>
    <t>PROFIT OR LOSS GAIN</t>
  </si>
  <si>
    <t>SMLCL-2025/TR0001</t>
  </si>
  <si>
    <t>TRIP NO:</t>
  </si>
  <si>
    <t>TRUCK NO:</t>
  </si>
  <si>
    <t>DESTINATION</t>
  </si>
  <si>
    <t>AGENT NAME</t>
  </si>
  <si>
    <t>INVOICE AMOUNT</t>
  </si>
  <si>
    <t>ADVANCE RECEIVED</t>
  </si>
  <si>
    <t>CHEQUE NO</t>
  </si>
  <si>
    <t>FINAL PAYMENT</t>
  </si>
  <si>
    <t>BALANCE REMAIN</t>
  </si>
  <si>
    <t>STATUS IF ANY</t>
  </si>
  <si>
    <t>USD</t>
  </si>
  <si>
    <t>RATE</t>
  </si>
  <si>
    <t>TSH</t>
  </si>
  <si>
    <t>TR0001</t>
  </si>
  <si>
    <t>0</t>
  </si>
  <si>
    <t>TR0002</t>
  </si>
  <si>
    <t>TR0003</t>
  </si>
  <si>
    <t>TR0005</t>
  </si>
  <si>
    <t>TR0006</t>
  </si>
  <si>
    <t>TR0007</t>
  </si>
  <si>
    <t>TR0008</t>
  </si>
  <si>
    <t>PAYROL FOR EMPLOYEE,2025</t>
  </si>
  <si>
    <t>T320EFH</t>
  </si>
  <si>
    <t>TRHU5515899</t>
  </si>
  <si>
    <t>TRUCK # T320EFH/T850EEP</t>
  </si>
  <si>
    <t>02nd January,2025</t>
  </si>
  <si>
    <t>FUEL  2,000 LITRE @ Tsh 2,630</t>
  </si>
  <si>
    <t>ROAD TOLL ( $299 @ Tsh 2,650 )</t>
  </si>
  <si>
    <t>T250EGJ</t>
  </si>
  <si>
    <t>MSKU1079197</t>
  </si>
  <si>
    <t>SMLCL-2025/TR0002</t>
  </si>
  <si>
    <t>TRUCK # T250EGJ/T412EGE</t>
  </si>
  <si>
    <t>T653EAL</t>
  </si>
  <si>
    <t>SEGU6433990</t>
  </si>
  <si>
    <t>SMLCL-2025/TR0003</t>
  </si>
  <si>
    <t>TRUCK # T653EAL/T105EHF</t>
  </si>
  <si>
    <t>04th January,2025</t>
  </si>
  <si>
    <t>TR0004</t>
  </si>
  <si>
    <t>T652EAN</t>
  </si>
  <si>
    <t>HASU1288984</t>
  </si>
  <si>
    <t>SMLCL-2025/TR0004</t>
  </si>
  <si>
    <t>TRUCK # T652EAN/T372ECV</t>
  </si>
  <si>
    <t>07th January,2025</t>
  </si>
  <si>
    <t>T194DSN</t>
  </si>
  <si>
    <t>MRKU4930251</t>
  </si>
  <si>
    <t>SMLCL-2025/TR0005</t>
  </si>
  <si>
    <t>TRUCK # T194DSN/T470ECR</t>
  </si>
  <si>
    <t>10th January,2025</t>
  </si>
  <si>
    <t>T623EDH</t>
  </si>
  <si>
    <t>MSKU1438070</t>
  </si>
  <si>
    <t>LUSAKA</t>
  </si>
  <si>
    <t>BERO COMPANY LTD</t>
  </si>
  <si>
    <t>SMLCL-2025/TR0006</t>
  </si>
  <si>
    <t>TRUCK # T623EDH/T216EDL</t>
  </si>
  <si>
    <t>08th January,2025</t>
  </si>
  <si>
    <t>BERO COMPANY LIMITED</t>
  </si>
  <si>
    <t>ROAD TOLL ( $325 @ Tsh 2,650 )</t>
  </si>
  <si>
    <t>T457DZS</t>
  </si>
  <si>
    <t>MRSU5980820</t>
  </si>
  <si>
    <t>11th January,2025</t>
  </si>
  <si>
    <t>SMLCL-2025/TR0007</t>
  </si>
  <si>
    <t>TRUCK # T457DZS/T106EHF</t>
  </si>
  <si>
    <t>T530DPK</t>
  </si>
  <si>
    <t>TRHU5761207</t>
  </si>
  <si>
    <t>SMLCL-2025/TR0008</t>
  </si>
  <si>
    <t>866265, DTD 06/01/2025</t>
  </si>
  <si>
    <t>866298, DTD 08/01/2025</t>
  </si>
  <si>
    <t>868029, DTD 10/01/2025</t>
  </si>
  <si>
    <t>866711, DTD 15/01/2025</t>
  </si>
  <si>
    <t>T813DTR</t>
  </si>
  <si>
    <t>T357EHQ</t>
  </si>
  <si>
    <t>T249EFT</t>
  </si>
  <si>
    <t>FUEL  2,000 LITRE @ Tsh 2,770</t>
  </si>
  <si>
    <t>IAAU1819097</t>
  </si>
  <si>
    <t>KITWE</t>
  </si>
  <si>
    <t>SMLCL-2025/TR0010</t>
  </si>
  <si>
    <t>TRUCK # T813DTR/T343EBE</t>
  </si>
  <si>
    <t>16th January,2025</t>
  </si>
  <si>
    <t>ROAD TOLL ( $319 @ Tsh 2,650 )</t>
  </si>
  <si>
    <t>TR0010</t>
  </si>
  <si>
    <t>TR0011</t>
  </si>
  <si>
    <t>LOOSE CARGO</t>
  </si>
  <si>
    <t>SMLCL-2025/TR0011</t>
  </si>
  <si>
    <t>TRUCK # T357EHQ/898EHL</t>
  </si>
  <si>
    <t>TR0012</t>
  </si>
  <si>
    <t>SMLCL-2025/TR0012</t>
  </si>
  <si>
    <t>TRUCK # T249EFT/T752EFT</t>
  </si>
  <si>
    <t>FUEL  2,000 LITRE @ Tsh 2,650</t>
  </si>
  <si>
    <t>TR0013</t>
  </si>
  <si>
    <t>SMLCL-2025/TR0013</t>
  </si>
  <si>
    <t>TRUCK # T458DZS/T107EHF</t>
  </si>
  <si>
    <t>TR0014</t>
  </si>
  <si>
    <t>T651DWY</t>
  </si>
  <si>
    <t>SEKU4111639</t>
  </si>
  <si>
    <t>SMLCL-2025/TR0014</t>
  </si>
  <si>
    <t>TRUCK # T651DWY/T212EDL</t>
  </si>
  <si>
    <t>TR0015</t>
  </si>
  <si>
    <t>TR0016</t>
  </si>
  <si>
    <t>T726DXN</t>
  </si>
  <si>
    <t>BSIU9698369</t>
  </si>
  <si>
    <t>T239EFT</t>
  </si>
  <si>
    <t>BMOU4535912</t>
  </si>
  <si>
    <t>SMLCL-2025/TR0015</t>
  </si>
  <si>
    <t>TRUCK # T726DXN/T728DXN</t>
  </si>
  <si>
    <t>18th January,2025</t>
  </si>
  <si>
    <t>TRANSFREIGHT LOGISTICS (TZ) LIMITED</t>
  </si>
  <si>
    <t>SMLCL-2025/TR0016</t>
  </si>
  <si>
    <t>TRUCK # T239EFT/T751EFT</t>
  </si>
  <si>
    <t>21st January,2025</t>
  </si>
  <si>
    <t>867599, DTD 20/01/2025</t>
  </si>
  <si>
    <t>867598, DTD 20/01/2025</t>
  </si>
  <si>
    <t>AYMAN MAHSEIN SELEMANI</t>
  </si>
  <si>
    <t>MAHIR AHMED SULEMAN</t>
  </si>
  <si>
    <t>KAFUE</t>
  </si>
  <si>
    <t>ROAD TOLL ( $335 @ Tsh 2,650 )</t>
  </si>
  <si>
    <t>TR0018</t>
  </si>
  <si>
    <t>DSM</t>
  </si>
  <si>
    <t>9984120345512</t>
  </si>
  <si>
    <t>04.02.2025</t>
  </si>
  <si>
    <t>AMANA BANK</t>
  </si>
  <si>
    <t>KOMBO SHALI MZEE</t>
  </si>
  <si>
    <t>JUMA HUSSEIN SHINDO</t>
  </si>
  <si>
    <t>CRDB BANK</t>
  </si>
  <si>
    <t>TR0019</t>
  </si>
  <si>
    <t>ESDU4355459</t>
  </si>
  <si>
    <t>SMLCL-2025/TR0019</t>
  </si>
  <si>
    <t>06th February,2025</t>
  </si>
  <si>
    <t>TR0020</t>
  </si>
  <si>
    <t>TR0021</t>
  </si>
  <si>
    <t>TR0022</t>
  </si>
  <si>
    <t>TR0023</t>
  </si>
  <si>
    <t>TR0024</t>
  </si>
  <si>
    <t>TR0025</t>
  </si>
  <si>
    <t>Extention Road Toll Expenses</t>
  </si>
  <si>
    <t>TR0026</t>
  </si>
  <si>
    <t>TR0027</t>
  </si>
  <si>
    <t>TR0028</t>
  </si>
  <si>
    <t>TR0029</t>
  </si>
  <si>
    <t>TEMU8912643</t>
  </si>
  <si>
    <t>SMLCL-2025/TR0026</t>
  </si>
  <si>
    <t>09th February,2025</t>
  </si>
  <si>
    <t>TGCU2388893</t>
  </si>
  <si>
    <t>SMLCL-2025/TR0027</t>
  </si>
  <si>
    <t>CAIU9076396</t>
  </si>
  <si>
    <t>SMLCL-2025/TR0028</t>
  </si>
  <si>
    <t>SLVU4673324</t>
  </si>
  <si>
    <t>SMLCL-2025/TR0029</t>
  </si>
  <si>
    <t>10th February,2025</t>
  </si>
  <si>
    <t>MSKU0765973</t>
  </si>
  <si>
    <t>TR0030</t>
  </si>
  <si>
    <t>SMLCL-2025/TR0030</t>
  </si>
  <si>
    <t>TR0031</t>
  </si>
  <si>
    <t>TR0032</t>
  </si>
  <si>
    <t>TR0033</t>
  </si>
  <si>
    <t>TR0034</t>
  </si>
  <si>
    <t>TR0035</t>
  </si>
  <si>
    <t>TXGU5613765</t>
  </si>
  <si>
    <t>SMLCL-2025/TR0035</t>
  </si>
  <si>
    <t>13th February,2025</t>
  </si>
  <si>
    <t>868599, DTD 13/02/2025</t>
  </si>
  <si>
    <t>869059, DTD 13/02/2025</t>
  </si>
  <si>
    <t>TR0037</t>
  </si>
  <si>
    <t>PCIU9367337</t>
  </si>
  <si>
    <t>SMLCL-2025/TR0037</t>
  </si>
  <si>
    <t>TRUCK # T357EHQ/T898EHL</t>
  </si>
  <si>
    <t>TR0038</t>
  </si>
  <si>
    <t>TR0039</t>
  </si>
  <si>
    <t>TR0040</t>
  </si>
  <si>
    <t>TR0041</t>
  </si>
  <si>
    <t>CAAU5401047</t>
  </si>
  <si>
    <t>SMLCL-2025/TR0038</t>
  </si>
  <si>
    <t>16th February,2025</t>
  </si>
  <si>
    <t>CAAU6452440</t>
  </si>
  <si>
    <t>SMLCL-2025/TR0039</t>
  </si>
  <si>
    <t>17th February,2025</t>
  </si>
  <si>
    <t>MRSU6305214</t>
  </si>
  <si>
    <t>SMLCL-2025/TR0040</t>
  </si>
  <si>
    <t>CSNU7209266</t>
  </si>
  <si>
    <t>TR0042</t>
  </si>
  <si>
    <t>OOLU8927352</t>
  </si>
  <si>
    <t>SMLCL-2025/TR0041</t>
  </si>
  <si>
    <t>SMLCL-2025/TR0042</t>
  </si>
  <si>
    <t>869084, DTD 17/02/2025</t>
  </si>
  <si>
    <t>Council Kapiri / Chililabombwe</t>
  </si>
  <si>
    <t>868721, dtd 20/02/2025</t>
  </si>
  <si>
    <t>868722, dtd 20/02/2025</t>
  </si>
  <si>
    <t>FUEL  2,000 LITRE @ Tsh 2,700</t>
  </si>
  <si>
    <t>TRANSFREIGHT LOGISTICS (TZ) LTD</t>
  </si>
  <si>
    <t>TR0047</t>
  </si>
  <si>
    <t>TR0048</t>
  </si>
  <si>
    <t>SMLCL-2025/TR0047</t>
  </si>
  <si>
    <t>22nd February,2025</t>
  </si>
  <si>
    <t>SMLCL-2025/TR0048</t>
  </si>
  <si>
    <t>24th February,2025</t>
  </si>
  <si>
    <t>TR0050</t>
  </si>
  <si>
    <t>TR0051</t>
  </si>
  <si>
    <t>005841, dtd 26/02/2025</t>
  </si>
  <si>
    <t>TR0052</t>
  </si>
  <si>
    <t>TR0053</t>
  </si>
  <si>
    <t>T735DZL</t>
  </si>
  <si>
    <t>HASU4453043</t>
  </si>
  <si>
    <t>SMLCL-2025/TR0052</t>
  </si>
  <si>
    <t>TRUCK # T735DZL/T630DZL</t>
  </si>
  <si>
    <t>26th February,2025</t>
  </si>
  <si>
    <t>T193DSN</t>
  </si>
  <si>
    <t>TRHU6590583</t>
  </si>
  <si>
    <t>TRUCK # T193DSN/T949DSG</t>
  </si>
  <si>
    <t>27th February,2025</t>
  </si>
  <si>
    <t>001208, DTD 28/02/2025</t>
  </si>
  <si>
    <t>MOHAMED NDUKU JUMA</t>
  </si>
  <si>
    <t>FRANK RAPHAEL MANDANDA</t>
  </si>
  <si>
    <t>RASHIDI MOHAMED CHABAI-KIJUBA</t>
  </si>
  <si>
    <t>ARON JOSEPH MLAMBO</t>
  </si>
  <si>
    <t>03.03.2025</t>
  </si>
  <si>
    <t>9984120896412</t>
  </si>
  <si>
    <t>17.02.2025</t>
  </si>
  <si>
    <t>869246, dtd 04/03/2025</t>
  </si>
  <si>
    <t>TR0056</t>
  </si>
  <si>
    <t>TR0057</t>
  </si>
  <si>
    <t>TR0058</t>
  </si>
  <si>
    <t>TR0059</t>
  </si>
  <si>
    <t>TR0060</t>
  </si>
  <si>
    <t>TR0061</t>
  </si>
  <si>
    <t>HLBU2887120</t>
  </si>
  <si>
    <t>SMLCL-2025/TR0059</t>
  </si>
  <si>
    <t>06th March,2025</t>
  </si>
  <si>
    <t>BEAU2300719</t>
  </si>
  <si>
    <t>SMLCL-2025/TR0060</t>
  </si>
  <si>
    <t>MRKU3299028</t>
  </si>
  <si>
    <t>SMLCL-2025/TR0061</t>
  </si>
  <si>
    <t>TR0062</t>
  </si>
  <si>
    <t>869117, DTD 10/03/2025</t>
  </si>
  <si>
    <t>TR0063</t>
  </si>
  <si>
    <t>TR0064</t>
  </si>
  <si>
    <t>TR0065</t>
  </si>
  <si>
    <t>TR0066</t>
  </si>
  <si>
    <t>TR0067</t>
  </si>
  <si>
    <t>TR0068</t>
  </si>
  <si>
    <t>FFAU5142063</t>
  </si>
  <si>
    <t>SMLCL-2025/TR0068</t>
  </si>
  <si>
    <t>15th March,2025</t>
  </si>
  <si>
    <t>FUEL  2,000 LITRE @ Tsh 2,880</t>
  </si>
  <si>
    <t>TR0069</t>
  </si>
  <si>
    <t>19.03.2025</t>
  </si>
  <si>
    <t>TR0070</t>
  </si>
  <si>
    <t>001215, dtd 20/03/2025</t>
  </si>
  <si>
    <t>005864, DTD 20/03/2025</t>
  </si>
  <si>
    <t>TR0071</t>
  </si>
  <si>
    <t>TR0072</t>
  </si>
  <si>
    <t>TR0073</t>
  </si>
  <si>
    <t>TR0074</t>
  </si>
  <si>
    <t>KASUMBALESA</t>
  </si>
  <si>
    <t>EGSU3557399</t>
  </si>
  <si>
    <t>SMLCL-2025/TR0074</t>
  </si>
  <si>
    <t>20th March,2025</t>
  </si>
  <si>
    <t>FUEL  2,100 LITRE @ Tsh 2,880</t>
  </si>
  <si>
    <t>ROAD TOLL ( $356 @ Tsh 2,650 )</t>
  </si>
  <si>
    <t>TR0075</t>
  </si>
  <si>
    <t>EITU0077222</t>
  </si>
  <si>
    <t>SMLCL-2025/TR0075</t>
  </si>
  <si>
    <t>TR0076</t>
  </si>
  <si>
    <t>T321EFH</t>
  </si>
  <si>
    <t>DRYU2698552</t>
  </si>
  <si>
    <t>SMLCL-2025/TR0076</t>
  </si>
  <si>
    <t>TRUCK # T321EFH/T301EEZ</t>
  </si>
  <si>
    <t>TR0077</t>
  </si>
  <si>
    <t>T255EGJ</t>
  </si>
  <si>
    <t>EGSU3418388</t>
  </si>
  <si>
    <t>SMLCL-2025/TR0077</t>
  </si>
  <si>
    <t>TRUCK # T255EGJ/T387EGE</t>
  </si>
  <si>
    <t>TR0078</t>
  </si>
  <si>
    <t>TCNU2577379</t>
  </si>
  <si>
    <t>SMLCL-2025/TR0078</t>
  </si>
  <si>
    <t>22nd March,2025</t>
  </si>
  <si>
    <t>BEAU4066699</t>
  </si>
  <si>
    <t>TR0079</t>
  </si>
  <si>
    <t>SMLCL-2025/TR0079</t>
  </si>
  <si>
    <t>TR0080</t>
  </si>
  <si>
    <t>SEKU5629730</t>
  </si>
  <si>
    <t>SMLCL-2025/TR0080</t>
  </si>
  <si>
    <t>TR0081</t>
  </si>
  <si>
    <t>TR0082</t>
  </si>
  <si>
    <t>TR0083</t>
  </si>
  <si>
    <t>MOKAMBO</t>
  </si>
  <si>
    <t>SMLCL-2025/TR0081</t>
  </si>
  <si>
    <t>25th March,2025</t>
  </si>
  <si>
    <t>SMLCL-2025/TR0082</t>
  </si>
  <si>
    <t>TRUCK # T652EAN/T37ECV</t>
  </si>
  <si>
    <t>SMLCL-2025/TR0083</t>
  </si>
  <si>
    <t>TR0085</t>
  </si>
  <si>
    <t>TR0086</t>
  </si>
  <si>
    <t>EXTRA FUEL</t>
  </si>
  <si>
    <t>ABDALLAH BAKARI ATHUMANI</t>
  </si>
  <si>
    <t>SADIKI HASSANI KHERI</t>
  </si>
  <si>
    <t>CHRISTOPHER EMMANUEL EUNYO</t>
  </si>
  <si>
    <t>868906, DTD 27/03/2025</t>
  </si>
  <si>
    <t>86891, DTD 25/03/2025</t>
  </si>
  <si>
    <t>86891, DTD 27/03/2025</t>
  </si>
  <si>
    <t>86897, DTD 27/03/2025</t>
  </si>
  <si>
    <t>868890, DTD 27/03/2025</t>
  </si>
  <si>
    <t>TR0087</t>
  </si>
  <si>
    <t>TR0088</t>
  </si>
  <si>
    <t>30th March,2025</t>
  </si>
  <si>
    <t>SMLCL-2025/TR0087</t>
  </si>
  <si>
    <t>SMLCL-2025/TR0088</t>
  </si>
  <si>
    <t>TR0089</t>
  </si>
  <si>
    <t>MRSU0082601</t>
  </si>
  <si>
    <t>SMLCL-2025/TR0089</t>
  </si>
  <si>
    <t>02nd April,2025</t>
  </si>
  <si>
    <t>868628, dtd 03/04/2025</t>
  </si>
  <si>
    <t>868741, DTD 07/04/2025</t>
  </si>
  <si>
    <t>HONES</t>
  </si>
  <si>
    <t>DIFF</t>
  </si>
  <si>
    <t>SH MALIK</t>
  </si>
  <si>
    <t>INV NO:</t>
  </si>
  <si>
    <t>869132, dtd 04/04/2025</t>
  </si>
  <si>
    <t>869133, dtd 07/04/2025</t>
  </si>
  <si>
    <t>overcharged</t>
  </si>
  <si>
    <t>reduced in this invoice</t>
  </si>
  <si>
    <t>869474, DTD 04/04/2025</t>
  </si>
  <si>
    <t>SMLCL-2025/TR0053</t>
  </si>
  <si>
    <t>TR0090</t>
  </si>
  <si>
    <t>03.04.2025</t>
  </si>
  <si>
    <t>04.04.2025</t>
  </si>
  <si>
    <t>TR0091</t>
  </si>
  <si>
    <t>TR0092</t>
  </si>
  <si>
    <t>TR0093</t>
  </si>
  <si>
    <t>FCIU6527684</t>
  </si>
  <si>
    <t>SMLCL-2025/TR0093</t>
  </si>
  <si>
    <t>06th April,2025</t>
  </si>
  <si>
    <t>TR0095</t>
  </si>
  <si>
    <t>TR0096</t>
  </si>
  <si>
    <t>TGCU5312654</t>
  </si>
  <si>
    <t>SMLCL-2025/TR0096</t>
  </si>
  <si>
    <t>09th April,2025</t>
  </si>
  <si>
    <t>FUEL  2,000 LITRE @ Tsh 2,900</t>
  </si>
  <si>
    <t>FUEL  2,100 LITRE @ Tsh 2,900</t>
  </si>
  <si>
    <t>TR0098</t>
  </si>
  <si>
    <t>BEAU5166856</t>
  </si>
  <si>
    <t>SMLCL-2025/TR0098</t>
  </si>
  <si>
    <t>11th April,2025</t>
  </si>
  <si>
    <t>869845, DTD 11/04/2024</t>
  </si>
  <si>
    <t>868792, DTD 11/04/2025</t>
  </si>
  <si>
    <t>869829, DTD 10/04/2025</t>
  </si>
  <si>
    <t>868361, DTD 10/04/2025</t>
  </si>
  <si>
    <t>869873, dtd 12/04/2025</t>
  </si>
  <si>
    <t>868665, DTD 12/04/2025</t>
  </si>
  <si>
    <t>868232, DTD 12/04/2025</t>
  </si>
  <si>
    <t>868234, DTD 12/04/2025</t>
  </si>
  <si>
    <t>868202, DTD 12/04/2025</t>
  </si>
  <si>
    <t>868666, DTD 12/04/2025</t>
  </si>
  <si>
    <t>869860, DTD 14/04/2025</t>
  </si>
  <si>
    <t>869879, DTD 16/04/2025</t>
  </si>
  <si>
    <t>TR0099</t>
  </si>
  <si>
    <t>TR0100</t>
  </si>
  <si>
    <t>14th April,2025</t>
  </si>
  <si>
    <t>TISS DTD 14/04/2025</t>
  </si>
  <si>
    <t>MAZABUKA</t>
  </si>
  <si>
    <t>ROAD TOLL ( $365 @ Tsh 2,650 )</t>
  </si>
  <si>
    <t>TR0101</t>
  </si>
  <si>
    <t>MSKU8384802</t>
  </si>
  <si>
    <t>SMLCL-2025/TR0101</t>
  </si>
  <si>
    <t>16th April,2025</t>
  </si>
  <si>
    <t>MEZANI</t>
  </si>
  <si>
    <t>TR0103</t>
  </si>
  <si>
    <t>TR0104</t>
  </si>
  <si>
    <t>TR0105</t>
  </si>
  <si>
    <t>TRHU7188500</t>
  </si>
  <si>
    <t>SMLCL-2025/TR0105</t>
  </si>
  <si>
    <t>17th April,2025</t>
  </si>
  <si>
    <t>TR0106</t>
  </si>
  <si>
    <t>MRSU3684726</t>
  </si>
  <si>
    <t>SMLCL-2025/TR0106</t>
  </si>
  <si>
    <t>TR0107</t>
  </si>
  <si>
    <t>TR0108</t>
  </si>
  <si>
    <t>MSKU9876108</t>
  </si>
  <si>
    <t>SMLCL-2025/TR0107</t>
  </si>
  <si>
    <t>19th April,2025</t>
  </si>
  <si>
    <t>HASU4252270</t>
  </si>
  <si>
    <t>SMLCL-2025/TR0108</t>
  </si>
  <si>
    <t>TR0109</t>
  </si>
  <si>
    <t>869819, DTD 22/04/2024</t>
  </si>
  <si>
    <t>TR0110</t>
  </si>
  <si>
    <t>T330EFH</t>
  </si>
  <si>
    <t>MRKU5491446</t>
  </si>
  <si>
    <t>SMLCL-2025/TR0110</t>
  </si>
  <si>
    <t>TRUCK # T330EFH/T856EEP</t>
  </si>
  <si>
    <t>21st April,2025</t>
  </si>
  <si>
    <t>005892, dtd 25/04/2025</t>
  </si>
  <si>
    <t>869861, dtd 29/04/2025</t>
  </si>
  <si>
    <t>869878, DTD 29/04/2025</t>
  </si>
  <si>
    <t>868147, DTD 01/05/2025</t>
  </si>
  <si>
    <t>Mokambo Border Expenses usd 300</t>
  </si>
  <si>
    <t>TR0114</t>
  </si>
  <si>
    <t>MRKU4996541</t>
  </si>
  <si>
    <t>SMLCL-2025/TR0114</t>
  </si>
  <si>
    <t>TR0116</t>
  </si>
  <si>
    <t>TR0117</t>
  </si>
  <si>
    <t>TCNU6113381</t>
  </si>
  <si>
    <t>SMLCL-2025/TR0117</t>
  </si>
  <si>
    <t>01st May,2025</t>
  </si>
  <si>
    <t>TR0118</t>
  </si>
  <si>
    <t>TR0119</t>
  </si>
  <si>
    <t>SMLCL-2025/TR0118</t>
  </si>
  <si>
    <t>SMLCL-2025/TR0119</t>
  </si>
  <si>
    <t>TR0120</t>
  </si>
  <si>
    <t>TR0121</t>
  </si>
  <si>
    <t>TR0122</t>
  </si>
  <si>
    <t>CCLU7931882</t>
  </si>
  <si>
    <t>SMLCL-2025/TR0120</t>
  </si>
  <si>
    <t>03rd May,2025</t>
  </si>
  <si>
    <t>AIDANI YUSUFU LOMBWE</t>
  </si>
  <si>
    <t>868480, DTD 05/05/2025</t>
  </si>
  <si>
    <t>868481, DTD 05/05/2025</t>
  </si>
  <si>
    <t>868482, DTD 05/05/2025</t>
  </si>
  <si>
    <t>SMLCL-2025/TR0124</t>
  </si>
  <si>
    <t>05th May,2025</t>
  </si>
  <si>
    <t>TR0124</t>
  </si>
  <si>
    <t>RFCU2295101</t>
  </si>
  <si>
    <t>TR0125</t>
  </si>
  <si>
    <t>TCNU7176044</t>
  </si>
  <si>
    <t>SMLCL-2025/TR0125</t>
  </si>
  <si>
    <t>869324, DTD 06/05/2025</t>
  </si>
  <si>
    <t>15.04.2025</t>
  </si>
  <si>
    <t>05.05.2025</t>
  </si>
  <si>
    <t>9984122131655</t>
  </si>
  <si>
    <t>06.05.2025</t>
  </si>
  <si>
    <t>TR0126</t>
  </si>
  <si>
    <t>LMCU9129631</t>
  </si>
  <si>
    <t>SMLCL-2025/TR0126</t>
  </si>
  <si>
    <t>07th May,2025</t>
  </si>
  <si>
    <t>TR0128</t>
  </si>
  <si>
    <t>CHAMBISH</t>
  </si>
  <si>
    <t>CMAU9508614</t>
  </si>
  <si>
    <t>SMLCL-2025/TR0128</t>
  </si>
  <si>
    <t>10th May,2025</t>
  </si>
  <si>
    <t>TR0129</t>
  </si>
  <si>
    <t>TR0130</t>
  </si>
  <si>
    <t>T328DWM</t>
  </si>
  <si>
    <t>MSKU0465404</t>
  </si>
  <si>
    <t>SMLCL-2025/TR0130</t>
  </si>
  <si>
    <t>TRUCK # T328DWM/T287EAJ</t>
  </si>
  <si>
    <t>SMLCL-2025/TR0100</t>
  </si>
  <si>
    <t>ROAD TOLL ( $333 @ Tsh 2,650 )</t>
  </si>
  <si>
    <t>SMLCL-2025/TR0131</t>
  </si>
  <si>
    <t>11th May,2025</t>
  </si>
  <si>
    <t>TR0131</t>
  </si>
  <si>
    <t>UETU7330109</t>
  </si>
  <si>
    <t>TR0132</t>
  </si>
  <si>
    <t>TR0133</t>
  </si>
  <si>
    <t>TR0134</t>
  </si>
  <si>
    <t>TR0135</t>
  </si>
  <si>
    <t>001223, DTD 13/05/2025</t>
  </si>
  <si>
    <t>005911, DTD 13/05/2025</t>
  </si>
  <si>
    <t>866497, DTD 13/04/2025</t>
  </si>
  <si>
    <t>866498, DTD 16/04/2025</t>
  </si>
  <si>
    <t>866496, DTD 18/05/2025</t>
  </si>
  <si>
    <t>TR0136</t>
  </si>
  <si>
    <t>MRKU4211670</t>
  </si>
  <si>
    <t>SMLCL-2025/TR0136</t>
  </si>
  <si>
    <t>14th May,2025</t>
  </si>
  <si>
    <t>TR0137</t>
  </si>
  <si>
    <t>ESDU4099892</t>
  </si>
  <si>
    <t>SMLCL-2025/TR0137</t>
  </si>
  <si>
    <t>TR0138</t>
  </si>
  <si>
    <t>MRSU0427010</t>
  </si>
  <si>
    <t>SMLCL-2025/TR0138</t>
  </si>
  <si>
    <t>15th May,2025</t>
  </si>
  <si>
    <t>TR0139</t>
  </si>
  <si>
    <t>TCLU8618164</t>
  </si>
  <si>
    <t>SMLCL-2025/TR0139</t>
  </si>
  <si>
    <t>TR0140</t>
  </si>
  <si>
    <t>MSKU5867469</t>
  </si>
  <si>
    <t>SMLCL-2025/TR0140</t>
  </si>
  <si>
    <t>TR0141</t>
  </si>
  <si>
    <t>UETU6679246</t>
  </si>
  <si>
    <t>SMLCL-2025/TR0141</t>
  </si>
  <si>
    <t>16.05.2025</t>
  </si>
  <si>
    <t>869651, DTD 16/05/2025</t>
  </si>
  <si>
    <t>869927, DTD 16/09/2025</t>
  </si>
  <si>
    <t>869756, DTD 17/05/2025</t>
  </si>
  <si>
    <t>869549, DTD 19/05/2025</t>
  </si>
  <si>
    <t>869739, DTD 20/05/2025</t>
  </si>
  <si>
    <t>869718, DTD 20/05/2025</t>
  </si>
  <si>
    <t>TR0142</t>
  </si>
  <si>
    <t>UETU6741764</t>
  </si>
  <si>
    <t>SMLCL-2025/TR0142</t>
  </si>
  <si>
    <t>21st May,2025</t>
  </si>
  <si>
    <t>869680, DTD 23/04/2025</t>
  </si>
  <si>
    <t>TR0143</t>
  </si>
  <si>
    <t>TR0144</t>
  </si>
  <si>
    <t>TR0145</t>
  </si>
  <si>
    <t>HAMU3101220</t>
  </si>
  <si>
    <t>SMLCL-2025/TR0145</t>
  </si>
  <si>
    <t>24th May,2025</t>
  </si>
  <si>
    <t>TR0147</t>
  </si>
  <si>
    <t>OOCU7146620</t>
  </si>
  <si>
    <t>SMLCL-2025/TR0147</t>
  </si>
  <si>
    <t>27th May,2025</t>
  </si>
  <si>
    <t>869784, DTD27/05/2025</t>
  </si>
  <si>
    <t>TR0148</t>
  </si>
  <si>
    <t>TR0149</t>
  </si>
  <si>
    <t>TISS, DTD 29/05/2025</t>
  </si>
  <si>
    <t>TR0151</t>
  </si>
  <si>
    <t>SEGU1919887</t>
  </si>
  <si>
    <t>SMLCL-2025/TR0151</t>
  </si>
  <si>
    <t>30th May,2025</t>
  </si>
  <si>
    <t>HAMZA HAMISI ALAWI</t>
  </si>
  <si>
    <t>871840, dtd 31/05/2025</t>
  </si>
  <si>
    <t>TR0152</t>
  </si>
  <si>
    <t>MRKU3957427</t>
  </si>
  <si>
    <t>SMLCL-2025/TR0152</t>
  </si>
  <si>
    <t>31st May,2025</t>
  </si>
  <si>
    <t>870708, dtd 02/06/2025</t>
  </si>
  <si>
    <t>02.06.2025</t>
  </si>
  <si>
    <t>TR0153</t>
  </si>
  <si>
    <t>02nd June,2025</t>
  </si>
  <si>
    <t>MAEU4095125</t>
  </si>
  <si>
    <t>TR0154</t>
  </si>
  <si>
    <t>TR0155</t>
  </si>
  <si>
    <t>TR0156</t>
  </si>
  <si>
    <t>HLXU5662608</t>
  </si>
  <si>
    <t>SMLCL-2025/TR0156</t>
  </si>
  <si>
    <t>869567, dtd 04/06/2025</t>
  </si>
  <si>
    <t>871238, dtd 06/06/2025</t>
  </si>
  <si>
    <t>001230, DTD 04/06/2025</t>
  </si>
  <si>
    <t>001231, DTD 04/06/2025</t>
  </si>
  <si>
    <t>001233, DTD 04/06/2025</t>
  </si>
  <si>
    <t>TR0158</t>
  </si>
  <si>
    <t>TR0159</t>
  </si>
  <si>
    <t>TR0160</t>
  </si>
  <si>
    <t>SUDU6558690</t>
  </si>
  <si>
    <t>SMLCL-2025/TR0160</t>
  </si>
  <si>
    <t>03rd June,2025</t>
  </si>
  <si>
    <t>09th June,2025</t>
  </si>
  <si>
    <t>TR0161</t>
  </si>
  <si>
    <t>T955EMC</t>
  </si>
  <si>
    <t>MRSU5558959</t>
  </si>
  <si>
    <t>SMLCL-2025/TR0161</t>
  </si>
  <si>
    <t>TRUCK # T955EMC/T746DWM</t>
  </si>
  <si>
    <t>06th June,2025</t>
  </si>
  <si>
    <t>TR0162</t>
  </si>
  <si>
    <t>TR0163</t>
  </si>
  <si>
    <t>871871, DTD 11/06/2025</t>
  </si>
  <si>
    <t>TR0164</t>
  </si>
  <si>
    <t>TR0165</t>
  </si>
  <si>
    <t>MSNU7910126</t>
  </si>
  <si>
    <t>SMLCL-2025/TR0164</t>
  </si>
  <si>
    <t>SMLCL-2025/TR0165</t>
  </si>
  <si>
    <t>11th June,2025</t>
  </si>
  <si>
    <t>CMAU4919736</t>
  </si>
  <si>
    <t>870806, DTD 12/06/2025</t>
  </si>
  <si>
    <t>TR0166</t>
  </si>
  <si>
    <t>TCNU6244247</t>
  </si>
  <si>
    <t>SMLCL-2025/TR0166</t>
  </si>
  <si>
    <t>12th June,2025</t>
  </si>
  <si>
    <t>9984122426115</t>
  </si>
  <si>
    <t>03.06.2025</t>
  </si>
  <si>
    <t>TR0167</t>
  </si>
  <si>
    <t>CAAU7984236</t>
  </si>
  <si>
    <t>SMLCL-2025/TR0167</t>
  </si>
  <si>
    <t>14th June,2025</t>
  </si>
  <si>
    <t>872942, DTD 18/06/2025</t>
  </si>
  <si>
    <t>870815, DTD 14/06/2025</t>
  </si>
  <si>
    <t>870840, DTD 14/06/2025</t>
  </si>
  <si>
    <t>TR0169</t>
  </si>
  <si>
    <t>MAGU5775037</t>
  </si>
  <si>
    <t>17th June,2025</t>
  </si>
  <si>
    <t>TR0171</t>
  </si>
  <si>
    <t>T899EMF</t>
  </si>
  <si>
    <t>UETU5981396</t>
  </si>
  <si>
    <t>SMLCL-2025/TR0171</t>
  </si>
  <si>
    <t>TRUCK # T899EMF/T107EMF</t>
  </si>
  <si>
    <t>20th June,2025</t>
  </si>
  <si>
    <t>Maize Councils Tunduma</t>
  </si>
  <si>
    <t>FUEL  1,750 LITRE @ Tsh 2,880</t>
  </si>
  <si>
    <t>872973, DTD 24/06/2025</t>
  </si>
  <si>
    <t>Oil and Lubricants</t>
  </si>
  <si>
    <t>Weight Bridge Fee</t>
  </si>
  <si>
    <t>FUEL  1,800 LITRE @ Tsh 2,880</t>
  </si>
  <si>
    <t>FUEL  1,750 LITRE @ Tsh 2,2880</t>
  </si>
  <si>
    <t>TR0172</t>
  </si>
  <si>
    <t>TR0173</t>
  </si>
  <si>
    <t>TR0174</t>
  </si>
  <si>
    <t>TR0175</t>
  </si>
  <si>
    <t>TR0176</t>
  </si>
  <si>
    <t>FSCU8323950</t>
  </si>
  <si>
    <t>SMLCL-2025/TR0176</t>
  </si>
  <si>
    <t>24th June,2025</t>
  </si>
  <si>
    <t>TR0177</t>
  </si>
  <si>
    <t>TGBU6664105</t>
  </si>
  <si>
    <t>SMLCL-2025/TR0177</t>
  </si>
  <si>
    <t>TRUCK # T493EMG/T109EMF</t>
  </si>
  <si>
    <t>UETU7098550</t>
  </si>
  <si>
    <t>TR0178</t>
  </si>
  <si>
    <t>SMLCL-2025/TR0178</t>
  </si>
  <si>
    <t>PCIU9139954</t>
  </si>
  <si>
    <t>TR0179</t>
  </si>
  <si>
    <t>SMLCL-2025/TR0179</t>
  </si>
  <si>
    <t>TIIU4521450</t>
  </si>
  <si>
    <t>TR0180</t>
  </si>
  <si>
    <t>T900EMF</t>
  </si>
  <si>
    <t>SMLCL-2025/TR0180</t>
  </si>
  <si>
    <t>TRUCK # T900EMF/T102EMF</t>
  </si>
  <si>
    <t>T493EMG</t>
  </si>
  <si>
    <t>TR0181</t>
  </si>
  <si>
    <t>OOCU7467364</t>
  </si>
  <si>
    <t>SMLCL-2025/TR0181</t>
  </si>
  <si>
    <t>005931, DTD24/06/2025</t>
  </si>
  <si>
    <t>005932, DTD24/06/2025</t>
  </si>
  <si>
    <t>005939, DTD27/06/2025</t>
  </si>
  <si>
    <t>TR0183</t>
  </si>
  <si>
    <t>CMAU7563700</t>
  </si>
  <si>
    <t>SMLCL-2025/TR0183</t>
  </si>
  <si>
    <t>25th June,2025</t>
  </si>
  <si>
    <t>ROAD TOLL ( $356 @ Tsh 2,700 )</t>
  </si>
  <si>
    <t>872336, dtd 26/06/2025</t>
  </si>
  <si>
    <t>872335, dtd 26/06/2025</t>
  </si>
  <si>
    <t>TR0184</t>
  </si>
  <si>
    <t>TR0185</t>
  </si>
  <si>
    <t>TCLU3785723</t>
  </si>
  <si>
    <t>SMLCL-2025/TR0184</t>
  </si>
  <si>
    <t>27th June,2025</t>
  </si>
  <si>
    <t>MRKU2023565</t>
  </si>
  <si>
    <t>SMLCL-2025/TR0185</t>
  </si>
  <si>
    <t>TR0186</t>
  </si>
  <si>
    <t>T497EMG</t>
  </si>
  <si>
    <t>MSMU8046540</t>
  </si>
  <si>
    <t>SMLCL-2025/TR0169</t>
  </si>
  <si>
    <t>TRUCK # T497EMG/T119EMF</t>
  </si>
  <si>
    <t>SMLCL-2025/TR0186</t>
  </si>
  <si>
    <t>872364, dtd 28/06/2025</t>
  </si>
  <si>
    <t>871301, dtd 30/06/2025</t>
  </si>
  <si>
    <t>TR0188</t>
  </si>
  <si>
    <t>TR0189</t>
  </si>
  <si>
    <t>CMAU9153387</t>
  </si>
  <si>
    <t>SMLCL-2025/TR0189</t>
  </si>
  <si>
    <t>30th June,2025</t>
  </si>
  <si>
    <t>TR0190</t>
  </si>
  <si>
    <t>TRHU8290034</t>
  </si>
  <si>
    <t>SMLCL-2025/TR0190</t>
  </si>
  <si>
    <t>872353, DTD 01/07/2025</t>
  </si>
  <si>
    <t>18.05.2025</t>
  </si>
  <si>
    <t>JUMBE JUMANNE RAMADHANI</t>
  </si>
  <si>
    <t>SALUM ABUBAKARI KOMBO</t>
  </si>
  <si>
    <t>IDDI ABUBAKARI HAMISI</t>
  </si>
  <si>
    <t>RAJABU AMIRY MOHAMEDI</t>
  </si>
  <si>
    <t>HASSANI HAMISI IBRAHIMU</t>
  </si>
  <si>
    <t>SMLCL-2025/TR0153</t>
  </si>
  <si>
    <t>870787, DTD 06/06/2025</t>
  </si>
  <si>
    <t>TR0192</t>
  </si>
  <si>
    <t>TR0193</t>
  </si>
  <si>
    <t>870508, DTD 04/07/2025</t>
  </si>
  <si>
    <t>872394, DTD 04/07/2025</t>
  </si>
  <si>
    <t>DEMURAGE FOR 5 DAYS</t>
  </si>
  <si>
    <t>FUEL  1,750 LITRE @ Tsh 2,826</t>
  </si>
  <si>
    <t>TR0194</t>
  </si>
  <si>
    <t>TR0195</t>
  </si>
  <si>
    <t>TR0196</t>
  </si>
  <si>
    <t>870540, dtd 05/07/2025</t>
  </si>
  <si>
    <t>TR0197</t>
  </si>
  <si>
    <t>SMLCL-2025/TR0198</t>
  </si>
  <si>
    <t>04th July,2025</t>
  </si>
  <si>
    <t>TR0198</t>
  </si>
  <si>
    <t>T496EMG</t>
  </si>
  <si>
    <t>BSIU8496764</t>
  </si>
  <si>
    <t>TR0199</t>
  </si>
  <si>
    <t>TLLU2350642</t>
  </si>
  <si>
    <t>SMLCL-2025/TR0199</t>
  </si>
  <si>
    <t>CMAU8471552</t>
  </si>
  <si>
    <t>SMLCL-2025/TR0196</t>
  </si>
  <si>
    <t>05th July,2025</t>
  </si>
  <si>
    <t>TR0200</t>
  </si>
  <si>
    <t>ECMU2645264</t>
  </si>
  <si>
    <t>SMLCL-2025/TR0200</t>
  </si>
  <si>
    <t>07th July,2025</t>
  </si>
  <si>
    <t>TR0201</t>
  </si>
  <si>
    <t>T492EMG</t>
  </si>
  <si>
    <t>MSBU5195783</t>
  </si>
  <si>
    <t>SMLCL-2025/TR0201</t>
  </si>
  <si>
    <t>TRUCK # T492EMG/T116EMF</t>
  </si>
  <si>
    <t>TR0202</t>
  </si>
  <si>
    <t>ECMU2645222</t>
  </si>
  <si>
    <t>SMLCL-2025/TR0202</t>
  </si>
  <si>
    <t>TR0203</t>
  </si>
  <si>
    <t>ECMU2637145</t>
  </si>
  <si>
    <t>SMLCL-2025/TR0203</t>
  </si>
  <si>
    <t>871902, DTD 09/07/2025</t>
  </si>
  <si>
    <t>871907, DTD 09/07/2025</t>
  </si>
  <si>
    <t>FUEL  2,000 LITRE @ Tsh 2,850</t>
  </si>
  <si>
    <t>FUEL  1,850 LITRE @ Tsh 2,850</t>
  </si>
  <si>
    <t>TR0204</t>
  </si>
  <si>
    <t>TR0205</t>
  </si>
  <si>
    <t>TR0206</t>
  </si>
  <si>
    <t>871959, DTD 12/07/2025</t>
  </si>
  <si>
    <t>871938, DTD 15/07/2025</t>
  </si>
  <si>
    <t>TR0207</t>
  </si>
  <si>
    <t>PIDU4146296</t>
  </si>
  <si>
    <t>SMLCL-2025/TR0207</t>
  </si>
  <si>
    <t>12th July,2025</t>
  </si>
  <si>
    <t>872601, DTD 15/07/2025</t>
  </si>
  <si>
    <t>870787, DTD 05/06/2025</t>
  </si>
  <si>
    <t>872602, DTD 16/07/2025</t>
  </si>
  <si>
    <t>DETENTION CHARGES</t>
  </si>
  <si>
    <t>TR0210</t>
  </si>
  <si>
    <t>PCIU9619399</t>
  </si>
  <si>
    <t>SMLCL-2025/TR0210</t>
  </si>
  <si>
    <t>14th July,2025</t>
  </si>
  <si>
    <t>TR0211</t>
  </si>
  <si>
    <t>T7666EAE</t>
  </si>
  <si>
    <t>CMAU3857199</t>
  </si>
  <si>
    <t>SMLCL-2025/TR0211</t>
  </si>
  <si>
    <t>TRUCK # T766EAE/T287EAJ</t>
  </si>
  <si>
    <t>16th July,2025</t>
  </si>
  <si>
    <t>FUEL  1,700 LITRE @ Tsh 2,850</t>
  </si>
  <si>
    <t>TR0212</t>
  </si>
  <si>
    <t>TR0213</t>
  </si>
  <si>
    <t>TR0214</t>
  </si>
  <si>
    <t>CMAU3902528</t>
  </si>
  <si>
    <t>SMLCL-2025/TR0214</t>
  </si>
  <si>
    <t>17th July,2025</t>
  </si>
  <si>
    <t>TR0215</t>
  </si>
  <si>
    <t>FUEL  1,830 LITRE @ Tsh 2,825</t>
  </si>
  <si>
    <t>TR0216</t>
  </si>
  <si>
    <t>SMLCL-2025/TR0216</t>
  </si>
  <si>
    <t>21st July,2025</t>
  </si>
  <si>
    <t>871364, DTD 21/07/2025</t>
  </si>
  <si>
    <t>871370, DTD 26/07/2025</t>
  </si>
  <si>
    <t>TR0217</t>
  </si>
  <si>
    <t>TR0218</t>
  </si>
  <si>
    <t>TR0219</t>
  </si>
  <si>
    <t>TR0221</t>
  </si>
  <si>
    <t>SMLCL-2025/TR0221</t>
  </si>
  <si>
    <t>TR0222</t>
  </si>
  <si>
    <t>TR0223</t>
  </si>
  <si>
    <t>FUEL  1,800 LITRE @ Tsh 2,850</t>
  </si>
  <si>
    <t>TR0224</t>
  </si>
  <si>
    <t>SMLCL-2025/TR0224</t>
  </si>
  <si>
    <t>24th July,2025</t>
  </si>
  <si>
    <t>23rd July,2025</t>
  </si>
  <si>
    <t>872498, DTD 30/07/2025</t>
  </si>
  <si>
    <t>TR0227</t>
  </si>
  <si>
    <t>SMLCL-2025/TR0227</t>
  </si>
  <si>
    <t>26th July,2025</t>
  </si>
  <si>
    <t>TR0228</t>
  </si>
  <si>
    <t>TCNU5794681</t>
  </si>
  <si>
    <t>SMLCL-2025/TR0228</t>
  </si>
  <si>
    <t>21.07.2025</t>
  </si>
  <si>
    <t>02.07.2025</t>
  </si>
  <si>
    <t>9984122898527</t>
  </si>
  <si>
    <t>04.06.2025</t>
  </si>
  <si>
    <t>TR0229</t>
  </si>
  <si>
    <t>TR0230</t>
  </si>
  <si>
    <t>TR0231</t>
  </si>
  <si>
    <t>TR0232</t>
  </si>
  <si>
    <t>SMLCL-2025/TR0229</t>
  </si>
  <si>
    <t>28th July,2025</t>
  </si>
  <si>
    <t>SMLCL-2025/TR0230</t>
  </si>
  <si>
    <t>SMLCL-2025/TR0231</t>
  </si>
  <si>
    <t>SMLCL-2025/TR0232</t>
  </si>
  <si>
    <t>TR0233</t>
  </si>
  <si>
    <t>TR0234</t>
  </si>
  <si>
    <t>SMLCL-2025/TR0233</t>
  </si>
  <si>
    <t>MRKU2283285</t>
  </si>
  <si>
    <t>SMLCL-2025/TR0234</t>
  </si>
  <si>
    <t>TR0235</t>
  </si>
  <si>
    <t>TRUCK # T496EMG/T118EMF</t>
  </si>
  <si>
    <t>FUEL  1,850 LITRE @ Tsh 2,790</t>
  </si>
  <si>
    <t>MUSSA YUSUFU IBRAHIM</t>
  </si>
  <si>
    <t>BAKARI GUBE BAKARI</t>
  </si>
  <si>
    <t>JUMA ABASI MUHIDINI</t>
  </si>
  <si>
    <t>TR0236</t>
  </si>
  <si>
    <t>TR0237</t>
  </si>
  <si>
    <t>TR0238</t>
  </si>
  <si>
    <t>FUEL  1,950 LITRE @ Tsh 2,825</t>
  </si>
  <si>
    <t>870218, DTD 25/07/2025</t>
  </si>
  <si>
    <t>870262, DTD 30/07/2025</t>
  </si>
  <si>
    <t>005961, dtd 30/07/2025</t>
  </si>
  <si>
    <t>0010240, DTD 01/08/2025</t>
  </si>
  <si>
    <t>001236, DTD 01/08/2025</t>
  </si>
  <si>
    <t>870289, DTD 01/08/2025</t>
  </si>
  <si>
    <t>SMLCL-2025/TR0235</t>
  </si>
  <si>
    <t>870288, DTD 01/08/2025</t>
  </si>
  <si>
    <t>870287, DTD 02/08/2025</t>
  </si>
  <si>
    <t>870287, DTD 01/08/2025</t>
  </si>
  <si>
    <t>870249, DTD 02/08/2025</t>
  </si>
  <si>
    <t>9984123227002</t>
  </si>
  <si>
    <t>01.07.2025</t>
  </si>
  <si>
    <t>005966, dtd 02/08/2025</t>
  </si>
  <si>
    <t>TR0240</t>
  </si>
  <si>
    <t>SMLCL-2025/TR0241</t>
  </si>
  <si>
    <t>SMLCL-2025/TR0240</t>
  </si>
  <si>
    <t>TRUCK # T496EMG/118EMF</t>
  </si>
  <si>
    <t>08th August,2025</t>
  </si>
  <si>
    <t>TR0241</t>
  </si>
  <si>
    <t>TR0242</t>
  </si>
  <si>
    <t>TRUCK # T492EMG/116EMF</t>
  </si>
  <si>
    <t>SMLCL-2025/TR0242</t>
  </si>
  <si>
    <t>TRUCK # T493EMG/109EMF</t>
  </si>
  <si>
    <t>TR0243</t>
  </si>
  <si>
    <t>ECMU7053205</t>
  </si>
  <si>
    <t>04th August,2025</t>
  </si>
  <si>
    <t>TR0244</t>
  </si>
  <si>
    <t>TR0245</t>
  </si>
  <si>
    <t>TR0246</t>
  </si>
  <si>
    <t>871640, DTD 05/08/2025</t>
  </si>
  <si>
    <t>871627, DTD 06/08/2025</t>
  </si>
  <si>
    <t>TR0247</t>
  </si>
  <si>
    <t>TR0248</t>
  </si>
  <si>
    <t>FUEL  1,900 LITRE @ Tsh 2,850</t>
  </si>
  <si>
    <t>871700, DTD 07/08/2025</t>
  </si>
  <si>
    <t>872101, DTD 07/08/2025</t>
  </si>
  <si>
    <t>FUEL  1,850 LITRE @ Tsh 2,757</t>
  </si>
  <si>
    <t>TR0249</t>
  </si>
  <si>
    <t>T190EDH</t>
  </si>
  <si>
    <t>CSNU7433872</t>
  </si>
  <si>
    <t>SMLCL-2025/TR0249</t>
  </si>
  <si>
    <t>TRUCK # T190EDH/T653EAN</t>
  </si>
  <si>
    <t>TR0250</t>
  </si>
  <si>
    <t>MRSU7344093</t>
  </si>
  <si>
    <t>T235EFT</t>
  </si>
  <si>
    <t>SMLCL-2025/TR0250</t>
  </si>
  <si>
    <t>TRUCK # T235EFT/T755EFT</t>
  </si>
  <si>
    <t>11th August,2025</t>
  </si>
  <si>
    <t>TR0253</t>
  </si>
  <si>
    <t>TEMU7049013</t>
  </si>
  <si>
    <t>SMLCL-2025/TR0253</t>
  </si>
  <si>
    <t>HONEST LOGISTICS LIMITED</t>
  </si>
  <si>
    <t>TR0254</t>
  </si>
  <si>
    <t>T901EMF</t>
  </si>
  <si>
    <t>CMAU6957397</t>
  </si>
  <si>
    <t>SMLCL-2025/TR0254</t>
  </si>
  <si>
    <t>TRUCK # T901EMF/T104EMF</t>
  </si>
  <si>
    <t>GAOU6122856</t>
  </si>
  <si>
    <t>TR0255</t>
  </si>
  <si>
    <t>T487EHW</t>
  </si>
  <si>
    <t>SMLCL-2025/TR0255</t>
  </si>
  <si>
    <t>TRUCK # T487EHW/120EHF</t>
  </si>
  <si>
    <t>TR0256</t>
  </si>
  <si>
    <t>T931ECB</t>
  </si>
  <si>
    <t>DRYU2049532</t>
  </si>
  <si>
    <t>SMLCL-2025/TR0256</t>
  </si>
  <si>
    <t>TRUCK # T931ECB/T909EBX</t>
  </si>
  <si>
    <t>TR0257</t>
  </si>
  <si>
    <t>T101DWY</t>
  </si>
  <si>
    <t>SUDU1894710</t>
  </si>
  <si>
    <t>SMLCL-2025/TR0257</t>
  </si>
  <si>
    <t>TRUCK # T101DWY/T214EDL</t>
  </si>
  <si>
    <t>TR0258</t>
  </si>
  <si>
    <t>T252EHS</t>
  </si>
  <si>
    <t>MSKU7895080</t>
  </si>
  <si>
    <t>SMLCL-2025/TR0258</t>
  </si>
  <si>
    <t>TRUCK # T252EHS/T897EHL</t>
  </si>
  <si>
    <t>TR0259</t>
  </si>
  <si>
    <t>T942EDK</t>
  </si>
  <si>
    <t>CAAU8556675</t>
  </si>
  <si>
    <t>SMLCL-2025/TR0259</t>
  </si>
  <si>
    <t>TRUCK # T942EDK/T453BHG</t>
  </si>
  <si>
    <t>TR0260</t>
  </si>
  <si>
    <t>SUDU8545346</t>
  </si>
  <si>
    <t>SMLCL-2025/TR0260</t>
  </si>
  <si>
    <t>TR0261</t>
  </si>
  <si>
    <t>T407EAS</t>
  </si>
  <si>
    <t>SMLCL-2025/TR0261</t>
  </si>
  <si>
    <t>TRUCK # T407EAS/T763EAS</t>
  </si>
  <si>
    <t>TRHU4582655</t>
  </si>
  <si>
    <t>TR0262</t>
  </si>
  <si>
    <t>T932ECB</t>
  </si>
  <si>
    <t>HASU1478670</t>
  </si>
  <si>
    <t>SMLCL-2025/TR0262</t>
  </si>
  <si>
    <t>TRUCK # T932ECB/T912EBX</t>
  </si>
  <si>
    <t>TR0263</t>
  </si>
  <si>
    <t>PCIU1952248</t>
  </si>
  <si>
    <t>SMLCL-2025/TR0263</t>
  </si>
  <si>
    <t>ROAD TOLL ( $323 @ Tsh 2,650 )</t>
  </si>
  <si>
    <t>TR0264</t>
  </si>
  <si>
    <t>PCIU1343025</t>
  </si>
  <si>
    <t>SMLCL-2025/TR0264</t>
  </si>
  <si>
    <t>TR0265</t>
  </si>
  <si>
    <t>TLLU4162428</t>
  </si>
  <si>
    <t>SMLCL-2025/TR0265</t>
  </si>
  <si>
    <t>TR0266</t>
  </si>
  <si>
    <t>TR0267</t>
  </si>
  <si>
    <t>TR0268</t>
  </si>
  <si>
    <t>T253EHS</t>
  </si>
  <si>
    <t>MRKU2824420</t>
  </si>
  <si>
    <t>TRUCK # T253EHS/T898EHL</t>
  </si>
  <si>
    <t>TR0271</t>
  </si>
  <si>
    <t>PIDU4110539</t>
  </si>
  <si>
    <t>T765EAE</t>
  </si>
  <si>
    <t>SMLCL-2025/TR0271</t>
  </si>
  <si>
    <t>TRUCK # T765EAE/T770EAE</t>
  </si>
  <si>
    <t>13th August,2025</t>
  </si>
  <si>
    <t>873065, DTD 15/08/2025</t>
  </si>
  <si>
    <t>873062, DTD 15/08/2025</t>
  </si>
  <si>
    <t>873060, DTD 15/08/2025</t>
  </si>
  <si>
    <t>873067, DTD 15/08/2025</t>
  </si>
  <si>
    <t>873066, DTD 15/08/2025</t>
  </si>
  <si>
    <t>SMLCL-2025/TR0268</t>
  </si>
  <si>
    <t>TR0272</t>
  </si>
  <si>
    <t>TEMU6799332</t>
  </si>
  <si>
    <t>SMLCL-2025/TR0272</t>
  </si>
  <si>
    <t>15th August,2025</t>
  </si>
  <si>
    <t>15.08.2025</t>
  </si>
  <si>
    <t>005977, dtd 15/08/2025</t>
  </si>
  <si>
    <t>873080, DTD 16/08/2025</t>
  </si>
  <si>
    <t>871652, DTD 20/08/2025</t>
  </si>
  <si>
    <t>CONTAINER FEE DEDUCTED</t>
  </si>
  <si>
    <t>869995, DTD 23/07/2025</t>
  </si>
  <si>
    <t>TR0274</t>
  </si>
  <si>
    <t>JXLU6471630</t>
  </si>
  <si>
    <t>SMLCL-2025/TR0274</t>
  </si>
  <si>
    <t>20th August,2025</t>
  </si>
  <si>
    <t>TR0280</t>
  </si>
  <si>
    <t>MSKU9569380</t>
  </si>
  <si>
    <t>SMLCL-2025/TR0280</t>
  </si>
  <si>
    <t>23rd August,2025</t>
  </si>
  <si>
    <t>TR0281</t>
  </si>
  <si>
    <t>OOCU4735859</t>
  </si>
  <si>
    <t>SMLCL-2025/TR0281</t>
  </si>
  <si>
    <t>25th August,2025</t>
  </si>
  <si>
    <t>870162, DTD 30/08/2025</t>
  </si>
  <si>
    <t>870163, DTD 25/08/2025</t>
  </si>
  <si>
    <t>FUEL  1,850 LITRE @ Tsh 2,777</t>
  </si>
  <si>
    <t>872590, DTD 27/08/2025</t>
  </si>
  <si>
    <t>WEIGHT BRIDGE FEE</t>
  </si>
  <si>
    <t>TR0285</t>
  </si>
  <si>
    <t>TR0286</t>
  </si>
  <si>
    <t>TR0287</t>
  </si>
  <si>
    <t>OOCU4770485</t>
  </si>
  <si>
    <t>SMLCL-2025/TR0287</t>
  </si>
  <si>
    <t>28th August,2025</t>
  </si>
  <si>
    <t>FUEL  1,860 LITRE @ Tsh 2,790</t>
  </si>
  <si>
    <t>TR0288</t>
  </si>
  <si>
    <t>TR0290</t>
  </si>
  <si>
    <t>875235, DTD 30/08/2025</t>
  </si>
  <si>
    <t>870321, DTD 01/09/2025</t>
  </si>
  <si>
    <t>870362, DTD 30/08/2025</t>
  </si>
  <si>
    <t>TR0292</t>
  </si>
  <si>
    <t>MEDU4976400</t>
  </si>
  <si>
    <t>SMLCL-2025/TR0292</t>
  </si>
  <si>
    <t>30th August,2025</t>
  </si>
  <si>
    <t>TR0293</t>
  </si>
  <si>
    <t>TSSU5156217</t>
  </si>
  <si>
    <t>SMLCL-2025/TR0293</t>
  </si>
  <si>
    <t>TR0294</t>
  </si>
  <si>
    <t>TGBU6580299</t>
  </si>
  <si>
    <t>TR0295</t>
  </si>
  <si>
    <t>TCNU6058134</t>
  </si>
  <si>
    <t>SMLCL-2025/TR0294</t>
  </si>
  <si>
    <t>SMLCL-2025/TR0295</t>
  </si>
  <si>
    <t>TR0296</t>
  </si>
  <si>
    <t>TCKU2087459</t>
  </si>
  <si>
    <t>SMLCL-2025/TR0296</t>
  </si>
  <si>
    <t>TR0297</t>
  </si>
  <si>
    <t>PONU8151333</t>
  </si>
  <si>
    <t>SMLCL-2025/TR0297</t>
  </si>
  <si>
    <t>TRUCK # T487EHW/T120EHF</t>
  </si>
  <si>
    <t>TR0298</t>
  </si>
  <si>
    <t>MRSU4635006</t>
  </si>
  <si>
    <t>SMLCL-2025/TR0298</t>
  </si>
  <si>
    <t>SMLCL-2025/TR0243</t>
  </si>
  <si>
    <t>TR0299</t>
  </si>
  <si>
    <t>TR0302</t>
  </si>
  <si>
    <t>TR0303</t>
  </si>
  <si>
    <t>TR0304</t>
  </si>
  <si>
    <t>TR0305</t>
  </si>
  <si>
    <t>IMANI KONDO NASSORO</t>
  </si>
  <si>
    <t>ATHUMANI RASHIDI ATHUMANI</t>
  </si>
  <si>
    <t>HEMEDI RASHIDI MMURE</t>
  </si>
  <si>
    <t>ALLY GHANIM ALLY</t>
  </si>
  <si>
    <t>ARKAM ALLY SALUM</t>
  </si>
  <si>
    <t>TR0310</t>
  </si>
  <si>
    <t>FUEL  2,050 LITRE @ Tsh 2,880</t>
  </si>
  <si>
    <t>001248, DTD 06/09/2025</t>
  </si>
  <si>
    <t>001249, DTD 06/09/2025</t>
  </si>
  <si>
    <t>871121, DTD 04/09/2025</t>
  </si>
  <si>
    <t>TR0312</t>
  </si>
  <si>
    <t>TCNU4396810</t>
  </si>
  <si>
    <t>SMLCL-2025/TR0312</t>
  </si>
  <si>
    <t>05th September,2025</t>
  </si>
  <si>
    <t>TR0313</t>
  </si>
  <si>
    <t>TR0314</t>
  </si>
  <si>
    <t>TR0315</t>
  </si>
  <si>
    <t>SEKU5860396</t>
  </si>
  <si>
    <t>SMLCL-2025/TR0313</t>
  </si>
  <si>
    <t>CMAU3775784</t>
  </si>
  <si>
    <t>SMLCL-2025/TR0314</t>
  </si>
  <si>
    <t>TEMU7347213</t>
  </si>
  <si>
    <t>SMLCL-2025/TR0315</t>
  </si>
  <si>
    <t>06th September,2025</t>
  </si>
  <si>
    <t>TR0316</t>
  </si>
  <si>
    <t>TRHU8575525</t>
  </si>
  <si>
    <t>SMLCL-2025/TR0316</t>
  </si>
  <si>
    <t>TR0317</t>
  </si>
  <si>
    <t>FFAU4651636</t>
  </si>
  <si>
    <t>SMLCL-2025/TR0318</t>
  </si>
  <si>
    <t>SMLCL-2025/TR0317</t>
  </si>
  <si>
    <t>TR0318</t>
  </si>
  <si>
    <t>CXSU1011143</t>
  </si>
  <si>
    <t>NDOLA AND ZAMBIA</t>
  </si>
  <si>
    <t>*NDOLA-ZAMBIA</t>
  </si>
  <si>
    <t>TR0319</t>
  </si>
  <si>
    <t>TR0320</t>
  </si>
  <si>
    <t>TRUCK # T253EHS/T894EHL</t>
  </si>
  <si>
    <t>SMLCL-2025/TR0319</t>
  </si>
  <si>
    <t>SMLCL-2025/TR0320</t>
  </si>
  <si>
    <t>TR0321</t>
  </si>
  <si>
    <t>SMLCL-2025/TR0321</t>
  </si>
  <si>
    <t>TR0322</t>
  </si>
  <si>
    <t>SMLCL-2025/TR0322</t>
  </si>
  <si>
    <t>TR0323</t>
  </si>
  <si>
    <t>SMLCL-2025/TR0323</t>
  </si>
  <si>
    <t>08th September,2025</t>
  </si>
  <si>
    <t>TR0324</t>
  </si>
  <si>
    <t>SMLCL-2025/TR0324</t>
  </si>
  <si>
    <t>TRUCK # T955EMC/T470ECR</t>
  </si>
  <si>
    <t>TR0325</t>
  </si>
  <si>
    <t>FUEL  2,000 LITRE @ Tsh 2,777</t>
  </si>
  <si>
    <t>TR0327</t>
  </si>
  <si>
    <t>TR0328</t>
  </si>
  <si>
    <t>MSDU7850454</t>
  </si>
  <si>
    <t>SMLCL-2025/TR0328</t>
  </si>
  <si>
    <t>09th September,2025</t>
  </si>
  <si>
    <t>FUEL  2,100 LITRE @ Tsh 2,777</t>
  </si>
  <si>
    <t>TR0329</t>
  </si>
  <si>
    <t>TR0330</t>
  </si>
  <si>
    <t>TR0331</t>
  </si>
  <si>
    <t>CMAU4490662</t>
  </si>
  <si>
    <t>SMLCL-2025/TR0331</t>
  </si>
  <si>
    <t>10th September,2025</t>
  </si>
  <si>
    <t>871050, DTD 11/09/2025</t>
  </si>
  <si>
    <t>871051, DTD 11/09/2025</t>
  </si>
  <si>
    <t>872549, DTD 12/09/2025</t>
  </si>
  <si>
    <t>872551, DTD 15/09/2025</t>
  </si>
  <si>
    <t>005996, DTD 12/09/2025</t>
  </si>
  <si>
    <t>WEIGHT MEASURE</t>
  </si>
  <si>
    <t>FUEL  2,000 LITRE @ Tsh 2,787</t>
  </si>
  <si>
    <t>FUEL  1,850 LITRE @ Tsh 2,766</t>
  </si>
  <si>
    <t>TR0333</t>
  </si>
  <si>
    <t>TCKU6942639</t>
  </si>
  <si>
    <t>SMLCL-2025/TR0333</t>
  </si>
  <si>
    <t>12th September,2025</t>
  </si>
  <si>
    <t>TR0334</t>
  </si>
  <si>
    <t>TR0335</t>
  </si>
  <si>
    <t>TR0336</t>
  </si>
  <si>
    <t>TR0337</t>
  </si>
  <si>
    <t>SMLCL-2025/TR0337</t>
  </si>
  <si>
    <t>15th September,2025</t>
  </si>
  <si>
    <t>CSNU8005061</t>
  </si>
  <si>
    <t>TR0338</t>
  </si>
  <si>
    <t>TEMU8228733</t>
  </si>
  <si>
    <t>SMLCL-2025/TR0338</t>
  </si>
  <si>
    <t>TR0339</t>
  </si>
  <si>
    <t>TR0340</t>
  </si>
  <si>
    <t>SMLCL-2025/TR0340</t>
  </si>
  <si>
    <t>SMLCL-2025/TR0339</t>
  </si>
  <si>
    <t>TR0341</t>
  </si>
  <si>
    <t>TR0342</t>
  </si>
  <si>
    <t>HAMU4523642</t>
  </si>
  <si>
    <t>HAMU4523724</t>
  </si>
  <si>
    <t>17th September,2025</t>
  </si>
  <si>
    <t>TR0343</t>
  </si>
  <si>
    <t>UETU2185604</t>
  </si>
  <si>
    <t>SMLCL-2025/TR0342</t>
  </si>
  <si>
    <t>SMLCL-2025/TR0343</t>
  </si>
  <si>
    <t>TR0344</t>
  </si>
  <si>
    <t>ESDU4349100</t>
  </si>
  <si>
    <t>SMLCL-2025/TR0344</t>
  </si>
  <si>
    <t>TR0345</t>
  </si>
  <si>
    <t>TR0346</t>
  </si>
  <si>
    <t>TR0347</t>
  </si>
  <si>
    <t>006000, dtd 19/09/2025</t>
  </si>
  <si>
    <t>005999, dtd 19/09/2025</t>
  </si>
  <si>
    <t>872078, DTD 22/09/2025</t>
  </si>
  <si>
    <t>868821, dtd 08/04/2024</t>
  </si>
  <si>
    <t>866498, DTD 16/05/2025</t>
  </si>
  <si>
    <t>869641, dtd 28/04/2024</t>
  </si>
  <si>
    <t>869642, dtd 30/04/2025</t>
  </si>
  <si>
    <t>870709, dtd 06/06/2025</t>
  </si>
  <si>
    <t>870708, dtd 02/06/2025&amp;870708, dtd 02/06/2025</t>
  </si>
  <si>
    <t>869571, dtd 06/06/2025</t>
  </si>
  <si>
    <t>005923, dtd 16/06/2025</t>
  </si>
  <si>
    <t>OFFLOADING FEE</t>
  </si>
  <si>
    <t>TR0348</t>
  </si>
  <si>
    <t>TR0349</t>
  </si>
  <si>
    <t>NP9KRBN33RA095013</t>
  </si>
  <si>
    <t>SMLCL-2025/TR0348</t>
  </si>
  <si>
    <t>TRUCK # T101DWY</t>
  </si>
  <si>
    <t>SMLCL-2025/TR0349</t>
  </si>
  <si>
    <t>TRUCK # T651DWY</t>
  </si>
  <si>
    <t>20th September,2025</t>
  </si>
  <si>
    <t>TR0350</t>
  </si>
  <si>
    <t>TR0352</t>
  </si>
  <si>
    <t>TR0353</t>
  </si>
  <si>
    <t>TR0354</t>
  </si>
  <si>
    <t>870421, DTD 01/10/2025</t>
  </si>
  <si>
    <t>872011, DTD 03/10/2025</t>
  </si>
  <si>
    <t>872095, DTD 04/10/2025</t>
  </si>
  <si>
    <t>872015, DTD 07/10/2025</t>
  </si>
  <si>
    <t>TADU HEMED SAID</t>
  </si>
  <si>
    <t>03.09.2025</t>
  </si>
  <si>
    <t>20.09.2025</t>
  </si>
  <si>
    <t>30.08.2025</t>
  </si>
  <si>
    <t>FUEL  1,850 LITRE @ Tsh 2,754</t>
  </si>
  <si>
    <t>FUEL  2,000 LITRE @ Tsh 2,754</t>
  </si>
  <si>
    <t>TR0355</t>
  </si>
  <si>
    <t>TR0356</t>
  </si>
  <si>
    <t>871148, DTD 04/10/2025</t>
  </si>
  <si>
    <t>9984124128348</t>
  </si>
  <si>
    <t>04.10.2025</t>
  </si>
  <si>
    <t>03.10.2025</t>
  </si>
  <si>
    <t>006016, DTD 04/10/2025</t>
  </si>
  <si>
    <t>TR0360</t>
  </si>
  <si>
    <t>T766EAE</t>
  </si>
  <si>
    <t>TR0361</t>
  </si>
  <si>
    <t>TR0362</t>
  </si>
  <si>
    <t>TR0363</t>
  </si>
  <si>
    <t>TR0364</t>
  </si>
  <si>
    <t>IIAU1987608</t>
  </si>
  <si>
    <t>SMLCL-2025/TR0364</t>
  </si>
  <si>
    <t>TR0365</t>
  </si>
  <si>
    <t>MRSU7708410</t>
  </si>
  <si>
    <t>SMLCL-2025/TR0365</t>
  </si>
  <si>
    <t>TR0366</t>
  </si>
  <si>
    <t>SMLCL-2025/TR0366</t>
  </si>
  <si>
    <t>MIEU3049219</t>
  </si>
  <si>
    <t>TR0367</t>
  </si>
  <si>
    <t>CAAU9061285</t>
  </si>
  <si>
    <t>SMLCL-2025/TR0367</t>
  </si>
  <si>
    <t>TR0368</t>
  </si>
  <si>
    <t>FSCU9310259</t>
  </si>
  <si>
    <t>SMLCL-2025/TR0368</t>
  </si>
  <si>
    <t>TR0369</t>
  </si>
  <si>
    <t>OOCU7407299</t>
  </si>
  <si>
    <t>SMLCL-2025/TR0369</t>
  </si>
  <si>
    <t>TR0370</t>
  </si>
  <si>
    <t>ESDU4111128</t>
  </si>
  <si>
    <t>SMLCL-2025/TR0370</t>
  </si>
  <si>
    <t>TR0371</t>
  </si>
  <si>
    <t>CMAU6741480</t>
  </si>
  <si>
    <t>SMLCL-2025/TR0371</t>
  </si>
  <si>
    <t>TR0372</t>
  </si>
  <si>
    <t>TEMU6984731</t>
  </si>
  <si>
    <t>06th October,2025</t>
  </si>
  <si>
    <t>04th October,2025</t>
  </si>
  <si>
    <t>SMLCL-2025/TR0372</t>
  </si>
  <si>
    <t>TR0373</t>
  </si>
  <si>
    <t>DFSU7270742</t>
  </si>
  <si>
    <t>SMLCL-2025/TR0373</t>
  </si>
  <si>
    <t>TR0374</t>
  </si>
  <si>
    <t>CMAU7260180</t>
  </si>
  <si>
    <t>SMLCL-2025/TR0374</t>
  </si>
  <si>
    <t>TR0375</t>
  </si>
  <si>
    <t>TCNU3626971</t>
  </si>
  <si>
    <t>SMLCL-2025/TR0375</t>
  </si>
  <si>
    <t>TR0376</t>
  </si>
  <si>
    <t>TR0377</t>
  </si>
  <si>
    <t>CMAU4544136</t>
  </si>
  <si>
    <t>SMLCL-2025/TR0376</t>
  </si>
  <si>
    <t>TCNU7514054</t>
  </si>
  <si>
    <t>SMLCL-2025/TR0377</t>
  </si>
  <si>
    <t>TR0378</t>
  </si>
  <si>
    <t>TRHU5569513</t>
  </si>
  <si>
    <t>SMLCL-2025/TR0378</t>
  </si>
  <si>
    <t>TR0379</t>
  </si>
  <si>
    <t>SEKU6098222</t>
  </si>
  <si>
    <t>TR0380</t>
  </si>
  <si>
    <t>SMLCL-2025/TR0379</t>
  </si>
  <si>
    <t>CMAU7336012</t>
  </si>
  <si>
    <t>SMLCL-2025/TR0380</t>
  </si>
  <si>
    <t>TR0381</t>
  </si>
  <si>
    <t>TGBU7754456</t>
  </si>
  <si>
    <t>ESDU6050525</t>
  </si>
  <si>
    <t>SMLCL-2025/TR0381</t>
  </si>
  <si>
    <t>TR0391</t>
  </si>
  <si>
    <t>TR0392</t>
  </si>
  <si>
    <t>TR0393</t>
  </si>
  <si>
    <t>TR0394</t>
  </si>
  <si>
    <t>TR0396</t>
  </si>
  <si>
    <t>09th October,2025</t>
  </si>
  <si>
    <t>SMLCL-2025/TR0396</t>
  </si>
  <si>
    <t>PCIU9245766</t>
  </si>
  <si>
    <t>TR0397</t>
  </si>
  <si>
    <t>MEDU7006322</t>
  </si>
  <si>
    <t>TR0398</t>
  </si>
  <si>
    <t>TCLU5366979</t>
  </si>
  <si>
    <t>SMLCL-2025/TR0398</t>
  </si>
  <si>
    <t>TR0399</t>
  </si>
  <si>
    <t>TCNU4420413</t>
  </si>
  <si>
    <t>SMLCL-2025/TR0399</t>
  </si>
  <si>
    <t>SMLCL-2025/TR0397</t>
  </si>
  <si>
    <t>TR0400</t>
  </si>
  <si>
    <t>TLLU5255192</t>
  </si>
  <si>
    <t>SMLCL-2025/TR0400</t>
  </si>
  <si>
    <t>11th October,2025</t>
  </si>
  <si>
    <t>TR0401</t>
  </si>
  <si>
    <t>OOCU8279295</t>
  </si>
  <si>
    <t>SMLCL-2025/TR0401</t>
  </si>
  <si>
    <t>FUEL  2,000 LITRE @ Tsh 2,</t>
  </si>
  <si>
    <t>ROAD TOLL ( $323 @ Tsh 2,500 )</t>
  </si>
  <si>
    <t>870938, DTD 10/10/2025</t>
  </si>
  <si>
    <t>870939, DTD 10/10/2025</t>
  </si>
  <si>
    <t>870937, DTD 10/10/2025</t>
  </si>
  <si>
    <t>TR0402</t>
  </si>
  <si>
    <t>MRSU7230465</t>
  </si>
  <si>
    <t>SMLCL-2025/TR0402</t>
  </si>
  <si>
    <t>13th October,2025</t>
  </si>
  <si>
    <t>FUEL  1,850 LITRE @ Tsh 2,704</t>
  </si>
  <si>
    <t>872167, DTD25/09/2025</t>
  </si>
  <si>
    <t>TR0403</t>
  </si>
  <si>
    <t>HLXU8146890</t>
  </si>
  <si>
    <t>SMLCL-2025/TR0403</t>
  </si>
  <si>
    <t>15th October,2025</t>
  </si>
  <si>
    <t>TR0404</t>
  </si>
  <si>
    <t>GESU6803848</t>
  </si>
  <si>
    <t>SMLCL-2025/TR404</t>
  </si>
  <si>
    <t>17th October,2025</t>
  </si>
  <si>
    <t>TR0405</t>
  </si>
  <si>
    <t>MRKU2567466</t>
  </si>
  <si>
    <t>SMLCL-2025/TR405</t>
  </si>
  <si>
    <t>TR0406</t>
  </si>
  <si>
    <t>MSKU8710750</t>
  </si>
  <si>
    <t>SMLCL-2025/TR406</t>
  </si>
  <si>
    <t>870963, DTD 12/10/2025</t>
  </si>
  <si>
    <t>872849, DTD 21/10/2025</t>
  </si>
  <si>
    <t>872861, DTD 18/10/2025</t>
  </si>
  <si>
    <t>TR0407</t>
  </si>
  <si>
    <t>FCIU7066910</t>
  </si>
  <si>
    <t>SMLCL-2025/TR0407</t>
  </si>
  <si>
    <t>006024, DTD 18/10/2025</t>
  </si>
  <si>
    <t>006025, DTD 18/10/2025</t>
  </si>
  <si>
    <t>006026, DTD 18/10/2025</t>
  </si>
  <si>
    <t>006027, DTD 18/10/2025</t>
  </si>
  <si>
    <t>870401, DTD 15/09/2025</t>
  </si>
  <si>
    <t>TR0409</t>
  </si>
  <si>
    <t>TR0410</t>
  </si>
  <si>
    <t>TR0411</t>
  </si>
  <si>
    <t>MRKU6238535</t>
  </si>
  <si>
    <t>MSKU9849822</t>
  </si>
  <si>
    <t>873902, DTD 22/10/2025</t>
  </si>
  <si>
    <t>871491. DTD 23/10/2025</t>
  </si>
  <si>
    <t>872802 DTD 29/10/2025</t>
  </si>
  <si>
    <t>871444, DTD 27/10/2025</t>
  </si>
  <si>
    <t>871793, DTD 24/10/2025</t>
  </si>
  <si>
    <t>TR0412</t>
  </si>
  <si>
    <t>FANU3315944</t>
  </si>
  <si>
    <t>SMLCL-2025/TR0412</t>
  </si>
  <si>
    <t>21st October,2025</t>
  </si>
  <si>
    <t>TR0413</t>
  </si>
  <si>
    <t>PCIU9618788</t>
  </si>
  <si>
    <t>SMLCL-2025/TR0413</t>
  </si>
  <si>
    <t>22nd October,2025</t>
  </si>
  <si>
    <t>TR0414</t>
  </si>
  <si>
    <t>872825, DTD 27/10/22</t>
  </si>
  <si>
    <t>871794, dtd 18/10/2025</t>
  </si>
  <si>
    <t>detention charges</t>
  </si>
  <si>
    <t>872017, dtd 27/09/2025</t>
  </si>
  <si>
    <t>FUEL  1,800 LITRE @ Tsh 2,777</t>
  </si>
  <si>
    <t>MOKAMBO CHARGES</t>
  </si>
  <si>
    <t>TR0415</t>
  </si>
  <si>
    <t>CMAU9471897</t>
  </si>
  <si>
    <t>SMLCL-2025/TR0415</t>
  </si>
  <si>
    <t>26th October,2025</t>
  </si>
  <si>
    <t>FUEL  1,900 LITRE @ Tsh 2,720</t>
  </si>
  <si>
    <t>TR0416</t>
  </si>
  <si>
    <t>16.10.2025</t>
  </si>
  <si>
    <t>05.11.2025</t>
  </si>
  <si>
    <t>9984124404408</t>
  </si>
  <si>
    <t>991761107404</t>
  </si>
  <si>
    <t>871567, DTD 28/10/2025</t>
  </si>
  <si>
    <t>873998, DTD 27/10/2025</t>
  </si>
  <si>
    <t>TR0417</t>
  </si>
  <si>
    <t>SMLCL-2025/TR0417</t>
  </si>
  <si>
    <t>05th November,2025</t>
  </si>
  <si>
    <t>MRSU0247620</t>
  </si>
  <si>
    <t>TR0418</t>
  </si>
  <si>
    <t>TR0419</t>
  </si>
  <si>
    <t>TR0420</t>
  </si>
  <si>
    <t>006028, DTD 08/11/2025</t>
  </si>
  <si>
    <t>006029, DTD 08/11/2025</t>
  </si>
  <si>
    <t>TR0422</t>
  </si>
  <si>
    <t>SMLCL-2025/TR0422</t>
  </si>
  <si>
    <t>07th November,2025</t>
  </si>
  <si>
    <t>FUEL  1,850 LITRE @ Tsh 2,720</t>
  </si>
  <si>
    <t>873741, DTD 12/11/2025</t>
  </si>
  <si>
    <t>872062, DTD 15/09/2025</t>
  </si>
  <si>
    <t>872061, dtd 15/11/2025</t>
  </si>
  <si>
    <t>TR0423</t>
  </si>
  <si>
    <t>TR0424</t>
  </si>
  <si>
    <t>TR0425</t>
  </si>
  <si>
    <t>TR0426</t>
  </si>
  <si>
    <t>TR0427</t>
  </si>
  <si>
    <t>MSKU7804670</t>
  </si>
  <si>
    <t>SMLCL-2025/TR0423</t>
  </si>
  <si>
    <t>11th November,2025</t>
  </si>
  <si>
    <t>TR0428</t>
  </si>
  <si>
    <t>TR0429</t>
  </si>
  <si>
    <t>TR0430</t>
  </si>
  <si>
    <t>TR0431</t>
  </si>
  <si>
    <t>TR0432</t>
  </si>
  <si>
    <t>TR0433</t>
  </si>
  <si>
    <t>TR0434</t>
  </si>
  <si>
    <t>SUDU8920004</t>
  </si>
  <si>
    <t>SMLCL-2025/TR0434</t>
  </si>
  <si>
    <t>875584, DTD 10/11/2025</t>
  </si>
  <si>
    <t>TR0435</t>
  </si>
  <si>
    <t>TRHU5566962</t>
  </si>
  <si>
    <t>SMLCL-2025/TR0435</t>
  </si>
  <si>
    <t>13th November,2025</t>
  </si>
  <si>
    <t>TR0436</t>
  </si>
  <si>
    <t>PIDU4159077</t>
  </si>
  <si>
    <t>SMLCL-2025/TR0436</t>
  </si>
  <si>
    <t>TR0437</t>
  </si>
  <si>
    <t>TR0438</t>
  </si>
  <si>
    <t>SLVU5002995</t>
  </si>
  <si>
    <t>SMLCL-2025/TR0437</t>
  </si>
  <si>
    <t>OOCU9256606</t>
  </si>
  <si>
    <t>SMLCL-2025/TR0438</t>
  </si>
  <si>
    <t>TR0439</t>
  </si>
  <si>
    <t>MRSU7203937</t>
  </si>
  <si>
    <t>SMLCL-2025/TR0439</t>
  </si>
  <si>
    <t>TR0440</t>
  </si>
  <si>
    <t>TR0441</t>
  </si>
  <si>
    <t>TR0442</t>
  </si>
  <si>
    <t>MRSU5220600</t>
  </si>
  <si>
    <t>SMLCL-2025/TR0440</t>
  </si>
  <si>
    <t>HJCU1391751</t>
  </si>
  <si>
    <t>SMLCL-2025/TR0441</t>
  </si>
  <si>
    <t>SMLCL-2025/TR0442</t>
  </si>
  <si>
    <t>CAAU6127115</t>
  </si>
  <si>
    <t>006037, DTD 14/11/2025</t>
  </si>
  <si>
    <t>006036, DTD 14/11/2025</t>
  </si>
  <si>
    <t>872900, DTD 15/11/2025</t>
  </si>
  <si>
    <t>870627, DTD 19/11/2025</t>
  </si>
  <si>
    <t>TR0443</t>
  </si>
  <si>
    <t>TR0444</t>
  </si>
  <si>
    <t>TR0445</t>
  </si>
  <si>
    <t>TR0446</t>
  </si>
  <si>
    <t>TR0447</t>
  </si>
  <si>
    <t>SEGU1128525</t>
  </si>
  <si>
    <t>SMLCL-2025/TR0443</t>
  </si>
  <si>
    <t>15th November,2025</t>
  </si>
  <si>
    <t>CCLU7954147</t>
  </si>
  <si>
    <t>SMLCL-2025/TR0444</t>
  </si>
  <si>
    <t>ONEU5646284</t>
  </si>
  <si>
    <t>SMLCL-2025/TR0445</t>
  </si>
  <si>
    <t>CMAU7580820</t>
  </si>
  <si>
    <t>SMLCL-2025/TR0446</t>
  </si>
  <si>
    <t>TLLU4045524</t>
  </si>
  <si>
    <t>SMLCL-2025/TR0447</t>
  </si>
  <si>
    <t>874011, dtd 17/11/2025</t>
  </si>
  <si>
    <t>874012, dtd 17/11/2025</t>
  </si>
  <si>
    <t>874010, dtd 17/11/2025</t>
  </si>
  <si>
    <t>TR0448</t>
  </si>
  <si>
    <t>TR0449</t>
  </si>
  <si>
    <t>TR0450</t>
  </si>
  <si>
    <t>TR0451</t>
  </si>
  <si>
    <t>TR0452</t>
  </si>
  <si>
    <t>TR0453</t>
  </si>
  <si>
    <t>TR0454</t>
  </si>
  <si>
    <t>FUEL  1,870 LITRE @ Tsh 2,704</t>
  </si>
  <si>
    <t>20.11.2025</t>
  </si>
  <si>
    <t>NBC BANK-CASH</t>
  </si>
  <si>
    <t>TR0455</t>
  </si>
  <si>
    <t>TR0456</t>
  </si>
  <si>
    <t>TRHU5306522</t>
  </si>
  <si>
    <t>SMLCL-2025/TR0455</t>
  </si>
  <si>
    <t>20th November,2025</t>
  </si>
  <si>
    <t>PCIU9390682</t>
  </si>
  <si>
    <t>SMLCL-2025/TR0456</t>
  </si>
  <si>
    <t>TR0457</t>
  </si>
  <si>
    <t>TGBU2390897</t>
  </si>
  <si>
    <t>SMLCL-2025/TR0457</t>
  </si>
  <si>
    <t>ROAD TOLL ( $356 @ Tsh 2,500 )</t>
  </si>
  <si>
    <t>21st November,2025</t>
  </si>
  <si>
    <t>006043, dtd 21/10/2025</t>
  </si>
  <si>
    <t>006047, dtd 21/10/2025</t>
  </si>
  <si>
    <t>874055, dtd 22/11/2025</t>
  </si>
  <si>
    <t>874056, dtd 22/11/2025</t>
  </si>
  <si>
    <t>TR0458</t>
  </si>
  <si>
    <t>TR0459</t>
  </si>
  <si>
    <t>TR0460</t>
  </si>
  <si>
    <t>TR0461</t>
  </si>
  <si>
    <t>TR0462</t>
  </si>
  <si>
    <t>TR0463</t>
  </si>
  <si>
    <t>BSIU8477928</t>
  </si>
  <si>
    <t>SMLCL-2025/TR0458</t>
  </si>
  <si>
    <t>SMLCL-2025/TR0459</t>
  </si>
  <si>
    <t>22nd November,2025</t>
  </si>
  <si>
    <t>VOLU4558021</t>
  </si>
  <si>
    <t>BSIU8462070</t>
  </si>
  <si>
    <t>SMLCL-2025/TR0460</t>
  </si>
  <si>
    <t>SELU4037122</t>
  </si>
  <si>
    <t>SMLCL-2025/TR0461</t>
  </si>
  <si>
    <t>BSIU8471940</t>
  </si>
  <si>
    <t>SMLCL-2025/TR0462</t>
  </si>
  <si>
    <t>SLVU6006526</t>
  </si>
  <si>
    <t>SMLCL-2025/TR0463</t>
  </si>
  <si>
    <t>TR0465</t>
  </si>
  <si>
    <t>TR0466</t>
  </si>
  <si>
    <t>TR0467</t>
  </si>
  <si>
    <t>TR0468</t>
  </si>
  <si>
    <t>TR0469</t>
  </si>
  <si>
    <t>CHINGOLA</t>
  </si>
  <si>
    <t>SMLCL-2025/TR0468</t>
  </si>
  <si>
    <t>25th November,2025</t>
  </si>
  <si>
    <t>ROAD TOLL ( $334 @ Tsh 2,500 )</t>
  </si>
  <si>
    <t>SMLCL-2025/TR0469</t>
  </si>
  <si>
    <t>FUEL  1,860 LITRE @ Tsh 2,704</t>
  </si>
  <si>
    <t>874962, DTD 28/11/2025</t>
  </si>
  <si>
    <t>874974, DTD 28/11/2025</t>
  </si>
  <si>
    <t>TISS DTD 27/11/2025</t>
  </si>
  <si>
    <t>006049, DTD 28/11/2025</t>
  </si>
  <si>
    <t>TR0471</t>
  </si>
  <si>
    <t>AFRICA WAKAWAKA LOG CO LTD</t>
  </si>
  <si>
    <t>CAAU9881807</t>
  </si>
  <si>
    <t>TR0472</t>
  </si>
  <si>
    <t>SMLCL-2025/TR0472</t>
  </si>
  <si>
    <t>TR0473</t>
  </si>
  <si>
    <t>TR0474</t>
  </si>
  <si>
    <t>TR0475</t>
  </si>
  <si>
    <t>MAEU4192064</t>
  </si>
  <si>
    <t>28th November,2025</t>
  </si>
  <si>
    <t>TR0476</t>
  </si>
  <si>
    <t>TR0477</t>
  </si>
  <si>
    <t>FCIU5103378</t>
  </si>
  <si>
    <t>SMLCL-2025/TR0477</t>
  </si>
  <si>
    <t>874975, DTD 29/11/2025</t>
  </si>
  <si>
    <t>874904, DTD 01/12/2025</t>
  </si>
  <si>
    <t>TR0478</t>
  </si>
  <si>
    <t>TR0479</t>
  </si>
  <si>
    <t>TR0480</t>
  </si>
  <si>
    <t>MSMU357131</t>
  </si>
  <si>
    <t>MSBU3493921</t>
  </si>
  <si>
    <t>TCNU5241500</t>
  </si>
  <si>
    <t>01st December,2025</t>
  </si>
  <si>
    <t>SMLCL-2025/TR0478</t>
  </si>
  <si>
    <t>SMLCL-2025/TR0479</t>
  </si>
  <si>
    <t>SMLCL-2025/TR0473</t>
  </si>
  <si>
    <t>991761127493</t>
  </si>
  <si>
    <t>02.12.2025</t>
  </si>
  <si>
    <t>NBC BANK</t>
  </si>
  <si>
    <t>9984124675236</t>
  </si>
  <si>
    <t>TR0481</t>
  </si>
  <si>
    <t>JXLU4407355</t>
  </si>
  <si>
    <t>SMLCL-2025/TR0481</t>
  </si>
  <si>
    <t>02nd December,2025</t>
  </si>
  <si>
    <t>874126, DTD 04/12/2025</t>
  </si>
  <si>
    <t>874075, DTD 04/12/2025</t>
  </si>
  <si>
    <t>870656, DTD 05/12/2025</t>
  </si>
  <si>
    <t>TR0482</t>
  </si>
  <si>
    <t>SELU4473240</t>
  </si>
  <si>
    <t>SMLCL-2025/TR0482</t>
  </si>
  <si>
    <t>05th December,2025</t>
  </si>
  <si>
    <t>TISS DTD 05/12/2025</t>
  </si>
  <si>
    <t>874192, DTD 11/12/2025</t>
  </si>
  <si>
    <t>874681, DTD 11/12/2025</t>
  </si>
  <si>
    <t>874182, DTD 11/12/2025</t>
  </si>
  <si>
    <t>TR0483</t>
  </si>
  <si>
    <t>MSKU0702717</t>
  </si>
  <si>
    <t>SMLCL-2025/TR0483</t>
  </si>
  <si>
    <t>11th December,2025</t>
  </si>
  <si>
    <t>TR0484</t>
  </si>
  <si>
    <t>UETU8355098</t>
  </si>
  <si>
    <t>SMLCL-2025/TR0484</t>
  </si>
  <si>
    <t>TR0485</t>
  </si>
  <si>
    <t>MRSU5226980</t>
  </si>
  <si>
    <t>SMLCL-2025/TR0485</t>
  </si>
  <si>
    <t>TR0486</t>
  </si>
  <si>
    <t>TISS DTD 12/12/2025</t>
  </si>
  <si>
    <t>FUEL  1,900 LITRE @ Tsh 2,777</t>
  </si>
  <si>
    <t>872016, DTD 15/12/2025</t>
  </si>
  <si>
    <t>871792, dtd 15/12/2025</t>
  </si>
  <si>
    <t>TR0491</t>
  </si>
  <si>
    <t>UETU6001691</t>
  </si>
  <si>
    <t>SMLCL-2025/TR0491</t>
  </si>
  <si>
    <t>13th December,2025</t>
  </si>
  <si>
    <t>874659, DTD 17/12/2025</t>
  </si>
  <si>
    <t>874074, DTD 17/12/2025</t>
  </si>
  <si>
    <t>873701, DTD 06/11/2025</t>
  </si>
  <si>
    <t>873993, DTD 06/11/2025</t>
  </si>
  <si>
    <t>872863, DTD 14/11/2025</t>
  </si>
  <si>
    <t>ROAD TOLL ( $299 @ Tsh 2,500 )</t>
  </si>
  <si>
    <t>TR0494</t>
  </si>
  <si>
    <t>10 TRUCKS</t>
  </si>
  <si>
    <t>TISS, DTD 19/12/2025</t>
  </si>
  <si>
    <t>T101DWY,T932ECB,T320EFH,T253EHS,T321EFH,T653EAL,T458DZS,T235EFT,T357EHQ AND T255EGJ.</t>
  </si>
  <si>
    <t>TR0495</t>
  </si>
  <si>
    <t>CHILILABOMBWE</t>
  </si>
  <si>
    <t>SMLCL-2025/TR0495</t>
  </si>
  <si>
    <t>17th December,2025</t>
  </si>
  <si>
    <t>ROAD TOLL ( $348 @ Tsh 2,500 )</t>
  </si>
  <si>
    <t>TR0496</t>
  </si>
  <si>
    <t>TANKER</t>
  </si>
  <si>
    <t>SMLCL-2025/TR0496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</si>
  <si>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</si>
  <si>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</si>
  <si>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</si>
  <si>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</si>
  <si>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</si>
  <si>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</si>
  <si>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</si>
  <si>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</si>
  <si>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</si>
  <si>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</si>
  <si>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</si>
  <si>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</si>
  <si>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</si>
  <si>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</si>
  <si>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</si>
  <si>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</si>
  <si>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</si>
  <si>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MAGU5771031</t>
  </si>
  <si>
    <t>ROAD TOLL ( $325 @ Tsh 2,450 )</t>
  </si>
  <si>
    <t>PCIU914382</t>
  </si>
  <si>
    <t>18th December,2025</t>
  </si>
  <si>
    <t>ROAD TOLL ( $319 @ Tsh 2,450 )</t>
  </si>
  <si>
    <t>PIDU4333620</t>
  </si>
  <si>
    <t>SMLCL-2025/TR0497</t>
  </si>
  <si>
    <t>SMLCL-2025/TR0498</t>
  </si>
  <si>
    <t>SMLCL-2025/TR0500</t>
  </si>
  <si>
    <t>SMLCL-2025/TR0499</t>
  </si>
  <si>
    <t>TRUCK # T497EAS/T119EMF</t>
  </si>
  <si>
    <t>PCIU8877378</t>
  </si>
  <si>
    <t>SMLCL-2025/TR0501</t>
  </si>
  <si>
    <t>TXGU7506982</t>
  </si>
  <si>
    <t>SMLCL-2025/TR0502</t>
  </si>
  <si>
    <t>SMLCL-2025/TR0503</t>
  </si>
  <si>
    <t>PIDU4185203</t>
  </si>
  <si>
    <t>SMLCL-2025/TR0504</t>
  </si>
  <si>
    <t>PCIU8718632</t>
  </si>
  <si>
    <t>SMLCL-2025/TR0505</t>
  </si>
  <si>
    <t>PCIU9102600</t>
  </si>
  <si>
    <t>SMLCL-2025/TR0506</t>
  </si>
  <si>
    <t>PCIU8533095</t>
  </si>
  <si>
    <t>SMLCL-2025/TR0507</t>
  </si>
  <si>
    <t>TCLU5193451</t>
  </si>
  <si>
    <t>SMLCL-2025/TR0508</t>
  </si>
  <si>
    <t>CAIU7103790</t>
  </si>
  <si>
    <t>SMLCL-2025/TR0509</t>
  </si>
  <si>
    <t>PCIU8465262</t>
  </si>
  <si>
    <t>SMLCL-2025/TR0510</t>
  </si>
  <si>
    <t>GCXU5049407</t>
  </si>
  <si>
    <t>SMLCL-2025/TR0511</t>
  </si>
  <si>
    <t>PCIU9032190</t>
  </si>
  <si>
    <t>SMLCL-2025/TR0512</t>
  </si>
  <si>
    <t>SEGU1431399</t>
  </si>
  <si>
    <t>SMLCL-2025/TR0513</t>
  </si>
  <si>
    <t>874560, DTD 20/12/2025</t>
  </si>
  <si>
    <t>874381, dtd 22/12/2025</t>
  </si>
  <si>
    <t>874361, dtd 24/12/2025</t>
  </si>
  <si>
    <t>TR0514</t>
  </si>
  <si>
    <t>TR0515</t>
  </si>
  <si>
    <t>TR0516</t>
  </si>
  <si>
    <t>TR0517</t>
  </si>
  <si>
    <t>SMLCL-2025/TR0514</t>
  </si>
  <si>
    <t>22nd December,2025</t>
  </si>
  <si>
    <t>PCIU9314722</t>
  </si>
  <si>
    <t>TEMU7165040</t>
  </si>
  <si>
    <t>PCIU9042012</t>
  </si>
  <si>
    <t>SMLCL-2025/TR0515</t>
  </si>
  <si>
    <t>SMLCL-2025/TR0517</t>
  </si>
  <si>
    <t>SMLCL-2025/TR0518</t>
  </si>
  <si>
    <t>874251, DTD 22/12/2025</t>
  </si>
  <si>
    <t>874250, DTD 23/12/2025</t>
  </si>
  <si>
    <t>874250, DTD 22/12/2025</t>
  </si>
  <si>
    <t>874249, DTD 24/12/2025</t>
  </si>
  <si>
    <t>874249, DTD 23/12/2025</t>
  </si>
  <si>
    <t>874248, DTD 27/12/2025</t>
  </si>
  <si>
    <t>874247, DTD 29/12/2025</t>
  </si>
  <si>
    <t>874246, DTD 30/12/2025</t>
  </si>
  <si>
    <t>TR0518</t>
  </si>
  <si>
    <t>006058, DTD 27/12/2025</t>
  </si>
  <si>
    <t>874275, DTD 27/12/2025</t>
  </si>
  <si>
    <t>874274, DTD 27/12/2025</t>
  </si>
  <si>
    <t>FUEL  1,850 LITRE @ Tsh 2,799</t>
  </si>
  <si>
    <t>TISS, DTD 29/12/2025</t>
  </si>
  <si>
    <t>TR0521</t>
  </si>
  <si>
    <t>APHU7360212</t>
  </si>
  <si>
    <t>MSMU6984455</t>
  </si>
  <si>
    <t>SMLCL-2025/TR0521</t>
  </si>
  <si>
    <t>31st December,2025</t>
  </si>
  <si>
    <t>TR0523</t>
  </si>
  <si>
    <t>GESU6469520</t>
  </si>
  <si>
    <t>TR0524</t>
  </si>
  <si>
    <t>TR0525</t>
  </si>
  <si>
    <t>TCNU3604756</t>
  </si>
  <si>
    <t>CSNU6915545</t>
  </si>
  <si>
    <t>SMLCL-2025/TR0523</t>
  </si>
  <si>
    <t>SMLCL-2025/TR0524</t>
  </si>
  <si>
    <t>SMLCL-2025/TR0525</t>
  </si>
  <si>
    <t>FUEL  2,000 LITRE @ Tsh 2,977</t>
  </si>
  <si>
    <t>006059, DTD 02/01/2026</t>
  </si>
  <si>
    <t>JUMA KHALFAN KISUKARI</t>
  </si>
  <si>
    <t>22.12.2025</t>
  </si>
  <si>
    <t>873816, DTD 05/01/2025</t>
  </si>
  <si>
    <t>demurage</t>
  </si>
  <si>
    <t>874667, dtd 13/01/2026</t>
  </si>
  <si>
    <t>CONTAINER NA DEMURAGE</t>
  </si>
  <si>
    <t>006080, DTD 13/01/2026</t>
  </si>
  <si>
    <t>9984125190935</t>
  </si>
  <si>
    <t>07.01.2026</t>
  </si>
  <si>
    <t>874321, DTD 14/01/2026</t>
  </si>
  <si>
    <t>874380, DTD 17/01/2026</t>
  </si>
  <si>
    <t>875007, DTD 20/01/2026</t>
  </si>
  <si>
    <t>FUEL  1,900 LITRE @ Tsh 2,779</t>
  </si>
  <si>
    <t>EXTENSION ROADTOLL</t>
  </si>
  <si>
    <t>21.01.2026</t>
  </si>
  <si>
    <t>006093, DTD 22/01/2026</t>
  </si>
  <si>
    <t>006092, DTD 22/01/2026</t>
  </si>
  <si>
    <t>SMLCL-2025/TR0480</t>
  </si>
  <si>
    <t>875087, DTD 22/01/2026</t>
  </si>
  <si>
    <t>875088, DTD 22/01/2026</t>
  </si>
  <si>
    <t>875091, DTD 28/01/2026</t>
  </si>
  <si>
    <t>875092, DTD 28/01/2026</t>
  </si>
  <si>
    <t>875089, DTD 28/01/2026</t>
  </si>
  <si>
    <t>875090, DTD 28/01/2026</t>
  </si>
  <si>
    <t>874379, DTD 04/02/2026</t>
  </si>
  <si>
    <t>TISS, DTD 05.01.2026</t>
  </si>
  <si>
    <t>006097, DTD 12/02/2026</t>
  </si>
  <si>
    <t>873611, dtd 19/02/2026</t>
  </si>
  <si>
    <t>873613, DTD 23/02/2026</t>
  </si>
  <si>
    <t>873612, DTD 25/02/2026</t>
  </si>
  <si>
    <t>871243, DTD 11/06/2025</t>
  </si>
  <si>
    <t>871243, 11/06/2026</t>
  </si>
  <si>
    <t>001253, dtd 18/09/2026</t>
  </si>
  <si>
    <t>001250, dtd 18/09/2026</t>
  </si>
  <si>
    <t>872167, dtd 25/09/2026</t>
  </si>
  <si>
    <t>870626, dtd 08/12/2026</t>
  </si>
  <si>
    <t>006042, dtd 25/11/2026</t>
  </si>
  <si>
    <t>006050, dtd 25/11/2026</t>
  </si>
  <si>
    <t>006112, DTD 23/02/2026</t>
  </si>
  <si>
    <t>006118, DTD 26/02/2026</t>
  </si>
  <si>
    <t>873662, DTD 09/03/2026</t>
  </si>
  <si>
    <t>873661, DTD 07/03/2026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</si>
</sst>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_-;\-* #,##0_-;_-* &quot;-&quot;_-;_-@_-"/>
    <numFmt numFmtId="165" formatCode="_-&quot;TSh&quot;* #,##0.00_-;\-&quot;TSh&quot;* #,##0.00_-;_-&quot;TSh&quot;* &quot;-&quot;??_-;_-@_-"/>
    <numFmt numFmtId="166" formatCode="_-* #,##0.00_-;\-* #,##0.00_-;_-* &quot;-&quot;??_-;_-@_-"/>
    <numFmt numFmtId="167" formatCode="_-* #,##0_-;\-* #,##0_-;_-* &quot;-&quot;??_-;_-@_-"/>
    <numFmt numFmtId="168" formatCode="_-* #,##0.0_-;\-* #,##0.0_-;_-* &quot;-&quot;?_-;_-@_-"/>
    <numFmt numFmtId="169" formatCode="_-* #,##0.000_-;\-* #,##0.000_-;_-* &quot;-&quot;???_-;_-@_-"/>
    <numFmt numFmtId="170" formatCode="_(* #,##0_);_(* \(#,##0\);_(* &quot;-&quot;??_);_(@_)"/>
    <numFmt numFmtId="171" formatCode="0_ ;\-0\ "/>
    <numFmt numFmtId="172" formatCode="#,##0.00;[Red]#,##0.00"/>
    <numFmt numFmtId="173" formatCode="_-[$$-409]* #,##0.00_ ;_-[$$-409]* \-#,##0.00\ ;_-[$$-409]* &quot;-&quot;??_ ;_-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Book Antiqua"/>
      <family val="1"/>
    </font>
    <font>
      <sz val="11"/>
      <color rgb="FFFF0000"/>
      <name val="Book Antiqua"/>
      <family val="1"/>
    </font>
    <font>
      <b/>
      <sz val="14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i/>
      <sz val="11"/>
      <name val="Book Antiqua"/>
      <family val="1"/>
    </font>
    <font>
      <sz val="9"/>
      <name val="Book Antiqua"/>
      <family val="1"/>
    </font>
    <font>
      <b/>
      <sz val="11"/>
      <color rgb="FFFF0000"/>
      <name val="Book Antiqua"/>
      <family val="1"/>
    </font>
    <font>
      <b/>
      <sz val="12"/>
      <name val="Book Antiqua"/>
      <family val="1"/>
    </font>
    <font>
      <b/>
      <u val="double"/>
      <sz val="18"/>
      <name val="Calibri"/>
      <family val="2"/>
      <scheme val="minor"/>
    </font>
    <font>
      <b/>
      <u val="double"/>
      <sz val="16"/>
      <color rgb="FFFF0000"/>
      <name val="Calibri"/>
      <family val="2"/>
      <scheme val="minor"/>
    </font>
    <font>
      <b/>
      <u val="double"/>
      <sz val="12"/>
      <name val="Book Antiqua"/>
      <family val="1"/>
    </font>
    <font>
      <b/>
      <u val="double"/>
      <sz val="14"/>
      <name val="Book Antiqua"/>
      <family val="1"/>
    </font>
    <font>
      <b/>
      <u val="double"/>
      <sz val="16"/>
      <color rgb="FFFF0000"/>
      <name val="Book Antiqua"/>
      <family val="1"/>
    </font>
    <font>
      <b/>
      <sz val="36"/>
      <color theme="1"/>
      <name val="Book Antiqua"/>
      <family val="1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33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17" fontId="8" fillId="4" borderId="5" xfId="0" applyNumberFormat="1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167" fontId="9" fillId="6" borderId="5" xfId="1" applyNumberFormat="1" applyFont="1" applyFill="1" applyBorder="1" applyAlignment="1">
      <alignment horizontal="left"/>
    </xf>
    <xf numFmtId="167" fontId="10" fillId="6" borderId="5" xfId="1" applyNumberFormat="1" applyFont="1" applyFill="1" applyBorder="1" applyAlignment="1">
      <alignment horizontal="left"/>
    </xf>
    <xf numFmtId="167" fontId="10" fillId="5" borderId="5" xfId="1" applyNumberFormat="1" applyFont="1" applyFill="1" applyBorder="1" applyAlignment="1">
      <alignment wrapText="1"/>
    </xf>
    <xf numFmtId="167" fontId="5" fillId="0" borderId="0" xfId="0" applyNumberFormat="1" applyFont="1"/>
    <xf numFmtId="167" fontId="11" fillId="0" borderId="5" xfId="1" applyNumberFormat="1" applyFont="1" applyBorder="1" applyAlignment="1">
      <alignment horizontal="left"/>
    </xf>
    <xf numFmtId="167" fontId="10" fillId="0" borderId="5" xfId="1" applyNumberFormat="1" applyFont="1" applyBorder="1" applyAlignment="1">
      <alignment horizontal="left"/>
    </xf>
    <xf numFmtId="0" fontId="12" fillId="0" borderId="0" xfId="0" applyFont="1"/>
    <xf numFmtId="167" fontId="10" fillId="7" borderId="5" xfId="1" applyNumberFormat="1" applyFont="1" applyFill="1" applyBorder="1" applyAlignment="1">
      <alignment wrapText="1"/>
    </xf>
    <xf numFmtId="167" fontId="9" fillId="0" borderId="6" xfId="1" applyNumberFormat="1" applyFont="1" applyBorder="1" applyAlignment="1">
      <alignment wrapText="1"/>
    </xf>
    <xf numFmtId="167" fontId="9" fillId="0" borderId="6" xfId="1" applyNumberFormat="1" applyFont="1" applyBorder="1"/>
    <xf numFmtId="167" fontId="13" fillId="5" borderId="6" xfId="1" applyNumberFormat="1" applyFont="1" applyFill="1" applyBorder="1" applyAlignment="1">
      <alignment wrapText="1"/>
    </xf>
    <xf numFmtId="167" fontId="9" fillId="5" borderId="6" xfId="1" applyNumberFormat="1" applyFont="1" applyFill="1" applyBorder="1" applyAlignment="1">
      <alignment wrapText="1"/>
    </xf>
    <xf numFmtId="167" fontId="9" fillId="0" borderId="6" xfId="1" applyNumberFormat="1" applyFont="1" applyBorder="1" applyAlignment="1">
      <alignment horizontal="left" wrapText="1"/>
    </xf>
    <xf numFmtId="167" fontId="9" fillId="6" borderId="6" xfId="1" applyNumberFormat="1" applyFont="1" applyFill="1" applyBorder="1" applyAlignment="1">
      <alignment horizontal="center"/>
    </xf>
    <xf numFmtId="168" fontId="5" fillId="0" borderId="0" xfId="0" applyNumberFormat="1" applyFont="1"/>
    <xf numFmtId="0" fontId="10" fillId="0" borderId="0" xfId="0" applyFont="1"/>
    <xf numFmtId="167" fontId="9" fillId="0" borderId="6" xfId="1" applyNumberFormat="1" applyFont="1" applyBorder="1" applyAlignment="1">
      <alignment horizontal="left"/>
    </xf>
    <xf numFmtId="167" fontId="14" fillId="0" borderId="6" xfId="1" applyNumberFormat="1" applyFont="1" applyBorder="1" applyAlignment="1">
      <alignment horizontal="left"/>
    </xf>
    <xf numFmtId="167" fontId="5" fillId="0" borderId="0" xfId="1" applyNumberFormat="1" applyFont="1"/>
    <xf numFmtId="167" fontId="9" fillId="8" borderId="6" xfId="0" applyNumberFormat="1" applyFont="1" applyFill="1" applyBorder="1"/>
    <xf numFmtId="169" fontId="5" fillId="0" borderId="0" xfId="0" applyNumberFormat="1" applyFont="1"/>
    <xf numFmtId="0" fontId="7" fillId="0" borderId="0" xfId="0" applyFont="1"/>
    <xf numFmtId="0" fontId="8" fillId="6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5" xfId="0" applyFont="1" applyBorder="1" applyAlignment="1">
      <alignment horizontal="left"/>
    </xf>
    <xf numFmtId="170" fontId="10" fillId="0" borderId="5" xfId="1" applyNumberFormat="1" applyFont="1" applyBorder="1"/>
    <xf numFmtId="49" fontId="10" fillId="0" borderId="5" xfId="1" applyNumberFormat="1" applyFont="1" applyBorder="1" applyAlignment="1">
      <alignment horizontal="center"/>
    </xf>
    <xf numFmtId="166" fontId="7" fillId="0" borderId="5" xfId="1" applyFont="1" applyBorder="1" applyAlignment="1">
      <alignment horizontal="right"/>
    </xf>
    <xf numFmtId="43" fontId="7" fillId="0" borderId="0" xfId="0" applyNumberFormat="1" applyFont="1"/>
    <xf numFmtId="166" fontId="7" fillId="0" borderId="5" xfId="1" applyFont="1" applyBorder="1" applyAlignment="1">
      <alignment horizontal="left"/>
    </xf>
    <xf numFmtId="166" fontId="10" fillId="0" borderId="5" xfId="1" applyFont="1" applyBorder="1" applyAlignment="1">
      <alignment horizontal="center"/>
    </xf>
    <xf numFmtId="170" fontId="7" fillId="0" borderId="5" xfId="1" applyNumberFormat="1" applyFont="1" applyBorder="1" applyAlignment="1">
      <alignment horizontal="left"/>
    </xf>
    <xf numFmtId="166" fontId="7" fillId="0" borderId="5" xfId="1" applyFont="1" applyBorder="1"/>
    <xf numFmtId="49" fontId="7" fillId="0" borderId="5" xfId="1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170" fontId="7" fillId="0" borderId="0" xfId="1" applyNumberFormat="1" applyFont="1" applyAlignment="1">
      <alignment horizontal="left"/>
    </xf>
    <xf numFmtId="166" fontId="7" fillId="0" borderId="0" xfId="1" applyFont="1" applyAlignment="1">
      <alignment horizontal="left"/>
    </xf>
    <xf numFmtId="166" fontId="7" fillId="0" borderId="0" xfId="1" applyFont="1"/>
    <xf numFmtId="170" fontId="7" fillId="0" borderId="0" xfId="1" applyNumberFormat="1" applyFont="1"/>
    <xf numFmtId="0" fontId="8" fillId="0" borderId="0" xfId="0" applyFont="1"/>
    <xf numFmtId="0" fontId="8" fillId="0" borderId="11" xfId="0" applyFont="1" applyBorder="1" applyAlignment="1">
      <alignment horizontal="left"/>
    </xf>
    <xf numFmtId="170" fontId="8" fillId="0" borderId="12" xfId="1" applyNumberFormat="1" applyFont="1" applyBorder="1" applyAlignment="1">
      <alignment horizontal="left"/>
    </xf>
    <xf numFmtId="166" fontId="8" fillId="0" borderId="12" xfId="1" applyFont="1" applyBorder="1" applyAlignment="1">
      <alignment horizontal="left"/>
    </xf>
    <xf numFmtId="166" fontId="8" fillId="0" borderId="12" xfId="1" applyFont="1" applyBorder="1"/>
    <xf numFmtId="0" fontId="13" fillId="0" borderId="0" xfId="0" applyFont="1"/>
    <xf numFmtId="170" fontId="5" fillId="0" borderId="0" xfId="0" applyNumberFormat="1" applyFont="1"/>
    <xf numFmtId="166" fontId="10" fillId="0" borderId="5" xfId="1" applyFont="1" applyBorder="1"/>
    <xf numFmtId="1" fontId="10" fillId="0" borderId="5" xfId="1" applyNumberFormat="1" applyFont="1" applyBorder="1" applyAlignment="1">
      <alignment horizontal="center"/>
    </xf>
    <xf numFmtId="171" fontId="10" fillId="0" borderId="5" xfId="2" applyNumberFormat="1" applyFont="1" applyBorder="1" applyAlignment="1">
      <alignment horizontal="center"/>
    </xf>
    <xf numFmtId="1" fontId="7" fillId="0" borderId="5" xfId="1" applyNumberFormat="1" applyFont="1" applyBorder="1" applyAlignment="1">
      <alignment horizontal="center"/>
    </xf>
    <xf numFmtId="166" fontId="5" fillId="0" borderId="5" xfId="1" applyFont="1" applyBorder="1" applyAlignment="1">
      <alignment horizontal="left"/>
    </xf>
    <xf numFmtId="49" fontId="5" fillId="0" borderId="5" xfId="1" applyNumberFormat="1" applyFont="1" applyBorder="1" applyAlignment="1">
      <alignment horizontal="center"/>
    </xf>
    <xf numFmtId="1" fontId="5" fillId="0" borderId="5" xfId="1" applyNumberFormat="1" applyFont="1" applyBorder="1" applyAlignment="1">
      <alignment horizontal="center"/>
    </xf>
    <xf numFmtId="166" fontId="5" fillId="0" borderId="5" xfId="1" applyFont="1" applyBorder="1"/>
    <xf numFmtId="166" fontId="8" fillId="3" borderId="13" xfId="1" applyFont="1" applyFill="1" applyBorder="1" applyAlignment="1">
      <alignment horizontal="left"/>
    </xf>
    <xf numFmtId="170" fontId="8" fillId="3" borderId="13" xfId="1" applyNumberFormat="1" applyFont="1" applyFill="1" applyBorder="1" applyAlignment="1">
      <alignment horizontal="left"/>
    </xf>
    <xf numFmtId="0" fontId="16" fillId="0" borderId="0" xfId="0" applyFont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172" fontId="19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8" fillId="0" borderId="6" xfId="0" applyFont="1" applyBorder="1"/>
    <xf numFmtId="0" fontId="3" fillId="0" borderId="6" xfId="0" applyFont="1" applyBorder="1" applyAlignment="1">
      <alignment horizontal="center"/>
    </xf>
    <xf numFmtId="172" fontId="3" fillId="0" borderId="6" xfId="0" applyNumberFormat="1" applyFont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21" fillId="5" borderId="15" xfId="0" applyFont="1" applyFill="1" applyBorder="1"/>
    <xf numFmtId="172" fontId="3" fillId="5" borderId="15" xfId="0" applyNumberFormat="1" applyFont="1" applyFill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72" fontId="13" fillId="0" borderId="6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/>
    <xf numFmtId="172" fontId="8" fillId="0" borderId="19" xfId="0" applyNumberFormat="1" applyFont="1" applyBorder="1"/>
    <xf numFmtId="0" fontId="8" fillId="0" borderId="0" xfId="0" applyFont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/>
    <xf numFmtId="172" fontId="8" fillId="0" borderId="21" xfId="0" applyNumberFormat="1" applyFont="1" applyBorder="1"/>
    <xf numFmtId="0" fontId="8" fillId="6" borderId="0" xfId="0" applyFont="1" applyFill="1" applyAlignment="1">
      <alignment horizontal="right"/>
    </xf>
    <xf numFmtId="166" fontId="8" fillId="6" borderId="0" xfId="1" applyFont="1" applyFill="1"/>
    <xf numFmtId="0" fontId="8" fillId="0" borderId="0" xfId="0" applyFont="1" applyAlignment="1">
      <alignment horizontal="right"/>
    </xf>
    <xf numFmtId="166" fontId="8" fillId="0" borderId="0" xfId="1" applyFont="1"/>
    <xf numFmtId="172" fontId="9" fillId="0" borderId="21" xfId="0" applyNumberFormat="1" applyFont="1" applyBorder="1"/>
    <xf numFmtId="0" fontId="8" fillId="10" borderId="22" xfId="0" applyFont="1" applyFill="1" applyBorder="1" applyAlignment="1">
      <alignment horizontal="right"/>
    </xf>
    <xf numFmtId="166" fontId="13" fillId="10" borderId="22" xfId="1" applyFont="1" applyFill="1" applyBorder="1"/>
    <xf numFmtId="166" fontId="8" fillId="0" borderId="0" xfId="0" applyNumberFormat="1" applyFont="1"/>
    <xf numFmtId="0" fontId="8" fillId="0" borderId="23" xfId="0" applyFont="1" applyBorder="1"/>
    <xf numFmtId="172" fontId="8" fillId="0" borderId="23" xfId="0" applyNumberFormat="1" applyFont="1" applyBorder="1"/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166" fontId="8" fillId="0" borderId="0" xfId="1" applyFont="1" applyFill="1"/>
    <xf numFmtId="172" fontId="8" fillId="0" borderId="20" xfId="0" applyNumberFormat="1" applyFont="1" applyBorder="1"/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/>
    <xf numFmtId="172" fontId="8" fillId="0" borderId="25" xfId="0" applyNumberFormat="1" applyFont="1" applyBorder="1"/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right"/>
    </xf>
    <xf numFmtId="172" fontId="8" fillId="5" borderId="28" xfId="0" applyNumberFormat="1" applyFont="1" applyFill="1" applyBorder="1"/>
    <xf numFmtId="172" fontId="8" fillId="0" borderId="0" xfId="0" applyNumberFormat="1" applyFont="1"/>
    <xf numFmtId="0" fontId="8" fillId="11" borderId="0" xfId="0" applyFont="1" applyFill="1"/>
    <xf numFmtId="0" fontId="8" fillId="11" borderId="0" xfId="0" applyFont="1" applyFill="1" applyAlignment="1">
      <alignment horizontal="center"/>
    </xf>
    <xf numFmtId="172" fontId="8" fillId="11" borderId="0" xfId="0" applyNumberFormat="1" applyFont="1" applyFill="1"/>
    <xf numFmtId="49" fontId="0" fillId="0" borderId="0" xfId="0" applyNumberFormat="1"/>
    <xf numFmtId="0" fontId="0" fillId="0" borderId="0" xfId="0" applyAlignment="1">
      <alignment horizontal="center"/>
    </xf>
    <xf numFmtId="173" fontId="0" fillId="0" borderId="0" xfId="0" applyNumberFormat="1"/>
    <xf numFmtId="0" fontId="0" fillId="0" borderId="0" xfId="0" applyAlignment="1">
      <alignment wrapText="1"/>
    </xf>
    <xf numFmtId="173" fontId="0" fillId="0" borderId="0" xfId="3" applyNumberFormat="1" applyFont="1"/>
    <xf numFmtId="166" fontId="0" fillId="0" borderId="0" xfId="1" applyFont="1"/>
    <xf numFmtId="173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6" fontId="0" fillId="0" borderId="0" xfId="1" applyFont="1" applyFill="1" applyBorder="1" applyAlignment="1">
      <alignment horizontal="center" wrapText="1"/>
    </xf>
    <xf numFmtId="173" fontId="0" fillId="12" borderId="7" xfId="0" applyNumberFormat="1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173" fontId="0" fillId="12" borderId="7" xfId="3" applyNumberFormat="1" applyFont="1" applyFill="1" applyBorder="1" applyAlignment="1">
      <alignment horizontal="center" vertical="center" wrapText="1"/>
    </xf>
    <xf numFmtId="166" fontId="0" fillId="12" borderId="7" xfId="1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3" fontId="0" fillId="0" borderId="18" xfId="3" applyNumberFormat="1" applyFont="1" applyBorder="1" applyAlignment="1">
      <alignment horizontal="center" vertical="center"/>
    </xf>
    <xf numFmtId="166" fontId="0" fillId="0" borderId="18" xfId="1" applyFont="1" applyBorder="1" applyAlignment="1">
      <alignment horizontal="center" vertical="center"/>
    </xf>
    <xf numFmtId="173" fontId="0" fillId="0" borderId="18" xfId="3" applyNumberFormat="1" applyFont="1" applyBorder="1"/>
    <xf numFmtId="43" fontId="0" fillId="0" borderId="18" xfId="0" applyNumberFormat="1" applyBorder="1" applyAlignment="1">
      <alignment horizontal="center" vertical="center"/>
    </xf>
    <xf numFmtId="49" fontId="0" fillId="0" borderId="20" xfId="1" applyNumberFormat="1" applyFont="1" applyBorder="1" applyAlignment="1">
      <alignment horizontal="center" vertical="center"/>
    </xf>
    <xf numFmtId="49" fontId="0" fillId="0" borderId="18" xfId="1" applyNumberFormat="1" applyFon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3" fontId="0" fillId="0" borderId="31" xfId="3" applyNumberFormat="1" applyFont="1" applyBorder="1" applyAlignment="1">
      <alignment horizontal="center" vertical="center"/>
    </xf>
    <xf numFmtId="166" fontId="0" fillId="0" borderId="31" xfId="1" applyFont="1" applyBorder="1" applyAlignment="1">
      <alignment horizontal="center" vertical="center"/>
    </xf>
    <xf numFmtId="43" fontId="0" fillId="0" borderId="20" xfId="0" applyNumberFormat="1" applyBorder="1" applyAlignment="1">
      <alignment horizontal="center" vertical="center"/>
    </xf>
    <xf numFmtId="166" fontId="0" fillId="0" borderId="20" xfId="1" applyFont="1" applyBorder="1" applyAlignment="1">
      <alignment horizontal="center" vertical="center"/>
    </xf>
    <xf numFmtId="173" fontId="0" fillId="0" borderId="20" xfId="3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73" fontId="0" fillId="0" borderId="20" xfId="3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173" fontId="2" fillId="0" borderId="20" xfId="3" applyNumberFormat="1" applyFont="1" applyBorder="1" applyAlignment="1">
      <alignment horizontal="center" vertical="center"/>
    </xf>
    <xf numFmtId="166" fontId="2" fillId="0" borderId="20" xfId="1" applyFon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3" fontId="0" fillId="0" borderId="24" xfId="3" applyNumberFormat="1" applyFont="1" applyBorder="1" applyAlignment="1">
      <alignment horizontal="center" vertical="center"/>
    </xf>
    <xf numFmtId="166" fontId="0" fillId="0" borderId="24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8" fillId="0" borderId="16" xfId="0" applyFont="1" applyBorder="1"/>
    <xf numFmtId="172" fontId="8" fillId="0" borderId="16" xfId="0" applyNumberFormat="1" applyFont="1" applyBorder="1"/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6" fontId="0" fillId="0" borderId="3" xfId="1" applyFont="1" applyBorder="1" applyAlignment="1">
      <alignment horizontal="center" vertical="center"/>
    </xf>
    <xf numFmtId="166" fontId="0" fillId="0" borderId="36" xfId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1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6" fontId="0" fillId="0" borderId="0" xfId="0" applyNumberFormat="1"/>
    <xf numFmtId="0" fontId="2" fillId="0" borderId="0" xfId="0" applyFont="1"/>
    <xf numFmtId="0" fontId="23" fillId="0" borderId="0" xfId="0" applyFont="1"/>
    <xf numFmtId="166" fontId="2" fillId="0" borderId="31" xfId="1" applyFont="1" applyBorder="1" applyAlignment="1">
      <alignment horizontal="center" vertical="center"/>
    </xf>
    <xf numFmtId="49" fontId="0" fillId="0" borderId="31" xfId="1" applyNumberFormat="1" applyFon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0" fontId="9" fillId="0" borderId="18" xfId="0" applyFont="1" applyBorder="1"/>
    <xf numFmtId="166" fontId="16" fillId="0" borderId="0" xfId="1" applyFont="1"/>
    <xf numFmtId="166" fontId="8" fillId="0" borderId="0" xfId="1" applyFont="1" applyAlignment="1">
      <alignment horizontal="center"/>
    </xf>
    <xf numFmtId="166" fontId="8" fillId="11" borderId="0" xfId="1" applyFont="1" applyFill="1"/>
    <xf numFmtId="0" fontId="0" fillId="0" borderId="20" xfId="0" applyBorder="1" applyAlignment="1">
      <alignment horizontal="left" vertical="center"/>
    </xf>
    <xf numFmtId="173" fontId="0" fillId="0" borderId="25" xfId="3" applyNumberFormat="1" applyFont="1" applyBorder="1" applyAlignment="1">
      <alignment horizontal="center" vertical="center"/>
    </xf>
    <xf numFmtId="166" fontId="0" fillId="0" borderId="25" xfId="1" applyFont="1" applyBorder="1" applyAlignment="1">
      <alignment horizontal="center" vertical="center"/>
    </xf>
    <xf numFmtId="173" fontId="0" fillId="0" borderId="24" xfId="3" applyNumberFormat="1" applyFont="1" applyBorder="1"/>
    <xf numFmtId="43" fontId="0" fillId="0" borderId="24" xfId="0" applyNumberFormat="1" applyBorder="1" applyAlignment="1">
      <alignment horizontal="center" vertical="center"/>
    </xf>
    <xf numFmtId="49" fontId="0" fillId="0" borderId="24" xfId="1" applyNumberFormat="1" applyFon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29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5" borderId="8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49" fontId="0" fillId="6" borderId="7" xfId="0" applyNumberFormat="1" applyFill="1" applyBorder="1" applyAlignment="1">
      <alignment horizontal="center" vertical="center" wrapText="1"/>
    </xf>
    <xf numFmtId="49" fontId="0" fillId="6" borderId="16" xfId="0" applyNumberFormat="1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49" fontId="0" fillId="0" borderId="23" xfId="0" applyNumberFormat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20" fillId="9" borderId="7" xfId="0" applyFont="1" applyFill="1" applyBorder="1" applyAlignment="1">
      <alignment horizontal="center" vertical="center" textRotation="90"/>
    </xf>
    <xf numFmtId="0" fontId="20" fillId="9" borderId="16" xfId="0" applyFont="1" applyFill="1" applyBorder="1" applyAlignment="1">
      <alignment horizontal="center" vertical="center" textRotation="90"/>
    </xf>
    <xf numFmtId="0" fontId="20" fillId="9" borderId="25" xfId="0" applyFont="1" applyFill="1" applyBorder="1" applyAlignment="1">
      <alignment horizontal="center" vertical="center" textRotation="90"/>
    </xf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8" fillId="0" borderId="17" xfId="0" applyFont="1" applyBorder="1" applyAlignment="1">
      <alignment horizontal="center"/>
    </xf>
    <xf numFmtId="166" fontId="8" fillId="0" borderId="32" xfId="0" applyNumberFormat="1" applyFont="1" applyBorder="1" applyAlignment="1">
      <alignment horizontal="center"/>
    </xf>
    <xf numFmtId="166" fontId="8" fillId="0" borderId="33" xfId="0" applyNumberFormat="1" applyFont="1" applyBorder="1" applyAlignment="1">
      <alignment horizontal="center"/>
    </xf>
    <xf numFmtId="0" fontId="20" fillId="9" borderId="17" xfId="0" applyFont="1" applyFill="1" applyBorder="1" applyAlignment="1">
      <alignment horizontal="center" vertical="center" textRotation="90"/>
    </xf>
    <xf numFmtId="166" fontId="0" fillId="0" borderId="0" xfId="1" applyFont="1" applyAlignment="1">
      <alignment horizontal="center" vertical="center" wrapText="1"/>
    </xf>
  </cellXfs>
  <cellStyles count="14">
    <cellStyle name="Comma" xfId="1" builtinId="3"/>
    <cellStyle name="Comma [0]" xfId="2" builtinId="6"/>
    <cellStyle name="Comma 2" xfId="4" xr:uid="{4896ABCF-FB62-4A96-9981-256F3889B721}"/>
    <cellStyle name="Comma 2 2" xfId="7" xr:uid="{16802330-6243-4971-B21D-8A1C0D303BB4}"/>
    <cellStyle name="Comma 2 3" xfId="12" xr:uid="{5041CDD2-097A-407E-A28E-5DF1435B4E29}"/>
    <cellStyle name="Comma 2 4" xfId="5" xr:uid="{86812BDF-A90C-40CC-8EE5-9F51FC84407B}"/>
    <cellStyle name="Comma 3" xfId="8" xr:uid="{825EF27A-A4FA-4627-98AA-6CE18855CE0A}"/>
    <cellStyle name="Comma 4" xfId="10" xr:uid="{47991C29-57A1-4CA8-BBF9-DD20F8681961}"/>
    <cellStyle name="Comma 5" xfId="13" xr:uid="{8F1BEA5E-ADAD-42D1-BEA0-01E04EFFFD28}"/>
    <cellStyle name="Currency" xfId="3" builtinId="4"/>
    <cellStyle name="Currency 2" xfId="9" xr:uid="{9734C91C-B02E-431B-B9F2-A5DC40E54DF5}"/>
    <cellStyle name="Currency 3" xfId="11" xr:uid="{4F4832F6-DD08-4FD9-A9C3-BADAE93090C6}"/>
    <cellStyle name="Currency 4" xfId="6" xr:uid="{90DC020D-16E4-46E1-9C93-854F12C9BF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74"/>
  <sheetViews>
    <sheetView topLeftCell="C1" zoomScale="77" zoomScaleNormal="77" workbookViewId="0">
      <pane ySplit="4" topLeftCell="A389" activePane="bottomLeft" state="frozen"/>
      <selection pane="bottomLeft" activeCell="O386" sqref="O386"/>
    </sheetView>
  </sheetViews>
  <sheetFormatPr defaultRowHeight="14.5" x14ac:dyDescent="0.35"/>
  <cols>
    <col min="1" max="1" width="4.54296875" style="26" customWidth="1"/>
    <col min="2" max="2" width="40.1796875" style="4" bestFit="1" customWidth="1"/>
    <col min="3" max="3" width="14.54296875" style="4" bestFit="1" customWidth="1"/>
    <col min="4" max="4" width="12.81640625" style="4" bestFit="1" customWidth="1"/>
    <col min="5" max="5" width="21" style="4" bestFit="1" customWidth="1"/>
    <col min="6" max="6" width="18.453125" style="3" bestFit="1" customWidth="1"/>
    <col min="7" max="8" width="14.54296875" style="3" bestFit="1" customWidth="1"/>
    <col min="9" max="9" width="11.90625" style="3" bestFit="1" customWidth="1"/>
    <col min="10" max="10" width="13.453125" style="3" bestFit="1" customWidth="1"/>
    <col min="11" max="11" width="11.81640625" style="3" bestFit="1" customWidth="1"/>
    <col min="12" max="12" width="12.81640625" style="3" bestFit="1" customWidth="1"/>
    <col min="13" max="13" width="15.453125" style="3" bestFit="1" customWidth="1"/>
    <col min="14" max="14" width="18.453125" style="3" bestFit="1" customWidth="1"/>
    <col min="15" max="15" width="13.453125" style="3" bestFit="1" customWidth="1"/>
    <col min="16" max="16" width="11.7265625" style="3" bestFit="1" customWidth="1"/>
    <col min="17" max="17" width="9.81640625" style="3" bestFit="1" customWidth="1"/>
    <col min="18" max="18" width="11.54296875" style="3" bestFit="1" customWidth="1"/>
    <col min="19" max="256" width="8.7265625" style="3"/>
    <col min="257" max="257" width="4.54296875" style="3" customWidth="1"/>
    <col min="258" max="258" width="35" style="3" bestFit="1" customWidth="1"/>
    <col min="259" max="259" width="14.54296875" style="3" bestFit="1" customWidth="1"/>
    <col min="260" max="260" width="12.81640625" style="3" bestFit="1" customWidth="1"/>
    <col min="261" max="261" width="21" style="3" bestFit="1" customWidth="1"/>
    <col min="262" max="262" width="18.453125" style="3" bestFit="1" customWidth="1"/>
    <col min="263" max="264" width="14.54296875" style="3" bestFit="1" customWidth="1"/>
    <col min="265" max="265" width="11.54296875" style="3" bestFit="1" customWidth="1"/>
    <col min="266" max="266" width="13.453125" style="3" bestFit="1" customWidth="1"/>
    <col min="267" max="267" width="11.81640625" style="3" bestFit="1" customWidth="1"/>
    <col min="268" max="268" width="12.81640625" style="3" bestFit="1" customWidth="1"/>
    <col min="269" max="269" width="15.453125" style="3" bestFit="1" customWidth="1"/>
    <col min="270" max="270" width="18.453125" style="3" bestFit="1" customWidth="1"/>
    <col min="271" max="271" width="12.81640625" style="3" bestFit="1" customWidth="1"/>
    <col min="272" max="272" width="11.7265625" style="3" bestFit="1" customWidth="1"/>
    <col min="273" max="512" width="8.7265625" style="3"/>
    <col min="513" max="513" width="4.54296875" style="3" customWidth="1"/>
    <col min="514" max="514" width="35" style="3" bestFit="1" customWidth="1"/>
    <col min="515" max="515" width="14.54296875" style="3" bestFit="1" customWidth="1"/>
    <col min="516" max="516" width="12.81640625" style="3" bestFit="1" customWidth="1"/>
    <col min="517" max="517" width="21" style="3" bestFit="1" customWidth="1"/>
    <col min="518" max="518" width="18.453125" style="3" bestFit="1" customWidth="1"/>
    <col min="519" max="520" width="14.54296875" style="3" bestFit="1" customWidth="1"/>
    <col min="521" max="521" width="11.54296875" style="3" bestFit="1" customWidth="1"/>
    <col min="522" max="522" width="13.453125" style="3" bestFit="1" customWidth="1"/>
    <col min="523" max="523" width="11.81640625" style="3" bestFit="1" customWidth="1"/>
    <col min="524" max="524" width="12.81640625" style="3" bestFit="1" customWidth="1"/>
    <col min="525" max="525" width="15.453125" style="3" bestFit="1" customWidth="1"/>
    <col min="526" max="526" width="18.453125" style="3" bestFit="1" customWidth="1"/>
    <col min="527" max="527" width="12.81640625" style="3" bestFit="1" customWidth="1"/>
    <col min="528" max="528" width="11.7265625" style="3" bestFit="1" customWidth="1"/>
    <col min="529" max="768" width="8.7265625" style="3"/>
    <col min="769" max="769" width="4.54296875" style="3" customWidth="1"/>
    <col min="770" max="770" width="35" style="3" bestFit="1" customWidth="1"/>
    <col min="771" max="771" width="14.54296875" style="3" bestFit="1" customWidth="1"/>
    <col min="772" max="772" width="12.81640625" style="3" bestFit="1" customWidth="1"/>
    <col min="773" max="773" width="21" style="3" bestFit="1" customWidth="1"/>
    <col min="774" max="774" width="18.453125" style="3" bestFit="1" customWidth="1"/>
    <col min="775" max="776" width="14.54296875" style="3" bestFit="1" customWidth="1"/>
    <col min="777" max="777" width="11.54296875" style="3" bestFit="1" customWidth="1"/>
    <col min="778" max="778" width="13.453125" style="3" bestFit="1" customWidth="1"/>
    <col min="779" max="779" width="11.81640625" style="3" bestFit="1" customWidth="1"/>
    <col min="780" max="780" width="12.81640625" style="3" bestFit="1" customWidth="1"/>
    <col min="781" max="781" width="15.453125" style="3" bestFit="1" customWidth="1"/>
    <col min="782" max="782" width="18.453125" style="3" bestFit="1" customWidth="1"/>
    <col min="783" max="783" width="12.81640625" style="3" bestFit="1" customWidth="1"/>
    <col min="784" max="784" width="11.7265625" style="3" bestFit="1" customWidth="1"/>
    <col min="785" max="1024" width="8.7265625" style="3"/>
    <col min="1025" max="1025" width="4.54296875" style="3" customWidth="1"/>
    <col min="1026" max="1026" width="35" style="3" bestFit="1" customWidth="1"/>
    <col min="1027" max="1027" width="14.54296875" style="3" bestFit="1" customWidth="1"/>
    <col min="1028" max="1028" width="12.81640625" style="3" bestFit="1" customWidth="1"/>
    <col min="1029" max="1029" width="21" style="3" bestFit="1" customWidth="1"/>
    <col min="1030" max="1030" width="18.453125" style="3" bestFit="1" customWidth="1"/>
    <col min="1031" max="1032" width="14.54296875" style="3" bestFit="1" customWidth="1"/>
    <col min="1033" max="1033" width="11.54296875" style="3" bestFit="1" customWidth="1"/>
    <col min="1034" max="1034" width="13.453125" style="3" bestFit="1" customWidth="1"/>
    <col min="1035" max="1035" width="11.81640625" style="3" bestFit="1" customWidth="1"/>
    <col min="1036" max="1036" width="12.81640625" style="3" bestFit="1" customWidth="1"/>
    <col min="1037" max="1037" width="15.453125" style="3" bestFit="1" customWidth="1"/>
    <col min="1038" max="1038" width="18.453125" style="3" bestFit="1" customWidth="1"/>
    <col min="1039" max="1039" width="12.81640625" style="3" bestFit="1" customWidth="1"/>
    <col min="1040" max="1040" width="11.7265625" style="3" bestFit="1" customWidth="1"/>
    <col min="1041" max="1280" width="8.7265625" style="3"/>
    <col min="1281" max="1281" width="4.54296875" style="3" customWidth="1"/>
    <col min="1282" max="1282" width="35" style="3" bestFit="1" customWidth="1"/>
    <col min="1283" max="1283" width="14.54296875" style="3" bestFit="1" customWidth="1"/>
    <col min="1284" max="1284" width="12.81640625" style="3" bestFit="1" customWidth="1"/>
    <col min="1285" max="1285" width="21" style="3" bestFit="1" customWidth="1"/>
    <col min="1286" max="1286" width="18.453125" style="3" bestFit="1" customWidth="1"/>
    <col min="1287" max="1288" width="14.54296875" style="3" bestFit="1" customWidth="1"/>
    <col min="1289" max="1289" width="11.54296875" style="3" bestFit="1" customWidth="1"/>
    <col min="1290" max="1290" width="13.453125" style="3" bestFit="1" customWidth="1"/>
    <col min="1291" max="1291" width="11.81640625" style="3" bestFit="1" customWidth="1"/>
    <col min="1292" max="1292" width="12.81640625" style="3" bestFit="1" customWidth="1"/>
    <col min="1293" max="1293" width="15.453125" style="3" bestFit="1" customWidth="1"/>
    <col min="1294" max="1294" width="18.453125" style="3" bestFit="1" customWidth="1"/>
    <col min="1295" max="1295" width="12.81640625" style="3" bestFit="1" customWidth="1"/>
    <col min="1296" max="1296" width="11.7265625" style="3" bestFit="1" customWidth="1"/>
    <col min="1297" max="1536" width="8.7265625" style="3"/>
    <col min="1537" max="1537" width="4.54296875" style="3" customWidth="1"/>
    <col min="1538" max="1538" width="35" style="3" bestFit="1" customWidth="1"/>
    <col min="1539" max="1539" width="14.54296875" style="3" bestFit="1" customWidth="1"/>
    <col min="1540" max="1540" width="12.81640625" style="3" bestFit="1" customWidth="1"/>
    <col min="1541" max="1541" width="21" style="3" bestFit="1" customWidth="1"/>
    <col min="1542" max="1542" width="18.453125" style="3" bestFit="1" customWidth="1"/>
    <col min="1543" max="1544" width="14.54296875" style="3" bestFit="1" customWidth="1"/>
    <col min="1545" max="1545" width="11.54296875" style="3" bestFit="1" customWidth="1"/>
    <col min="1546" max="1546" width="13.453125" style="3" bestFit="1" customWidth="1"/>
    <col min="1547" max="1547" width="11.81640625" style="3" bestFit="1" customWidth="1"/>
    <col min="1548" max="1548" width="12.81640625" style="3" bestFit="1" customWidth="1"/>
    <col min="1549" max="1549" width="15.453125" style="3" bestFit="1" customWidth="1"/>
    <col min="1550" max="1550" width="18.453125" style="3" bestFit="1" customWidth="1"/>
    <col min="1551" max="1551" width="12.81640625" style="3" bestFit="1" customWidth="1"/>
    <col min="1552" max="1552" width="11.7265625" style="3" bestFit="1" customWidth="1"/>
    <col min="1553" max="1792" width="8.7265625" style="3"/>
    <col min="1793" max="1793" width="4.54296875" style="3" customWidth="1"/>
    <col min="1794" max="1794" width="35" style="3" bestFit="1" customWidth="1"/>
    <col min="1795" max="1795" width="14.54296875" style="3" bestFit="1" customWidth="1"/>
    <col min="1796" max="1796" width="12.81640625" style="3" bestFit="1" customWidth="1"/>
    <col min="1797" max="1797" width="21" style="3" bestFit="1" customWidth="1"/>
    <col min="1798" max="1798" width="18.453125" style="3" bestFit="1" customWidth="1"/>
    <col min="1799" max="1800" width="14.54296875" style="3" bestFit="1" customWidth="1"/>
    <col min="1801" max="1801" width="11.54296875" style="3" bestFit="1" customWidth="1"/>
    <col min="1802" max="1802" width="13.453125" style="3" bestFit="1" customWidth="1"/>
    <col min="1803" max="1803" width="11.81640625" style="3" bestFit="1" customWidth="1"/>
    <col min="1804" max="1804" width="12.81640625" style="3" bestFit="1" customWidth="1"/>
    <col min="1805" max="1805" width="15.453125" style="3" bestFit="1" customWidth="1"/>
    <col min="1806" max="1806" width="18.453125" style="3" bestFit="1" customWidth="1"/>
    <col min="1807" max="1807" width="12.81640625" style="3" bestFit="1" customWidth="1"/>
    <col min="1808" max="1808" width="11.7265625" style="3" bestFit="1" customWidth="1"/>
    <col min="1809" max="2048" width="8.7265625" style="3"/>
    <col min="2049" max="2049" width="4.54296875" style="3" customWidth="1"/>
    <col min="2050" max="2050" width="35" style="3" bestFit="1" customWidth="1"/>
    <col min="2051" max="2051" width="14.54296875" style="3" bestFit="1" customWidth="1"/>
    <col min="2052" max="2052" width="12.81640625" style="3" bestFit="1" customWidth="1"/>
    <col min="2053" max="2053" width="21" style="3" bestFit="1" customWidth="1"/>
    <col min="2054" max="2054" width="18.453125" style="3" bestFit="1" customWidth="1"/>
    <col min="2055" max="2056" width="14.54296875" style="3" bestFit="1" customWidth="1"/>
    <col min="2057" max="2057" width="11.54296875" style="3" bestFit="1" customWidth="1"/>
    <col min="2058" max="2058" width="13.453125" style="3" bestFit="1" customWidth="1"/>
    <col min="2059" max="2059" width="11.81640625" style="3" bestFit="1" customWidth="1"/>
    <col min="2060" max="2060" width="12.81640625" style="3" bestFit="1" customWidth="1"/>
    <col min="2061" max="2061" width="15.453125" style="3" bestFit="1" customWidth="1"/>
    <col min="2062" max="2062" width="18.453125" style="3" bestFit="1" customWidth="1"/>
    <col min="2063" max="2063" width="12.81640625" style="3" bestFit="1" customWidth="1"/>
    <col min="2064" max="2064" width="11.7265625" style="3" bestFit="1" customWidth="1"/>
    <col min="2065" max="2304" width="8.7265625" style="3"/>
    <col min="2305" max="2305" width="4.54296875" style="3" customWidth="1"/>
    <col min="2306" max="2306" width="35" style="3" bestFit="1" customWidth="1"/>
    <col min="2307" max="2307" width="14.54296875" style="3" bestFit="1" customWidth="1"/>
    <col min="2308" max="2308" width="12.81640625" style="3" bestFit="1" customWidth="1"/>
    <col min="2309" max="2309" width="21" style="3" bestFit="1" customWidth="1"/>
    <col min="2310" max="2310" width="18.453125" style="3" bestFit="1" customWidth="1"/>
    <col min="2311" max="2312" width="14.54296875" style="3" bestFit="1" customWidth="1"/>
    <col min="2313" max="2313" width="11.54296875" style="3" bestFit="1" customWidth="1"/>
    <col min="2314" max="2314" width="13.453125" style="3" bestFit="1" customWidth="1"/>
    <col min="2315" max="2315" width="11.81640625" style="3" bestFit="1" customWidth="1"/>
    <col min="2316" max="2316" width="12.81640625" style="3" bestFit="1" customWidth="1"/>
    <col min="2317" max="2317" width="15.453125" style="3" bestFit="1" customWidth="1"/>
    <col min="2318" max="2318" width="18.453125" style="3" bestFit="1" customWidth="1"/>
    <col min="2319" max="2319" width="12.81640625" style="3" bestFit="1" customWidth="1"/>
    <col min="2320" max="2320" width="11.7265625" style="3" bestFit="1" customWidth="1"/>
    <col min="2321" max="2560" width="8.7265625" style="3"/>
    <col min="2561" max="2561" width="4.54296875" style="3" customWidth="1"/>
    <col min="2562" max="2562" width="35" style="3" bestFit="1" customWidth="1"/>
    <col min="2563" max="2563" width="14.54296875" style="3" bestFit="1" customWidth="1"/>
    <col min="2564" max="2564" width="12.81640625" style="3" bestFit="1" customWidth="1"/>
    <col min="2565" max="2565" width="21" style="3" bestFit="1" customWidth="1"/>
    <col min="2566" max="2566" width="18.453125" style="3" bestFit="1" customWidth="1"/>
    <col min="2567" max="2568" width="14.54296875" style="3" bestFit="1" customWidth="1"/>
    <col min="2569" max="2569" width="11.54296875" style="3" bestFit="1" customWidth="1"/>
    <col min="2570" max="2570" width="13.453125" style="3" bestFit="1" customWidth="1"/>
    <col min="2571" max="2571" width="11.81640625" style="3" bestFit="1" customWidth="1"/>
    <col min="2572" max="2572" width="12.81640625" style="3" bestFit="1" customWidth="1"/>
    <col min="2573" max="2573" width="15.453125" style="3" bestFit="1" customWidth="1"/>
    <col min="2574" max="2574" width="18.453125" style="3" bestFit="1" customWidth="1"/>
    <col min="2575" max="2575" width="12.81640625" style="3" bestFit="1" customWidth="1"/>
    <col min="2576" max="2576" width="11.7265625" style="3" bestFit="1" customWidth="1"/>
    <col min="2577" max="2816" width="8.7265625" style="3"/>
    <col min="2817" max="2817" width="4.54296875" style="3" customWidth="1"/>
    <col min="2818" max="2818" width="35" style="3" bestFit="1" customWidth="1"/>
    <col min="2819" max="2819" width="14.54296875" style="3" bestFit="1" customWidth="1"/>
    <col min="2820" max="2820" width="12.81640625" style="3" bestFit="1" customWidth="1"/>
    <col min="2821" max="2821" width="21" style="3" bestFit="1" customWidth="1"/>
    <col min="2822" max="2822" width="18.453125" style="3" bestFit="1" customWidth="1"/>
    <col min="2823" max="2824" width="14.54296875" style="3" bestFit="1" customWidth="1"/>
    <col min="2825" max="2825" width="11.54296875" style="3" bestFit="1" customWidth="1"/>
    <col min="2826" max="2826" width="13.453125" style="3" bestFit="1" customWidth="1"/>
    <col min="2827" max="2827" width="11.81640625" style="3" bestFit="1" customWidth="1"/>
    <col min="2828" max="2828" width="12.81640625" style="3" bestFit="1" customWidth="1"/>
    <col min="2829" max="2829" width="15.453125" style="3" bestFit="1" customWidth="1"/>
    <col min="2830" max="2830" width="18.453125" style="3" bestFit="1" customWidth="1"/>
    <col min="2831" max="2831" width="12.81640625" style="3" bestFit="1" customWidth="1"/>
    <col min="2832" max="2832" width="11.7265625" style="3" bestFit="1" customWidth="1"/>
    <col min="2833" max="3072" width="8.7265625" style="3"/>
    <col min="3073" max="3073" width="4.54296875" style="3" customWidth="1"/>
    <col min="3074" max="3074" width="35" style="3" bestFit="1" customWidth="1"/>
    <col min="3075" max="3075" width="14.54296875" style="3" bestFit="1" customWidth="1"/>
    <col min="3076" max="3076" width="12.81640625" style="3" bestFit="1" customWidth="1"/>
    <col min="3077" max="3077" width="21" style="3" bestFit="1" customWidth="1"/>
    <col min="3078" max="3078" width="18.453125" style="3" bestFit="1" customWidth="1"/>
    <col min="3079" max="3080" width="14.54296875" style="3" bestFit="1" customWidth="1"/>
    <col min="3081" max="3081" width="11.54296875" style="3" bestFit="1" customWidth="1"/>
    <col min="3082" max="3082" width="13.453125" style="3" bestFit="1" customWidth="1"/>
    <col min="3083" max="3083" width="11.81640625" style="3" bestFit="1" customWidth="1"/>
    <col min="3084" max="3084" width="12.81640625" style="3" bestFit="1" customWidth="1"/>
    <col min="3085" max="3085" width="15.453125" style="3" bestFit="1" customWidth="1"/>
    <col min="3086" max="3086" width="18.453125" style="3" bestFit="1" customWidth="1"/>
    <col min="3087" max="3087" width="12.81640625" style="3" bestFit="1" customWidth="1"/>
    <col min="3088" max="3088" width="11.7265625" style="3" bestFit="1" customWidth="1"/>
    <col min="3089" max="3328" width="8.7265625" style="3"/>
    <col min="3329" max="3329" width="4.54296875" style="3" customWidth="1"/>
    <col min="3330" max="3330" width="35" style="3" bestFit="1" customWidth="1"/>
    <col min="3331" max="3331" width="14.54296875" style="3" bestFit="1" customWidth="1"/>
    <col min="3332" max="3332" width="12.81640625" style="3" bestFit="1" customWidth="1"/>
    <col min="3333" max="3333" width="21" style="3" bestFit="1" customWidth="1"/>
    <col min="3334" max="3334" width="18.453125" style="3" bestFit="1" customWidth="1"/>
    <col min="3335" max="3336" width="14.54296875" style="3" bestFit="1" customWidth="1"/>
    <col min="3337" max="3337" width="11.54296875" style="3" bestFit="1" customWidth="1"/>
    <col min="3338" max="3338" width="13.453125" style="3" bestFit="1" customWidth="1"/>
    <col min="3339" max="3339" width="11.81640625" style="3" bestFit="1" customWidth="1"/>
    <col min="3340" max="3340" width="12.81640625" style="3" bestFit="1" customWidth="1"/>
    <col min="3341" max="3341" width="15.453125" style="3" bestFit="1" customWidth="1"/>
    <col min="3342" max="3342" width="18.453125" style="3" bestFit="1" customWidth="1"/>
    <col min="3343" max="3343" width="12.81640625" style="3" bestFit="1" customWidth="1"/>
    <col min="3344" max="3344" width="11.7265625" style="3" bestFit="1" customWidth="1"/>
    <col min="3345" max="3584" width="8.7265625" style="3"/>
    <col min="3585" max="3585" width="4.54296875" style="3" customWidth="1"/>
    <col min="3586" max="3586" width="35" style="3" bestFit="1" customWidth="1"/>
    <col min="3587" max="3587" width="14.54296875" style="3" bestFit="1" customWidth="1"/>
    <col min="3588" max="3588" width="12.81640625" style="3" bestFit="1" customWidth="1"/>
    <col min="3589" max="3589" width="21" style="3" bestFit="1" customWidth="1"/>
    <col min="3590" max="3590" width="18.453125" style="3" bestFit="1" customWidth="1"/>
    <col min="3591" max="3592" width="14.54296875" style="3" bestFit="1" customWidth="1"/>
    <col min="3593" max="3593" width="11.54296875" style="3" bestFit="1" customWidth="1"/>
    <col min="3594" max="3594" width="13.453125" style="3" bestFit="1" customWidth="1"/>
    <col min="3595" max="3595" width="11.81640625" style="3" bestFit="1" customWidth="1"/>
    <col min="3596" max="3596" width="12.81640625" style="3" bestFit="1" customWidth="1"/>
    <col min="3597" max="3597" width="15.453125" style="3" bestFit="1" customWidth="1"/>
    <col min="3598" max="3598" width="18.453125" style="3" bestFit="1" customWidth="1"/>
    <col min="3599" max="3599" width="12.81640625" style="3" bestFit="1" customWidth="1"/>
    <col min="3600" max="3600" width="11.7265625" style="3" bestFit="1" customWidth="1"/>
    <col min="3601" max="3840" width="8.7265625" style="3"/>
    <col min="3841" max="3841" width="4.54296875" style="3" customWidth="1"/>
    <col min="3842" max="3842" width="35" style="3" bestFit="1" customWidth="1"/>
    <col min="3843" max="3843" width="14.54296875" style="3" bestFit="1" customWidth="1"/>
    <col min="3844" max="3844" width="12.81640625" style="3" bestFit="1" customWidth="1"/>
    <col min="3845" max="3845" width="21" style="3" bestFit="1" customWidth="1"/>
    <col min="3846" max="3846" width="18.453125" style="3" bestFit="1" customWidth="1"/>
    <col min="3847" max="3848" width="14.54296875" style="3" bestFit="1" customWidth="1"/>
    <col min="3849" max="3849" width="11.54296875" style="3" bestFit="1" customWidth="1"/>
    <col min="3850" max="3850" width="13.453125" style="3" bestFit="1" customWidth="1"/>
    <col min="3851" max="3851" width="11.81640625" style="3" bestFit="1" customWidth="1"/>
    <col min="3852" max="3852" width="12.81640625" style="3" bestFit="1" customWidth="1"/>
    <col min="3853" max="3853" width="15.453125" style="3" bestFit="1" customWidth="1"/>
    <col min="3854" max="3854" width="18.453125" style="3" bestFit="1" customWidth="1"/>
    <col min="3855" max="3855" width="12.81640625" style="3" bestFit="1" customWidth="1"/>
    <col min="3856" max="3856" width="11.7265625" style="3" bestFit="1" customWidth="1"/>
    <col min="3857" max="4096" width="8.7265625" style="3"/>
    <col min="4097" max="4097" width="4.54296875" style="3" customWidth="1"/>
    <col min="4098" max="4098" width="35" style="3" bestFit="1" customWidth="1"/>
    <col min="4099" max="4099" width="14.54296875" style="3" bestFit="1" customWidth="1"/>
    <col min="4100" max="4100" width="12.81640625" style="3" bestFit="1" customWidth="1"/>
    <col min="4101" max="4101" width="21" style="3" bestFit="1" customWidth="1"/>
    <col min="4102" max="4102" width="18.453125" style="3" bestFit="1" customWidth="1"/>
    <col min="4103" max="4104" width="14.54296875" style="3" bestFit="1" customWidth="1"/>
    <col min="4105" max="4105" width="11.54296875" style="3" bestFit="1" customWidth="1"/>
    <col min="4106" max="4106" width="13.453125" style="3" bestFit="1" customWidth="1"/>
    <col min="4107" max="4107" width="11.81640625" style="3" bestFit="1" customWidth="1"/>
    <col min="4108" max="4108" width="12.81640625" style="3" bestFit="1" customWidth="1"/>
    <col min="4109" max="4109" width="15.453125" style="3" bestFit="1" customWidth="1"/>
    <col min="4110" max="4110" width="18.453125" style="3" bestFit="1" customWidth="1"/>
    <col min="4111" max="4111" width="12.81640625" style="3" bestFit="1" customWidth="1"/>
    <col min="4112" max="4112" width="11.7265625" style="3" bestFit="1" customWidth="1"/>
    <col min="4113" max="4352" width="8.7265625" style="3"/>
    <col min="4353" max="4353" width="4.54296875" style="3" customWidth="1"/>
    <col min="4354" max="4354" width="35" style="3" bestFit="1" customWidth="1"/>
    <col min="4355" max="4355" width="14.54296875" style="3" bestFit="1" customWidth="1"/>
    <col min="4356" max="4356" width="12.81640625" style="3" bestFit="1" customWidth="1"/>
    <col min="4357" max="4357" width="21" style="3" bestFit="1" customWidth="1"/>
    <col min="4358" max="4358" width="18.453125" style="3" bestFit="1" customWidth="1"/>
    <col min="4359" max="4360" width="14.54296875" style="3" bestFit="1" customWidth="1"/>
    <col min="4361" max="4361" width="11.54296875" style="3" bestFit="1" customWidth="1"/>
    <col min="4362" max="4362" width="13.453125" style="3" bestFit="1" customWidth="1"/>
    <col min="4363" max="4363" width="11.81640625" style="3" bestFit="1" customWidth="1"/>
    <col min="4364" max="4364" width="12.81640625" style="3" bestFit="1" customWidth="1"/>
    <col min="4365" max="4365" width="15.453125" style="3" bestFit="1" customWidth="1"/>
    <col min="4366" max="4366" width="18.453125" style="3" bestFit="1" customWidth="1"/>
    <col min="4367" max="4367" width="12.81640625" style="3" bestFit="1" customWidth="1"/>
    <col min="4368" max="4368" width="11.7265625" style="3" bestFit="1" customWidth="1"/>
    <col min="4369" max="4608" width="8.7265625" style="3"/>
    <col min="4609" max="4609" width="4.54296875" style="3" customWidth="1"/>
    <col min="4610" max="4610" width="35" style="3" bestFit="1" customWidth="1"/>
    <col min="4611" max="4611" width="14.54296875" style="3" bestFit="1" customWidth="1"/>
    <col min="4612" max="4612" width="12.81640625" style="3" bestFit="1" customWidth="1"/>
    <col min="4613" max="4613" width="21" style="3" bestFit="1" customWidth="1"/>
    <col min="4614" max="4614" width="18.453125" style="3" bestFit="1" customWidth="1"/>
    <col min="4615" max="4616" width="14.54296875" style="3" bestFit="1" customWidth="1"/>
    <col min="4617" max="4617" width="11.54296875" style="3" bestFit="1" customWidth="1"/>
    <col min="4618" max="4618" width="13.453125" style="3" bestFit="1" customWidth="1"/>
    <col min="4619" max="4619" width="11.81640625" style="3" bestFit="1" customWidth="1"/>
    <col min="4620" max="4620" width="12.81640625" style="3" bestFit="1" customWidth="1"/>
    <col min="4621" max="4621" width="15.453125" style="3" bestFit="1" customWidth="1"/>
    <col min="4622" max="4622" width="18.453125" style="3" bestFit="1" customWidth="1"/>
    <col min="4623" max="4623" width="12.81640625" style="3" bestFit="1" customWidth="1"/>
    <col min="4624" max="4624" width="11.7265625" style="3" bestFit="1" customWidth="1"/>
    <col min="4625" max="4864" width="8.7265625" style="3"/>
    <col min="4865" max="4865" width="4.54296875" style="3" customWidth="1"/>
    <col min="4866" max="4866" width="35" style="3" bestFit="1" customWidth="1"/>
    <col min="4867" max="4867" width="14.54296875" style="3" bestFit="1" customWidth="1"/>
    <col min="4868" max="4868" width="12.81640625" style="3" bestFit="1" customWidth="1"/>
    <col min="4869" max="4869" width="21" style="3" bestFit="1" customWidth="1"/>
    <col min="4870" max="4870" width="18.453125" style="3" bestFit="1" customWidth="1"/>
    <col min="4871" max="4872" width="14.54296875" style="3" bestFit="1" customWidth="1"/>
    <col min="4873" max="4873" width="11.54296875" style="3" bestFit="1" customWidth="1"/>
    <col min="4874" max="4874" width="13.453125" style="3" bestFit="1" customWidth="1"/>
    <col min="4875" max="4875" width="11.81640625" style="3" bestFit="1" customWidth="1"/>
    <col min="4876" max="4876" width="12.81640625" style="3" bestFit="1" customWidth="1"/>
    <col min="4877" max="4877" width="15.453125" style="3" bestFit="1" customWidth="1"/>
    <col min="4878" max="4878" width="18.453125" style="3" bestFit="1" customWidth="1"/>
    <col min="4879" max="4879" width="12.81640625" style="3" bestFit="1" customWidth="1"/>
    <col min="4880" max="4880" width="11.7265625" style="3" bestFit="1" customWidth="1"/>
    <col min="4881" max="5120" width="8.7265625" style="3"/>
    <col min="5121" max="5121" width="4.54296875" style="3" customWidth="1"/>
    <col min="5122" max="5122" width="35" style="3" bestFit="1" customWidth="1"/>
    <col min="5123" max="5123" width="14.54296875" style="3" bestFit="1" customWidth="1"/>
    <col min="5124" max="5124" width="12.81640625" style="3" bestFit="1" customWidth="1"/>
    <col min="5125" max="5125" width="21" style="3" bestFit="1" customWidth="1"/>
    <col min="5126" max="5126" width="18.453125" style="3" bestFit="1" customWidth="1"/>
    <col min="5127" max="5128" width="14.54296875" style="3" bestFit="1" customWidth="1"/>
    <col min="5129" max="5129" width="11.54296875" style="3" bestFit="1" customWidth="1"/>
    <col min="5130" max="5130" width="13.453125" style="3" bestFit="1" customWidth="1"/>
    <col min="5131" max="5131" width="11.81640625" style="3" bestFit="1" customWidth="1"/>
    <col min="5132" max="5132" width="12.81640625" style="3" bestFit="1" customWidth="1"/>
    <col min="5133" max="5133" width="15.453125" style="3" bestFit="1" customWidth="1"/>
    <col min="5134" max="5134" width="18.453125" style="3" bestFit="1" customWidth="1"/>
    <col min="5135" max="5135" width="12.81640625" style="3" bestFit="1" customWidth="1"/>
    <col min="5136" max="5136" width="11.7265625" style="3" bestFit="1" customWidth="1"/>
    <col min="5137" max="5376" width="8.7265625" style="3"/>
    <col min="5377" max="5377" width="4.54296875" style="3" customWidth="1"/>
    <col min="5378" max="5378" width="35" style="3" bestFit="1" customWidth="1"/>
    <col min="5379" max="5379" width="14.54296875" style="3" bestFit="1" customWidth="1"/>
    <col min="5380" max="5380" width="12.81640625" style="3" bestFit="1" customWidth="1"/>
    <col min="5381" max="5381" width="21" style="3" bestFit="1" customWidth="1"/>
    <col min="5382" max="5382" width="18.453125" style="3" bestFit="1" customWidth="1"/>
    <col min="5383" max="5384" width="14.54296875" style="3" bestFit="1" customWidth="1"/>
    <col min="5385" max="5385" width="11.54296875" style="3" bestFit="1" customWidth="1"/>
    <col min="5386" max="5386" width="13.453125" style="3" bestFit="1" customWidth="1"/>
    <col min="5387" max="5387" width="11.81640625" style="3" bestFit="1" customWidth="1"/>
    <col min="5388" max="5388" width="12.81640625" style="3" bestFit="1" customWidth="1"/>
    <col min="5389" max="5389" width="15.453125" style="3" bestFit="1" customWidth="1"/>
    <col min="5390" max="5390" width="18.453125" style="3" bestFit="1" customWidth="1"/>
    <col min="5391" max="5391" width="12.81640625" style="3" bestFit="1" customWidth="1"/>
    <col min="5392" max="5392" width="11.7265625" style="3" bestFit="1" customWidth="1"/>
    <col min="5393" max="5632" width="8.7265625" style="3"/>
    <col min="5633" max="5633" width="4.54296875" style="3" customWidth="1"/>
    <col min="5634" max="5634" width="35" style="3" bestFit="1" customWidth="1"/>
    <col min="5635" max="5635" width="14.54296875" style="3" bestFit="1" customWidth="1"/>
    <col min="5636" max="5636" width="12.81640625" style="3" bestFit="1" customWidth="1"/>
    <col min="5637" max="5637" width="21" style="3" bestFit="1" customWidth="1"/>
    <col min="5638" max="5638" width="18.453125" style="3" bestFit="1" customWidth="1"/>
    <col min="5639" max="5640" width="14.54296875" style="3" bestFit="1" customWidth="1"/>
    <col min="5641" max="5641" width="11.54296875" style="3" bestFit="1" customWidth="1"/>
    <col min="5642" max="5642" width="13.453125" style="3" bestFit="1" customWidth="1"/>
    <col min="5643" max="5643" width="11.81640625" style="3" bestFit="1" customWidth="1"/>
    <col min="5644" max="5644" width="12.81640625" style="3" bestFit="1" customWidth="1"/>
    <col min="5645" max="5645" width="15.453125" style="3" bestFit="1" customWidth="1"/>
    <col min="5646" max="5646" width="18.453125" style="3" bestFit="1" customWidth="1"/>
    <col min="5647" max="5647" width="12.81640625" style="3" bestFit="1" customWidth="1"/>
    <col min="5648" max="5648" width="11.7265625" style="3" bestFit="1" customWidth="1"/>
    <col min="5649" max="5888" width="8.7265625" style="3"/>
    <col min="5889" max="5889" width="4.54296875" style="3" customWidth="1"/>
    <col min="5890" max="5890" width="35" style="3" bestFit="1" customWidth="1"/>
    <col min="5891" max="5891" width="14.54296875" style="3" bestFit="1" customWidth="1"/>
    <col min="5892" max="5892" width="12.81640625" style="3" bestFit="1" customWidth="1"/>
    <col min="5893" max="5893" width="21" style="3" bestFit="1" customWidth="1"/>
    <col min="5894" max="5894" width="18.453125" style="3" bestFit="1" customWidth="1"/>
    <col min="5895" max="5896" width="14.54296875" style="3" bestFit="1" customWidth="1"/>
    <col min="5897" max="5897" width="11.54296875" style="3" bestFit="1" customWidth="1"/>
    <col min="5898" max="5898" width="13.453125" style="3" bestFit="1" customWidth="1"/>
    <col min="5899" max="5899" width="11.81640625" style="3" bestFit="1" customWidth="1"/>
    <col min="5900" max="5900" width="12.81640625" style="3" bestFit="1" customWidth="1"/>
    <col min="5901" max="5901" width="15.453125" style="3" bestFit="1" customWidth="1"/>
    <col min="5902" max="5902" width="18.453125" style="3" bestFit="1" customWidth="1"/>
    <col min="5903" max="5903" width="12.81640625" style="3" bestFit="1" customWidth="1"/>
    <col min="5904" max="5904" width="11.7265625" style="3" bestFit="1" customWidth="1"/>
    <col min="5905" max="6144" width="8.7265625" style="3"/>
    <col min="6145" max="6145" width="4.54296875" style="3" customWidth="1"/>
    <col min="6146" max="6146" width="35" style="3" bestFit="1" customWidth="1"/>
    <col min="6147" max="6147" width="14.54296875" style="3" bestFit="1" customWidth="1"/>
    <col min="6148" max="6148" width="12.81640625" style="3" bestFit="1" customWidth="1"/>
    <col min="6149" max="6149" width="21" style="3" bestFit="1" customWidth="1"/>
    <col min="6150" max="6150" width="18.453125" style="3" bestFit="1" customWidth="1"/>
    <col min="6151" max="6152" width="14.54296875" style="3" bestFit="1" customWidth="1"/>
    <col min="6153" max="6153" width="11.54296875" style="3" bestFit="1" customWidth="1"/>
    <col min="6154" max="6154" width="13.453125" style="3" bestFit="1" customWidth="1"/>
    <col min="6155" max="6155" width="11.81640625" style="3" bestFit="1" customWidth="1"/>
    <col min="6156" max="6156" width="12.81640625" style="3" bestFit="1" customWidth="1"/>
    <col min="6157" max="6157" width="15.453125" style="3" bestFit="1" customWidth="1"/>
    <col min="6158" max="6158" width="18.453125" style="3" bestFit="1" customWidth="1"/>
    <col min="6159" max="6159" width="12.81640625" style="3" bestFit="1" customWidth="1"/>
    <col min="6160" max="6160" width="11.7265625" style="3" bestFit="1" customWidth="1"/>
    <col min="6161" max="6400" width="8.7265625" style="3"/>
    <col min="6401" max="6401" width="4.54296875" style="3" customWidth="1"/>
    <col min="6402" max="6402" width="35" style="3" bestFit="1" customWidth="1"/>
    <col min="6403" max="6403" width="14.54296875" style="3" bestFit="1" customWidth="1"/>
    <col min="6404" max="6404" width="12.81640625" style="3" bestFit="1" customWidth="1"/>
    <col min="6405" max="6405" width="21" style="3" bestFit="1" customWidth="1"/>
    <col min="6406" max="6406" width="18.453125" style="3" bestFit="1" customWidth="1"/>
    <col min="6407" max="6408" width="14.54296875" style="3" bestFit="1" customWidth="1"/>
    <col min="6409" max="6409" width="11.54296875" style="3" bestFit="1" customWidth="1"/>
    <col min="6410" max="6410" width="13.453125" style="3" bestFit="1" customWidth="1"/>
    <col min="6411" max="6411" width="11.81640625" style="3" bestFit="1" customWidth="1"/>
    <col min="6412" max="6412" width="12.81640625" style="3" bestFit="1" customWidth="1"/>
    <col min="6413" max="6413" width="15.453125" style="3" bestFit="1" customWidth="1"/>
    <col min="6414" max="6414" width="18.453125" style="3" bestFit="1" customWidth="1"/>
    <col min="6415" max="6415" width="12.81640625" style="3" bestFit="1" customWidth="1"/>
    <col min="6416" max="6416" width="11.7265625" style="3" bestFit="1" customWidth="1"/>
    <col min="6417" max="6656" width="8.7265625" style="3"/>
    <col min="6657" max="6657" width="4.54296875" style="3" customWidth="1"/>
    <col min="6658" max="6658" width="35" style="3" bestFit="1" customWidth="1"/>
    <col min="6659" max="6659" width="14.54296875" style="3" bestFit="1" customWidth="1"/>
    <col min="6660" max="6660" width="12.81640625" style="3" bestFit="1" customWidth="1"/>
    <col min="6661" max="6661" width="21" style="3" bestFit="1" customWidth="1"/>
    <col min="6662" max="6662" width="18.453125" style="3" bestFit="1" customWidth="1"/>
    <col min="6663" max="6664" width="14.54296875" style="3" bestFit="1" customWidth="1"/>
    <col min="6665" max="6665" width="11.54296875" style="3" bestFit="1" customWidth="1"/>
    <col min="6666" max="6666" width="13.453125" style="3" bestFit="1" customWidth="1"/>
    <col min="6667" max="6667" width="11.81640625" style="3" bestFit="1" customWidth="1"/>
    <col min="6668" max="6668" width="12.81640625" style="3" bestFit="1" customWidth="1"/>
    <col min="6669" max="6669" width="15.453125" style="3" bestFit="1" customWidth="1"/>
    <col min="6670" max="6670" width="18.453125" style="3" bestFit="1" customWidth="1"/>
    <col min="6671" max="6671" width="12.81640625" style="3" bestFit="1" customWidth="1"/>
    <col min="6672" max="6672" width="11.7265625" style="3" bestFit="1" customWidth="1"/>
    <col min="6673" max="6912" width="8.7265625" style="3"/>
    <col min="6913" max="6913" width="4.54296875" style="3" customWidth="1"/>
    <col min="6914" max="6914" width="35" style="3" bestFit="1" customWidth="1"/>
    <col min="6915" max="6915" width="14.54296875" style="3" bestFit="1" customWidth="1"/>
    <col min="6916" max="6916" width="12.81640625" style="3" bestFit="1" customWidth="1"/>
    <col min="6917" max="6917" width="21" style="3" bestFit="1" customWidth="1"/>
    <col min="6918" max="6918" width="18.453125" style="3" bestFit="1" customWidth="1"/>
    <col min="6919" max="6920" width="14.54296875" style="3" bestFit="1" customWidth="1"/>
    <col min="6921" max="6921" width="11.54296875" style="3" bestFit="1" customWidth="1"/>
    <col min="6922" max="6922" width="13.453125" style="3" bestFit="1" customWidth="1"/>
    <col min="6923" max="6923" width="11.81640625" style="3" bestFit="1" customWidth="1"/>
    <col min="6924" max="6924" width="12.81640625" style="3" bestFit="1" customWidth="1"/>
    <col min="6925" max="6925" width="15.453125" style="3" bestFit="1" customWidth="1"/>
    <col min="6926" max="6926" width="18.453125" style="3" bestFit="1" customWidth="1"/>
    <col min="6927" max="6927" width="12.81640625" style="3" bestFit="1" customWidth="1"/>
    <col min="6928" max="6928" width="11.7265625" style="3" bestFit="1" customWidth="1"/>
    <col min="6929" max="7168" width="8.7265625" style="3"/>
    <col min="7169" max="7169" width="4.54296875" style="3" customWidth="1"/>
    <col min="7170" max="7170" width="35" style="3" bestFit="1" customWidth="1"/>
    <col min="7171" max="7171" width="14.54296875" style="3" bestFit="1" customWidth="1"/>
    <col min="7172" max="7172" width="12.81640625" style="3" bestFit="1" customWidth="1"/>
    <col min="7173" max="7173" width="21" style="3" bestFit="1" customWidth="1"/>
    <col min="7174" max="7174" width="18.453125" style="3" bestFit="1" customWidth="1"/>
    <col min="7175" max="7176" width="14.54296875" style="3" bestFit="1" customWidth="1"/>
    <col min="7177" max="7177" width="11.54296875" style="3" bestFit="1" customWidth="1"/>
    <col min="7178" max="7178" width="13.453125" style="3" bestFit="1" customWidth="1"/>
    <col min="7179" max="7179" width="11.81640625" style="3" bestFit="1" customWidth="1"/>
    <col min="7180" max="7180" width="12.81640625" style="3" bestFit="1" customWidth="1"/>
    <col min="7181" max="7181" width="15.453125" style="3" bestFit="1" customWidth="1"/>
    <col min="7182" max="7182" width="18.453125" style="3" bestFit="1" customWidth="1"/>
    <col min="7183" max="7183" width="12.81640625" style="3" bestFit="1" customWidth="1"/>
    <col min="7184" max="7184" width="11.7265625" style="3" bestFit="1" customWidth="1"/>
    <col min="7185" max="7424" width="8.7265625" style="3"/>
    <col min="7425" max="7425" width="4.54296875" style="3" customWidth="1"/>
    <col min="7426" max="7426" width="35" style="3" bestFit="1" customWidth="1"/>
    <col min="7427" max="7427" width="14.54296875" style="3" bestFit="1" customWidth="1"/>
    <col min="7428" max="7428" width="12.81640625" style="3" bestFit="1" customWidth="1"/>
    <col min="7429" max="7429" width="21" style="3" bestFit="1" customWidth="1"/>
    <col min="7430" max="7430" width="18.453125" style="3" bestFit="1" customWidth="1"/>
    <col min="7431" max="7432" width="14.54296875" style="3" bestFit="1" customWidth="1"/>
    <col min="7433" max="7433" width="11.54296875" style="3" bestFit="1" customWidth="1"/>
    <col min="7434" max="7434" width="13.453125" style="3" bestFit="1" customWidth="1"/>
    <col min="7435" max="7435" width="11.81640625" style="3" bestFit="1" customWidth="1"/>
    <col min="7436" max="7436" width="12.81640625" style="3" bestFit="1" customWidth="1"/>
    <col min="7437" max="7437" width="15.453125" style="3" bestFit="1" customWidth="1"/>
    <col min="7438" max="7438" width="18.453125" style="3" bestFit="1" customWidth="1"/>
    <col min="7439" max="7439" width="12.81640625" style="3" bestFit="1" customWidth="1"/>
    <col min="7440" max="7440" width="11.7265625" style="3" bestFit="1" customWidth="1"/>
    <col min="7441" max="7680" width="8.7265625" style="3"/>
    <col min="7681" max="7681" width="4.54296875" style="3" customWidth="1"/>
    <col min="7682" max="7682" width="35" style="3" bestFit="1" customWidth="1"/>
    <col min="7683" max="7683" width="14.54296875" style="3" bestFit="1" customWidth="1"/>
    <col min="7684" max="7684" width="12.81640625" style="3" bestFit="1" customWidth="1"/>
    <col min="7685" max="7685" width="21" style="3" bestFit="1" customWidth="1"/>
    <col min="7686" max="7686" width="18.453125" style="3" bestFit="1" customWidth="1"/>
    <col min="7687" max="7688" width="14.54296875" style="3" bestFit="1" customWidth="1"/>
    <col min="7689" max="7689" width="11.54296875" style="3" bestFit="1" customWidth="1"/>
    <col min="7690" max="7690" width="13.453125" style="3" bestFit="1" customWidth="1"/>
    <col min="7691" max="7691" width="11.81640625" style="3" bestFit="1" customWidth="1"/>
    <col min="7692" max="7692" width="12.81640625" style="3" bestFit="1" customWidth="1"/>
    <col min="7693" max="7693" width="15.453125" style="3" bestFit="1" customWidth="1"/>
    <col min="7694" max="7694" width="18.453125" style="3" bestFit="1" customWidth="1"/>
    <col min="7695" max="7695" width="12.81640625" style="3" bestFit="1" customWidth="1"/>
    <col min="7696" max="7696" width="11.7265625" style="3" bestFit="1" customWidth="1"/>
    <col min="7697" max="7936" width="8.7265625" style="3"/>
    <col min="7937" max="7937" width="4.54296875" style="3" customWidth="1"/>
    <col min="7938" max="7938" width="35" style="3" bestFit="1" customWidth="1"/>
    <col min="7939" max="7939" width="14.54296875" style="3" bestFit="1" customWidth="1"/>
    <col min="7940" max="7940" width="12.81640625" style="3" bestFit="1" customWidth="1"/>
    <col min="7941" max="7941" width="21" style="3" bestFit="1" customWidth="1"/>
    <col min="7942" max="7942" width="18.453125" style="3" bestFit="1" customWidth="1"/>
    <col min="7943" max="7944" width="14.54296875" style="3" bestFit="1" customWidth="1"/>
    <col min="7945" max="7945" width="11.54296875" style="3" bestFit="1" customWidth="1"/>
    <col min="7946" max="7946" width="13.453125" style="3" bestFit="1" customWidth="1"/>
    <col min="7947" max="7947" width="11.81640625" style="3" bestFit="1" customWidth="1"/>
    <col min="7948" max="7948" width="12.81640625" style="3" bestFit="1" customWidth="1"/>
    <col min="7949" max="7949" width="15.453125" style="3" bestFit="1" customWidth="1"/>
    <col min="7950" max="7950" width="18.453125" style="3" bestFit="1" customWidth="1"/>
    <col min="7951" max="7951" width="12.81640625" style="3" bestFit="1" customWidth="1"/>
    <col min="7952" max="7952" width="11.7265625" style="3" bestFit="1" customWidth="1"/>
    <col min="7953" max="8192" width="8.7265625" style="3"/>
    <col min="8193" max="8193" width="4.54296875" style="3" customWidth="1"/>
    <col min="8194" max="8194" width="35" style="3" bestFit="1" customWidth="1"/>
    <col min="8195" max="8195" width="14.54296875" style="3" bestFit="1" customWidth="1"/>
    <col min="8196" max="8196" width="12.81640625" style="3" bestFit="1" customWidth="1"/>
    <col min="8197" max="8197" width="21" style="3" bestFit="1" customWidth="1"/>
    <col min="8198" max="8198" width="18.453125" style="3" bestFit="1" customWidth="1"/>
    <col min="8199" max="8200" width="14.54296875" style="3" bestFit="1" customWidth="1"/>
    <col min="8201" max="8201" width="11.54296875" style="3" bestFit="1" customWidth="1"/>
    <col min="8202" max="8202" width="13.453125" style="3" bestFit="1" customWidth="1"/>
    <col min="8203" max="8203" width="11.81640625" style="3" bestFit="1" customWidth="1"/>
    <col min="8204" max="8204" width="12.81640625" style="3" bestFit="1" customWidth="1"/>
    <col min="8205" max="8205" width="15.453125" style="3" bestFit="1" customWidth="1"/>
    <col min="8206" max="8206" width="18.453125" style="3" bestFit="1" customWidth="1"/>
    <col min="8207" max="8207" width="12.81640625" style="3" bestFit="1" customWidth="1"/>
    <col min="8208" max="8208" width="11.7265625" style="3" bestFit="1" customWidth="1"/>
    <col min="8209" max="8448" width="8.7265625" style="3"/>
    <col min="8449" max="8449" width="4.54296875" style="3" customWidth="1"/>
    <col min="8450" max="8450" width="35" style="3" bestFit="1" customWidth="1"/>
    <col min="8451" max="8451" width="14.54296875" style="3" bestFit="1" customWidth="1"/>
    <col min="8452" max="8452" width="12.81640625" style="3" bestFit="1" customWidth="1"/>
    <col min="8453" max="8453" width="21" style="3" bestFit="1" customWidth="1"/>
    <col min="8454" max="8454" width="18.453125" style="3" bestFit="1" customWidth="1"/>
    <col min="8455" max="8456" width="14.54296875" style="3" bestFit="1" customWidth="1"/>
    <col min="8457" max="8457" width="11.54296875" style="3" bestFit="1" customWidth="1"/>
    <col min="8458" max="8458" width="13.453125" style="3" bestFit="1" customWidth="1"/>
    <col min="8459" max="8459" width="11.81640625" style="3" bestFit="1" customWidth="1"/>
    <col min="8460" max="8460" width="12.81640625" style="3" bestFit="1" customWidth="1"/>
    <col min="8461" max="8461" width="15.453125" style="3" bestFit="1" customWidth="1"/>
    <col min="8462" max="8462" width="18.453125" style="3" bestFit="1" customWidth="1"/>
    <col min="8463" max="8463" width="12.81640625" style="3" bestFit="1" customWidth="1"/>
    <col min="8464" max="8464" width="11.7265625" style="3" bestFit="1" customWidth="1"/>
    <col min="8465" max="8704" width="8.7265625" style="3"/>
    <col min="8705" max="8705" width="4.54296875" style="3" customWidth="1"/>
    <col min="8706" max="8706" width="35" style="3" bestFit="1" customWidth="1"/>
    <col min="8707" max="8707" width="14.54296875" style="3" bestFit="1" customWidth="1"/>
    <col min="8708" max="8708" width="12.81640625" style="3" bestFit="1" customWidth="1"/>
    <col min="8709" max="8709" width="21" style="3" bestFit="1" customWidth="1"/>
    <col min="8710" max="8710" width="18.453125" style="3" bestFit="1" customWidth="1"/>
    <col min="8711" max="8712" width="14.54296875" style="3" bestFit="1" customWidth="1"/>
    <col min="8713" max="8713" width="11.54296875" style="3" bestFit="1" customWidth="1"/>
    <col min="8714" max="8714" width="13.453125" style="3" bestFit="1" customWidth="1"/>
    <col min="8715" max="8715" width="11.81640625" style="3" bestFit="1" customWidth="1"/>
    <col min="8716" max="8716" width="12.81640625" style="3" bestFit="1" customWidth="1"/>
    <col min="8717" max="8717" width="15.453125" style="3" bestFit="1" customWidth="1"/>
    <col min="8718" max="8718" width="18.453125" style="3" bestFit="1" customWidth="1"/>
    <col min="8719" max="8719" width="12.81640625" style="3" bestFit="1" customWidth="1"/>
    <col min="8720" max="8720" width="11.7265625" style="3" bestFit="1" customWidth="1"/>
    <col min="8721" max="8960" width="8.7265625" style="3"/>
    <col min="8961" max="8961" width="4.54296875" style="3" customWidth="1"/>
    <col min="8962" max="8962" width="35" style="3" bestFit="1" customWidth="1"/>
    <col min="8963" max="8963" width="14.54296875" style="3" bestFit="1" customWidth="1"/>
    <col min="8964" max="8964" width="12.81640625" style="3" bestFit="1" customWidth="1"/>
    <col min="8965" max="8965" width="21" style="3" bestFit="1" customWidth="1"/>
    <col min="8966" max="8966" width="18.453125" style="3" bestFit="1" customWidth="1"/>
    <col min="8967" max="8968" width="14.54296875" style="3" bestFit="1" customWidth="1"/>
    <col min="8969" max="8969" width="11.54296875" style="3" bestFit="1" customWidth="1"/>
    <col min="8970" max="8970" width="13.453125" style="3" bestFit="1" customWidth="1"/>
    <col min="8971" max="8971" width="11.81640625" style="3" bestFit="1" customWidth="1"/>
    <col min="8972" max="8972" width="12.81640625" style="3" bestFit="1" customWidth="1"/>
    <col min="8973" max="8973" width="15.453125" style="3" bestFit="1" customWidth="1"/>
    <col min="8974" max="8974" width="18.453125" style="3" bestFit="1" customWidth="1"/>
    <col min="8975" max="8975" width="12.81640625" style="3" bestFit="1" customWidth="1"/>
    <col min="8976" max="8976" width="11.7265625" style="3" bestFit="1" customWidth="1"/>
    <col min="8977" max="9216" width="8.7265625" style="3"/>
    <col min="9217" max="9217" width="4.54296875" style="3" customWidth="1"/>
    <col min="9218" max="9218" width="35" style="3" bestFit="1" customWidth="1"/>
    <col min="9219" max="9219" width="14.54296875" style="3" bestFit="1" customWidth="1"/>
    <col min="9220" max="9220" width="12.81640625" style="3" bestFit="1" customWidth="1"/>
    <col min="9221" max="9221" width="21" style="3" bestFit="1" customWidth="1"/>
    <col min="9222" max="9222" width="18.453125" style="3" bestFit="1" customWidth="1"/>
    <col min="9223" max="9224" width="14.54296875" style="3" bestFit="1" customWidth="1"/>
    <col min="9225" max="9225" width="11.54296875" style="3" bestFit="1" customWidth="1"/>
    <col min="9226" max="9226" width="13.453125" style="3" bestFit="1" customWidth="1"/>
    <col min="9227" max="9227" width="11.81640625" style="3" bestFit="1" customWidth="1"/>
    <col min="9228" max="9228" width="12.81640625" style="3" bestFit="1" customWidth="1"/>
    <col min="9229" max="9229" width="15.453125" style="3" bestFit="1" customWidth="1"/>
    <col min="9230" max="9230" width="18.453125" style="3" bestFit="1" customWidth="1"/>
    <col min="9231" max="9231" width="12.81640625" style="3" bestFit="1" customWidth="1"/>
    <col min="9232" max="9232" width="11.7265625" style="3" bestFit="1" customWidth="1"/>
    <col min="9233" max="9472" width="8.7265625" style="3"/>
    <col min="9473" max="9473" width="4.54296875" style="3" customWidth="1"/>
    <col min="9474" max="9474" width="35" style="3" bestFit="1" customWidth="1"/>
    <col min="9475" max="9475" width="14.54296875" style="3" bestFit="1" customWidth="1"/>
    <col min="9476" max="9476" width="12.81640625" style="3" bestFit="1" customWidth="1"/>
    <col min="9477" max="9477" width="21" style="3" bestFit="1" customWidth="1"/>
    <col min="9478" max="9478" width="18.453125" style="3" bestFit="1" customWidth="1"/>
    <col min="9479" max="9480" width="14.54296875" style="3" bestFit="1" customWidth="1"/>
    <col min="9481" max="9481" width="11.54296875" style="3" bestFit="1" customWidth="1"/>
    <col min="9482" max="9482" width="13.453125" style="3" bestFit="1" customWidth="1"/>
    <col min="9483" max="9483" width="11.81640625" style="3" bestFit="1" customWidth="1"/>
    <col min="9484" max="9484" width="12.81640625" style="3" bestFit="1" customWidth="1"/>
    <col min="9485" max="9485" width="15.453125" style="3" bestFit="1" customWidth="1"/>
    <col min="9486" max="9486" width="18.453125" style="3" bestFit="1" customWidth="1"/>
    <col min="9487" max="9487" width="12.81640625" style="3" bestFit="1" customWidth="1"/>
    <col min="9488" max="9488" width="11.7265625" style="3" bestFit="1" customWidth="1"/>
    <col min="9489" max="9728" width="8.7265625" style="3"/>
    <col min="9729" max="9729" width="4.54296875" style="3" customWidth="1"/>
    <col min="9730" max="9730" width="35" style="3" bestFit="1" customWidth="1"/>
    <col min="9731" max="9731" width="14.54296875" style="3" bestFit="1" customWidth="1"/>
    <col min="9732" max="9732" width="12.81640625" style="3" bestFit="1" customWidth="1"/>
    <col min="9733" max="9733" width="21" style="3" bestFit="1" customWidth="1"/>
    <col min="9734" max="9734" width="18.453125" style="3" bestFit="1" customWidth="1"/>
    <col min="9735" max="9736" width="14.54296875" style="3" bestFit="1" customWidth="1"/>
    <col min="9737" max="9737" width="11.54296875" style="3" bestFit="1" customWidth="1"/>
    <col min="9738" max="9738" width="13.453125" style="3" bestFit="1" customWidth="1"/>
    <col min="9739" max="9739" width="11.81640625" style="3" bestFit="1" customWidth="1"/>
    <col min="9740" max="9740" width="12.81640625" style="3" bestFit="1" customWidth="1"/>
    <col min="9741" max="9741" width="15.453125" style="3" bestFit="1" customWidth="1"/>
    <col min="9742" max="9742" width="18.453125" style="3" bestFit="1" customWidth="1"/>
    <col min="9743" max="9743" width="12.81640625" style="3" bestFit="1" customWidth="1"/>
    <col min="9744" max="9744" width="11.7265625" style="3" bestFit="1" customWidth="1"/>
    <col min="9745" max="9984" width="8.7265625" style="3"/>
    <col min="9985" max="9985" width="4.54296875" style="3" customWidth="1"/>
    <col min="9986" max="9986" width="35" style="3" bestFit="1" customWidth="1"/>
    <col min="9987" max="9987" width="14.54296875" style="3" bestFit="1" customWidth="1"/>
    <col min="9988" max="9988" width="12.81640625" style="3" bestFit="1" customWidth="1"/>
    <col min="9989" max="9989" width="21" style="3" bestFit="1" customWidth="1"/>
    <col min="9990" max="9990" width="18.453125" style="3" bestFit="1" customWidth="1"/>
    <col min="9991" max="9992" width="14.54296875" style="3" bestFit="1" customWidth="1"/>
    <col min="9993" max="9993" width="11.54296875" style="3" bestFit="1" customWidth="1"/>
    <col min="9994" max="9994" width="13.453125" style="3" bestFit="1" customWidth="1"/>
    <col min="9995" max="9995" width="11.81640625" style="3" bestFit="1" customWidth="1"/>
    <col min="9996" max="9996" width="12.81640625" style="3" bestFit="1" customWidth="1"/>
    <col min="9997" max="9997" width="15.453125" style="3" bestFit="1" customWidth="1"/>
    <col min="9998" max="9998" width="18.453125" style="3" bestFit="1" customWidth="1"/>
    <col min="9999" max="9999" width="12.81640625" style="3" bestFit="1" customWidth="1"/>
    <col min="10000" max="10000" width="11.7265625" style="3" bestFit="1" customWidth="1"/>
    <col min="10001" max="10240" width="8.7265625" style="3"/>
    <col min="10241" max="10241" width="4.54296875" style="3" customWidth="1"/>
    <col min="10242" max="10242" width="35" style="3" bestFit="1" customWidth="1"/>
    <col min="10243" max="10243" width="14.54296875" style="3" bestFit="1" customWidth="1"/>
    <col min="10244" max="10244" width="12.81640625" style="3" bestFit="1" customWidth="1"/>
    <col min="10245" max="10245" width="21" style="3" bestFit="1" customWidth="1"/>
    <col min="10246" max="10246" width="18.453125" style="3" bestFit="1" customWidth="1"/>
    <col min="10247" max="10248" width="14.54296875" style="3" bestFit="1" customWidth="1"/>
    <col min="10249" max="10249" width="11.54296875" style="3" bestFit="1" customWidth="1"/>
    <col min="10250" max="10250" width="13.453125" style="3" bestFit="1" customWidth="1"/>
    <col min="10251" max="10251" width="11.81640625" style="3" bestFit="1" customWidth="1"/>
    <col min="10252" max="10252" width="12.81640625" style="3" bestFit="1" customWidth="1"/>
    <col min="10253" max="10253" width="15.453125" style="3" bestFit="1" customWidth="1"/>
    <col min="10254" max="10254" width="18.453125" style="3" bestFit="1" customWidth="1"/>
    <col min="10255" max="10255" width="12.81640625" style="3" bestFit="1" customWidth="1"/>
    <col min="10256" max="10256" width="11.7265625" style="3" bestFit="1" customWidth="1"/>
    <col min="10257" max="10496" width="8.7265625" style="3"/>
    <col min="10497" max="10497" width="4.54296875" style="3" customWidth="1"/>
    <col min="10498" max="10498" width="35" style="3" bestFit="1" customWidth="1"/>
    <col min="10499" max="10499" width="14.54296875" style="3" bestFit="1" customWidth="1"/>
    <col min="10500" max="10500" width="12.81640625" style="3" bestFit="1" customWidth="1"/>
    <col min="10501" max="10501" width="21" style="3" bestFit="1" customWidth="1"/>
    <col min="10502" max="10502" width="18.453125" style="3" bestFit="1" customWidth="1"/>
    <col min="10503" max="10504" width="14.54296875" style="3" bestFit="1" customWidth="1"/>
    <col min="10505" max="10505" width="11.54296875" style="3" bestFit="1" customWidth="1"/>
    <col min="10506" max="10506" width="13.453125" style="3" bestFit="1" customWidth="1"/>
    <col min="10507" max="10507" width="11.81640625" style="3" bestFit="1" customWidth="1"/>
    <col min="10508" max="10508" width="12.81640625" style="3" bestFit="1" customWidth="1"/>
    <col min="10509" max="10509" width="15.453125" style="3" bestFit="1" customWidth="1"/>
    <col min="10510" max="10510" width="18.453125" style="3" bestFit="1" customWidth="1"/>
    <col min="10511" max="10511" width="12.81640625" style="3" bestFit="1" customWidth="1"/>
    <col min="10512" max="10512" width="11.7265625" style="3" bestFit="1" customWidth="1"/>
    <col min="10513" max="10752" width="8.7265625" style="3"/>
    <col min="10753" max="10753" width="4.54296875" style="3" customWidth="1"/>
    <col min="10754" max="10754" width="35" style="3" bestFit="1" customWidth="1"/>
    <col min="10755" max="10755" width="14.54296875" style="3" bestFit="1" customWidth="1"/>
    <col min="10756" max="10756" width="12.81640625" style="3" bestFit="1" customWidth="1"/>
    <col min="10757" max="10757" width="21" style="3" bestFit="1" customWidth="1"/>
    <col min="10758" max="10758" width="18.453125" style="3" bestFit="1" customWidth="1"/>
    <col min="10759" max="10760" width="14.54296875" style="3" bestFit="1" customWidth="1"/>
    <col min="10761" max="10761" width="11.54296875" style="3" bestFit="1" customWidth="1"/>
    <col min="10762" max="10762" width="13.453125" style="3" bestFit="1" customWidth="1"/>
    <col min="10763" max="10763" width="11.81640625" style="3" bestFit="1" customWidth="1"/>
    <col min="10764" max="10764" width="12.81640625" style="3" bestFit="1" customWidth="1"/>
    <col min="10765" max="10765" width="15.453125" style="3" bestFit="1" customWidth="1"/>
    <col min="10766" max="10766" width="18.453125" style="3" bestFit="1" customWidth="1"/>
    <col min="10767" max="10767" width="12.81640625" style="3" bestFit="1" customWidth="1"/>
    <col min="10768" max="10768" width="11.7265625" style="3" bestFit="1" customWidth="1"/>
    <col min="10769" max="11008" width="8.7265625" style="3"/>
    <col min="11009" max="11009" width="4.54296875" style="3" customWidth="1"/>
    <col min="11010" max="11010" width="35" style="3" bestFit="1" customWidth="1"/>
    <col min="11011" max="11011" width="14.54296875" style="3" bestFit="1" customWidth="1"/>
    <col min="11012" max="11012" width="12.81640625" style="3" bestFit="1" customWidth="1"/>
    <col min="11013" max="11013" width="21" style="3" bestFit="1" customWidth="1"/>
    <col min="11014" max="11014" width="18.453125" style="3" bestFit="1" customWidth="1"/>
    <col min="11015" max="11016" width="14.54296875" style="3" bestFit="1" customWidth="1"/>
    <col min="11017" max="11017" width="11.54296875" style="3" bestFit="1" customWidth="1"/>
    <col min="11018" max="11018" width="13.453125" style="3" bestFit="1" customWidth="1"/>
    <col min="11019" max="11019" width="11.81640625" style="3" bestFit="1" customWidth="1"/>
    <col min="11020" max="11020" width="12.81640625" style="3" bestFit="1" customWidth="1"/>
    <col min="11021" max="11021" width="15.453125" style="3" bestFit="1" customWidth="1"/>
    <col min="11022" max="11022" width="18.453125" style="3" bestFit="1" customWidth="1"/>
    <col min="11023" max="11023" width="12.81640625" style="3" bestFit="1" customWidth="1"/>
    <col min="11024" max="11024" width="11.7265625" style="3" bestFit="1" customWidth="1"/>
    <col min="11025" max="11264" width="8.7265625" style="3"/>
    <col min="11265" max="11265" width="4.54296875" style="3" customWidth="1"/>
    <col min="11266" max="11266" width="35" style="3" bestFit="1" customWidth="1"/>
    <col min="11267" max="11267" width="14.54296875" style="3" bestFit="1" customWidth="1"/>
    <col min="11268" max="11268" width="12.81640625" style="3" bestFit="1" customWidth="1"/>
    <col min="11269" max="11269" width="21" style="3" bestFit="1" customWidth="1"/>
    <col min="11270" max="11270" width="18.453125" style="3" bestFit="1" customWidth="1"/>
    <col min="11271" max="11272" width="14.54296875" style="3" bestFit="1" customWidth="1"/>
    <col min="11273" max="11273" width="11.54296875" style="3" bestFit="1" customWidth="1"/>
    <col min="11274" max="11274" width="13.453125" style="3" bestFit="1" customWidth="1"/>
    <col min="11275" max="11275" width="11.81640625" style="3" bestFit="1" customWidth="1"/>
    <col min="11276" max="11276" width="12.81640625" style="3" bestFit="1" customWidth="1"/>
    <col min="11277" max="11277" width="15.453125" style="3" bestFit="1" customWidth="1"/>
    <col min="11278" max="11278" width="18.453125" style="3" bestFit="1" customWidth="1"/>
    <col min="11279" max="11279" width="12.81640625" style="3" bestFit="1" customWidth="1"/>
    <col min="11280" max="11280" width="11.7265625" style="3" bestFit="1" customWidth="1"/>
    <col min="11281" max="11520" width="8.7265625" style="3"/>
    <col min="11521" max="11521" width="4.54296875" style="3" customWidth="1"/>
    <col min="11522" max="11522" width="35" style="3" bestFit="1" customWidth="1"/>
    <col min="11523" max="11523" width="14.54296875" style="3" bestFit="1" customWidth="1"/>
    <col min="11524" max="11524" width="12.81640625" style="3" bestFit="1" customWidth="1"/>
    <col min="11525" max="11525" width="21" style="3" bestFit="1" customWidth="1"/>
    <col min="11526" max="11526" width="18.453125" style="3" bestFit="1" customWidth="1"/>
    <col min="11527" max="11528" width="14.54296875" style="3" bestFit="1" customWidth="1"/>
    <col min="11529" max="11529" width="11.54296875" style="3" bestFit="1" customWidth="1"/>
    <col min="11530" max="11530" width="13.453125" style="3" bestFit="1" customWidth="1"/>
    <col min="11531" max="11531" width="11.81640625" style="3" bestFit="1" customWidth="1"/>
    <col min="11532" max="11532" width="12.81640625" style="3" bestFit="1" customWidth="1"/>
    <col min="11533" max="11533" width="15.453125" style="3" bestFit="1" customWidth="1"/>
    <col min="11534" max="11534" width="18.453125" style="3" bestFit="1" customWidth="1"/>
    <col min="11535" max="11535" width="12.81640625" style="3" bestFit="1" customWidth="1"/>
    <col min="11536" max="11536" width="11.7265625" style="3" bestFit="1" customWidth="1"/>
    <col min="11537" max="11776" width="8.7265625" style="3"/>
    <col min="11777" max="11777" width="4.54296875" style="3" customWidth="1"/>
    <col min="11778" max="11778" width="35" style="3" bestFit="1" customWidth="1"/>
    <col min="11779" max="11779" width="14.54296875" style="3" bestFit="1" customWidth="1"/>
    <col min="11780" max="11780" width="12.81640625" style="3" bestFit="1" customWidth="1"/>
    <col min="11781" max="11781" width="21" style="3" bestFit="1" customWidth="1"/>
    <col min="11782" max="11782" width="18.453125" style="3" bestFit="1" customWidth="1"/>
    <col min="11783" max="11784" width="14.54296875" style="3" bestFit="1" customWidth="1"/>
    <col min="11785" max="11785" width="11.54296875" style="3" bestFit="1" customWidth="1"/>
    <col min="11786" max="11786" width="13.453125" style="3" bestFit="1" customWidth="1"/>
    <col min="11787" max="11787" width="11.81640625" style="3" bestFit="1" customWidth="1"/>
    <col min="11788" max="11788" width="12.81640625" style="3" bestFit="1" customWidth="1"/>
    <col min="11789" max="11789" width="15.453125" style="3" bestFit="1" customWidth="1"/>
    <col min="11790" max="11790" width="18.453125" style="3" bestFit="1" customWidth="1"/>
    <col min="11791" max="11791" width="12.81640625" style="3" bestFit="1" customWidth="1"/>
    <col min="11792" max="11792" width="11.7265625" style="3" bestFit="1" customWidth="1"/>
    <col min="11793" max="12032" width="8.7265625" style="3"/>
    <col min="12033" max="12033" width="4.54296875" style="3" customWidth="1"/>
    <col min="12034" max="12034" width="35" style="3" bestFit="1" customWidth="1"/>
    <col min="12035" max="12035" width="14.54296875" style="3" bestFit="1" customWidth="1"/>
    <col min="12036" max="12036" width="12.81640625" style="3" bestFit="1" customWidth="1"/>
    <col min="12037" max="12037" width="21" style="3" bestFit="1" customWidth="1"/>
    <col min="12038" max="12038" width="18.453125" style="3" bestFit="1" customWidth="1"/>
    <col min="12039" max="12040" width="14.54296875" style="3" bestFit="1" customWidth="1"/>
    <col min="12041" max="12041" width="11.54296875" style="3" bestFit="1" customWidth="1"/>
    <col min="12042" max="12042" width="13.453125" style="3" bestFit="1" customWidth="1"/>
    <col min="12043" max="12043" width="11.81640625" style="3" bestFit="1" customWidth="1"/>
    <col min="12044" max="12044" width="12.81640625" style="3" bestFit="1" customWidth="1"/>
    <col min="12045" max="12045" width="15.453125" style="3" bestFit="1" customWidth="1"/>
    <col min="12046" max="12046" width="18.453125" style="3" bestFit="1" customWidth="1"/>
    <col min="12047" max="12047" width="12.81640625" style="3" bestFit="1" customWidth="1"/>
    <col min="12048" max="12048" width="11.7265625" style="3" bestFit="1" customWidth="1"/>
    <col min="12049" max="12288" width="8.7265625" style="3"/>
    <col min="12289" max="12289" width="4.54296875" style="3" customWidth="1"/>
    <col min="12290" max="12290" width="35" style="3" bestFit="1" customWidth="1"/>
    <col min="12291" max="12291" width="14.54296875" style="3" bestFit="1" customWidth="1"/>
    <col min="12292" max="12292" width="12.81640625" style="3" bestFit="1" customWidth="1"/>
    <col min="12293" max="12293" width="21" style="3" bestFit="1" customWidth="1"/>
    <col min="12294" max="12294" width="18.453125" style="3" bestFit="1" customWidth="1"/>
    <col min="12295" max="12296" width="14.54296875" style="3" bestFit="1" customWidth="1"/>
    <col min="12297" max="12297" width="11.54296875" style="3" bestFit="1" customWidth="1"/>
    <col min="12298" max="12298" width="13.453125" style="3" bestFit="1" customWidth="1"/>
    <col min="12299" max="12299" width="11.81640625" style="3" bestFit="1" customWidth="1"/>
    <col min="12300" max="12300" width="12.81640625" style="3" bestFit="1" customWidth="1"/>
    <col min="12301" max="12301" width="15.453125" style="3" bestFit="1" customWidth="1"/>
    <col min="12302" max="12302" width="18.453125" style="3" bestFit="1" customWidth="1"/>
    <col min="12303" max="12303" width="12.81640625" style="3" bestFit="1" customWidth="1"/>
    <col min="12304" max="12304" width="11.7265625" style="3" bestFit="1" customWidth="1"/>
    <col min="12305" max="12544" width="8.7265625" style="3"/>
    <col min="12545" max="12545" width="4.54296875" style="3" customWidth="1"/>
    <col min="12546" max="12546" width="35" style="3" bestFit="1" customWidth="1"/>
    <col min="12547" max="12547" width="14.54296875" style="3" bestFit="1" customWidth="1"/>
    <col min="12548" max="12548" width="12.81640625" style="3" bestFit="1" customWidth="1"/>
    <col min="12549" max="12549" width="21" style="3" bestFit="1" customWidth="1"/>
    <col min="12550" max="12550" width="18.453125" style="3" bestFit="1" customWidth="1"/>
    <col min="12551" max="12552" width="14.54296875" style="3" bestFit="1" customWidth="1"/>
    <col min="12553" max="12553" width="11.54296875" style="3" bestFit="1" customWidth="1"/>
    <col min="12554" max="12554" width="13.453125" style="3" bestFit="1" customWidth="1"/>
    <col min="12555" max="12555" width="11.81640625" style="3" bestFit="1" customWidth="1"/>
    <col min="12556" max="12556" width="12.81640625" style="3" bestFit="1" customWidth="1"/>
    <col min="12557" max="12557" width="15.453125" style="3" bestFit="1" customWidth="1"/>
    <col min="12558" max="12558" width="18.453125" style="3" bestFit="1" customWidth="1"/>
    <col min="12559" max="12559" width="12.81640625" style="3" bestFit="1" customWidth="1"/>
    <col min="12560" max="12560" width="11.7265625" style="3" bestFit="1" customWidth="1"/>
    <col min="12561" max="12800" width="8.7265625" style="3"/>
    <col min="12801" max="12801" width="4.54296875" style="3" customWidth="1"/>
    <col min="12802" max="12802" width="35" style="3" bestFit="1" customWidth="1"/>
    <col min="12803" max="12803" width="14.54296875" style="3" bestFit="1" customWidth="1"/>
    <col min="12804" max="12804" width="12.81640625" style="3" bestFit="1" customWidth="1"/>
    <col min="12805" max="12805" width="21" style="3" bestFit="1" customWidth="1"/>
    <col min="12806" max="12806" width="18.453125" style="3" bestFit="1" customWidth="1"/>
    <col min="12807" max="12808" width="14.54296875" style="3" bestFit="1" customWidth="1"/>
    <col min="12809" max="12809" width="11.54296875" style="3" bestFit="1" customWidth="1"/>
    <col min="12810" max="12810" width="13.453125" style="3" bestFit="1" customWidth="1"/>
    <col min="12811" max="12811" width="11.81640625" style="3" bestFit="1" customWidth="1"/>
    <col min="12812" max="12812" width="12.81640625" style="3" bestFit="1" customWidth="1"/>
    <col min="12813" max="12813" width="15.453125" style="3" bestFit="1" customWidth="1"/>
    <col min="12814" max="12814" width="18.453125" style="3" bestFit="1" customWidth="1"/>
    <col min="12815" max="12815" width="12.81640625" style="3" bestFit="1" customWidth="1"/>
    <col min="12816" max="12816" width="11.7265625" style="3" bestFit="1" customWidth="1"/>
    <col min="12817" max="13056" width="8.7265625" style="3"/>
    <col min="13057" max="13057" width="4.54296875" style="3" customWidth="1"/>
    <col min="13058" max="13058" width="35" style="3" bestFit="1" customWidth="1"/>
    <col min="13059" max="13059" width="14.54296875" style="3" bestFit="1" customWidth="1"/>
    <col min="13060" max="13060" width="12.81640625" style="3" bestFit="1" customWidth="1"/>
    <col min="13061" max="13061" width="21" style="3" bestFit="1" customWidth="1"/>
    <col min="13062" max="13062" width="18.453125" style="3" bestFit="1" customWidth="1"/>
    <col min="13063" max="13064" width="14.54296875" style="3" bestFit="1" customWidth="1"/>
    <col min="13065" max="13065" width="11.54296875" style="3" bestFit="1" customWidth="1"/>
    <col min="13066" max="13066" width="13.453125" style="3" bestFit="1" customWidth="1"/>
    <col min="13067" max="13067" width="11.81640625" style="3" bestFit="1" customWidth="1"/>
    <col min="13068" max="13068" width="12.81640625" style="3" bestFit="1" customWidth="1"/>
    <col min="13069" max="13069" width="15.453125" style="3" bestFit="1" customWidth="1"/>
    <col min="13070" max="13070" width="18.453125" style="3" bestFit="1" customWidth="1"/>
    <col min="13071" max="13071" width="12.81640625" style="3" bestFit="1" customWidth="1"/>
    <col min="13072" max="13072" width="11.7265625" style="3" bestFit="1" customWidth="1"/>
    <col min="13073" max="13312" width="8.7265625" style="3"/>
    <col min="13313" max="13313" width="4.54296875" style="3" customWidth="1"/>
    <col min="13314" max="13314" width="35" style="3" bestFit="1" customWidth="1"/>
    <col min="13315" max="13315" width="14.54296875" style="3" bestFit="1" customWidth="1"/>
    <col min="13316" max="13316" width="12.81640625" style="3" bestFit="1" customWidth="1"/>
    <col min="13317" max="13317" width="21" style="3" bestFit="1" customWidth="1"/>
    <col min="13318" max="13318" width="18.453125" style="3" bestFit="1" customWidth="1"/>
    <col min="13319" max="13320" width="14.54296875" style="3" bestFit="1" customWidth="1"/>
    <col min="13321" max="13321" width="11.54296875" style="3" bestFit="1" customWidth="1"/>
    <col min="13322" max="13322" width="13.453125" style="3" bestFit="1" customWidth="1"/>
    <col min="13323" max="13323" width="11.81640625" style="3" bestFit="1" customWidth="1"/>
    <col min="13324" max="13324" width="12.81640625" style="3" bestFit="1" customWidth="1"/>
    <col min="13325" max="13325" width="15.453125" style="3" bestFit="1" customWidth="1"/>
    <col min="13326" max="13326" width="18.453125" style="3" bestFit="1" customWidth="1"/>
    <col min="13327" max="13327" width="12.81640625" style="3" bestFit="1" customWidth="1"/>
    <col min="13328" max="13328" width="11.7265625" style="3" bestFit="1" customWidth="1"/>
    <col min="13329" max="13568" width="8.7265625" style="3"/>
    <col min="13569" max="13569" width="4.54296875" style="3" customWidth="1"/>
    <col min="13570" max="13570" width="35" style="3" bestFit="1" customWidth="1"/>
    <col min="13571" max="13571" width="14.54296875" style="3" bestFit="1" customWidth="1"/>
    <col min="13572" max="13572" width="12.81640625" style="3" bestFit="1" customWidth="1"/>
    <col min="13573" max="13573" width="21" style="3" bestFit="1" customWidth="1"/>
    <col min="13574" max="13574" width="18.453125" style="3" bestFit="1" customWidth="1"/>
    <col min="13575" max="13576" width="14.54296875" style="3" bestFit="1" customWidth="1"/>
    <col min="13577" max="13577" width="11.54296875" style="3" bestFit="1" customWidth="1"/>
    <col min="13578" max="13578" width="13.453125" style="3" bestFit="1" customWidth="1"/>
    <col min="13579" max="13579" width="11.81640625" style="3" bestFit="1" customWidth="1"/>
    <col min="13580" max="13580" width="12.81640625" style="3" bestFit="1" customWidth="1"/>
    <col min="13581" max="13581" width="15.453125" style="3" bestFit="1" customWidth="1"/>
    <col min="13582" max="13582" width="18.453125" style="3" bestFit="1" customWidth="1"/>
    <col min="13583" max="13583" width="12.81640625" style="3" bestFit="1" customWidth="1"/>
    <col min="13584" max="13584" width="11.7265625" style="3" bestFit="1" customWidth="1"/>
    <col min="13585" max="13824" width="8.7265625" style="3"/>
    <col min="13825" max="13825" width="4.54296875" style="3" customWidth="1"/>
    <col min="13826" max="13826" width="35" style="3" bestFit="1" customWidth="1"/>
    <col min="13827" max="13827" width="14.54296875" style="3" bestFit="1" customWidth="1"/>
    <col min="13828" max="13828" width="12.81640625" style="3" bestFit="1" customWidth="1"/>
    <col min="13829" max="13829" width="21" style="3" bestFit="1" customWidth="1"/>
    <col min="13830" max="13830" width="18.453125" style="3" bestFit="1" customWidth="1"/>
    <col min="13831" max="13832" width="14.54296875" style="3" bestFit="1" customWidth="1"/>
    <col min="13833" max="13833" width="11.54296875" style="3" bestFit="1" customWidth="1"/>
    <col min="13834" max="13834" width="13.453125" style="3" bestFit="1" customWidth="1"/>
    <col min="13835" max="13835" width="11.81640625" style="3" bestFit="1" customWidth="1"/>
    <col min="13836" max="13836" width="12.81640625" style="3" bestFit="1" customWidth="1"/>
    <col min="13837" max="13837" width="15.453125" style="3" bestFit="1" customWidth="1"/>
    <col min="13838" max="13838" width="18.453125" style="3" bestFit="1" customWidth="1"/>
    <col min="13839" max="13839" width="12.81640625" style="3" bestFit="1" customWidth="1"/>
    <col min="13840" max="13840" width="11.7265625" style="3" bestFit="1" customWidth="1"/>
    <col min="13841" max="14080" width="8.7265625" style="3"/>
    <col min="14081" max="14081" width="4.54296875" style="3" customWidth="1"/>
    <col min="14082" max="14082" width="35" style="3" bestFit="1" customWidth="1"/>
    <col min="14083" max="14083" width="14.54296875" style="3" bestFit="1" customWidth="1"/>
    <col min="14084" max="14084" width="12.81640625" style="3" bestFit="1" customWidth="1"/>
    <col min="14085" max="14085" width="21" style="3" bestFit="1" customWidth="1"/>
    <col min="14086" max="14086" width="18.453125" style="3" bestFit="1" customWidth="1"/>
    <col min="14087" max="14088" width="14.54296875" style="3" bestFit="1" customWidth="1"/>
    <col min="14089" max="14089" width="11.54296875" style="3" bestFit="1" customWidth="1"/>
    <col min="14090" max="14090" width="13.453125" style="3" bestFit="1" customWidth="1"/>
    <col min="14091" max="14091" width="11.81640625" style="3" bestFit="1" customWidth="1"/>
    <col min="14092" max="14092" width="12.81640625" style="3" bestFit="1" customWidth="1"/>
    <col min="14093" max="14093" width="15.453125" style="3" bestFit="1" customWidth="1"/>
    <col min="14094" max="14094" width="18.453125" style="3" bestFit="1" customWidth="1"/>
    <col min="14095" max="14095" width="12.81640625" style="3" bestFit="1" customWidth="1"/>
    <col min="14096" max="14096" width="11.7265625" style="3" bestFit="1" customWidth="1"/>
    <col min="14097" max="14336" width="8.7265625" style="3"/>
    <col min="14337" max="14337" width="4.54296875" style="3" customWidth="1"/>
    <col min="14338" max="14338" width="35" style="3" bestFit="1" customWidth="1"/>
    <col min="14339" max="14339" width="14.54296875" style="3" bestFit="1" customWidth="1"/>
    <col min="14340" max="14340" width="12.81640625" style="3" bestFit="1" customWidth="1"/>
    <col min="14341" max="14341" width="21" style="3" bestFit="1" customWidth="1"/>
    <col min="14342" max="14342" width="18.453125" style="3" bestFit="1" customWidth="1"/>
    <col min="14343" max="14344" width="14.54296875" style="3" bestFit="1" customWidth="1"/>
    <col min="14345" max="14345" width="11.54296875" style="3" bestFit="1" customWidth="1"/>
    <col min="14346" max="14346" width="13.453125" style="3" bestFit="1" customWidth="1"/>
    <col min="14347" max="14347" width="11.81640625" style="3" bestFit="1" customWidth="1"/>
    <col min="14348" max="14348" width="12.81640625" style="3" bestFit="1" customWidth="1"/>
    <col min="14349" max="14349" width="15.453125" style="3" bestFit="1" customWidth="1"/>
    <col min="14350" max="14350" width="18.453125" style="3" bestFit="1" customWidth="1"/>
    <col min="14351" max="14351" width="12.81640625" style="3" bestFit="1" customWidth="1"/>
    <col min="14352" max="14352" width="11.7265625" style="3" bestFit="1" customWidth="1"/>
    <col min="14353" max="14592" width="8.7265625" style="3"/>
    <col min="14593" max="14593" width="4.54296875" style="3" customWidth="1"/>
    <col min="14594" max="14594" width="35" style="3" bestFit="1" customWidth="1"/>
    <col min="14595" max="14595" width="14.54296875" style="3" bestFit="1" customWidth="1"/>
    <col min="14596" max="14596" width="12.81640625" style="3" bestFit="1" customWidth="1"/>
    <col min="14597" max="14597" width="21" style="3" bestFit="1" customWidth="1"/>
    <col min="14598" max="14598" width="18.453125" style="3" bestFit="1" customWidth="1"/>
    <col min="14599" max="14600" width="14.54296875" style="3" bestFit="1" customWidth="1"/>
    <col min="14601" max="14601" width="11.54296875" style="3" bestFit="1" customWidth="1"/>
    <col min="14602" max="14602" width="13.453125" style="3" bestFit="1" customWidth="1"/>
    <col min="14603" max="14603" width="11.81640625" style="3" bestFit="1" customWidth="1"/>
    <col min="14604" max="14604" width="12.81640625" style="3" bestFit="1" customWidth="1"/>
    <col min="14605" max="14605" width="15.453125" style="3" bestFit="1" customWidth="1"/>
    <col min="14606" max="14606" width="18.453125" style="3" bestFit="1" customWidth="1"/>
    <col min="14607" max="14607" width="12.81640625" style="3" bestFit="1" customWidth="1"/>
    <col min="14608" max="14608" width="11.7265625" style="3" bestFit="1" customWidth="1"/>
    <col min="14609" max="14848" width="8.7265625" style="3"/>
    <col min="14849" max="14849" width="4.54296875" style="3" customWidth="1"/>
    <col min="14850" max="14850" width="35" style="3" bestFit="1" customWidth="1"/>
    <col min="14851" max="14851" width="14.54296875" style="3" bestFit="1" customWidth="1"/>
    <col min="14852" max="14852" width="12.81640625" style="3" bestFit="1" customWidth="1"/>
    <col min="14853" max="14853" width="21" style="3" bestFit="1" customWidth="1"/>
    <col min="14854" max="14854" width="18.453125" style="3" bestFit="1" customWidth="1"/>
    <col min="14855" max="14856" width="14.54296875" style="3" bestFit="1" customWidth="1"/>
    <col min="14857" max="14857" width="11.54296875" style="3" bestFit="1" customWidth="1"/>
    <col min="14858" max="14858" width="13.453125" style="3" bestFit="1" customWidth="1"/>
    <col min="14859" max="14859" width="11.81640625" style="3" bestFit="1" customWidth="1"/>
    <col min="14860" max="14860" width="12.81640625" style="3" bestFit="1" customWidth="1"/>
    <col min="14861" max="14861" width="15.453125" style="3" bestFit="1" customWidth="1"/>
    <col min="14862" max="14862" width="18.453125" style="3" bestFit="1" customWidth="1"/>
    <col min="14863" max="14863" width="12.81640625" style="3" bestFit="1" customWidth="1"/>
    <col min="14864" max="14864" width="11.7265625" style="3" bestFit="1" customWidth="1"/>
    <col min="14865" max="15104" width="8.7265625" style="3"/>
    <col min="15105" max="15105" width="4.54296875" style="3" customWidth="1"/>
    <col min="15106" max="15106" width="35" style="3" bestFit="1" customWidth="1"/>
    <col min="15107" max="15107" width="14.54296875" style="3" bestFit="1" customWidth="1"/>
    <col min="15108" max="15108" width="12.81640625" style="3" bestFit="1" customWidth="1"/>
    <col min="15109" max="15109" width="21" style="3" bestFit="1" customWidth="1"/>
    <col min="15110" max="15110" width="18.453125" style="3" bestFit="1" customWidth="1"/>
    <col min="15111" max="15112" width="14.54296875" style="3" bestFit="1" customWidth="1"/>
    <col min="15113" max="15113" width="11.54296875" style="3" bestFit="1" customWidth="1"/>
    <col min="15114" max="15114" width="13.453125" style="3" bestFit="1" customWidth="1"/>
    <col min="15115" max="15115" width="11.81640625" style="3" bestFit="1" customWidth="1"/>
    <col min="15116" max="15116" width="12.81640625" style="3" bestFit="1" customWidth="1"/>
    <col min="15117" max="15117" width="15.453125" style="3" bestFit="1" customWidth="1"/>
    <col min="15118" max="15118" width="18.453125" style="3" bestFit="1" customWidth="1"/>
    <col min="15119" max="15119" width="12.81640625" style="3" bestFit="1" customWidth="1"/>
    <col min="15120" max="15120" width="11.7265625" style="3" bestFit="1" customWidth="1"/>
    <col min="15121" max="15360" width="8.7265625" style="3"/>
    <col min="15361" max="15361" width="4.54296875" style="3" customWidth="1"/>
    <col min="15362" max="15362" width="35" style="3" bestFit="1" customWidth="1"/>
    <col min="15363" max="15363" width="14.54296875" style="3" bestFit="1" customWidth="1"/>
    <col min="15364" max="15364" width="12.81640625" style="3" bestFit="1" customWidth="1"/>
    <col min="15365" max="15365" width="21" style="3" bestFit="1" customWidth="1"/>
    <col min="15366" max="15366" width="18.453125" style="3" bestFit="1" customWidth="1"/>
    <col min="15367" max="15368" width="14.54296875" style="3" bestFit="1" customWidth="1"/>
    <col min="15369" max="15369" width="11.54296875" style="3" bestFit="1" customWidth="1"/>
    <col min="15370" max="15370" width="13.453125" style="3" bestFit="1" customWidth="1"/>
    <col min="15371" max="15371" width="11.81640625" style="3" bestFit="1" customWidth="1"/>
    <col min="15372" max="15372" width="12.81640625" style="3" bestFit="1" customWidth="1"/>
    <col min="15373" max="15373" width="15.453125" style="3" bestFit="1" customWidth="1"/>
    <col min="15374" max="15374" width="18.453125" style="3" bestFit="1" customWidth="1"/>
    <col min="15375" max="15375" width="12.81640625" style="3" bestFit="1" customWidth="1"/>
    <col min="15376" max="15376" width="11.7265625" style="3" bestFit="1" customWidth="1"/>
    <col min="15377" max="15616" width="8.7265625" style="3"/>
    <col min="15617" max="15617" width="4.54296875" style="3" customWidth="1"/>
    <col min="15618" max="15618" width="35" style="3" bestFit="1" customWidth="1"/>
    <col min="15619" max="15619" width="14.54296875" style="3" bestFit="1" customWidth="1"/>
    <col min="15620" max="15620" width="12.81640625" style="3" bestFit="1" customWidth="1"/>
    <col min="15621" max="15621" width="21" style="3" bestFit="1" customWidth="1"/>
    <col min="15622" max="15622" width="18.453125" style="3" bestFit="1" customWidth="1"/>
    <col min="15623" max="15624" width="14.54296875" style="3" bestFit="1" customWidth="1"/>
    <col min="15625" max="15625" width="11.54296875" style="3" bestFit="1" customWidth="1"/>
    <col min="15626" max="15626" width="13.453125" style="3" bestFit="1" customWidth="1"/>
    <col min="15627" max="15627" width="11.81640625" style="3" bestFit="1" customWidth="1"/>
    <col min="15628" max="15628" width="12.81640625" style="3" bestFit="1" customWidth="1"/>
    <col min="15629" max="15629" width="15.453125" style="3" bestFit="1" customWidth="1"/>
    <col min="15630" max="15630" width="18.453125" style="3" bestFit="1" customWidth="1"/>
    <col min="15631" max="15631" width="12.81640625" style="3" bestFit="1" customWidth="1"/>
    <col min="15632" max="15632" width="11.7265625" style="3" bestFit="1" customWidth="1"/>
    <col min="15633" max="15872" width="8.7265625" style="3"/>
    <col min="15873" max="15873" width="4.54296875" style="3" customWidth="1"/>
    <col min="15874" max="15874" width="35" style="3" bestFit="1" customWidth="1"/>
    <col min="15875" max="15875" width="14.54296875" style="3" bestFit="1" customWidth="1"/>
    <col min="15876" max="15876" width="12.81640625" style="3" bestFit="1" customWidth="1"/>
    <col min="15877" max="15877" width="21" style="3" bestFit="1" customWidth="1"/>
    <col min="15878" max="15878" width="18.453125" style="3" bestFit="1" customWidth="1"/>
    <col min="15879" max="15880" width="14.54296875" style="3" bestFit="1" customWidth="1"/>
    <col min="15881" max="15881" width="11.54296875" style="3" bestFit="1" customWidth="1"/>
    <col min="15882" max="15882" width="13.453125" style="3" bestFit="1" customWidth="1"/>
    <col min="15883" max="15883" width="11.81640625" style="3" bestFit="1" customWidth="1"/>
    <col min="15884" max="15884" width="12.81640625" style="3" bestFit="1" customWidth="1"/>
    <col min="15885" max="15885" width="15.453125" style="3" bestFit="1" customWidth="1"/>
    <col min="15886" max="15886" width="18.453125" style="3" bestFit="1" customWidth="1"/>
    <col min="15887" max="15887" width="12.81640625" style="3" bestFit="1" customWidth="1"/>
    <col min="15888" max="15888" width="11.7265625" style="3" bestFit="1" customWidth="1"/>
    <col min="15889" max="16128" width="8.7265625" style="3"/>
    <col min="16129" max="16129" width="4.54296875" style="3" customWidth="1"/>
    <col min="16130" max="16130" width="35" style="3" bestFit="1" customWidth="1"/>
    <col min="16131" max="16131" width="14.54296875" style="3" bestFit="1" customWidth="1"/>
    <col min="16132" max="16132" width="12.81640625" style="3" bestFit="1" customWidth="1"/>
    <col min="16133" max="16133" width="21" style="3" bestFit="1" customWidth="1"/>
    <col min="16134" max="16134" width="18.453125" style="3" bestFit="1" customWidth="1"/>
    <col min="16135" max="16136" width="14.54296875" style="3" bestFit="1" customWidth="1"/>
    <col min="16137" max="16137" width="11.54296875" style="3" bestFit="1" customWidth="1"/>
    <col min="16138" max="16138" width="13.453125" style="3" bestFit="1" customWidth="1"/>
    <col min="16139" max="16139" width="11.81640625" style="3" bestFit="1" customWidth="1"/>
    <col min="16140" max="16140" width="12.81640625" style="3" bestFit="1" customWidth="1"/>
    <col min="16141" max="16141" width="15.453125" style="3" bestFit="1" customWidth="1"/>
    <col min="16142" max="16142" width="18.453125" style="3" bestFit="1" customWidth="1"/>
    <col min="16143" max="16143" width="12.81640625" style="3" bestFit="1" customWidth="1"/>
    <col min="16144" max="16144" width="11.7265625" style="3" bestFit="1" customWidth="1"/>
    <col min="16145" max="16384" width="8.7265625" style="3"/>
  </cols>
  <sheetData>
    <row r="1" spans="1:256" s="1" customFormat="1" x14ac:dyDescent="0.35"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1" customFormat="1" ht="18" x14ac:dyDescent="0.35">
      <c r="B2" s="4"/>
      <c r="C2" s="4"/>
      <c r="D2" s="215" t="s">
        <v>0</v>
      </c>
      <c r="E2" s="215"/>
      <c r="F2" s="215"/>
      <c r="G2" s="215"/>
      <c r="H2" s="215"/>
      <c r="I2" s="215"/>
      <c r="J2" s="215"/>
      <c r="K2" s="215"/>
      <c r="L2" s="215"/>
      <c r="M2" s="215"/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s="1" customFormat="1" x14ac:dyDescent="0.35">
      <c r="B3" s="216" t="s">
        <v>153</v>
      </c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8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</row>
    <row r="4" spans="1:256" s="6" customFormat="1" x14ac:dyDescent="0.35">
      <c r="B4" s="7"/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9" t="s">
        <v>13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 s="1" customFormat="1" x14ac:dyDescent="0.35">
      <c r="A5" s="1">
        <v>1</v>
      </c>
      <c r="B5" s="11" t="s">
        <v>14</v>
      </c>
      <c r="C5" s="12">
        <v>2000000</v>
      </c>
      <c r="D5" s="12">
        <v>2000000</v>
      </c>
      <c r="E5" s="12">
        <v>2000000</v>
      </c>
      <c r="F5" s="12">
        <v>2000000</v>
      </c>
      <c r="G5" s="12">
        <v>2000000</v>
      </c>
      <c r="H5" s="12">
        <v>2000000</v>
      </c>
      <c r="I5" s="12">
        <v>2000000</v>
      </c>
      <c r="J5" s="12">
        <v>2000000</v>
      </c>
      <c r="K5" s="12">
        <v>2000000</v>
      </c>
      <c r="L5" s="12">
        <v>2000000</v>
      </c>
      <c r="M5" s="12">
        <v>2000000</v>
      </c>
      <c r="N5" s="12">
        <v>2000000</v>
      </c>
      <c r="O5" s="13">
        <f t="shared" ref="O5:O36" si="0">SUM(C5:N5)</f>
        <v>24000000</v>
      </c>
      <c r="P5" s="1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s="1" customFormat="1" x14ac:dyDescent="0.35">
      <c r="B6" s="15" t="s">
        <v>15</v>
      </c>
      <c r="C6" s="16">
        <f t="shared" ref="C6:H6" si="1">C5*0.1</f>
        <v>200000</v>
      </c>
      <c r="D6" s="16">
        <f t="shared" si="1"/>
        <v>200000</v>
      </c>
      <c r="E6" s="16">
        <f t="shared" si="1"/>
        <v>200000</v>
      </c>
      <c r="F6" s="16">
        <f t="shared" si="1"/>
        <v>200000</v>
      </c>
      <c r="G6" s="16">
        <f t="shared" si="1"/>
        <v>200000</v>
      </c>
      <c r="H6" s="16">
        <f t="shared" si="1"/>
        <v>200000</v>
      </c>
      <c r="I6" s="16">
        <f t="shared" ref="I6:L6" si="2">I5*0.1</f>
        <v>200000</v>
      </c>
      <c r="J6" s="16">
        <f t="shared" si="2"/>
        <v>200000</v>
      </c>
      <c r="K6" s="16">
        <f t="shared" si="2"/>
        <v>200000</v>
      </c>
      <c r="L6" s="16">
        <f t="shared" si="2"/>
        <v>200000</v>
      </c>
      <c r="M6" s="16">
        <f t="shared" ref="M6:N6" si="3">M5*0.1</f>
        <v>200000</v>
      </c>
      <c r="N6" s="16">
        <f t="shared" si="3"/>
        <v>200000</v>
      </c>
      <c r="O6" s="13">
        <f t="shared" si="0"/>
        <v>2400000</v>
      </c>
      <c r="P6" s="1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s="17" customFormat="1" x14ac:dyDescent="0.35">
      <c r="B7" s="15" t="s">
        <v>16</v>
      </c>
      <c r="C7" s="16">
        <f t="shared" ref="C7:H7" si="4">C5-C6</f>
        <v>1800000</v>
      </c>
      <c r="D7" s="16">
        <f t="shared" si="4"/>
        <v>1800000</v>
      </c>
      <c r="E7" s="16">
        <f t="shared" si="4"/>
        <v>1800000</v>
      </c>
      <c r="F7" s="16">
        <f t="shared" si="4"/>
        <v>1800000</v>
      </c>
      <c r="G7" s="16">
        <f t="shared" si="4"/>
        <v>1800000</v>
      </c>
      <c r="H7" s="16">
        <f t="shared" si="4"/>
        <v>1800000</v>
      </c>
      <c r="I7" s="16">
        <f t="shared" ref="I7:L7" si="5">I5-I6</f>
        <v>1800000</v>
      </c>
      <c r="J7" s="16">
        <f t="shared" si="5"/>
        <v>1800000</v>
      </c>
      <c r="K7" s="16">
        <f t="shared" si="5"/>
        <v>1800000</v>
      </c>
      <c r="L7" s="16">
        <f t="shared" si="5"/>
        <v>1800000</v>
      </c>
      <c r="M7" s="16">
        <f t="shared" ref="M7:N7" si="6">M5-M6</f>
        <v>1800000</v>
      </c>
      <c r="N7" s="16">
        <f t="shared" si="6"/>
        <v>1800000</v>
      </c>
      <c r="O7" s="13">
        <f t="shared" si="0"/>
        <v>21600000</v>
      </c>
      <c r="P7" s="14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pans="1:256" s="17" customFormat="1" x14ac:dyDescent="0.35">
      <c r="B8" s="15" t="s">
        <v>17</v>
      </c>
      <c r="C8" s="18">
        <v>368000</v>
      </c>
      <c r="D8" s="18">
        <v>368000</v>
      </c>
      <c r="E8" s="18">
        <v>368000</v>
      </c>
      <c r="F8" s="18">
        <v>368000</v>
      </c>
      <c r="G8" s="18">
        <v>368000</v>
      </c>
      <c r="H8" s="18">
        <v>368000</v>
      </c>
      <c r="I8" s="18">
        <v>368000</v>
      </c>
      <c r="J8" s="18">
        <v>368000</v>
      </c>
      <c r="K8" s="18">
        <v>368000</v>
      </c>
      <c r="L8" s="18">
        <v>368000</v>
      </c>
      <c r="M8" s="18">
        <v>368000</v>
      </c>
      <c r="N8" s="18">
        <v>368000</v>
      </c>
      <c r="O8" s="13">
        <f t="shared" si="0"/>
        <v>4416000</v>
      </c>
      <c r="P8" s="3"/>
      <c r="Q8" s="14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pans="1:256" s="1" customFormat="1" x14ac:dyDescent="0.35">
      <c r="A9" s="1">
        <v>2</v>
      </c>
      <c r="B9" s="11" t="s">
        <v>18</v>
      </c>
      <c r="C9" s="12">
        <v>1000000</v>
      </c>
      <c r="D9" s="12">
        <v>1000000</v>
      </c>
      <c r="E9" s="12">
        <v>1000000</v>
      </c>
      <c r="F9" s="12">
        <v>1000000</v>
      </c>
      <c r="G9" s="12">
        <v>1000000</v>
      </c>
      <c r="H9" s="12">
        <v>1000000</v>
      </c>
      <c r="I9" s="12">
        <v>1000000</v>
      </c>
      <c r="J9" s="12">
        <v>1000000</v>
      </c>
      <c r="K9" s="12">
        <v>1000000</v>
      </c>
      <c r="L9" s="12">
        <v>1000000</v>
      </c>
      <c r="M9" s="12">
        <v>1000000</v>
      </c>
      <c r="N9" s="12">
        <v>1000000</v>
      </c>
      <c r="O9" s="13">
        <f t="shared" si="0"/>
        <v>12000000</v>
      </c>
      <c r="P9" s="14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pans="1:256" s="1" customFormat="1" x14ac:dyDescent="0.35">
      <c r="B10" s="15" t="s">
        <v>15</v>
      </c>
      <c r="C10" s="16">
        <f t="shared" ref="C10:H10" si="7">C9*0.1</f>
        <v>100000</v>
      </c>
      <c r="D10" s="16">
        <f t="shared" si="7"/>
        <v>100000</v>
      </c>
      <c r="E10" s="16">
        <f t="shared" si="7"/>
        <v>100000</v>
      </c>
      <c r="F10" s="16">
        <f t="shared" si="7"/>
        <v>100000</v>
      </c>
      <c r="G10" s="16">
        <f t="shared" si="7"/>
        <v>100000</v>
      </c>
      <c r="H10" s="16">
        <f t="shared" si="7"/>
        <v>100000</v>
      </c>
      <c r="I10" s="16">
        <f t="shared" ref="I10:L10" si="8">I9*0.1</f>
        <v>100000</v>
      </c>
      <c r="J10" s="16">
        <f t="shared" si="8"/>
        <v>100000</v>
      </c>
      <c r="K10" s="16">
        <f t="shared" si="8"/>
        <v>100000</v>
      </c>
      <c r="L10" s="16">
        <f t="shared" si="8"/>
        <v>100000</v>
      </c>
      <c r="M10" s="16">
        <f t="shared" ref="M10:N10" si="9">M9*0.1</f>
        <v>100000</v>
      </c>
      <c r="N10" s="16">
        <f t="shared" si="9"/>
        <v>100000</v>
      </c>
      <c r="O10" s="13">
        <f t="shared" si="0"/>
        <v>1200000</v>
      </c>
      <c r="P10" s="14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pans="1:256" s="17" customFormat="1" x14ac:dyDescent="0.35">
      <c r="B11" s="15" t="s">
        <v>16</v>
      </c>
      <c r="C11" s="16">
        <f t="shared" ref="C11:H11" si="10">C9-C10</f>
        <v>900000</v>
      </c>
      <c r="D11" s="16">
        <f t="shared" si="10"/>
        <v>900000</v>
      </c>
      <c r="E11" s="16">
        <f t="shared" si="10"/>
        <v>900000</v>
      </c>
      <c r="F11" s="16">
        <f t="shared" si="10"/>
        <v>900000</v>
      </c>
      <c r="G11" s="16">
        <f t="shared" si="10"/>
        <v>900000</v>
      </c>
      <c r="H11" s="16">
        <f t="shared" si="10"/>
        <v>900000</v>
      </c>
      <c r="I11" s="16">
        <f t="shared" ref="I11:L11" si="11">I9-I10</f>
        <v>900000</v>
      </c>
      <c r="J11" s="16">
        <f t="shared" si="11"/>
        <v>900000</v>
      </c>
      <c r="K11" s="16">
        <f t="shared" si="11"/>
        <v>900000</v>
      </c>
      <c r="L11" s="16">
        <f t="shared" si="11"/>
        <v>900000</v>
      </c>
      <c r="M11" s="16">
        <f t="shared" ref="M11:N11" si="12">M9-M10</f>
        <v>900000</v>
      </c>
      <c r="N11" s="16">
        <f t="shared" si="12"/>
        <v>900000</v>
      </c>
      <c r="O11" s="13">
        <f t="shared" si="0"/>
        <v>10800000</v>
      </c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 s="17" customFormat="1" x14ac:dyDescent="0.35">
      <c r="B12" s="15" t="s">
        <v>17</v>
      </c>
      <c r="C12" s="18">
        <f t="shared" ref="C12:L12" si="13">IF(C11&gt;1000000,(C12-1000000)*0.3+128000,IF(C11&gt;760000,(C11-760000)*0.25+68000,IF(C11&gt;520000,(C11-520000)*0.2+20000,IF(C11&gt;270000,(C11-270000)*0.08+0,IF(C11&lt;270001,0,0)))))</f>
        <v>103000</v>
      </c>
      <c r="D12" s="18">
        <f t="shared" si="13"/>
        <v>103000</v>
      </c>
      <c r="E12" s="18">
        <f t="shared" si="13"/>
        <v>103000</v>
      </c>
      <c r="F12" s="18">
        <f t="shared" si="13"/>
        <v>103000</v>
      </c>
      <c r="G12" s="18">
        <f t="shared" si="13"/>
        <v>103000</v>
      </c>
      <c r="H12" s="18">
        <f t="shared" si="13"/>
        <v>103000</v>
      </c>
      <c r="I12" s="18">
        <f t="shared" si="13"/>
        <v>103000</v>
      </c>
      <c r="J12" s="18">
        <f t="shared" si="13"/>
        <v>103000</v>
      </c>
      <c r="K12" s="18">
        <f t="shared" si="13"/>
        <v>103000</v>
      </c>
      <c r="L12" s="18">
        <f t="shared" si="13"/>
        <v>103000</v>
      </c>
      <c r="M12" s="18">
        <f t="shared" ref="M12:N12" si="14">IF(M11&gt;1000000,(M12-1000000)*0.3+128000,IF(M11&gt;760000,(M11-760000)*0.25+68000,IF(M11&gt;520000,(M11-520000)*0.2+20000,IF(M11&gt;270000,(M11-270000)*0.08+0,IF(M11&lt;270001,0,0)))))</f>
        <v>103000</v>
      </c>
      <c r="N12" s="18">
        <f t="shared" si="14"/>
        <v>103000</v>
      </c>
      <c r="O12" s="13">
        <f t="shared" si="0"/>
        <v>1236000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pans="1:256" s="1" customFormat="1" x14ac:dyDescent="0.35">
      <c r="A13" s="1">
        <v>3</v>
      </c>
      <c r="B13" s="11" t="s">
        <v>19</v>
      </c>
      <c r="C13" s="12">
        <v>700000</v>
      </c>
      <c r="D13" s="12">
        <v>700000</v>
      </c>
      <c r="E13" s="12">
        <v>700000</v>
      </c>
      <c r="F13" s="12">
        <v>700000</v>
      </c>
      <c r="G13" s="12">
        <v>700000</v>
      </c>
      <c r="H13" s="12">
        <v>700000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3">
        <f t="shared" si="0"/>
        <v>4200000</v>
      </c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pans="1:256" s="1" customFormat="1" x14ac:dyDescent="0.35">
      <c r="B14" s="15" t="s">
        <v>15</v>
      </c>
      <c r="C14" s="16">
        <f t="shared" ref="C14:H14" si="15">C13*0.1</f>
        <v>70000</v>
      </c>
      <c r="D14" s="16">
        <f t="shared" si="15"/>
        <v>70000</v>
      </c>
      <c r="E14" s="16">
        <f t="shared" si="15"/>
        <v>70000</v>
      </c>
      <c r="F14" s="16">
        <f t="shared" si="15"/>
        <v>70000</v>
      </c>
      <c r="G14" s="16">
        <f t="shared" si="15"/>
        <v>70000</v>
      </c>
      <c r="H14" s="16">
        <f t="shared" si="15"/>
        <v>70000</v>
      </c>
      <c r="I14" s="16">
        <f t="shared" ref="I14:L14" si="16">I13*0.1</f>
        <v>0</v>
      </c>
      <c r="J14" s="16">
        <f t="shared" si="16"/>
        <v>0</v>
      </c>
      <c r="K14" s="16">
        <f t="shared" si="16"/>
        <v>0</v>
      </c>
      <c r="L14" s="16">
        <f t="shared" si="16"/>
        <v>0</v>
      </c>
      <c r="M14" s="16">
        <f t="shared" ref="M14:N14" si="17">M13*0.1</f>
        <v>0</v>
      </c>
      <c r="N14" s="16">
        <f t="shared" si="17"/>
        <v>0</v>
      </c>
      <c r="O14" s="13">
        <f t="shared" si="0"/>
        <v>420000</v>
      </c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pans="1:256" s="17" customFormat="1" x14ac:dyDescent="0.35">
      <c r="B15" s="15" t="s">
        <v>16</v>
      </c>
      <c r="C15" s="16">
        <f t="shared" ref="C15:H15" si="18">C13-C14</f>
        <v>630000</v>
      </c>
      <c r="D15" s="16">
        <f t="shared" si="18"/>
        <v>630000</v>
      </c>
      <c r="E15" s="16">
        <f t="shared" si="18"/>
        <v>630000</v>
      </c>
      <c r="F15" s="16">
        <f t="shared" si="18"/>
        <v>630000</v>
      </c>
      <c r="G15" s="16">
        <f t="shared" si="18"/>
        <v>630000</v>
      </c>
      <c r="H15" s="16">
        <f t="shared" si="18"/>
        <v>630000</v>
      </c>
      <c r="I15" s="16">
        <f t="shared" ref="I15:L15" si="19">I13-I14</f>
        <v>0</v>
      </c>
      <c r="J15" s="16">
        <f t="shared" si="19"/>
        <v>0</v>
      </c>
      <c r="K15" s="16">
        <f t="shared" si="19"/>
        <v>0</v>
      </c>
      <c r="L15" s="16">
        <f t="shared" si="19"/>
        <v>0</v>
      </c>
      <c r="M15" s="16">
        <f t="shared" ref="M15:N15" si="20">M13-M14</f>
        <v>0</v>
      </c>
      <c r="N15" s="16">
        <f t="shared" si="20"/>
        <v>0</v>
      </c>
      <c r="O15" s="13">
        <f t="shared" si="0"/>
        <v>3780000</v>
      </c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pans="1:256" s="17" customFormat="1" x14ac:dyDescent="0.35">
      <c r="B16" s="15" t="s">
        <v>17</v>
      </c>
      <c r="C16" s="18">
        <f t="shared" ref="C16:L16" si="21">IF(C15&gt;1000000,(C16-1000000)*0.3+128000,IF(C15&gt;760000,(C15-760000)*0.25+68000,IF(C15&gt;520000,(C15-520000)*0.2+20000,IF(C15&gt;270000,(C15-270000)*0.08+0,IF(C15&lt;270001,0,0)))))</f>
        <v>42000</v>
      </c>
      <c r="D16" s="18">
        <f t="shared" si="21"/>
        <v>42000</v>
      </c>
      <c r="E16" s="18">
        <f t="shared" si="21"/>
        <v>42000</v>
      </c>
      <c r="F16" s="18">
        <f t="shared" si="21"/>
        <v>42000</v>
      </c>
      <c r="G16" s="18">
        <f t="shared" si="21"/>
        <v>42000</v>
      </c>
      <c r="H16" s="18">
        <f t="shared" si="21"/>
        <v>42000</v>
      </c>
      <c r="I16" s="18">
        <f t="shared" si="21"/>
        <v>0</v>
      </c>
      <c r="J16" s="18">
        <f t="shared" si="21"/>
        <v>0</v>
      </c>
      <c r="K16" s="18">
        <f t="shared" si="21"/>
        <v>0</v>
      </c>
      <c r="L16" s="18">
        <f t="shared" si="21"/>
        <v>0</v>
      </c>
      <c r="M16" s="18">
        <f t="shared" ref="M16:N16" si="22">IF(M15&gt;1000000,(M16-1000000)*0.3+128000,IF(M15&gt;760000,(M15-760000)*0.25+68000,IF(M15&gt;520000,(M15-520000)*0.2+20000,IF(M15&gt;270000,(M15-270000)*0.08+0,IF(M15&lt;270001,0,0)))))</f>
        <v>0</v>
      </c>
      <c r="N16" s="18">
        <f t="shared" si="22"/>
        <v>0</v>
      </c>
      <c r="O16" s="13">
        <f t="shared" si="0"/>
        <v>252000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256" s="1" customFormat="1" x14ac:dyDescent="0.35">
      <c r="A17" s="1">
        <v>4</v>
      </c>
      <c r="B17" s="11" t="s">
        <v>20</v>
      </c>
      <c r="C17" s="12">
        <v>800000</v>
      </c>
      <c r="D17" s="12">
        <v>800000</v>
      </c>
      <c r="E17" s="12">
        <v>800000</v>
      </c>
      <c r="F17" s="12">
        <v>800000</v>
      </c>
      <c r="G17" s="12">
        <v>800000</v>
      </c>
      <c r="H17" s="12">
        <v>800000</v>
      </c>
      <c r="I17" s="12">
        <v>800000</v>
      </c>
      <c r="J17" s="12">
        <v>800000</v>
      </c>
      <c r="K17" s="12">
        <v>800000</v>
      </c>
      <c r="L17" s="12">
        <v>800000</v>
      </c>
      <c r="M17" s="12">
        <v>800000</v>
      </c>
      <c r="N17" s="12">
        <v>800000</v>
      </c>
      <c r="O17" s="13">
        <f t="shared" si="0"/>
        <v>9600000</v>
      </c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 s="1" customFormat="1" x14ac:dyDescent="0.35">
      <c r="B18" s="15" t="s">
        <v>15</v>
      </c>
      <c r="C18" s="16">
        <f t="shared" ref="C18:H18" si="23">C17*0.1</f>
        <v>80000</v>
      </c>
      <c r="D18" s="16">
        <f t="shared" si="23"/>
        <v>80000</v>
      </c>
      <c r="E18" s="16">
        <f t="shared" si="23"/>
        <v>80000</v>
      </c>
      <c r="F18" s="16">
        <f t="shared" si="23"/>
        <v>80000</v>
      </c>
      <c r="G18" s="16">
        <f t="shared" si="23"/>
        <v>80000</v>
      </c>
      <c r="H18" s="16">
        <f t="shared" si="23"/>
        <v>80000</v>
      </c>
      <c r="I18" s="16">
        <f t="shared" ref="I18:L18" si="24">I17*0.1</f>
        <v>80000</v>
      </c>
      <c r="J18" s="16">
        <f t="shared" si="24"/>
        <v>80000</v>
      </c>
      <c r="K18" s="16">
        <f t="shared" si="24"/>
        <v>80000</v>
      </c>
      <c r="L18" s="16">
        <f t="shared" si="24"/>
        <v>80000</v>
      </c>
      <c r="M18" s="16">
        <f t="shared" ref="M18:N18" si="25">M17*0.1</f>
        <v>80000</v>
      </c>
      <c r="N18" s="16">
        <f t="shared" si="25"/>
        <v>80000</v>
      </c>
      <c r="O18" s="13">
        <f t="shared" si="0"/>
        <v>960000</v>
      </c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pans="1:256" s="17" customFormat="1" x14ac:dyDescent="0.35">
      <c r="B19" s="15" t="s">
        <v>16</v>
      </c>
      <c r="C19" s="16">
        <f t="shared" ref="C19:H19" si="26">C17-C18</f>
        <v>720000</v>
      </c>
      <c r="D19" s="16">
        <f t="shared" si="26"/>
        <v>720000</v>
      </c>
      <c r="E19" s="16">
        <f t="shared" si="26"/>
        <v>720000</v>
      </c>
      <c r="F19" s="16">
        <f t="shared" si="26"/>
        <v>720000</v>
      </c>
      <c r="G19" s="16">
        <f t="shared" si="26"/>
        <v>720000</v>
      </c>
      <c r="H19" s="16">
        <f t="shared" si="26"/>
        <v>720000</v>
      </c>
      <c r="I19" s="16">
        <f t="shared" ref="I19:L19" si="27">I17-I18</f>
        <v>720000</v>
      </c>
      <c r="J19" s="16">
        <f t="shared" si="27"/>
        <v>720000</v>
      </c>
      <c r="K19" s="16">
        <f t="shared" si="27"/>
        <v>720000</v>
      </c>
      <c r="L19" s="16">
        <f t="shared" si="27"/>
        <v>720000</v>
      </c>
      <c r="M19" s="16">
        <f t="shared" ref="M19:N19" si="28">M17-M18</f>
        <v>720000</v>
      </c>
      <c r="N19" s="16">
        <f t="shared" si="28"/>
        <v>720000</v>
      </c>
      <c r="O19" s="13">
        <f t="shared" si="0"/>
        <v>8640000</v>
      </c>
      <c r="P19" s="14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pans="1:256" s="17" customFormat="1" x14ac:dyDescent="0.35">
      <c r="B20" s="15" t="s">
        <v>17</v>
      </c>
      <c r="C20" s="18">
        <f t="shared" ref="C20:L20" si="29">IF(C19&gt;1000000,(C20-1000000)*0.3+128000,IF(C19&gt;760000,(C19-760000)*0.25+68000,IF(C19&gt;520000,(C19-520000)*0.2+20000,IF(C19&gt;270000,(C19-270000)*0.08+0,IF(C19&lt;270001,0,0)))))</f>
        <v>60000</v>
      </c>
      <c r="D20" s="18">
        <f t="shared" si="29"/>
        <v>60000</v>
      </c>
      <c r="E20" s="18">
        <f t="shared" si="29"/>
        <v>60000</v>
      </c>
      <c r="F20" s="18">
        <f t="shared" si="29"/>
        <v>60000</v>
      </c>
      <c r="G20" s="18">
        <f t="shared" si="29"/>
        <v>60000</v>
      </c>
      <c r="H20" s="18">
        <f t="shared" si="29"/>
        <v>60000</v>
      </c>
      <c r="I20" s="18">
        <f t="shared" si="29"/>
        <v>60000</v>
      </c>
      <c r="J20" s="18">
        <f t="shared" si="29"/>
        <v>60000</v>
      </c>
      <c r="K20" s="18">
        <f t="shared" si="29"/>
        <v>60000</v>
      </c>
      <c r="L20" s="18">
        <f t="shared" si="29"/>
        <v>60000</v>
      </c>
      <c r="M20" s="18">
        <f t="shared" ref="M20:N20" si="30">IF(M19&gt;1000000,(M20-1000000)*0.3+128000,IF(M19&gt;760000,(M19-760000)*0.25+68000,IF(M19&gt;520000,(M19-520000)*0.2+20000,IF(M19&gt;270000,(M19-270000)*0.08+0,IF(M19&lt;270001,0,0)))))</f>
        <v>60000</v>
      </c>
      <c r="N20" s="18">
        <f t="shared" si="30"/>
        <v>60000</v>
      </c>
      <c r="O20" s="13">
        <f t="shared" si="0"/>
        <v>720000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spans="1:256" s="1" customFormat="1" x14ac:dyDescent="0.35">
      <c r="A21" s="1">
        <v>5</v>
      </c>
      <c r="B21" s="11" t="s">
        <v>21</v>
      </c>
      <c r="C21" s="12">
        <v>600000</v>
      </c>
      <c r="D21" s="12">
        <v>600000</v>
      </c>
      <c r="E21" s="12">
        <v>600000</v>
      </c>
      <c r="F21" s="12">
        <v>600000</v>
      </c>
      <c r="G21" s="12">
        <v>600000</v>
      </c>
      <c r="H21" s="12">
        <v>600000</v>
      </c>
      <c r="I21" s="12">
        <v>600000</v>
      </c>
      <c r="J21" s="12">
        <v>600000</v>
      </c>
      <c r="K21" s="12">
        <v>600000</v>
      </c>
      <c r="L21" s="12">
        <v>600000</v>
      </c>
      <c r="M21" s="12">
        <v>600000</v>
      </c>
      <c r="N21" s="12">
        <v>600000</v>
      </c>
      <c r="O21" s="13">
        <f t="shared" si="0"/>
        <v>7200000</v>
      </c>
      <c r="P21" s="14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spans="1:256" s="1" customFormat="1" x14ac:dyDescent="0.35">
      <c r="B22" s="15" t="s">
        <v>15</v>
      </c>
      <c r="C22" s="16">
        <f t="shared" ref="C22:H22" si="31">C21*0.1</f>
        <v>60000</v>
      </c>
      <c r="D22" s="16">
        <f t="shared" si="31"/>
        <v>60000</v>
      </c>
      <c r="E22" s="16">
        <f t="shared" si="31"/>
        <v>60000</v>
      </c>
      <c r="F22" s="16">
        <f t="shared" si="31"/>
        <v>60000</v>
      </c>
      <c r="G22" s="16">
        <f t="shared" si="31"/>
        <v>60000</v>
      </c>
      <c r="H22" s="16">
        <f t="shared" si="31"/>
        <v>60000</v>
      </c>
      <c r="I22" s="16">
        <f t="shared" ref="I22:L22" si="32">I21*0.1</f>
        <v>60000</v>
      </c>
      <c r="J22" s="16">
        <f t="shared" si="32"/>
        <v>60000</v>
      </c>
      <c r="K22" s="16">
        <f t="shared" si="32"/>
        <v>60000</v>
      </c>
      <c r="L22" s="16">
        <f t="shared" si="32"/>
        <v>60000</v>
      </c>
      <c r="M22" s="16">
        <f t="shared" ref="M22:N22" si="33">M21*0.1</f>
        <v>60000</v>
      </c>
      <c r="N22" s="16">
        <f t="shared" si="33"/>
        <v>60000</v>
      </c>
      <c r="O22" s="13">
        <f t="shared" si="0"/>
        <v>720000</v>
      </c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spans="1:256" s="17" customFormat="1" x14ac:dyDescent="0.35">
      <c r="B23" s="15" t="s">
        <v>16</v>
      </c>
      <c r="C23" s="16">
        <f t="shared" ref="C23:H23" si="34">C21-C22</f>
        <v>540000</v>
      </c>
      <c r="D23" s="16">
        <f t="shared" si="34"/>
        <v>540000</v>
      </c>
      <c r="E23" s="16">
        <f t="shared" si="34"/>
        <v>540000</v>
      </c>
      <c r="F23" s="16">
        <f t="shared" si="34"/>
        <v>540000</v>
      </c>
      <c r="G23" s="16">
        <f t="shared" si="34"/>
        <v>540000</v>
      </c>
      <c r="H23" s="16">
        <f t="shared" si="34"/>
        <v>540000</v>
      </c>
      <c r="I23" s="16">
        <f t="shared" ref="I23:L23" si="35">I21-I22</f>
        <v>540000</v>
      </c>
      <c r="J23" s="16">
        <f t="shared" si="35"/>
        <v>540000</v>
      </c>
      <c r="K23" s="16">
        <f t="shared" si="35"/>
        <v>540000</v>
      </c>
      <c r="L23" s="16">
        <f t="shared" si="35"/>
        <v>540000</v>
      </c>
      <c r="M23" s="16">
        <f t="shared" ref="M23:N23" si="36">M21-M22</f>
        <v>540000</v>
      </c>
      <c r="N23" s="16">
        <f t="shared" si="36"/>
        <v>540000</v>
      </c>
      <c r="O23" s="13">
        <f t="shared" si="0"/>
        <v>6480000</v>
      </c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spans="1:256" s="17" customFormat="1" x14ac:dyDescent="0.35">
      <c r="B24" s="15" t="s">
        <v>17</v>
      </c>
      <c r="C24" s="18">
        <f t="shared" ref="C24:L24" si="37">IF(C23&gt;1000000,(C24-1000000)*0.3+128000,IF(C23&gt;760000,(C23-760000)*0.25+68000,IF(C23&gt;520000,(C23-520000)*0.2+20000,IF(C23&gt;270000,(C23-270000)*0.08+0,IF(C23&lt;270001,0,0)))))</f>
        <v>24000</v>
      </c>
      <c r="D24" s="18">
        <f t="shared" si="37"/>
        <v>24000</v>
      </c>
      <c r="E24" s="18">
        <f t="shared" si="37"/>
        <v>24000</v>
      </c>
      <c r="F24" s="18">
        <f t="shared" si="37"/>
        <v>24000</v>
      </c>
      <c r="G24" s="18">
        <f t="shared" si="37"/>
        <v>24000</v>
      </c>
      <c r="H24" s="18">
        <f t="shared" si="37"/>
        <v>24000</v>
      </c>
      <c r="I24" s="18">
        <f t="shared" si="37"/>
        <v>24000</v>
      </c>
      <c r="J24" s="18">
        <f t="shared" si="37"/>
        <v>24000</v>
      </c>
      <c r="K24" s="18">
        <f t="shared" si="37"/>
        <v>24000</v>
      </c>
      <c r="L24" s="18">
        <f t="shared" si="37"/>
        <v>24000</v>
      </c>
      <c r="M24" s="18">
        <f t="shared" ref="M24:N24" si="38">IF(M23&gt;1000000,(M24-1000000)*0.3+128000,IF(M23&gt;760000,(M23-760000)*0.25+68000,IF(M23&gt;520000,(M23-520000)*0.2+20000,IF(M23&gt;270000,(M23-270000)*0.08+0,IF(M23&lt;270001,0,0)))))</f>
        <v>24000</v>
      </c>
      <c r="N24" s="18">
        <f t="shared" si="38"/>
        <v>24000</v>
      </c>
      <c r="O24" s="13">
        <f t="shared" si="0"/>
        <v>288000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spans="1:256" s="1" customFormat="1" x14ac:dyDescent="0.35">
      <c r="A25" s="1">
        <v>6</v>
      </c>
      <c r="B25" s="11" t="s">
        <v>23</v>
      </c>
      <c r="C25" s="12">
        <v>500000</v>
      </c>
      <c r="D25" s="12">
        <v>500000</v>
      </c>
      <c r="E25" s="12">
        <v>500000</v>
      </c>
      <c r="F25" s="12">
        <v>500000</v>
      </c>
      <c r="G25" s="12">
        <v>500000</v>
      </c>
      <c r="H25" s="12">
        <v>500000</v>
      </c>
      <c r="I25" s="12">
        <v>500000</v>
      </c>
      <c r="J25" s="12">
        <v>500000</v>
      </c>
      <c r="K25" s="12">
        <v>500000</v>
      </c>
      <c r="L25" s="12">
        <v>500000</v>
      </c>
      <c r="M25" s="12">
        <v>500000</v>
      </c>
      <c r="N25" s="12">
        <v>500000</v>
      </c>
      <c r="O25" s="13">
        <f t="shared" si="0"/>
        <v>6000000</v>
      </c>
      <c r="P25" s="14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r="26" spans="1:256" s="1" customFormat="1" x14ac:dyDescent="0.35">
      <c r="B26" s="15" t="s">
        <v>15</v>
      </c>
      <c r="C26" s="16">
        <f t="shared" ref="C26:H26" si="39">C25*0.1</f>
        <v>50000</v>
      </c>
      <c r="D26" s="16">
        <f t="shared" si="39"/>
        <v>50000</v>
      </c>
      <c r="E26" s="16">
        <f t="shared" si="39"/>
        <v>50000</v>
      </c>
      <c r="F26" s="16">
        <f t="shared" si="39"/>
        <v>50000</v>
      </c>
      <c r="G26" s="16">
        <f t="shared" si="39"/>
        <v>50000</v>
      </c>
      <c r="H26" s="16">
        <f t="shared" si="39"/>
        <v>50000</v>
      </c>
      <c r="I26" s="16">
        <f t="shared" ref="I26:L26" si="40">I25*0.1</f>
        <v>50000</v>
      </c>
      <c r="J26" s="16">
        <f t="shared" si="40"/>
        <v>50000</v>
      </c>
      <c r="K26" s="16">
        <f t="shared" si="40"/>
        <v>50000</v>
      </c>
      <c r="L26" s="16">
        <f t="shared" si="40"/>
        <v>50000</v>
      </c>
      <c r="M26" s="16">
        <f t="shared" ref="M26:N26" si="41">M25*0.1</f>
        <v>50000</v>
      </c>
      <c r="N26" s="16">
        <f t="shared" si="41"/>
        <v>50000</v>
      </c>
      <c r="O26" s="13">
        <f t="shared" si="0"/>
        <v>600000</v>
      </c>
      <c r="P26" s="14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r="27" spans="1:256" s="17" customFormat="1" x14ac:dyDescent="0.35">
      <c r="B27" s="15" t="s">
        <v>16</v>
      </c>
      <c r="C27" s="16">
        <f t="shared" ref="C27:H27" si="42">C25-C26</f>
        <v>450000</v>
      </c>
      <c r="D27" s="16">
        <f t="shared" si="42"/>
        <v>450000</v>
      </c>
      <c r="E27" s="16">
        <f t="shared" si="42"/>
        <v>450000</v>
      </c>
      <c r="F27" s="16">
        <f t="shared" si="42"/>
        <v>450000</v>
      </c>
      <c r="G27" s="16">
        <f t="shared" si="42"/>
        <v>450000</v>
      </c>
      <c r="H27" s="16">
        <f t="shared" si="42"/>
        <v>450000</v>
      </c>
      <c r="I27" s="16">
        <f t="shared" ref="I27:L27" si="43">I25-I26</f>
        <v>450000</v>
      </c>
      <c r="J27" s="16">
        <f t="shared" si="43"/>
        <v>450000</v>
      </c>
      <c r="K27" s="16">
        <f t="shared" si="43"/>
        <v>450000</v>
      </c>
      <c r="L27" s="16">
        <f t="shared" si="43"/>
        <v>450000</v>
      </c>
      <c r="M27" s="16">
        <f t="shared" ref="M27:N27" si="44">M25-M26</f>
        <v>450000</v>
      </c>
      <c r="N27" s="16">
        <f t="shared" si="44"/>
        <v>450000</v>
      </c>
      <c r="O27" s="13">
        <f t="shared" si="0"/>
        <v>5400000</v>
      </c>
      <c r="P27" s="14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spans="1:256" s="17" customFormat="1" x14ac:dyDescent="0.35">
      <c r="B28" s="15" t="s">
        <v>17</v>
      </c>
      <c r="C28" s="18">
        <f t="shared" ref="C28:L28" si="45">IF(C27&gt;1000000,(C28-1000000)*0.3+128000,IF(C27&gt;760000,(C27-760000)*0.25+68000,IF(C27&gt;520000,(C27-520000)*0.2+20000,IF(C27&gt;270000,(C27-270000)*0.08+0,IF(C27&lt;270001,0,0)))))</f>
        <v>14400</v>
      </c>
      <c r="D28" s="18">
        <f t="shared" si="45"/>
        <v>14400</v>
      </c>
      <c r="E28" s="18">
        <f t="shared" si="45"/>
        <v>14400</v>
      </c>
      <c r="F28" s="18">
        <f t="shared" si="45"/>
        <v>14400</v>
      </c>
      <c r="G28" s="18">
        <f t="shared" si="45"/>
        <v>14400</v>
      </c>
      <c r="H28" s="18">
        <f t="shared" si="45"/>
        <v>14400</v>
      </c>
      <c r="I28" s="18">
        <f t="shared" si="45"/>
        <v>14400</v>
      </c>
      <c r="J28" s="18">
        <f t="shared" si="45"/>
        <v>14400</v>
      </c>
      <c r="K28" s="18">
        <f t="shared" si="45"/>
        <v>14400</v>
      </c>
      <c r="L28" s="18">
        <f t="shared" si="45"/>
        <v>14400</v>
      </c>
      <c r="M28" s="18">
        <f t="shared" ref="M28:N28" si="46">IF(M27&gt;1000000,(M28-1000000)*0.3+128000,IF(M27&gt;760000,(M27-760000)*0.25+68000,IF(M27&gt;520000,(M27-520000)*0.2+20000,IF(M27&gt;270000,(M27-270000)*0.08+0,IF(M27&lt;270001,0,0)))))</f>
        <v>14400</v>
      </c>
      <c r="N28" s="18">
        <f t="shared" si="46"/>
        <v>14400</v>
      </c>
      <c r="O28" s="13">
        <f t="shared" si="0"/>
        <v>172800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spans="1:256" s="1" customFormat="1" x14ac:dyDescent="0.35">
      <c r="A29" s="1">
        <v>7</v>
      </c>
      <c r="B29" s="11" t="s">
        <v>24</v>
      </c>
      <c r="C29" s="12">
        <v>500000</v>
      </c>
      <c r="D29" s="12">
        <v>500000</v>
      </c>
      <c r="E29" s="12">
        <v>500000</v>
      </c>
      <c r="F29" s="12">
        <v>500000</v>
      </c>
      <c r="G29" s="12">
        <v>500000</v>
      </c>
      <c r="H29" s="12">
        <v>500000</v>
      </c>
      <c r="I29" s="12">
        <v>500000</v>
      </c>
      <c r="J29" s="12">
        <v>500000</v>
      </c>
      <c r="K29" s="12">
        <v>500000</v>
      </c>
      <c r="L29" s="12">
        <v>500000</v>
      </c>
      <c r="M29" s="12">
        <v>500000</v>
      </c>
      <c r="N29" s="12">
        <v>500000</v>
      </c>
      <c r="O29" s="13">
        <f t="shared" si="0"/>
        <v>6000000</v>
      </c>
      <c r="P29" s="14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</row>
    <row r="30" spans="1:256" s="1" customFormat="1" x14ac:dyDescent="0.35">
      <c r="B30" s="15" t="s">
        <v>15</v>
      </c>
      <c r="C30" s="16">
        <f t="shared" ref="C30:H30" si="47">C29*0.1</f>
        <v>50000</v>
      </c>
      <c r="D30" s="16">
        <f t="shared" si="47"/>
        <v>50000</v>
      </c>
      <c r="E30" s="16">
        <f t="shared" si="47"/>
        <v>50000</v>
      </c>
      <c r="F30" s="16">
        <f t="shared" si="47"/>
        <v>50000</v>
      </c>
      <c r="G30" s="16">
        <f t="shared" si="47"/>
        <v>50000</v>
      </c>
      <c r="H30" s="16">
        <f t="shared" si="47"/>
        <v>50000</v>
      </c>
      <c r="I30" s="16">
        <f t="shared" ref="I30:L30" si="48">I29*0.1</f>
        <v>50000</v>
      </c>
      <c r="J30" s="16">
        <f t="shared" si="48"/>
        <v>50000</v>
      </c>
      <c r="K30" s="16">
        <f t="shared" si="48"/>
        <v>50000</v>
      </c>
      <c r="L30" s="16">
        <f t="shared" si="48"/>
        <v>50000</v>
      </c>
      <c r="M30" s="16">
        <f t="shared" ref="M30:N30" si="49">M29*0.1</f>
        <v>50000</v>
      </c>
      <c r="N30" s="16">
        <f t="shared" si="49"/>
        <v>50000</v>
      </c>
      <c r="O30" s="13">
        <f t="shared" si="0"/>
        <v>600000</v>
      </c>
      <c r="P30" s="14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r="31" spans="1:256" s="17" customFormat="1" x14ac:dyDescent="0.35">
      <c r="B31" s="15" t="s">
        <v>16</v>
      </c>
      <c r="C31" s="16">
        <f t="shared" ref="C31:H31" si="50">C29-C30</f>
        <v>450000</v>
      </c>
      <c r="D31" s="16">
        <f t="shared" si="50"/>
        <v>450000</v>
      </c>
      <c r="E31" s="16">
        <f t="shared" si="50"/>
        <v>450000</v>
      </c>
      <c r="F31" s="16">
        <f t="shared" si="50"/>
        <v>450000</v>
      </c>
      <c r="G31" s="16">
        <f t="shared" si="50"/>
        <v>450000</v>
      </c>
      <c r="H31" s="16">
        <f t="shared" si="50"/>
        <v>450000</v>
      </c>
      <c r="I31" s="16">
        <f t="shared" ref="I31:L31" si="51">I29-I30</f>
        <v>450000</v>
      </c>
      <c r="J31" s="16">
        <f t="shared" si="51"/>
        <v>450000</v>
      </c>
      <c r="K31" s="16">
        <f t="shared" si="51"/>
        <v>450000</v>
      </c>
      <c r="L31" s="16">
        <f t="shared" si="51"/>
        <v>450000</v>
      </c>
      <c r="M31" s="16">
        <f t="shared" ref="M31:N31" si="52">M29-M30</f>
        <v>450000</v>
      </c>
      <c r="N31" s="16">
        <f t="shared" si="52"/>
        <v>450000</v>
      </c>
      <c r="O31" s="13">
        <f t="shared" si="0"/>
        <v>5400000</v>
      </c>
      <c r="P31" s="14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r="32" spans="1:256" s="17" customFormat="1" x14ac:dyDescent="0.35">
      <c r="B32" s="15" t="s">
        <v>17</v>
      </c>
      <c r="C32" s="18">
        <f t="shared" ref="C32:L32" si="53">IF(C31&gt;1000000,(C32-1000000)*0.3+128000,IF(C31&gt;760000,(C31-760000)*0.25+68000,IF(C31&gt;520000,(C31-520000)*0.2+20000,IF(C31&gt;270000,(C31-270000)*0.08+0,IF(C31&lt;270001,0,0)))))</f>
        <v>14400</v>
      </c>
      <c r="D32" s="18">
        <f t="shared" si="53"/>
        <v>14400</v>
      </c>
      <c r="E32" s="18">
        <f t="shared" si="53"/>
        <v>14400</v>
      </c>
      <c r="F32" s="18">
        <f t="shared" si="53"/>
        <v>14400</v>
      </c>
      <c r="G32" s="18">
        <f t="shared" si="53"/>
        <v>14400</v>
      </c>
      <c r="H32" s="18">
        <f t="shared" si="53"/>
        <v>14400</v>
      </c>
      <c r="I32" s="18">
        <f t="shared" si="53"/>
        <v>14400</v>
      </c>
      <c r="J32" s="18">
        <f t="shared" si="53"/>
        <v>14400</v>
      </c>
      <c r="K32" s="18">
        <f t="shared" si="53"/>
        <v>14400</v>
      </c>
      <c r="L32" s="18">
        <f t="shared" si="53"/>
        <v>14400</v>
      </c>
      <c r="M32" s="18">
        <f t="shared" ref="M32:N32" si="54">IF(M31&gt;1000000,(M32-1000000)*0.3+128000,IF(M31&gt;760000,(M31-760000)*0.25+68000,IF(M31&gt;520000,(M31-520000)*0.2+20000,IF(M31&gt;270000,(M31-270000)*0.08+0,IF(M31&lt;270001,0,0)))))</f>
        <v>14400</v>
      </c>
      <c r="N32" s="18">
        <f t="shared" si="54"/>
        <v>14400</v>
      </c>
      <c r="O32" s="13">
        <f t="shared" si="0"/>
        <v>172800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spans="1:256" s="1" customFormat="1" x14ac:dyDescent="0.35">
      <c r="A33" s="1">
        <v>8</v>
      </c>
      <c r="B33" s="11" t="s">
        <v>25</v>
      </c>
      <c r="C33" s="12">
        <v>300000</v>
      </c>
      <c r="D33" s="12">
        <v>300000</v>
      </c>
      <c r="E33" s="12">
        <v>300000</v>
      </c>
      <c r="F33" s="12">
        <v>300000</v>
      </c>
      <c r="G33" s="12">
        <v>300000</v>
      </c>
      <c r="H33" s="12">
        <v>300000</v>
      </c>
      <c r="I33" s="12">
        <v>300000</v>
      </c>
      <c r="J33" s="12">
        <v>300000</v>
      </c>
      <c r="K33" s="12">
        <v>300000</v>
      </c>
      <c r="L33" s="12">
        <v>300000</v>
      </c>
      <c r="M33" s="12">
        <v>300000</v>
      </c>
      <c r="N33" s="12">
        <v>300000</v>
      </c>
      <c r="O33" s="13">
        <f t="shared" si="0"/>
        <v>3600000</v>
      </c>
      <c r="P33" s="14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r="34" spans="1:256" s="1" customFormat="1" x14ac:dyDescent="0.35">
      <c r="B34" s="15" t="s">
        <v>15</v>
      </c>
      <c r="C34" s="16">
        <f t="shared" ref="C34:H34" si="55">C33*0.1</f>
        <v>30000</v>
      </c>
      <c r="D34" s="16">
        <f t="shared" si="55"/>
        <v>30000</v>
      </c>
      <c r="E34" s="16">
        <f t="shared" si="55"/>
        <v>30000</v>
      </c>
      <c r="F34" s="16">
        <f t="shared" si="55"/>
        <v>30000</v>
      </c>
      <c r="G34" s="16">
        <f t="shared" si="55"/>
        <v>30000</v>
      </c>
      <c r="H34" s="16">
        <f t="shared" si="55"/>
        <v>30000</v>
      </c>
      <c r="I34" s="16">
        <f t="shared" ref="I34:L34" si="56">I33*0.1</f>
        <v>30000</v>
      </c>
      <c r="J34" s="16">
        <f t="shared" si="56"/>
        <v>30000</v>
      </c>
      <c r="K34" s="16">
        <f t="shared" si="56"/>
        <v>30000</v>
      </c>
      <c r="L34" s="16">
        <f t="shared" si="56"/>
        <v>30000</v>
      </c>
      <c r="M34" s="16">
        <f t="shared" ref="M34:N34" si="57">M33*0.1</f>
        <v>30000</v>
      </c>
      <c r="N34" s="16">
        <f t="shared" si="57"/>
        <v>30000</v>
      </c>
      <c r="O34" s="13">
        <f t="shared" si="0"/>
        <v>360000</v>
      </c>
      <c r="P34" s="14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r="35" spans="1:256" s="17" customFormat="1" x14ac:dyDescent="0.35">
      <c r="B35" s="15" t="s">
        <v>16</v>
      </c>
      <c r="C35" s="16">
        <f t="shared" ref="C35:H35" si="58">C33-C34</f>
        <v>270000</v>
      </c>
      <c r="D35" s="16">
        <f t="shared" si="58"/>
        <v>270000</v>
      </c>
      <c r="E35" s="16">
        <f t="shared" si="58"/>
        <v>270000</v>
      </c>
      <c r="F35" s="16">
        <f t="shared" si="58"/>
        <v>270000</v>
      </c>
      <c r="G35" s="16">
        <f t="shared" si="58"/>
        <v>270000</v>
      </c>
      <c r="H35" s="16">
        <f t="shared" si="58"/>
        <v>270000</v>
      </c>
      <c r="I35" s="16">
        <f t="shared" ref="I35:L35" si="59">I33-I34</f>
        <v>270000</v>
      </c>
      <c r="J35" s="16">
        <f t="shared" si="59"/>
        <v>270000</v>
      </c>
      <c r="K35" s="16">
        <f t="shared" si="59"/>
        <v>270000</v>
      </c>
      <c r="L35" s="16">
        <f t="shared" si="59"/>
        <v>270000</v>
      </c>
      <c r="M35" s="16">
        <f t="shared" ref="M35:N35" si="60">M33-M34</f>
        <v>270000</v>
      </c>
      <c r="N35" s="16">
        <f t="shared" si="60"/>
        <v>270000</v>
      </c>
      <c r="O35" s="13">
        <f t="shared" si="0"/>
        <v>3240000</v>
      </c>
      <c r="P35" s="14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r="36" spans="1:256" s="17" customFormat="1" x14ac:dyDescent="0.35">
      <c r="B36" s="15" t="s">
        <v>17</v>
      </c>
      <c r="C36" s="18">
        <f t="shared" ref="C36:L36" si="61">IF(C35&gt;1000000,(C36-1000000)*0.3+128000,IF(C35&gt;760000,(C35-760000)*0.25+68000,IF(C35&gt;520000,(C35-520000)*0.2+20000,IF(C35&gt;270000,(C35-270000)*0.08+0,IF(C35&lt;270001,0,0)))))</f>
        <v>0</v>
      </c>
      <c r="D36" s="18">
        <f t="shared" si="61"/>
        <v>0</v>
      </c>
      <c r="E36" s="18">
        <f t="shared" si="61"/>
        <v>0</v>
      </c>
      <c r="F36" s="18">
        <f t="shared" si="61"/>
        <v>0</v>
      </c>
      <c r="G36" s="18">
        <f t="shared" si="61"/>
        <v>0</v>
      </c>
      <c r="H36" s="18">
        <f t="shared" si="61"/>
        <v>0</v>
      </c>
      <c r="I36" s="18">
        <f t="shared" si="61"/>
        <v>0</v>
      </c>
      <c r="J36" s="18">
        <f t="shared" si="61"/>
        <v>0</v>
      </c>
      <c r="K36" s="18">
        <f t="shared" si="61"/>
        <v>0</v>
      </c>
      <c r="L36" s="18">
        <f t="shared" si="61"/>
        <v>0</v>
      </c>
      <c r="M36" s="18">
        <f t="shared" ref="M36:N36" si="62">IF(M35&gt;1000000,(M36-1000000)*0.3+128000,IF(M35&gt;760000,(M35-760000)*0.25+68000,IF(M35&gt;520000,(M35-520000)*0.2+20000,IF(M35&gt;270000,(M35-270000)*0.08+0,IF(M35&lt;270001,0,0)))))</f>
        <v>0</v>
      </c>
      <c r="N36" s="18">
        <f t="shared" si="62"/>
        <v>0</v>
      </c>
      <c r="O36" s="13">
        <f t="shared" si="0"/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r="37" spans="1:256" s="1" customFormat="1" x14ac:dyDescent="0.35">
      <c r="A37" s="1">
        <v>9</v>
      </c>
      <c r="B37" s="11" t="s">
        <v>26</v>
      </c>
      <c r="C37" s="12">
        <v>300000</v>
      </c>
      <c r="D37" s="12">
        <v>300000</v>
      </c>
      <c r="E37" s="12">
        <v>300000</v>
      </c>
      <c r="F37" s="12">
        <v>300000</v>
      </c>
      <c r="G37" s="12">
        <v>300000</v>
      </c>
      <c r="H37" s="12">
        <v>300000</v>
      </c>
      <c r="I37" s="12">
        <v>300000</v>
      </c>
      <c r="J37" s="12">
        <v>300000</v>
      </c>
      <c r="K37" s="12">
        <v>300000</v>
      </c>
      <c r="L37" s="12">
        <v>300000</v>
      </c>
      <c r="M37" s="12">
        <v>300000</v>
      </c>
      <c r="N37" s="12">
        <v>300000</v>
      </c>
      <c r="O37" s="13">
        <f t="shared" ref="O37:O68" si="63">SUM(C37:N37)</f>
        <v>3600000</v>
      </c>
      <c r="P37" s="14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pans="1:256" s="1" customFormat="1" x14ac:dyDescent="0.35">
      <c r="B38" s="15" t="s">
        <v>15</v>
      </c>
      <c r="C38" s="16">
        <f t="shared" ref="C38:H38" si="64">C37*0.1</f>
        <v>30000</v>
      </c>
      <c r="D38" s="16">
        <f t="shared" si="64"/>
        <v>30000</v>
      </c>
      <c r="E38" s="16">
        <f t="shared" si="64"/>
        <v>30000</v>
      </c>
      <c r="F38" s="16">
        <f t="shared" si="64"/>
        <v>30000</v>
      </c>
      <c r="G38" s="16">
        <f t="shared" si="64"/>
        <v>30000</v>
      </c>
      <c r="H38" s="16">
        <f t="shared" si="64"/>
        <v>30000</v>
      </c>
      <c r="I38" s="16">
        <f t="shared" ref="I38:L38" si="65">I37*0.1</f>
        <v>30000</v>
      </c>
      <c r="J38" s="16">
        <f t="shared" si="65"/>
        <v>30000</v>
      </c>
      <c r="K38" s="16">
        <f t="shared" si="65"/>
        <v>30000</v>
      </c>
      <c r="L38" s="16">
        <f t="shared" si="65"/>
        <v>30000</v>
      </c>
      <c r="M38" s="16">
        <f t="shared" ref="M38:N38" si="66">M37*0.1</f>
        <v>30000</v>
      </c>
      <c r="N38" s="16">
        <f t="shared" si="66"/>
        <v>30000</v>
      </c>
      <c r="O38" s="13">
        <f t="shared" si="63"/>
        <v>360000</v>
      </c>
      <c r="P38" s="14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spans="1:256" s="17" customFormat="1" x14ac:dyDescent="0.35">
      <c r="B39" s="15" t="s">
        <v>16</v>
      </c>
      <c r="C39" s="16">
        <f t="shared" ref="C39:H39" si="67">C37-C38</f>
        <v>270000</v>
      </c>
      <c r="D39" s="16">
        <f t="shared" si="67"/>
        <v>270000</v>
      </c>
      <c r="E39" s="16">
        <f t="shared" si="67"/>
        <v>270000</v>
      </c>
      <c r="F39" s="16">
        <f t="shared" si="67"/>
        <v>270000</v>
      </c>
      <c r="G39" s="16">
        <f t="shared" si="67"/>
        <v>270000</v>
      </c>
      <c r="H39" s="16">
        <f t="shared" si="67"/>
        <v>270000</v>
      </c>
      <c r="I39" s="16">
        <f t="shared" ref="I39:L39" si="68">I37-I38</f>
        <v>270000</v>
      </c>
      <c r="J39" s="16">
        <f t="shared" si="68"/>
        <v>270000</v>
      </c>
      <c r="K39" s="16">
        <f t="shared" si="68"/>
        <v>270000</v>
      </c>
      <c r="L39" s="16">
        <f t="shared" si="68"/>
        <v>270000</v>
      </c>
      <c r="M39" s="16">
        <f t="shared" ref="M39:N39" si="69">M37-M38</f>
        <v>270000</v>
      </c>
      <c r="N39" s="16">
        <f t="shared" si="69"/>
        <v>270000</v>
      </c>
      <c r="O39" s="13">
        <f t="shared" si="63"/>
        <v>3240000</v>
      </c>
      <c r="P39" s="1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r="40" spans="1:256" s="17" customFormat="1" x14ac:dyDescent="0.35">
      <c r="B40" s="15" t="s">
        <v>17</v>
      </c>
      <c r="C40" s="18">
        <f t="shared" ref="C40:L40" si="70">IF(C39&gt;1000000,(C40-1000000)*0.3+128000,IF(C39&gt;760000,(C39-760000)*0.25+68000,IF(C39&gt;520000,(C39-520000)*0.2+20000,IF(C39&gt;270000,(C39-270000)*0.08+0,IF(C39&lt;270001,0,0)))))</f>
        <v>0</v>
      </c>
      <c r="D40" s="18">
        <f t="shared" si="70"/>
        <v>0</v>
      </c>
      <c r="E40" s="18">
        <f t="shared" si="70"/>
        <v>0</v>
      </c>
      <c r="F40" s="18">
        <f t="shared" si="70"/>
        <v>0</v>
      </c>
      <c r="G40" s="18">
        <f t="shared" si="70"/>
        <v>0</v>
      </c>
      <c r="H40" s="18">
        <f t="shared" si="70"/>
        <v>0</v>
      </c>
      <c r="I40" s="18">
        <f t="shared" si="70"/>
        <v>0</v>
      </c>
      <c r="J40" s="18">
        <f t="shared" si="70"/>
        <v>0</v>
      </c>
      <c r="K40" s="18">
        <f t="shared" si="70"/>
        <v>0</v>
      </c>
      <c r="L40" s="18">
        <f t="shared" si="70"/>
        <v>0</v>
      </c>
      <c r="M40" s="18">
        <f t="shared" ref="M40:N40" si="71">IF(M39&gt;1000000,(M40-1000000)*0.3+128000,IF(M39&gt;760000,(M39-760000)*0.25+68000,IF(M39&gt;520000,(M39-520000)*0.2+20000,IF(M39&gt;270000,(M39-270000)*0.08+0,IF(M39&lt;270001,0,0)))))</f>
        <v>0</v>
      </c>
      <c r="N40" s="18">
        <f t="shared" si="71"/>
        <v>0</v>
      </c>
      <c r="O40" s="13">
        <f t="shared" si="63"/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</row>
    <row r="41" spans="1:256" s="1" customFormat="1" x14ac:dyDescent="0.35">
      <c r="A41" s="1">
        <v>10</v>
      </c>
      <c r="B41" s="11" t="s">
        <v>27</v>
      </c>
      <c r="C41" s="12">
        <v>300000</v>
      </c>
      <c r="D41" s="12">
        <v>300000</v>
      </c>
      <c r="E41" s="12">
        <v>300000</v>
      </c>
      <c r="F41" s="12">
        <v>300000</v>
      </c>
      <c r="G41" s="12">
        <v>300000</v>
      </c>
      <c r="H41" s="12">
        <v>300000</v>
      </c>
      <c r="I41" s="12">
        <v>300000</v>
      </c>
      <c r="J41" s="12">
        <v>300000</v>
      </c>
      <c r="K41" s="12">
        <v>300000</v>
      </c>
      <c r="L41" s="12">
        <v>300000</v>
      </c>
      <c r="M41" s="12">
        <v>300000</v>
      </c>
      <c r="N41" s="12">
        <v>300000</v>
      </c>
      <c r="O41" s="13">
        <f t="shared" si="63"/>
        <v>3600000</v>
      </c>
      <c r="P41" s="1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spans="1:256" s="1" customFormat="1" x14ac:dyDescent="0.35">
      <c r="B42" s="15" t="s">
        <v>15</v>
      </c>
      <c r="C42" s="16">
        <f t="shared" ref="C42:H42" si="72">C41*0.1</f>
        <v>30000</v>
      </c>
      <c r="D42" s="16">
        <f t="shared" si="72"/>
        <v>30000</v>
      </c>
      <c r="E42" s="16">
        <f t="shared" si="72"/>
        <v>30000</v>
      </c>
      <c r="F42" s="16">
        <f t="shared" si="72"/>
        <v>30000</v>
      </c>
      <c r="G42" s="16">
        <f t="shared" si="72"/>
        <v>30000</v>
      </c>
      <c r="H42" s="16">
        <f t="shared" si="72"/>
        <v>30000</v>
      </c>
      <c r="I42" s="16">
        <f t="shared" ref="I42:L42" si="73">I41*0.1</f>
        <v>30000</v>
      </c>
      <c r="J42" s="16">
        <f t="shared" si="73"/>
        <v>30000</v>
      </c>
      <c r="K42" s="16">
        <f t="shared" si="73"/>
        <v>30000</v>
      </c>
      <c r="L42" s="16">
        <f t="shared" si="73"/>
        <v>30000</v>
      </c>
      <c r="M42" s="16">
        <f t="shared" ref="M42:N42" si="74">M41*0.1</f>
        <v>30000</v>
      </c>
      <c r="N42" s="16">
        <f t="shared" si="74"/>
        <v>30000</v>
      </c>
      <c r="O42" s="13">
        <f t="shared" si="63"/>
        <v>360000</v>
      </c>
      <c r="P42" s="14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spans="1:256" s="17" customFormat="1" x14ac:dyDescent="0.35">
      <c r="B43" s="15" t="s">
        <v>16</v>
      </c>
      <c r="C43" s="16">
        <f t="shared" ref="C43:H43" si="75">C41-C42</f>
        <v>270000</v>
      </c>
      <c r="D43" s="16">
        <f t="shared" si="75"/>
        <v>270000</v>
      </c>
      <c r="E43" s="16">
        <f t="shared" si="75"/>
        <v>270000</v>
      </c>
      <c r="F43" s="16">
        <f t="shared" si="75"/>
        <v>270000</v>
      </c>
      <c r="G43" s="16">
        <f t="shared" si="75"/>
        <v>270000</v>
      </c>
      <c r="H43" s="16">
        <f t="shared" si="75"/>
        <v>270000</v>
      </c>
      <c r="I43" s="16">
        <f t="shared" ref="I43:L43" si="76">I41-I42</f>
        <v>270000</v>
      </c>
      <c r="J43" s="16">
        <f t="shared" si="76"/>
        <v>270000</v>
      </c>
      <c r="K43" s="16">
        <f t="shared" si="76"/>
        <v>270000</v>
      </c>
      <c r="L43" s="16">
        <f t="shared" si="76"/>
        <v>270000</v>
      </c>
      <c r="M43" s="16">
        <f t="shared" ref="M43:N43" si="77">M41-M42</f>
        <v>270000</v>
      </c>
      <c r="N43" s="16">
        <f t="shared" si="77"/>
        <v>270000</v>
      </c>
      <c r="O43" s="13">
        <f t="shared" si="63"/>
        <v>3240000</v>
      </c>
      <c r="P43" s="14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r="44" spans="1:256" s="17" customFormat="1" x14ac:dyDescent="0.35">
      <c r="B44" s="15" t="s">
        <v>17</v>
      </c>
      <c r="C44" s="18">
        <f t="shared" ref="C44:L44" si="78">IF(C43&gt;1000000,(C44-1000000)*0.3+128000,IF(C43&gt;760000,(C43-760000)*0.25+68000,IF(C43&gt;520000,(C43-520000)*0.2+20000,IF(C43&gt;270000,(C43-270000)*0.08+0,IF(C43&lt;270001,0,0)))))</f>
        <v>0</v>
      </c>
      <c r="D44" s="18">
        <f t="shared" si="78"/>
        <v>0</v>
      </c>
      <c r="E44" s="18">
        <f t="shared" si="78"/>
        <v>0</v>
      </c>
      <c r="F44" s="18">
        <f t="shared" si="78"/>
        <v>0</v>
      </c>
      <c r="G44" s="18">
        <f t="shared" si="78"/>
        <v>0</v>
      </c>
      <c r="H44" s="18">
        <f t="shared" si="78"/>
        <v>0</v>
      </c>
      <c r="I44" s="18">
        <f t="shared" si="78"/>
        <v>0</v>
      </c>
      <c r="J44" s="18">
        <f t="shared" si="78"/>
        <v>0</v>
      </c>
      <c r="K44" s="18">
        <f t="shared" si="78"/>
        <v>0</v>
      </c>
      <c r="L44" s="18">
        <f t="shared" si="78"/>
        <v>0</v>
      </c>
      <c r="M44" s="18">
        <f t="shared" ref="M44:N44" si="79">IF(M43&gt;1000000,(M44-1000000)*0.3+128000,IF(M43&gt;760000,(M43-760000)*0.25+68000,IF(M43&gt;520000,(M43-520000)*0.2+20000,IF(M43&gt;270000,(M43-270000)*0.08+0,IF(M43&lt;270001,0,0)))))</f>
        <v>0</v>
      </c>
      <c r="N44" s="18">
        <f t="shared" si="79"/>
        <v>0</v>
      </c>
      <c r="O44" s="13">
        <f t="shared" si="63"/>
        <v>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spans="1:256" s="1" customFormat="1" x14ac:dyDescent="0.35">
      <c r="A45" s="1">
        <v>11</v>
      </c>
      <c r="B45" s="11" t="s">
        <v>28</v>
      </c>
      <c r="C45" s="12">
        <v>300000</v>
      </c>
      <c r="D45" s="12">
        <v>300000</v>
      </c>
      <c r="E45" s="12">
        <v>300000</v>
      </c>
      <c r="F45" s="12">
        <v>300000</v>
      </c>
      <c r="G45" s="12">
        <v>300000</v>
      </c>
      <c r="H45" s="12">
        <v>300000</v>
      </c>
      <c r="I45" s="12">
        <v>300000</v>
      </c>
      <c r="J45" s="12">
        <v>300000</v>
      </c>
      <c r="K45" s="12">
        <v>0</v>
      </c>
      <c r="L45" s="12">
        <v>0</v>
      </c>
      <c r="M45" s="12">
        <v>0</v>
      </c>
      <c r="N45" s="12">
        <v>0</v>
      </c>
      <c r="O45" s="13">
        <f t="shared" si="63"/>
        <v>2400000</v>
      </c>
      <c r="P45" s="1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s="1" customFormat="1" x14ac:dyDescent="0.35">
      <c r="B46" s="15" t="s">
        <v>15</v>
      </c>
      <c r="C46" s="16">
        <f t="shared" ref="C46:H46" si="80">C45*0.1</f>
        <v>30000</v>
      </c>
      <c r="D46" s="16">
        <f t="shared" si="80"/>
        <v>30000</v>
      </c>
      <c r="E46" s="16">
        <f t="shared" si="80"/>
        <v>30000</v>
      </c>
      <c r="F46" s="16">
        <f t="shared" si="80"/>
        <v>30000</v>
      </c>
      <c r="G46" s="16">
        <f t="shared" si="80"/>
        <v>30000</v>
      </c>
      <c r="H46" s="16">
        <f t="shared" si="80"/>
        <v>30000</v>
      </c>
      <c r="I46" s="16">
        <f t="shared" ref="I46:L46" si="81">I45*0.1</f>
        <v>30000</v>
      </c>
      <c r="J46" s="16">
        <f t="shared" si="81"/>
        <v>30000</v>
      </c>
      <c r="K46" s="16">
        <f t="shared" si="81"/>
        <v>0</v>
      </c>
      <c r="L46" s="16">
        <f t="shared" si="81"/>
        <v>0</v>
      </c>
      <c r="M46" s="16">
        <f t="shared" ref="M46:N46" si="82">M45*0.1</f>
        <v>0</v>
      </c>
      <c r="N46" s="16">
        <f t="shared" si="82"/>
        <v>0</v>
      </c>
      <c r="O46" s="13">
        <f t="shared" si="63"/>
        <v>240000</v>
      </c>
      <c r="P46" s="1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s="17" customFormat="1" x14ac:dyDescent="0.35">
      <c r="B47" s="15" t="s">
        <v>16</v>
      </c>
      <c r="C47" s="16">
        <f t="shared" ref="C47:H47" si="83">C45-C46</f>
        <v>270000</v>
      </c>
      <c r="D47" s="16">
        <f t="shared" si="83"/>
        <v>270000</v>
      </c>
      <c r="E47" s="16">
        <f t="shared" si="83"/>
        <v>270000</v>
      </c>
      <c r="F47" s="16">
        <f t="shared" si="83"/>
        <v>270000</v>
      </c>
      <c r="G47" s="16">
        <f t="shared" si="83"/>
        <v>270000</v>
      </c>
      <c r="H47" s="16">
        <f t="shared" si="83"/>
        <v>270000</v>
      </c>
      <c r="I47" s="16">
        <f t="shared" ref="I47:L47" si="84">I45-I46</f>
        <v>270000</v>
      </c>
      <c r="J47" s="16">
        <f t="shared" si="84"/>
        <v>270000</v>
      </c>
      <c r="K47" s="16">
        <f t="shared" si="84"/>
        <v>0</v>
      </c>
      <c r="L47" s="16">
        <f t="shared" si="84"/>
        <v>0</v>
      </c>
      <c r="M47" s="16">
        <f t="shared" ref="M47:N47" si="85">M45-M46</f>
        <v>0</v>
      </c>
      <c r="N47" s="16">
        <f t="shared" si="85"/>
        <v>0</v>
      </c>
      <c r="O47" s="13">
        <f t="shared" si="63"/>
        <v>2160000</v>
      </c>
      <c r="P47" s="14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r="48" spans="1:256" s="17" customFormat="1" x14ac:dyDescent="0.35">
      <c r="B48" s="15" t="s">
        <v>17</v>
      </c>
      <c r="C48" s="18">
        <f t="shared" ref="C48:L48" si="86">IF(C47&gt;1000000,(C48-1000000)*0.3+128000,IF(C47&gt;760000,(C47-760000)*0.25+68000,IF(C47&gt;520000,(C47-520000)*0.2+20000,IF(C47&gt;270000,(C47-270000)*0.08+0,IF(C47&lt;270001,0,0)))))</f>
        <v>0</v>
      </c>
      <c r="D48" s="18">
        <f t="shared" si="86"/>
        <v>0</v>
      </c>
      <c r="E48" s="18">
        <f t="shared" si="86"/>
        <v>0</v>
      </c>
      <c r="F48" s="18">
        <f t="shared" si="86"/>
        <v>0</v>
      </c>
      <c r="G48" s="18">
        <f t="shared" si="86"/>
        <v>0</v>
      </c>
      <c r="H48" s="18">
        <f t="shared" si="86"/>
        <v>0</v>
      </c>
      <c r="I48" s="18">
        <f t="shared" si="86"/>
        <v>0</v>
      </c>
      <c r="J48" s="18">
        <f t="shared" si="86"/>
        <v>0</v>
      </c>
      <c r="K48" s="18">
        <f t="shared" si="86"/>
        <v>0</v>
      </c>
      <c r="L48" s="18">
        <f t="shared" si="86"/>
        <v>0</v>
      </c>
      <c r="M48" s="18">
        <f t="shared" ref="M48:N48" si="87">IF(M47&gt;1000000,(M48-1000000)*0.3+128000,IF(M47&gt;760000,(M47-760000)*0.25+68000,IF(M47&gt;520000,(M47-520000)*0.2+20000,IF(M47&gt;270000,(M47-270000)*0.08+0,IF(M47&lt;270001,0,0)))))</f>
        <v>0</v>
      </c>
      <c r="N48" s="18">
        <f t="shared" si="87"/>
        <v>0</v>
      </c>
      <c r="O48" s="13">
        <f t="shared" si="63"/>
        <v>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r="49" spans="1:256" s="1" customFormat="1" x14ac:dyDescent="0.35">
      <c r="A49" s="1">
        <v>12</v>
      </c>
      <c r="B49" s="11" t="s">
        <v>29</v>
      </c>
      <c r="C49" s="12">
        <v>300000</v>
      </c>
      <c r="D49" s="12">
        <v>300000</v>
      </c>
      <c r="E49" s="12">
        <v>300000</v>
      </c>
      <c r="F49" s="12">
        <v>300000</v>
      </c>
      <c r="G49" s="12">
        <v>300000</v>
      </c>
      <c r="H49" s="12">
        <v>300000</v>
      </c>
      <c r="I49" s="12">
        <v>300000</v>
      </c>
      <c r="J49" s="12">
        <v>300000</v>
      </c>
      <c r="K49" s="12">
        <v>300000</v>
      </c>
      <c r="L49" s="12">
        <v>300000</v>
      </c>
      <c r="M49" s="12">
        <v>300000</v>
      </c>
      <c r="N49" s="12">
        <v>300000</v>
      </c>
      <c r="O49" s="13">
        <f t="shared" si="63"/>
        <v>3600000</v>
      </c>
      <c r="P49" s="14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</row>
    <row r="50" spans="1:256" s="1" customFormat="1" x14ac:dyDescent="0.35">
      <c r="B50" s="15" t="s">
        <v>15</v>
      </c>
      <c r="C50" s="16">
        <f t="shared" ref="C50:H50" si="88">C49*0.1</f>
        <v>30000</v>
      </c>
      <c r="D50" s="16">
        <f t="shared" si="88"/>
        <v>30000</v>
      </c>
      <c r="E50" s="16">
        <f t="shared" si="88"/>
        <v>30000</v>
      </c>
      <c r="F50" s="16">
        <f t="shared" si="88"/>
        <v>30000</v>
      </c>
      <c r="G50" s="16">
        <f t="shared" si="88"/>
        <v>30000</v>
      </c>
      <c r="H50" s="16">
        <f t="shared" si="88"/>
        <v>30000</v>
      </c>
      <c r="I50" s="16">
        <f t="shared" ref="I50:L50" si="89">I49*0.1</f>
        <v>30000</v>
      </c>
      <c r="J50" s="16">
        <f t="shared" si="89"/>
        <v>30000</v>
      </c>
      <c r="K50" s="16">
        <f t="shared" si="89"/>
        <v>30000</v>
      </c>
      <c r="L50" s="16">
        <f t="shared" si="89"/>
        <v>30000</v>
      </c>
      <c r="M50" s="16">
        <f t="shared" ref="M50:N50" si="90">M49*0.1</f>
        <v>30000</v>
      </c>
      <c r="N50" s="16">
        <f t="shared" si="90"/>
        <v>30000</v>
      </c>
      <c r="O50" s="13">
        <f t="shared" si="63"/>
        <v>360000</v>
      </c>
      <c r="P50" s="14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</row>
    <row r="51" spans="1:256" s="17" customFormat="1" x14ac:dyDescent="0.35">
      <c r="B51" s="15" t="s">
        <v>16</v>
      </c>
      <c r="C51" s="16">
        <f t="shared" ref="C51:H51" si="91">C49-C50</f>
        <v>270000</v>
      </c>
      <c r="D51" s="16">
        <f t="shared" si="91"/>
        <v>270000</v>
      </c>
      <c r="E51" s="16">
        <f t="shared" si="91"/>
        <v>270000</v>
      </c>
      <c r="F51" s="16">
        <f t="shared" si="91"/>
        <v>270000</v>
      </c>
      <c r="G51" s="16">
        <f t="shared" si="91"/>
        <v>270000</v>
      </c>
      <c r="H51" s="16">
        <f t="shared" si="91"/>
        <v>270000</v>
      </c>
      <c r="I51" s="16">
        <f t="shared" ref="I51:L51" si="92">I49-I50</f>
        <v>270000</v>
      </c>
      <c r="J51" s="16">
        <f t="shared" si="92"/>
        <v>270000</v>
      </c>
      <c r="K51" s="16">
        <f t="shared" si="92"/>
        <v>270000</v>
      </c>
      <c r="L51" s="16">
        <f t="shared" si="92"/>
        <v>270000</v>
      </c>
      <c r="M51" s="16">
        <f t="shared" ref="M51:N51" si="93">M49-M50</f>
        <v>270000</v>
      </c>
      <c r="N51" s="16">
        <f t="shared" si="93"/>
        <v>270000</v>
      </c>
      <c r="O51" s="13">
        <f t="shared" si="63"/>
        <v>3240000</v>
      </c>
      <c r="P51" s="14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r="52" spans="1:256" s="17" customFormat="1" x14ac:dyDescent="0.35">
      <c r="B52" s="15" t="s">
        <v>17</v>
      </c>
      <c r="C52" s="18">
        <f t="shared" ref="C52:L52" si="94">IF(C51&gt;1000000,(C52-1000000)*0.3+128000,IF(C51&gt;760000,(C51-760000)*0.25+68000,IF(C51&gt;520000,(C51-520000)*0.2+20000,IF(C51&gt;270000,(C51-270000)*0.08+0,IF(C51&lt;270001,0,0)))))</f>
        <v>0</v>
      </c>
      <c r="D52" s="18">
        <f t="shared" si="94"/>
        <v>0</v>
      </c>
      <c r="E52" s="18">
        <f t="shared" si="94"/>
        <v>0</v>
      </c>
      <c r="F52" s="18">
        <f t="shared" si="94"/>
        <v>0</v>
      </c>
      <c r="G52" s="18">
        <f t="shared" si="94"/>
        <v>0</v>
      </c>
      <c r="H52" s="18">
        <f t="shared" si="94"/>
        <v>0</v>
      </c>
      <c r="I52" s="18">
        <f t="shared" si="94"/>
        <v>0</v>
      </c>
      <c r="J52" s="18">
        <f t="shared" si="94"/>
        <v>0</v>
      </c>
      <c r="K52" s="18">
        <f t="shared" si="94"/>
        <v>0</v>
      </c>
      <c r="L52" s="18">
        <f t="shared" si="94"/>
        <v>0</v>
      </c>
      <c r="M52" s="18">
        <f t="shared" ref="M52:N52" si="95">IF(M51&gt;1000000,(M52-1000000)*0.3+128000,IF(M51&gt;760000,(M51-760000)*0.25+68000,IF(M51&gt;520000,(M51-520000)*0.2+20000,IF(M51&gt;270000,(M51-270000)*0.08+0,IF(M51&lt;270001,0,0)))))</f>
        <v>0</v>
      </c>
      <c r="N52" s="18">
        <f t="shared" si="95"/>
        <v>0</v>
      </c>
      <c r="O52" s="13">
        <f t="shared" si="63"/>
        <v>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spans="1:256" s="1" customFormat="1" x14ac:dyDescent="0.35">
      <c r="A53" s="1">
        <v>13</v>
      </c>
      <c r="B53" s="11" t="s">
        <v>30</v>
      </c>
      <c r="C53" s="12">
        <v>300000</v>
      </c>
      <c r="D53" s="12">
        <v>300000</v>
      </c>
      <c r="E53" s="12">
        <v>300000</v>
      </c>
      <c r="F53" s="12">
        <v>300000</v>
      </c>
      <c r="G53" s="12">
        <v>300000</v>
      </c>
      <c r="H53" s="12">
        <v>300000</v>
      </c>
      <c r="I53" s="12">
        <v>300000</v>
      </c>
      <c r="J53" s="12">
        <v>300000</v>
      </c>
      <c r="K53" s="12">
        <v>300000</v>
      </c>
      <c r="L53" s="12">
        <v>300000</v>
      </c>
      <c r="M53" s="12">
        <v>300000</v>
      </c>
      <c r="N53" s="12">
        <v>300000</v>
      </c>
      <c r="O53" s="13">
        <f t="shared" si="63"/>
        <v>3600000</v>
      </c>
      <c r="P53" s="14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r="54" spans="1:256" s="1" customFormat="1" x14ac:dyDescent="0.35">
      <c r="B54" s="15" t="s">
        <v>15</v>
      </c>
      <c r="C54" s="16">
        <f t="shared" ref="C54:H54" si="96">C53*0.1</f>
        <v>30000</v>
      </c>
      <c r="D54" s="16">
        <f t="shared" si="96"/>
        <v>30000</v>
      </c>
      <c r="E54" s="16">
        <f t="shared" si="96"/>
        <v>30000</v>
      </c>
      <c r="F54" s="16">
        <f t="shared" si="96"/>
        <v>30000</v>
      </c>
      <c r="G54" s="16">
        <f t="shared" si="96"/>
        <v>30000</v>
      </c>
      <c r="H54" s="16">
        <f t="shared" si="96"/>
        <v>30000</v>
      </c>
      <c r="I54" s="16">
        <f t="shared" ref="I54:L54" si="97">I53*0.1</f>
        <v>30000</v>
      </c>
      <c r="J54" s="16">
        <f t="shared" si="97"/>
        <v>30000</v>
      </c>
      <c r="K54" s="16">
        <f t="shared" si="97"/>
        <v>30000</v>
      </c>
      <c r="L54" s="16">
        <f t="shared" si="97"/>
        <v>30000</v>
      </c>
      <c r="M54" s="16">
        <f t="shared" ref="M54:N54" si="98">M53*0.1</f>
        <v>30000</v>
      </c>
      <c r="N54" s="16">
        <f t="shared" si="98"/>
        <v>30000</v>
      </c>
      <c r="O54" s="13">
        <f t="shared" si="63"/>
        <v>360000</v>
      </c>
      <c r="P54" s="14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r="55" spans="1:256" s="17" customFormat="1" x14ac:dyDescent="0.35">
      <c r="B55" s="15" t="s">
        <v>16</v>
      </c>
      <c r="C55" s="16">
        <f t="shared" ref="C55:H55" si="99">C53-C54</f>
        <v>270000</v>
      </c>
      <c r="D55" s="16">
        <f t="shared" si="99"/>
        <v>270000</v>
      </c>
      <c r="E55" s="16">
        <f t="shared" si="99"/>
        <v>270000</v>
      </c>
      <c r="F55" s="16">
        <f t="shared" si="99"/>
        <v>270000</v>
      </c>
      <c r="G55" s="16">
        <f t="shared" si="99"/>
        <v>270000</v>
      </c>
      <c r="H55" s="16">
        <f t="shared" si="99"/>
        <v>270000</v>
      </c>
      <c r="I55" s="16">
        <f t="shared" ref="I55:L55" si="100">I53-I54</f>
        <v>270000</v>
      </c>
      <c r="J55" s="16">
        <f t="shared" si="100"/>
        <v>270000</v>
      </c>
      <c r="K55" s="16">
        <f t="shared" si="100"/>
        <v>270000</v>
      </c>
      <c r="L55" s="16">
        <f t="shared" si="100"/>
        <v>270000</v>
      </c>
      <c r="M55" s="16">
        <f t="shared" ref="M55:N55" si="101">M53-M54</f>
        <v>270000</v>
      </c>
      <c r="N55" s="16">
        <f t="shared" si="101"/>
        <v>270000</v>
      </c>
      <c r="O55" s="13">
        <f t="shared" si="63"/>
        <v>3240000</v>
      </c>
      <c r="P55" s="14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</row>
    <row r="56" spans="1:256" s="17" customFormat="1" x14ac:dyDescent="0.35">
      <c r="B56" s="15" t="s">
        <v>17</v>
      </c>
      <c r="C56" s="18">
        <f t="shared" ref="C56:L56" si="102">IF(C55&gt;1000000,(C56-1000000)*0.3+128000,IF(C55&gt;760000,(C55-760000)*0.25+68000,IF(C55&gt;520000,(C55-520000)*0.2+20000,IF(C55&gt;270000,(C55-270000)*0.08+0,IF(C55&lt;270001,0,0)))))</f>
        <v>0</v>
      </c>
      <c r="D56" s="18">
        <f t="shared" si="102"/>
        <v>0</v>
      </c>
      <c r="E56" s="18">
        <f t="shared" si="102"/>
        <v>0</v>
      </c>
      <c r="F56" s="18">
        <f t="shared" si="102"/>
        <v>0</v>
      </c>
      <c r="G56" s="18">
        <f t="shared" si="102"/>
        <v>0</v>
      </c>
      <c r="H56" s="18">
        <f t="shared" si="102"/>
        <v>0</v>
      </c>
      <c r="I56" s="18">
        <f t="shared" si="102"/>
        <v>0</v>
      </c>
      <c r="J56" s="18">
        <f t="shared" si="102"/>
        <v>0</v>
      </c>
      <c r="K56" s="18">
        <f t="shared" si="102"/>
        <v>0</v>
      </c>
      <c r="L56" s="18">
        <f t="shared" si="102"/>
        <v>0</v>
      </c>
      <c r="M56" s="18">
        <f t="shared" ref="M56:N56" si="103">IF(M55&gt;1000000,(M56-1000000)*0.3+128000,IF(M55&gt;760000,(M55-760000)*0.25+68000,IF(M55&gt;520000,(M55-520000)*0.2+20000,IF(M55&gt;270000,(M55-270000)*0.08+0,IF(M55&lt;270001,0,0)))))</f>
        <v>0</v>
      </c>
      <c r="N56" s="18">
        <f t="shared" si="103"/>
        <v>0</v>
      </c>
      <c r="O56" s="13">
        <f t="shared" si="63"/>
        <v>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</row>
    <row r="57" spans="1:256" s="1" customFormat="1" x14ac:dyDescent="0.35">
      <c r="A57" s="1">
        <v>14</v>
      </c>
      <c r="B57" s="11" t="s">
        <v>31</v>
      </c>
      <c r="C57" s="12">
        <v>300000</v>
      </c>
      <c r="D57" s="12">
        <v>300000</v>
      </c>
      <c r="E57" s="12">
        <v>300000</v>
      </c>
      <c r="F57" s="12">
        <v>300000</v>
      </c>
      <c r="G57" s="12">
        <v>300000</v>
      </c>
      <c r="H57" s="12">
        <v>300000</v>
      </c>
      <c r="I57" s="12">
        <v>300000</v>
      </c>
      <c r="J57" s="12">
        <v>300000</v>
      </c>
      <c r="K57" s="12">
        <v>300000</v>
      </c>
      <c r="L57" s="12">
        <v>300000</v>
      </c>
      <c r="M57" s="12">
        <v>300000</v>
      </c>
      <c r="N57" s="12">
        <v>300000</v>
      </c>
      <c r="O57" s="13">
        <f t="shared" si="63"/>
        <v>3600000</v>
      </c>
      <c r="P57" s="14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</row>
    <row r="58" spans="1:256" s="1" customFormat="1" x14ac:dyDescent="0.35">
      <c r="B58" s="15" t="s">
        <v>15</v>
      </c>
      <c r="C58" s="16">
        <f t="shared" ref="C58:H58" si="104">C57*0.1</f>
        <v>30000</v>
      </c>
      <c r="D58" s="16">
        <f t="shared" si="104"/>
        <v>30000</v>
      </c>
      <c r="E58" s="16">
        <f t="shared" si="104"/>
        <v>30000</v>
      </c>
      <c r="F58" s="16">
        <f t="shared" si="104"/>
        <v>30000</v>
      </c>
      <c r="G58" s="16">
        <f t="shared" si="104"/>
        <v>30000</v>
      </c>
      <c r="H58" s="16">
        <f t="shared" si="104"/>
        <v>30000</v>
      </c>
      <c r="I58" s="16">
        <f t="shared" ref="I58:L58" si="105">I57*0.1</f>
        <v>30000</v>
      </c>
      <c r="J58" s="16">
        <f t="shared" si="105"/>
        <v>30000</v>
      </c>
      <c r="K58" s="16">
        <f t="shared" si="105"/>
        <v>30000</v>
      </c>
      <c r="L58" s="16">
        <f t="shared" si="105"/>
        <v>30000</v>
      </c>
      <c r="M58" s="16">
        <f t="shared" ref="M58:N58" si="106">M57*0.1</f>
        <v>30000</v>
      </c>
      <c r="N58" s="16">
        <f t="shared" si="106"/>
        <v>30000</v>
      </c>
      <c r="O58" s="13">
        <f t="shared" si="63"/>
        <v>360000</v>
      </c>
      <c r="P58" s="14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r="59" spans="1:256" s="17" customFormat="1" x14ac:dyDescent="0.35">
      <c r="B59" s="15" t="s">
        <v>16</v>
      </c>
      <c r="C59" s="16">
        <f t="shared" ref="C59:H59" si="107">C57-C58</f>
        <v>270000</v>
      </c>
      <c r="D59" s="16">
        <f t="shared" si="107"/>
        <v>270000</v>
      </c>
      <c r="E59" s="16">
        <f t="shared" si="107"/>
        <v>270000</v>
      </c>
      <c r="F59" s="16">
        <f t="shared" si="107"/>
        <v>270000</v>
      </c>
      <c r="G59" s="16">
        <f t="shared" si="107"/>
        <v>270000</v>
      </c>
      <c r="H59" s="16">
        <f t="shared" si="107"/>
        <v>270000</v>
      </c>
      <c r="I59" s="16">
        <f t="shared" ref="I59:L59" si="108">I57-I58</f>
        <v>270000</v>
      </c>
      <c r="J59" s="16">
        <f t="shared" si="108"/>
        <v>270000</v>
      </c>
      <c r="K59" s="16">
        <f t="shared" si="108"/>
        <v>270000</v>
      </c>
      <c r="L59" s="16">
        <f t="shared" si="108"/>
        <v>270000</v>
      </c>
      <c r="M59" s="16">
        <f t="shared" ref="M59:N59" si="109">M57-M58</f>
        <v>270000</v>
      </c>
      <c r="N59" s="16">
        <f t="shared" si="109"/>
        <v>270000</v>
      </c>
      <c r="O59" s="13">
        <f t="shared" si="63"/>
        <v>3240000</v>
      </c>
      <c r="P59" s="14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spans="1:256" s="17" customFormat="1" x14ac:dyDescent="0.35">
      <c r="B60" s="15" t="s">
        <v>17</v>
      </c>
      <c r="C60" s="18">
        <f t="shared" ref="C60:L60" si="110">IF(C59&gt;1000000,(C60-1000000)*0.3+128000,IF(C59&gt;760000,(C59-760000)*0.25+68000,IF(C59&gt;520000,(C59-520000)*0.2+20000,IF(C59&gt;270000,(C59-270000)*0.08+0,IF(C59&lt;270001,0,0)))))</f>
        <v>0</v>
      </c>
      <c r="D60" s="18">
        <f t="shared" si="110"/>
        <v>0</v>
      </c>
      <c r="E60" s="18">
        <f t="shared" si="110"/>
        <v>0</v>
      </c>
      <c r="F60" s="18">
        <f t="shared" si="110"/>
        <v>0</v>
      </c>
      <c r="G60" s="18">
        <f t="shared" si="110"/>
        <v>0</v>
      </c>
      <c r="H60" s="18">
        <f t="shared" si="110"/>
        <v>0</v>
      </c>
      <c r="I60" s="18">
        <f t="shared" si="110"/>
        <v>0</v>
      </c>
      <c r="J60" s="18">
        <f t="shared" si="110"/>
        <v>0</v>
      </c>
      <c r="K60" s="18">
        <f t="shared" si="110"/>
        <v>0</v>
      </c>
      <c r="L60" s="18">
        <f t="shared" si="110"/>
        <v>0</v>
      </c>
      <c r="M60" s="18">
        <f t="shared" ref="M60:N60" si="111">IF(M59&gt;1000000,(M60-1000000)*0.3+128000,IF(M59&gt;760000,(M59-760000)*0.25+68000,IF(M59&gt;520000,(M59-520000)*0.2+20000,IF(M59&gt;270000,(M59-270000)*0.08+0,IF(M59&lt;270001,0,0)))))</f>
        <v>0</v>
      </c>
      <c r="N60" s="18">
        <f t="shared" si="111"/>
        <v>0</v>
      </c>
      <c r="O60" s="13">
        <f t="shared" si="63"/>
        <v>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r="61" spans="1:256" s="1" customFormat="1" x14ac:dyDescent="0.35">
      <c r="A61" s="1">
        <v>15</v>
      </c>
      <c r="B61" s="11" t="s">
        <v>32</v>
      </c>
      <c r="C61" s="12">
        <v>300000</v>
      </c>
      <c r="D61" s="12">
        <v>300000</v>
      </c>
      <c r="E61" s="12">
        <v>300000</v>
      </c>
      <c r="F61" s="12">
        <v>300000</v>
      </c>
      <c r="G61" s="12">
        <v>300000</v>
      </c>
      <c r="H61" s="12">
        <v>300000</v>
      </c>
      <c r="I61" s="12">
        <v>300000</v>
      </c>
      <c r="J61" s="12">
        <v>300000</v>
      </c>
      <c r="K61" s="12">
        <v>300000</v>
      </c>
      <c r="L61" s="12">
        <v>300000</v>
      </c>
      <c r="M61" s="12">
        <v>300000</v>
      </c>
      <c r="N61" s="12">
        <v>300000</v>
      </c>
      <c r="O61" s="13">
        <f t="shared" si="63"/>
        <v>3600000</v>
      </c>
      <c r="P61" s="14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</row>
    <row r="62" spans="1:256" s="1" customFormat="1" x14ac:dyDescent="0.35">
      <c r="B62" s="15" t="s">
        <v>15</v>
      </c>
      <c r="C62" s="16">
        <f t="shared" ref="C62:H62" si="112">C61*0.1</f>
        <v>30000</v>
      </c>
      <c r="D62" s="16">
        <f t="shared" si="112"/>
        <v>30000</v>
      </c>
      <c r="E62" s="16">
        <f t="shared" si="112"/>
        <v>30000</v>
      </c>
      <c r="F62" s="16">
        <f t="shared" si="112"/>
        <v>30000</v>
      </c>
      <c r="G62" s="16">
        <f t="shared" si="112"/>
        <v>30000</v>
      </c>
      <c r="H62" s="16">
        <f t="shared" si="112"/>
        <v>30000</v>
      </c>
      <c r="I62" s="16">
        <f t="shared" ref="I62:L62" si="113">I61*0.1</f>
        <v>30000</v>
      </c>
      <c r="J62" s="16">
        <f t="shared" si="113"/>
        <v>30000</v>
      </c>
      <c r="K62" s="16">
        <f t="shared" si="113"/>
        <v>30000</v>
      </c>
      <c r="L62" s="16">
        <f t="shared" si="113"/>
        <v>30000</v>
      </c>
      <c r="M62" s="16">
        <f t="shared" ref="M62:N62" si="114">M61*0.1</f>
        <v>30000</v>
      </c>
      <c r="N62" s="16">
        <f t="shared" si="114"/>
        <v>30000</v>
      </c>
      <c r="O62" s="13">
        <f t="shared" si="63"/>
        <v>360000</v>
      </c>
      <c r="P62" s="14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r="63" spans="1:256" s="17" customFormat="1" x14ac:dyDescent="0.35">
      <c r="B63" s="15" t="s">
        <v>16</v>
      </c>
      <c r="C63" s="16">
        <f t="shared" ref="C63:H63" si="115">C61-C62</f>
        <v>270000</v>
      </c>
      <c r="D63" s="16">
        <f t="shared" si="115"/>
        <v>270000</v>
      </c>
      <c r="E63" s="16">
        <f t="shared" si="115"/>
        <v>270000</v>
      </c>
      <c r="F63" s="16">
        <f t="shared" si="115"/>
        <v>270000</v>
      </c>
      <c r="G63" s="16">
        <f t="shared" si="115"/>
        <v>270000</v>
      </c>
      <c r="H63" s="16">
        <f t="shared" si="115"/>
        <v>270000</v>
      </c>
      <c r="I63" s="16">
        <f t="shared" ref="I63:L63" si="116">I61-I62</f>
        <v>270000</v>
      </c>
      <c r="J63" s="16">
        <f t="shared" si="116"/>
        <v>270000</v>
      </c>
      <c r="K63" s="16">
        <f t="shared" si="116"/>
        <v>270000</v>
      </c>
      <c r="L63" s="16">
        <f t="shared" si="116"/>
        <v>270000</v>
      </c>
      <c r="M63" s="16">
        <f t="shared" ref="M63:N63" si="117">M61-M62</f>
        <v>270000</v>
      </c>
      <c r="N63" s="16">
        <f t="shared" si="117"/>
        <v>270000</v>
      </c>
      <c r="O63" s="13">
        <f t="shared" si="63"/>
        <v>3240000</v>
      </c>
      <c r="P63" s="14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</row>
    <row r="64" spans="1:256" s="17" customFormat="1" x14ac:dyDescent="0.35">
      <c r="B64" s="15" t="s">
        <v>17</v>
      </c>
      <c r="C64" s="18">
        <f t="shared" ref="C64:L64" si="118">IF(C63&gt;1000000,(C64-1000000)*0.3+128000,IF(C63&gt;760000,(C63-760000)*0.25+68000,IF(C63&gt;520000,(C63-520000)*0.2+20000,IF(C63&gt;270000,(C63-270000)*0.08+0,IF(C63&lt;270001,0,0)))))</f>
        <v>0</v>
      </c>
      <c r="D64" s="18">
        <f t="shared" si="118"/>
        <v>0</v>
      </c>
      <c r="E64" s="18">
        <f t="shared" si="118"/>
        <v>0</v>
      </c>
      <c r="F64" s="18">
        <f t="shared" si="118"/>
        <v>0</v>
      </c>
      <c r="G64" s="18">
        <f t="shared" si="118"/>
        <v>0</v>
      </c>
      <c r="H64" s="18">
        <f t="shared" si="118"/>
        <v>0</v>
      </c>
      <c r="I64" s="18">
        <f t="shared" si="118"/>
        <v>0</v>
      </c>
      <c r="J64" s="18">
        <f t="shared" si="118"/>
        <v>0</v>
      </c>
      <c r="K64" s="18">
        <f t="shared" si="118"/>
        <v>0</v>
      </c>
      <c r="L64" s="18">
        <f t="shared" si="118"/>
        <v>0</v>
      </c>
      <c r="M64" s="18">
        <f t="shared" ref="M64:N64" si="119">IF(M63&gt;1000000,(M64-1000000)*0.3+128000,IF(M63&gt;760000,(M63-760000)*0.25+68000,IF(M63&gt;520000,(M63-520000)*0.2+20000,IF(M63&gt;270000,(M63-270000)*0.08+0,IF(M63&lt;270001,0,0)))))</f>
        <v>0</v>
      </c>
      <c r="N64" s="18">
        <f t="shared" si="119"/>
        <v>0</v>
      </c>
      <c r="O64" s="13">
        <f t="shared" si="63"/>
        <v>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r="65" spans="1:256" s="17" customFormat="1" x14ac:dyDescent="0.35">
      <c r="A65" s="17">
        <v>16</v>
      </c>
      <c r="B65" s="11" t="s">
        <v>33</v>
      </c>
      <c r="C65" s="12">
        <v>300000</v>
      </c>
      <c r="D65" s="12">
        <v>300000</v>
      </c>
      <c r="E65" s="12">
        <v>300000</v>
      </c>
      <c r="F65" s="12">
        <v>300000</v>
      </c>
      <c r="G65" s="12">
        <v>300000</v>
      </c>
      <c r="H65" s="12">
        <v>300000</v>
      </c>
      <c r="I65" s="12">
        <v>300000</v>
      </c>
      <c r="J65" s="12">
        <v>300000</v>
      </c>
      <c r="K65" s="12">
        <v>300000</v>
      </c>
      <c r="L65" s="12">
        <v>300000</v>
      </c>
      <c r="M65" s="12">
        <v>300000</v>
      </c>
      <c r="N65" s="12">
        <v>300000</v>
      </c>
      <c r="O65" s="13">
        <f t="shared" si="63"/>
        <v>3600000</v>
      </c>
      <c r="P65" s="14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</row>
    <row r="66" spans="1:256" s="17" customFormat="1" x14ac:dyDescent="0.35">
      <c r="B66" s="15" t="s">
        <v>15</v>
      </c>
      <c r="C66" s="16">
        <f t="shared" ref="C66:H66" si="120">C65*0.1</f>
        <v>30000</v>
      </c>
      <c r="D66" s="16">
        <f t="shared" si="120"/>
        <v>30000</v>
      </c>
      <c r="E66" s="16">
        <f t="shared" si="120"/>
        <v>30000</v>
      </c>
      <c r="F66" s="16">
        <f t="shared" si="120"/>
        <v>30000</v>
      </c>
      <c r="G66" s="16">
        <f t="shared" si="120"/>
        <v>30000</v>
      </c>
      <c r="H66" s="16">
        <f t="shared" si="120"/>
        <v>30000</v>
      </c>
      <c r="I66" s="16">
        <f t="shared" ref="I66:L66" si="121">I65*0.1</f>
        <v>30000</v>
      </c>
      <c r="J66" s="16">
        <f t="shared" si="121"/>
        <v>30000</v>
      </c>
      <c r="K66" s="16">
        <f t="shared" si="121"/>
        <v>30000</v>
      </c>
      <c r="L66" s="16">
        <f t="shared" si="121"/>
        <v>30000</v>
      </c>
      <c r="M66" s="16">
        <f t="shared" ref="M66:N66" si="122">M65*0.1</f>
        <v>30000</v>
      </c>
      <c r="N66" s="16">
        <f t="shared" si="122"/>
        <v>30000</v>
      </c>
      <c r="O66" s="13">
        <f t="shared" si="63"/>
        <v>360000</v>
      </c>
      <c r="P66" s="14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</row>
    <row r="67" spans="1:256" s="1" customFormat="1" x14ac:dyDescent="0.35">
      <c r="B67" s="15" t="s">
        <v>16</v>
      </c>
      <c r="C67" s="16">
        <f t="shared" ref="C67:H67" si="123">C65-C66</f>
        <v>270000</v>
      </c>
      <c r="D67" s="16">
        <f t="shared" si="123"/>
        <v>270000</v>
      </c>
      <c r="E67" s="16">
        <f t="shared" si="123"/>
        <v>270000</v>
      </c>
      <c r="F67" s="16">
        <f t="shared" si="123"/>
        <v>270000</v>
      </c>
      <c r="G67" s="16">
        <f t="shared" si="123"/>
        <v>270000</v>
      </c>
      <c r="H67" s="16">
        <f t="shared" si="123"/>
        <v>270000</v>
      </c>
      <c r="I67" s="16">
        <f t="shared" ref="I67:L67" si="124">I65-I66</f>
        <v>270000</v>
      </c>
      <c r="J67" s="16">
        <f t="shared" si="124"/>
        <v>270000</v>
      </c>
      <c r="K67" s="16">
        <f t="shared" si="124"/>
        <v>270000</v>
      </c>
      <c r="L67" s="16">
        <f t="shared" si="124"/>
        <v>270000</v>
      </c>
      <c r="M67" s="16">
        <f t="shared" ref="M67:N67" si="125">M65-M66</f>
        <v>270000</v>
      </c>
      <c r="N67" s="16">
        <f t="shared" si="125"/>
        <v>270000</v>
      </c>
      <c r="O67" s="13">
        <f t="shared" si="63"/>
        <v>3240000</v>
      </c>
      <c r="P67" s="14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</row>
    <row r="68" spans="1:256" s="1" customFormat="1" x14ac:dyDescent="0.35">
      <c r="B68" s="15" t="s">
        <v>17</v>
      </c>
      <c r="C68" s="18">
        <f t="shared" ref="C68:L68" si="126">IF(C67&gt;1000000,(C68-1000000)*0.3+130500,IF(C67&gt;760000,(C67-760000)*0.25+70500,IF(C67&gt;520000,(C67-520000)*0.2+22500,IF(C67&gt;270000,(C67-270000)*0.08+0,IF(C67&lt;270001,0,0)))))</f>
        <v>0</v>
      </c>
      <c r="D68" s="18">
        <f t="shared" si="126"/>
        <v>0</v>
      </c>
      <c r="E68" s="18">
        <f t="shared" si="126"/>
        <v>0</v>
      </c>
      <c r="F68" s="18">
        <f t="shared" si="126"/>
        <v>0</v>
      </c>
      <c r="G68" s="18">
        <f t="shared" si="126"/>
        <v>0</v>
      </c>
      <c r="H68" s="18">
        <f t="shared" si="126"/>
        <v>0</v>
      </c>
      <c r="I68" s="18">
        <f t="shared" si="126"/>
        <v>0</v>
      </c>
      <c r="J68" s="18">
        <f t="shared" si="126"/>
        <v>0</v>
      </c>
      <c r="K68" s="18">
        <f t="shared" si="126"/>
        <v>0</v>
      </c>
      <c r="L68" s="18">
        <f t="shared" si="126"/>
        <v>0</v>
      </c>
      <c r="M68" s="18">
        <f t="shared" ref="M68:N68" si="127">IF(M67&gt;1000000,(M68-1000000)*0.3+130500,IF(M67&gt;760000,(M67-760000)*0.25+70500,IF(M67&gt;520000,(M67-520000)*0.2+22500,IF(M67&gt;270000,(M67-270000)*0.08+0,IF(M67&lt;270001,0,0)))))</f>
        <v>0</v>
      </c>
      <c r="N68" s="18">
        <f t="shared" si="127"/>
        <v>0</v>
      </c>
      <c r="O68" s="13">
        <f t="shared" si="63"/>
        <v>0</v>
      </c>
      <c r="P68" s="14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</row>
    <row r="69" spans="1:256" s="17" customFormat="1" x14ac:dyDescent="0.35">
      <c r="A69" s="17">
        <v>17</v>
      </c>
      <c r="B69" s="11" t="s">
        <v>34</v>
      </c>
      <c r="C69" s="12">
        <v>300000</v>
      </c>
      <c r="D69" s="12">
        <v>300000</v>
      </c>
      <c r="E69" s="12">
        <v>300000</v>
      </c>
      <c r="F69" s="12">
        <v>300000</v>
      </c>
      <c r="G69" s="12">
        <v>300000</v>
      </c>
      <c r="H69" s="12">
        <v>300000</v>
      </c>
      <c r="I69" s="12">
        <v>300000</v>
      </c>
      <c r="J69" s="12">
        <v>300000</v>
      </c>
      <c r="K69" s="12">
        <v>300000</v>
      </c>
      <c r="L69" s="12">
        <v>300000</v>
      </c>
      <c r="M69" s="12">
        <v>300000</v>
      </c>
      <c r="N69" s="12">
        <v>300000</v>
      </c>
      <c r="O69" s="13">
        <f t="shared" ref="O69:O132" si="128">SUM(C69:N69)</f>
        <v>3600000</v>
      </c>
      <c r="P69" s="14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r="70" spans="1:256" s="17" customFormat="1" x14ac:dyDescent="0.35">
      <c r="B70" s="15" t="s">
        <v>15</v>
      </c>
      <c r="C70" s="16">
        <f t="shared" ref="C70:H70" si="129">C69*0.1</f>
        <v>30000</v>
      </c>
      <c r="D70" s="16">
        <f t="shared" si="129"/>
        <v>30000</v>
      </c>
      <c r="E70" s="16">
        <f t="shared" si="129"/>
        <v>30000</v>
      </c>
      <c r="F70" s="16">
        <f t="shared" si="129"/>
        <v>30000</v>
      </c>
      <c r="G70" s="16">
        <f t="shared" si="129"/>
        <v>30000</v>
      </c>
      <c r="H70" s="16">
        <f t="shared" si="129"/>
        <v>30000</v>
      </c>
      <c r="I70" s="16">
        <f t="shared" ref="I70:L70" si="130">I69*0.1</f>
        <v>30000</v>
      </c>
      <c r="J70" s="16">
        <f t="shared" si="130"/>
        <v>30000</v>
      </c>
      <c r="K70" s="16">
        <f t="shared" si="130"/>
        <v>30000</v>
      </c>
      <c r="L70" s="16">
        <f t="shared" si="130"/>
        <v>30000</v>
      </c>
      <c r="M70" s="16">
        <f t="shared" ref="M70:N70" si="131">M69*0.1</f>
        <v>30000</v>
      </c>
      <c r="N70" s="16">
        <f t="shared" si="131"/>
        <v>30000</v>
      </c>
      <c r="O70" s="13">
        <f t="shared" si="128"/>
        <v>360000</v>
      </c>
      <c r="P70" s="14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r="71" spans="1:256" s="1" customFormat="1" x14ac:dyDescent="0.35">
      <c r="B71" s="15" t="s">
        <v>16</v>
      </c>
      <c r="C71" s="16">
        <f t="shared" ref="C71:H71" si="132">C69-C70</f>
        <v>270000</v>
      </c>
      <c r="D71" s="16">
        <f t="shared" si="132"/>
        <v>270000</v>
      </c>
      <c r="E71" s="16">
        <f t="shared" si="132"/>
        <v>270000</v>
      </c>
      <c r="F71" s="16">
        <f t="shared" si="132"/>
        <v>270000</v>
      </c>
      <c r="G71" s="16">
        <f t="shared" si="132"/>
        <v>270000</v>
      </c>
      <c r="H71" s="16">
        <f t="shared" si="132"/>
        <v>270000</v>
      </c>
      <c r="I71" s="16">
        <f t="shared" ref="I71:L71" si="133">I69-I70</f>
        <v>270000</v>
      </c>
      <c r="J71" s="16">
        <f t="shared" si="133"/>
        <v>270000</v>
      </c>
      <c r="K71" s="16">
        <f t="shared" si="133"/>
        <v>270000</v>
      </c>
      <c r="L71" s="16">
        <f t="shared" si="133"/>
        <v>270000</v>
      </c>
      <c r="M71" s="16">
        <f t="shared" ref="M71:N71" si="134">M69-M70</f>
        <v>270000</v>
      </c>
      <c r="N71" s="16">
        <f t="shared" si="134"/>
        <v>270000</v>
      </c>
      <c r="O71" s="13">
        <f t="shared" si="128"/>
        <v>3240000</v>
      </c>
      <c r="P71" s="14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</row>
    <row r="72" spans="1:256" s="1" customFormat="1" x14ac:dyDescent="0.35">
      <c r="B72" s="15" t="s">
        <v>17</v>
      </c>
      <c r="C72" s="18">
        <f t="shared" ref="C72:L72" si="135">IF(C71&gt;1000000,(C72-1000000)*0.3+130500,IF(C71&gt;760000,(C71-760000)*0.25+70500,IF(C71&gt;520000,(C71-520000)*0.2+22500,IF(C71&gt;270000,(C71-270000)*0.08+0,IF(C71&lt;270001,0,0)))))</f>
        <v>0</v>
      </c>
      <c r="D72" s="18">
        <f t="shared" si="135"/>
        <v>0</v>
      </c>
      <c r="E72" s="18">
        <f t="shared" si="135"/>
        <v>0</v>
      </c>
      <c r="F72" s="18">
        <f t="shared" si="135"/>
        <v>0</v>
      </c>
      <c r="G72" s="18">
        <f t="shared" si="135"/>
        <v>0</v>
      </c>
      <c r="H72" s="18">
        <f t="shared" si="135"/>
        <v>0</v>
      </c>
      <c r="I72" s="18">
        <f t="shared" si="135"/>
        <v>0</v>
      </c>
      <c r="J72" s="18">
        <f t="shared" si="135"/>
        <v>0</v>
      </c>
      <c r="K72" s="18">
        <f t="shared" si="135"/>
        <v>0</v>
      </c>
      <c r="L72" s="18">
        <f t="shared" si="135"/>
        <v>0</v>
      </c>
      <c r="M72" s="18">
        <f t="shared" ref="M72:N72" si="136">IF(M71&gt;1000000,(M72-1000000)*0.3+130500,IF(M71&gt;760000,(M71-760000)*0.25+70500,IF(M71&gt;520000,(M71-520000)*0.2+22500,IF(M71&gt;270000,(M71-270000)*0.08+0,IF(M71&lt;270001,0,0)))))</f>
        <v>0</v>
      </c>
      <c r="N72" s="18">
        <f t="shared" si="136"/>
        <v>0</v>
      </c>
      <c r="O72" s="13">
        <f t="shared" si="128"/>
        <v>0</v>
      </c>
      <c r="P72" s="14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</row>
    <row r="73" spans="1:256" s="17" customFormat="1" x14ac:dyDescent="0.35">
      <c r="A73" s="17">
        <v>18</v>
      </c>
      <c r="B73" s="11" t="s">
        <v>35</v>
      </c>
      <c r="C73" s="12">
        <v>300000</v>
      </c>
      <c r="D73" s="12">
        <v>300000</v>
      </c>
      <c r="E73" s="12">
        <v>300000</v>
      </c>
      <c r="F73" s="12">
        <v>300000</v>
      </c>
      <c r="G73" s="12">
        <v>300000</v>
      </c>
      <c r="H73" s="12">
        <v>300000</v>
      </c>
      <c r="I73" s="12">
        <v>300000</v>
      </c>
      <c r="J73" s="12">
        <v>300000</v>
      </c>
      <c r="K73" s="12">
        <v>300000</v>
      </c>
      <c r="L73" s="12">
        <v>300000</v>
      </c>
      <c r="M73" s="12">
        <v>300000</v>
      </c>
      <c r="N73" s="12">
        <v>300000</v>
      </c>
      <c r="O73" s="13">
        <f t="shared" si="128"/>
        <v>3600000</v>
      </c>
      <c r="P73" s="14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</row>
    <row r="74" spans="1:256" s="17" customFormat="1" x14ac:dyDescent="0.35">
      <c r="B74" s="15" t="s">
        <v>15</v>
      </c>
      <c r="C74" s="16">
        <f t="shared" ref="C74:H74" si="137">C73*0.1</f>
        <v>30000</v>
      </c>
      <c r="D74" s="16">
        <f t="shared" si="137"/>
        <v>30000</v>
      </c>
      <c r="E74" s="16">
        <f t="shared" si="137"/>
        <v>30000</v>
      </c>
      <c r="F74" s="16">
        <f t="shared" si="137"/>
        <v>30000</v>
      </c>
      <c r="G74" s="16">
        <f t="shared" si="137"/>
        <v>30000</v>
      </c>
      <c r="H74" s="16">
        <f t="shared" si="137"/>
        <v>30000</v>
      </c>
      <c r="I74" s="16">
        <f t="shared" ref="I74:L74" si="138">I73*0.1</f>
        <v>30000</v>
      </c>
      <c r="J74" s="16">
        <f t="shared" si="138"/>
        <v>30000</v>
      </c>
      <c r="K74" s="16">
        <f t="shared" si="138"/>
        <v>30000</v>
      </c>
      <c r="L74" s="16">
        <f t="shared" si="138"/>
        <v>30000</v>
      </c>
      <c r="M74" s="16">
        <f t="shared" ref="M74:N74" si="139">M73*0.1</f>
        <v>30000</v>
      </c>
      <c r="N74" s="16">
        <f t="shared" si="139"/>
        <v>30000</v>
      </c>
      <c r="O74" s="13">
        <f t="shared" si="128"/>
        <v>360000</v>
      </c>
      <c r="P74" s="14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</row>
    <row r="75" spans="1:256" s="1" customFormat="1" x14ac:dyDescent="0.35">
      <c r="B75" s="15" t="s">
        <v>16</v>
      </c>
      <c r="C75" s="16">
        <f t="shared" ref="C75:H75" si="140">C73-C74</f>
        <v>270000</v>
      </c>
      <c r="D75" s="16">
        <f t="shared" si="140"/>
        <v>270000</v>
      </c>
      <c r="E75" s="16">
        <f t="shared" si="140"/>
        <v>270000</v>
      </c>
      <c r="F75" s="16">
        <f t="shared" si="140"/>
        <v>270000</v>
      </c>
      <c r="G75" s="16">
        <f t="shared" si="140"/>
        <v>270000</v>
      </c>
      <c r="H75" s="16">
        <f t="shared" si="140"/>
        <v>270000</v>
      </c>
      <c r="I75" s="16">
        <f t="shared" ref="I75:L75" si="141">I73-I74</f>
        <v>270000</v>
      </c>
      <c r="J75" s="16">
        <f t="shared" si="141"/>
        <v>270000</v>
      </c>
      <c r="K75" s="16">
        <f t="shared" si="141"/>
        <v>270000</v>
      </c>
      <c r="L75" s="16">
        <f t="shared" si="141"/>
        <v>270000</v>
      </c>
      <c r="M75" s="16">
        <f t="shared" ref="M75:N75" si="142">M73-M74</f>
        <v>270000</v>
      </c>
      <c r="N75" s="16">
        <f t="shared" si="142"/>
        <v>270000</v>
      </c>
      <c r="O75" s="13">
        <f t="shared" si="128"/>
        <v>3240000</v>
      </c>
      <c r="P75" s="14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r="76" spans="1:256" s="1" customFormat="1" x14ac:dyDescent="0.35">
      <c r="B76" s="15" t="s">
        <v>17</v>
      </c>
      <c r="C76" s="18">
        <f t="shared" ref="C76:L76" si="143">IF(C75&gt;1000000,(C76-1000000)*0.3+130500,IF(C75&gt;760000,(C75-760000)*0.25+70500,IF(C75&gt;520000,(C75-520000)*0.2+22500,IF(C75&gt;270000,(C75-270000)*0.08+0,IF(C75&lt;270001,0,0)))))</f>
        <v>0</v>
      </c>
      <c r="D76" s="18">
        <f t="shared" si="143"/>
        <v>0</v>
      </c>
      <c r="E76" s="18">
        <f t="shared" si="143"/>
        <v>0</v>
      </c>
      <c r="F76" s="18">
        <f t="shared" si="143"/>
        <v>0</v>
      </c>
      <c r="G76" s="18">
        <f t="shared" si="143"/>
        <v>0</v>
      </c>
      <c r="H76" s="18">
        <f t="shared" si="143"/>
        <v>0</v>
      </c>
      <c r="I76" s="18">
        <f t="shared" si="143"/>
        <v>0</v>
      </c>
      <c r="J76" s="18">
        <f t="shared" si="143"/>
        <v>0</v>
      </c>
      <c r="K76" s="18">
        <f t="shared" si="143"/>
        <v>0</v>
      </c>
      <c r="L76" s="18">
        <f t="shared" si="143"/>
        <v>0</v>
      </c>
      <c r="M76" s="18">
        <f t="shared" ref="M76:N76" si="144">IF(M75&gt;1000000,(M76-1000000)*0.3+130500,IF(M75&gt;760000,(M75-760000)*0.25+70500,IF(M75&gt;520000,(M75-520000)*0.2+22500,IF(M75&gt;270000,(M75-270000)*0.08+0,IF(M75&lt;270001,0,0)))))</f>
        <v>0</v>
      </c>
      <c r="N76" s="18">
        <f t="shared" si="144"/>
        <v>0</v>
      </c>
      <c r="O76" s="13">
        <f t="shared" si="128"/>
        <v>0</v>
      </c>
      <c r="P76" s="14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</row>
    <row r="77" spans="1:256" s="17" customFormat="1" x14ac:dyDescent="0.35">
      <c r="A77" s="17">
        <v>19</v>
      </c>
      <c r="B77" s="11" t="s">
        <v>36</v>
      </c>
      <c r="C77" s="12">
        <v>300000</v>
      </c>
      <c r="D77" s="12">
        <v>300000</v>
      </c>
      <c r="E77" s="12">
        <v>300000</v>
      </c>
      <c r="F77" s="12">
        <v>300000</v>
      </c>
      <c r="G77" s="12">
        <v>300000</v>
      </c>
      <c r="H77" s="12">
        <v>300000</v>
      </c>
      <c r="I77" s="12">
        <v>300000</v>
      </c>
      <c r="J77" s="12">
        <v>300000</v>
      </c>
      <c r="K77" s="12">
        <v>300000</v>
      </c>
      <c r="L77" s="12">
        <v>300000</v>
      </c>
      <c r="M77" s="12">
        <v>300000</v>
      </c>
      <c r="N77" s="12">
        <v>300000</v>
      </c>
      <c r="O77" s="13">
        <f t="shared" si="128"/>
        <v>3600000</v>
      </c>
      <c r="P77" s="14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</row>
    <row r="78" spans="1:256" s="17" customFormat="1" x14ac:dyDescent="0.35">
      <c r="B78" s="15" t="s">
        <v>15</v>
      </c>
      <c r="C78" s="16">
        <f t="shared" ref="C78:H78" si="145">C77*0.1</f>
        <v>30000</v>
      </c>
      <c r="D78" s="16">
        <f t="shared" si="145"/>
        <v>30000</v>
      </c>
      <c r="E78" s="16">
        <f t="shared" si="145"/>
        <v>30000</v>
      </c>
      <c r="F78" s="16">
        <f t="shared" si="145"/>
        <v>30000</v>
      </c>
      <c r="G78" s="16">
        <f t="shared" si="145"/>
        <v>30000</v>
      </c>
      <c r="H78" s="16">
        <f t="shared" si="145"/>
        <v>30000</v>
      </c>
      <c r="I78" s="16">
        <f t="shared" ref="I78:L78" si="146">I77*0.1</f>
        <v>30000</v>
      </c>
      <c r="J78" s="16">
        <f t="shared" si="146"/>
        <v>30000</v>
      </c>
      <c r="K78" s="16">
        <f t="shared" si="146"/>
        <v>30000</v>
      </c>
      <c r="L78" s="16">
        <f t="shared" si="146"/>
        <v>30000</v>
      </c>
      <c r="M78" s="16">
        <f t="shared" ref="M78:N78" si="147">M77*0.1</f>
        <v>30000</v>
      </c>
      <c r="N78" s="16">
        <f t="shared" si="147"/>
        <v>30000</v>
      </c>
      <c r="O78" s="13">
        <f t="shared" si="128"/>
        <v>360000</v>
      </c>
      <c r="P78" s="14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</row>
    <row r="79" spans="1:256" s="1" customFormat="1" x14ac:dyDescent="0.35">
      <c r="B79" s="15" t="s">
        <v>16</v>
      </c>
      <c r="C79" s="16">
        <f t="shared" ref="C79:H79" si="148">C77-C78</f>
        <v>270000</v>
      </c>
      <c r="D79" s="16">
        <f t="shared" si="148"/>
        <v>270000</v>
      </c>
      <c r="E79" s="16">
        <f t="shared" si="148"/>
        <v>270000</v>
      </c>
      <c r="F79" s="16">
        <f t="shared" si="148"/>
        <v>270000</v>
      </c>
      <c r="G79" s="16">
        <f t="shared" si="148"/>
        <v>270000</v>
      </c>
      <c r="H79" s="16">
        <f t="shared" si="148"/>
        <v>270000</v>
      </c>
      <c r="I79" s="16">
        <f t="shared" ref="I79:L79" si="149">I77-I78</f>
        <v>270000</v>
      </c>
      <c r="J79" s="16">
        <f t="shared" si="149"/>
        <v>270000</v>
      </c>
      <c r="K79" s="16">
        <f t="shared" si="149"/>
        <v>270000</v>
      </c>
      <c r="L79" s="16">
        <f t="shared" si="149"/>
        <v>270000</v>
      </c>
      <c r="M79" s="16">
        <f t="shared" ref="M79:N79" si="150">M77-M78</f>
        <v>270000</v>
      </c>
      <c r="N79" s="16">
        <f t="shared" si="150"/>
        <v>270000</v>
      </c>
      <c r="O79" s="13">
        <f t="shared" si="128"/>
        <v>3240000</v>
      </c>
      <c r="P79" s="14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</row>
    <row r="80" spans="1:256" s="1" customFormat="1" x14ac:dyDescent="0.35">
      <c r="B80" s="15" t="s">
        <v>17</v>
      </c>
      <c r="C80" s="18">
        <f t="shared" ref="C80:L80" si="151">IF(C79&gt;1000000,(C80-1000000)*0.3+130500,IF(C79&gt;760000,(C79-760000)*0.25+70500,IF(C79&gt;520000,(C79-520000)*0.2+22500,IF(C79&gt;270000,(C79-270000)*0.08+0,IF(C79&lt;270001,0,0)))))</f>
        <v>0</v>
      </c>
      <c r="D80" s="18">
        <f t="shared" si="151"/>
        <v>0</v>
      </c>
      <c r="E80" s="18">
        <f t="shared" si="151"/>
        <v>0</v>
      </c>
      <c r="F80" s="18">
        <f t="shared" si="151"/>
        <v>0</v>
      </c>
      <c r="G80" s="18">
        <f t="shared" si="151"/>
        <v>0</v>
      </c>
      <c r="H80" s="18">
        <f t="shared" si="151"/>
        <v>0</v>
      </c>
      <c r="I80" s="18">
        <f t="shared" si="151"/>
        <v>0</v>
      </c>
      <c r="J80" s="18">
        <f t="shared" si="151"/>
        <v>0</v>
      </c>
      <c r="K80" s="18">
        <f t="shared" si="151"/>
        <v>0</v>
      </c>
      <c r="L80" s="18">
        <f t="shared" si="151"/>
        <v>0</v>
      </c>
      <c r="M80" s="18">
        <f t="shared" ref="M80:N80" si="152">IF(M79&gt;1000000,(M80-1000000)*0.3+130500,IF(M79&gt;760000,(M79-760000)*0.25+70500,IF(M79&gt;520000,(M79-520000)*0.2+22500,IF(M79&gt;270000,(M79-270000)*0.08+0,IF(M79&lt;270001,0,0)))))</f>
        <v>0</v>
      </c>
      <c r="N80" s="18">
        <f t="shared" si="152"/>
        <v>0</v>
      </c>
      <c r="O80" s="13">
        <f t="shared" si="128"/>
        <v>0</v>
      </c>
      <c r="P80" s="14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</row>
    <row r="81" spans="1:256" s="17" customFormat="1" x14ac:dyDescent="0.35">
      <c r="A81" s="17">
        <v>20</v>
      </c>
      <c r="B81" s="11" t="s">
        <v>37</v>
      </c>
      <c r="C81" s="12">
        <v>300000</v>
      </c>
      <c r="D81" s="12">
        <v>300000</v>
      </c>
      <c r="E81" s="12">
        <v>300000</v>
      </c>
      <c r="F81" s="12">
        <v>300000</v>
      </c>
      <c r="G81" s="12">
        <v>300000</v>
      </c>
      <c r="H81" s="12">
        <v>300000</v>
      </c>
      <c r="I81" s="12">
        <v>300000</v>
      </c>
      <c r="J81" s="12">
        <v>300000</v>
      </c>
      <c r="K81" s="12">
        <v>300000</v>
      </c>
      <c r="L81" s="12">
        <v>300000</v>
      </c>
      <c r="M81" s="12">
        <v>300000</v>
      </c>
      <c r="N81" s="12">
        <v>300000</v>
      </c>
      <c r="O81" s="13">
        <f t="shared" si="128"/>
        <v>3600000</v>
      </c>
      <c r="P81" s="14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</row>
    <row r="82" spans="1:256" s="17" customFormat="1" x14ac:dyDescent="0.35">
      <c r="B82" s="15" t="s">
        <v>15</v>
      </c>
      <c r="C82" s="16">
        <f t="shared" ref="C82:H82" si="153">C81*0.1</f>
        <v>30000</v>
      </c>
      <c r="D82" s="16">
        <f t="shared" si="153"/>
        <v>30000</v>
      </c>
      <c r="E82" s="16">
        <f t="shared" si="153"/>
        <v>30000</v>
      </c>
      <c r="F82" s="16">
        <f t="shared" si="153"/>
        <v>30000</v>
      </c>
      <c r="G82" s="16">
        <f t="shared" si="153"/>
        <v>30000</v>
      </c>
      <c r="H82" s="16">
        <f t="shared" si="153"/>
        <v>30000</v>
      </c>
      <c r="I82" s="16">
        <f t="shared" ref="I82:L82" si="154">I81*0.1</f>
        <v>30000</v>
      </c>
      <c r="J82" s="16">
        <f t="shared" si="154"/>
        <v>30000</v>
      </c>
      <c r="K82" s="16">
        <f t="shared" si="154"/>
        <v>30000</v>
      </c>
      <c r="L82" s="16">
        <f t="shared" si="154"/>
        <v>30000</v>
      </c>
      <c r="M82" s="16">
        <f t="shared" ref="M82:N82" si="155">M81*0.1</f>
        <v>30000</v>
      </c>
      <c r="N82" s="16">
        <f t="shared" si="155"/>
        <v>30000</v>
      </c>
      <c r="O82" s="13">
        <f t="shared" si="128"/>
        <v>360000</v>
      </c>
      <c r="P82" s="14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</row>
    <row r="83" spans="1:256" s="1" customFormat="1" x14ac:dyDescent="0.35">
      <c r="B83" s="15" t="s">
        <v>16</v>
      </c>
      <c r="C83" s="16">
        <f t="shared" ref="C83:H83" si="156">C81-C82</f>
        <v>270000</v>
      </c>
      <c r="D83" s="16">
        <f t="shared" si="156"/>
        <v>270000</v>
      </c>
      <c r="E83" s="16">
        <f t="shared" si="156"/>
        <v>270000</v>
      </c>
      <c r="F83" s="16">
        <f t="shared" si="156"/>
        <v>270000</v>
      </c>
      <c r="G83" s="16">
        <f t="shared" si="156"/>
        <v>270000</v>
      </c>
      <c r="H83" s="16">
        <f t="shared" si="156"/>
        <v>270000</v>
      </c>
      <c r="I83" s="16">
        <f t="shared" ref="I83:L83" si="157">I81-I82</f>
        <v>270000</v>
      </c>
      <c r="J83" s="16">
        <f t="shared" si="157"/>
        <v>270000</v>
      </c>
      <c r="K83" s="16">
        <f t="shared" si="157"/>
        <v>270000</v>
      </c>
      <c r="L83" s="16">
        <f t="shared" si="157"/>
        <v>270000</v>
      </c>
      <c r="M83" s="16">
        <f t="shared" ref="M83:N83" si="158">M81-M82</f>
        <v>270000</v>
      </c>
      <c r="N83" s="16">
        <f t="shared" si="158"/>
        <v>270000</v>
      </c>
      <c r="O83" s="13">
        <f t="shared" si="128"/>
        <v>3240000</v>
      </c>
      <c r="P83" s="14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</row>
    <row r="84" spans="1:256" s="1" customFormat="1" x14ac:dyDescent="0.35">
      <c r="B84" s="15" t="s">
        <v>17</v>
      </c>
      <c r="C84" s="18">
        <f t="shared" ref="C84:L84" si="159">IF(C83&gt;1000000,(C84-1000000)*0.3+130500,IF(C83&gt;760000,(C83-760000)*0.25+70500,IF(C83&gt;520000,(C83-520000)*0.2+22500,IF(C83&gt;270000,(C83-270000)*0.08+0,IF(C83&lt;270001,0,0)))))</f>
        <v>0</v>
      </c>
      <c r="D84" s="18">
        <f t="shared" si="159"/>
        <v>0</v>
      </c>
      <c r="E84" s="18">
        <f t="shared" si="159"/>
        <v>0</v>
      </c>
      <c r="F84" s="18">
        <f t="shared" si="159"/>
        <v>0</v>
      </c>
      <c r="G84" s="18">
        <f t="shared" si="159"/>
        <v>0</v>
      </c>
      <c r="H84" s="18">
        <f t="shared" si="159"/>
        <v>0</v>
      </c>
      <c r="I84" s="18">
        <f t="shared" si="159"/>
        <v>0</v>
      </c>
      <c r="J84" s="18">
        <f t="shared" si="159"/>
        <v>0</v>
      </c>
      <c r="K84" s="18">
        <f t="shared" si="159"/>
        <v>0</v>
      </c>
      <c r="L84" s="18">
        <f t="shared" si="159"/>
        <v>0</v>
      </c>
      <c r="M84" s="18">
        <f t="shared" ref="M84:N84" si="160">IF(M83&gt;1000000,(M84-1000000)*0.3+130500,IF(M83&gt;760000,(M83-760000)*0.25+70500,IF(M83&gt;520000,(M83-520000)*0.2+22500,IF(M83&gt;270000,(M83-270000)*0.08+0,IF(M83&lt;270001,0,0)))))</f>
        <v>0</v>
      </c>
      <c r="N84" s="18">
        <f t="shared" si="160"/>
        <v>0</v>
      </c>
      <c r="O84" s="13">
        <f t="shared" si="128"/>
        <v>0</v>
      </c>
      <c r="P84" s="14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</row>
    <row r="85" spans="1:256" s="17" customFormat="1" x14ac:dyDescent="0.35">
      <c r="A85" s="17">
        <v>21</v>
      </c>
      <c r="B85" s="11" t="s">
        <v>38</v>
      </c>
      <c r="C85" s="12">
        <v>300000</v>
      </c>
      <c r="D85" s="12">
        <v>300000</v>
      </c>
      <c r="E85" s="12">
        <v>300000</v>
      </c>
      <c r="F85" s="12">
        <v>300000</v>
      </c>
      <c r="G85" s="12">
        <v>300000</v>
      </c>
      <c r="H85" s="12">
        <v>300000</v>
      </c>
      <c r="I85" s="12">
        <v>300000</v>
      </c>
      <c r="J85" s="12">
        <v>300000</v>
      </c>
      <c r="K85" s="12">
        <v>300000</v>
      </c>
      <c r="L85" s="12">
        <v>300000</v>
      </c>
      <c r="M85" s="12">
        <v>300000</v>
      </c>
      <c r="N85" s="12">
        <v>300000</v>
      </c>
      <c r="O85" s="13">
        <f t="shared" si="128"/>
        <v>3600000</v>
      </c>
      <c r="P85" s="14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</row>
    <row r="86" spans="1:256" s="17" customFormat="1" x14ac:dyDescent="0.35">
      <c r="B86" s="15" t="s">
        <v>15</v>
      </c>
      <c r="C86" s="16">
        <f t="shared" ref="C86:H86" si="161">C85*0.1</f>
        <v>30000</v>
      </c>
      <c r="D86" s="16">
        <f t="shared" si="161"/>
        <v>30000</v>
      </c>
      <c r="E86" s="16">
        <f t="shared" si="161"/>
        <v>30000</v>
      </c>
      <c r="F86" s="16">
        <f t="shared" si="161"/>
        <v>30000</v>
      </c>
      <c r="G86" s="16">
        <f t="shared" si="161"/>
        <v>30000</v>
      </c>
      <c r="H86" s="16">
        <f t="shared" si="161"/>
        <v>30000</v>
      </c>
      <c r="I86" s="16">
        <f t="shared" ref="I86:L86" si="162">I85*0.1</f>
        <v>30000</v>
      </c>
      <c r="J86" s="16">
        <f t="shared" si="162"/>
        <v>30000</v>
      </c>
      <c r="K86" s="16">
        <f t="shared" si="162"/>
        <v>30000</v>
      </c>
      <c r="L86" s="16">
        <f t="shared" si="162"/>
        <v>30000</v>
      </c>
      <c r="M86" s="16">
        <f t="shared" ref="M86:N86" si="163">M85*0.1</f>
        <v>30000</v>
      </c>
      <c r="N86" s="16">
        <f t="shared" si="163"/>
        <v>30000</v>
      </c>
      <c r="O86" s="13">
        <f t="shared" si="128"/>
        <v>360000</v>
      </c>
      <c r="P86" s="14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spans="1:256" s="1" customFormat="1" x14ac:dyDescent="0.35">
      <c r="B87" s="15" t="s">
        <v>16</v>
      </c>
      <c r="C87" s="16">
        <f t="shared" ref="C87:H87" si="164">C85-C86</f>
        <v>270000</v>
      </c>
      <c r="D87" s="16">
        <f t="shared" si="164"/>
        <v>270000</v>
      </c>
      <c r="E87" s="16">
        <f t="shared" si="164"/>
        <v>270000</v>
      </c>
      <c r="F87" s="16">
        <f t="shared" si="164"/>
        <v>270000</v>
      </c>
      <c r="G87" s="16">
        <f t="shared" si="164"/>
        <v>270000</v>
      </c>
      <c r="H87" s="16">
        <f t="shared" si="164"/>
        <v>270000</v>
      </c>
      <c r="I87" s="16">
        <f t="shared" ref="I87:L87" si="165">I85-I86</f>
        <v>270000</v>
      </c>
      <c r="J87" s="16">
        <f t="shared" si="165"/>
        <v>270000</v>
      </c>
      <c r="K87" s="16">
        <f t="shared" si="165"/>
        <v>270000</v>
      </c>
      <c r="L87" s="16">
        <f t="shared" si="165"/>
        <v>270000</v>
      </c>
      <c r="M87" s="16">
        <f t="shared" ref="M87:N87" si="166">M85-M86</f>
        <v>270000</v>
      </c>
      <c r="N87" s="16">
        <f t="shared" si="166"/>
        <v>270000</v>
      </c>
      <c r="O87" s="13">
        <f t="shared" si="128"/>
        <v>3240000</v>
      </c>
      <c r="P87" s="14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</row>
    <row r="88" spans="1:256" s="1" customFormat="1" x14ac:dyDescent="0.35">
      <c r="B88" s="15" t="s">
        <v>17</v>
      </c>
      <c r="C88" s="18">
        <f t="shared" ref="C88:L88" si="167">IF(C87&gt;1000000,(C88-1000000)*0.3+130500,IF(C87&gt;760000,(C87-760000)*0.25+70500,IF(C87&gt;520000,(C87-520000)*0.2+22500,IF(C87&gt;270000,(C87-270000)*0.08+0,IF(C87&lt;270001,0,0)))))</f>
        <v>0</v>
      </c>
      <c r="D88" s="18">
        <f t="shared" si="167"/>
        <v>0</v>
      </c>
      <c r="E88" s="18">
        <f t="shared" si="167"/>
        <v>0</v>
      </c>
      <c r="F88" s="18">
        <f t="shared" si="167"/>
        <v>0</v>
      </c>
      <c r="G88" s="18">
        <f t="shared" si="167"/>
        <v>0</v>
      </c>
      <c r="H88" s="18">
        <f t="shared" si="167"/>
        <v>0</v>
      </c>
      <c r="I88" s="18">
        <f t="shared" si="167"/>
        <v>0</v>
      </c>
      <c r="J88" s="18">
        <f t="shared" si="167"/>
        <v>0</v>
      </c>
      <c r="K88" s="18">
        <f t="shared" si="167"/>
        <v>0</v>
      </c>
      <c r="L88" s="18">
        <f t="shared" si="167"/>
        <v>0</v>
      </c>
      <c r="M88" s="18">
        <f t="shared" ref="M88:N88" si="168">IF(M87&gt;1000000,(M88-1000000)*0.3+130500,IF(M87&gt;760000,(M87-760000)*0.25+70500,IF(M87&gt;520000,(M87-520000)*0.2+22500,IF(M87&gt;270000,(M87-270000)*0.08+0,IF(M87&lt;270001,0,0)))))</f>
        <v>0</v>
      </c>
      <c r="N88" s="18">
        <f t="shared" si="168"/>
        <v>0</v>
      </c>
      <c r="O88" s="13">
        <f t="shared" si="128"/>
        <v>0</v>
      </c>
      <c r="P88" s="14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</row>
    <row r="89" spans="1:256" s="17" customFormat="1" x14ac:dyDescent="0.35">
      <c r="A89" s="17">
        <v>22</v>
      </c>
      <c r="B89" s="11" t="s">
        <v>39</v>
      </c>
      <c r="C89" s="12">
        <v>300000</v>
      </c>
      <c r="D89" s="12">
        <v>300000</v>
      </c>
      <c r="E89" s="12">
        <v>300000</v>
      </c>
      <c r="F89" s="12">
        <v>300000</v>
      </c>
      <c r="G89" s="12">
        <v>300000</v>
      </c>
      <c r="H89" s="12">
        <v>300000</v>
      </c>
      <c r="I89" s="12">
        <v>300000</v>
      </c>
      <c r="J89" s="12">
        <v>300000</v>
      </c>
      <c r="K89" s="12">
        <v>300000</v>
      </c>
      <c r="L89" s="12">
        <v>300000</v>
      </c>
      <c r="M89" s="12">
        <v>300000</v>
      </c>
      <c r="N89" s="12">
        <v>300000</v>
      </c>
      <c r="O89" s="13">
        <f t="shared" si="128"/>
        <v>3600000</v>
      </c>
      <c r="P89" s="14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</row>
    <row r="90" spans="1:256" s="17" customFormat="1" x14ac:dyDescent="0.35">
      <c r="B90" s="15" t="s">
        <v>15</v>
      </c>
      <c r="C90" s="16">
        <f t="shared" ref="C90:H90" si="169">C89*0.1</f>
        <v>30000</v>
      </c>
      <c r="D90" s="16">
        <f t="shared" si="169"/>
        <v>30000</v>
      </c>
      <c r="E90" s="16">
        <f t="shared" si="169"/>
        <v>30000</v>
      </c>
      <c r="F90" s="16">
        <f t="shared" si="169"/>
        <v>30000</v>
      </c>
      <c r="G90" s="16">
        <f t="shared" si="169"/>
        <v>30000</v>
      </c>
      <c r="H90" s="16">
        <f t="shared" si="169"/>
        <v>30000</v>
      </c>
      <c r="I90" s="16">
        <f t="shared" ref="I90:L90" si="170">I89*0.1</f>
        <v>30000</v>
      </c>
      <c r="J90" s="16">
        <f t="shared" si="170"/>
        <v>30000</v>
      </c>
      <c r="K90" s="16">
        <f t="shared" si="170"/>
        <v>30000</v>
      </c>
      <c r="L90" s="16">
        <f t="shared" si="170"/>
        <v>30000</v>
      </c>
      <c r="M90" s="16">
        <f t="shared" ref="M90:N90" si="171">M89*0.1</f>
        <v>30000</v>
      </c>
      <c r="N90" s="16">
        <f t="shared" si="171"/>
        <v>30000</v>
      </c>
      <c r="O90" s="13">
        <f t="shared" si="128"/>
        <v>360000</v>
      </c>
      <c r="P90" s="14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</row>
    <row r="91" spans="1:256" s="1" customFormat="1" x14ac:dyDescent="0.35">
      <c r="B91" s="15" t="s">
        <v>16</v>
      </c>
      <c r="C91" s="16">
        <f t="shared" ref="C91:H91" si="172">C89-C90</f>
        <v>270000</v>
      </c>
      <c r="D91" s="16">
        <f t="shared" si="172"/>
        <v>270000</v>
      </c>
      <c r="E91" s="16">
        <f t="shared" si="172"/>
        <v>270000</v>
      </c>
      <c r="F91" s="16">
        <f t="shared" si="172"/>
        <v>270000</v>
      </c>
      <c r="G91" s="16">
        <f t="shared" si="172"/>
        <v>270000</v>
      </c>
      <c r="H91" s="16">
        <f t="shared" si="172"/>
        <v>270000</v>
      </c>
      <c r="I91" s="16">
        <f t="shared" ref="I91:L91" si="173">I89-I90</f>
        <v>270000</v>
      </c>
      <c r="J91" s="16">
        <f t="shared" si="173"/>
        <v>270000</v>
      </c>
      <c r="K91" s="16">
        <f t="shared" si="173"/>
        <v>270000</v>
      </c>
      <c r="L91" s="16">
        <f t="shared" si="173"/>
        <v>270000</v>
      </c>
      <c r="M91" s="16">
        <f t="shared" ref="M91:N91" si="174">M89-M90</f>
        <v>270000</v>
      </c>
      <c r="N91" s="16">
        <f t="shared" si="174"/>
        <v>270000</v>
      </c>
      <c r="O91" s="13">
        <f t="shared" si="128"/>
        <v>3240000</v>
      </c>
      <c r="P91" s="14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</row>
    <row r="92" spans="1:256" s="1" customFormat="1" x14ac:dyDescent="0.35">
      <c r="B92" s="15" t="s">
        <v>17</v>
      </c>
      <c r="C92" s="18">
        <f t="shared" ref="C92:L92" si="175">IF(C91&gt;1000000,(C92-1000000)*0.3+130500,IF(C91&gt;760000,(C91-760000)*0.25+70500,IF(C91&gt;520000,(C91-520000)*0.2+22500,IF(C91&gt;270000,(C91-270000)*0.08+0,IF(C91&lt;270001,0,0)))))</f>
        <v>0</v>
      </c>
      <c r="D92" s="18">
        <f t="shared" si="175"/>
        <v>0</v>
      </c>
      <c r="E92" s="18">
        <f t="shared" si="175"/>
        <v>0</v>
      </c>
      <c r="F92" s="18">
        <f t="shared" si="175"/>
        <v>0</v>
      </c>
      <c r="G92" s="18">
        <f t="shared" si="175"/>
        <v>0</v>
      </c>
      <c r="H92" s="18">
        <f t="shared" si="175"/>
        <v>0</v>
      </c>
      <c r="I92" s="18">
        <f t="shared" si="175"/>
        <v>0</v>
      </c>
      <c r="J92" s="18">
        <f t="shared" si="175"/>
        <v>0</v>
      </c>
      <c r="K92" s="18">
        <f t="shared" si="175"/>
        <v>0</v>
      </c>
      <c r="L92" s="18">
        <f t="shared" si="175"/>
        <v>0</v>
      </c>
      <c r="M92" s="18">
        <f t="shared" ref="M92:N92" si="176">IF(M91&gt;1000000,(M92-1000000)*0.3+130500,IF(M91&gt;760000,(M91-760000)*0.25+70500,IF(M91&gt;520000,(M91-520000)*0.2+22500,IF(M91&gt;270000,(M91-270000)*0.08+0,IF(M91&lt;270001,0,0)))))</f>
        <v>0</v>
      </c>
      <c r="N92" s="18">
        <f t="shared" si="176"/>
        <v>0</v>
      </c>
      <c r="O92" s="13">
        <f t="shared" si="128"/>
        <v>0</v>
      </c>
      <c r="P92" s="14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</row>
    <row r="93" spans="1:256" s="17" customFormat="1" x14ac:dyDescent="0.35">
      <c r="A93" s="17">
        <v>23</v>
      </c>
      <c r="B93" s="11" t="s">
        <v>40</v>
      </c>
      <c r="C93" s="12">
        <v>300000</v>
      </c>
      <c r="D93" s="12">
        <v>300000</v>
      </c>
      <c r="E93" s="12">
        <v>300000</v>
      </c>
      <c r="F93" s="12">
        <v>300000</v>
      </c>
      <c r="G93" s="12">
        <v>300000</v>
      </c>
      <c r="H93" s="12">
        <v>300000</v>
      </c>
      <c r="I93" s="12">
        <v>300000</v>
      </c>
      <c r="J93" s="12">
        <v>300000</v>
      </c>
      <c r="K93" s="12">
        <v>300000</v>
      </c>
      <c r="L93" s="12">
        <v>300000</v>
      </c>
      <c r="M93" s="12">
        <v>300000</v>
      </c>
      <c r="N93" s="12">
        <v>300000</v>
      </c>
      <c r="O93" s="13">
        <f t="shared" si="128"/>
        <v>3600000</v>
      </c>
      <c r="P93" s="14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</row>
    <row r="94" spans="1:256" s="17" customFormat="1" x14ac:dyDescent="0.35">
      <c r="B94" s="15" t="s">
        <v>15</v>
      </c>
      <c r="C94" s="16">
        <f t="shared" ref="C94:H94" si="177">C93*0.1</f>
        <v>30000</v>
      </c>
      <c r="D94" s="16">
        <f t="shared" si="177"/>
        <v>30000</v>
      </c>
      <c r="E94" s="16">
        <f t="shared" si="177"/>
        <v>30000</v>
      </c>
      <c r="F94" s="16">
        <f t="shared" si="177"/>
        <v>30000</v>
      </c>
      <c r="G94" s="16">
        <f t="shared" si="177"/>
        <v>30000</v>
      </c>
      <c r="H94" s="16">
        <f t="shared" si="177"/>
        <v>30000</v>
      </c>
      <c r="I94" s="16">
        <f t="shared" ref="I94:L94" si="178">I93*0.1</f>
        <v>30000</v>
      </c>
      <c r="J94" s="16">
        <f t="shared" si="178"/>
        <v>30000</v>
      </c>
      <c r="K94" s="16">
        <f t="shared" si="178"/>
        <v>30000</v>
      </c>
      <c r="L94" s="16">
        <f t="shared" si="178"/>
        <v>30000</v>
      </c>
      <c r="M94" s="16">
        <f t="shared" ref="M94:N94" si="179">M93*0.1</f>
        <v>30000</v>
      </c>
      <c r="N94" s="16">
        <f t="shared" si="179"/>
        <v>30000</v>
      </c>
      <c r="O94" s="13">
        <f t="shared" si="128"/>
        <v>360000</v>
      </c>
      <c r="P94" s="14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</row>
    <row r="95" spans="1:256" s="1" customFormat="1" x14ac:dyDescent="0.35">
      <c r="B95" s="15" t="s">
        <v>16</v>
      </c>
      <c r="C95" s="16">
        <f t="shared" ref="C95:H95" si="180">C93-C94</f>
        <v>270000</v>
      </c>
      <c r="D95" s="16">
        <f t="shared" si="180"/>
        <v>270000</v>
      </c>
      <c r="E95" s="16">
        <f t="shared" si="180"/>
        <v>270000</v>
      </c>
      <c r="F95" s="16">
        <f t="shared" si="180"/>
        <v>270000</v>
      </c>
      <c r="G95" s="16">
        <f t="shared" si="180"/>
        <v>270000</v>
      </c>
      <c r="H95" s="16">
        <f t="shared" si="180"/>
        <v>270000</v>
      </c>
      <c r="I95" s="16">
        <f t="shared" ref="I95:L95" si="181">I93-I94</f>
        <v>270000</v>
      </c>
      <c r="J95" s="16">
        <f t="shared" si="181"/>
        <v>270000</v>
      </c>
      <c r="K95" s="16">
        <f t="shared" si="181"/>
        <v>270000</v>
      </c>
      <c r="L95" s="16">
        <f t="shared" si="181"/>
        <v>270000</v>
      </c>
      <c r="M95" s="16">
        <f t="shared" ref="M95:N95" si="182">M93-M94</f>
        <v>270000</v>
      </c>
      <c r="N95" s="16">
        <f t="shared" si="182"/>
        <v>270000</v>
      </c>
      <c r="O95" s="13">
        <f t="shared" si="128"/>
        <v>3240000</v>
      </c>
      <c r="P95" s="14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</row>
    <row r="96" spans="1:256" s="1" customFormat="1" x14ac:dyDescent="0.35">
      <c r="B96" s="15" t="s">
        <v>17</v>
      </c>
      <c r="C96" s="18">
        <f t="shared" ref="C96:L96" si="183">IF(C95&gt;1000000,(C96-1000000)*0.3+130500,IF(C95&gt;760000,(C95-760000)*0.25+70500,IF(C95&gt;520000,(C95-520000)*0.2+22500,IF(C95&gt;270000,(C95-270000)*0.08+0,IF(C95&lt;270001,0,0)))))</f>
        <v>0</v>
      </c>
      <c r="D96" s="18">
        <f t="shared" si="183"/>
        <v>0</v>
      </c>
      <c r="E96" s="18">
        <f t="shared" si="183"/>
        <v>0</v>
      </c>
      <c r="F96" s="18">
        <f t="shared" si="183"/>
        <v>0</v>
      </c>
      <c r="G96" s="18">
        <f t="shared" si="183"/>
        <v>0</v>
      </c>
      <c r="H96" s="18">
        <f t="shared" si="183"/>
        <v>0</v>
      </c>
      <c r="I96" s="18">
        <f t="shared" si="183"/>
        <v>0</v>
      </c>
      <c r="J96" s="18">
        <f t="shared" si="183"/>
        <v>0</v>
      </c>
      <c r="K96" s="18">
        <f t="shared" si="183"/>
        <v>0</v>
      </c>
      <c r="L96" s="18">
        <f t="shared" si="183"/>
        <v>0</v>
      </c>
      <c r="M96" s="18">
        <f t="shared" ref="M96:N96" si="184">IF(M95&gt;1000000,(M96-1000000)*0.3+130500,IF(M95&gt;760000,(M95-760000)*0.25+70500,IF(M95&gt;520000,(M95-520000)*0.2+22500,IF(M95&gt;270000,(M95-270000)*0.08+0,IF(M95&lt;270001,0,0)))))</f>
        <v>0</v>
      </c>
      <c r="N96" s="18">
        <f t="shared" si="184"/>
        <v>0</v>
      </c>
      <c r="O96" s="13">
        <f t="shared" si="128"/>
        <v>0</v>
      </c>
      <c r="P96" s="14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</row>
    <row r="97" spans="1:256" s="17" customFormat="1" x14ac:dyDescent="0.35">
      <c r="A97" s="17">
        <v>24</v>
      </c>
      <c r="B97" s="11" t="s">
        <v>41</v>
      </c>
      <c r="C97" s="12">
        <v>300000</v>
      </c>
      <c r="D97" s="12">
        <v>300000</v>
      </c>
      <c r="E97" s="12">
        <v>300000</v>
      </c>
      <c r="F97" s="12">
        <v>300000</v>
      </c>
      <c r="G97" s="12">
        <v>300000</v>
      </c>
      <c r="H97" s="12">
        <v>300000</v>
      </c>
      <c r="I97" s="12">
        <v>300000</v>
      </c>
      <c r="J97" s="12">
        <v>300000</v>
      </c>
      <c r="K97" s="12">
        <v>300000</v>
      </c>
      <c r="L97" s="12">
        <v>0</v>
      </c>
      <c r="M97" s="12">
        <v>0</v>
      </c>
      <c r="N97" s="12">
        <v>0</v>
      </c>
      <c r="O97" s="13">
        <f t="shared" si="128"/>
        <v>2700000</v>
      </c>
      <c r="P97" s="14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</row>
    <row r="98" spans="1:256" s="17" customFormat="1" x14ac:dyDescent="0.35">
      <c r="B98" s="15" t="s">
        <v>15</v>
      </c>
      <c r="C98" s="16">
        <f t="shared" ref="C98:H98" si="185">C97*0.1</f>
        <v>30000</v>
      </c>
      <c r="D98" s="16">
        <f t="shared" si="185"/>
        <v>30000</v>
      </c>
      <c r="E98" s="16">
        <f t="shared" si="185"/>
        <v>30000</v>
      </c>
      <c r="F98" s="16">
        <f t="shared" si="185"/>
        <v>30000</v>
      </c>
      <c r="G98" s="16">
        <f t="shared" si="185"/>
        <v>30000</v>
      </c>
      <c r="H98" s="16">
        <f t="shared" si="185"/>
        <v>30000</v>
      </c>
      <c r="I98" s="16">
        <f t="shared" ref="I98:L98" si="186">I97*0.1</f>
        <v>30000</v>
      </c>
      <c r="J98" s="16">
        <f t="shared" si="186"/>
        <v>30000</v>
      </c>
      <c r="K98" s="16">
        <f t="shared" si="186"/>
        <v>30000</v>
      </c>
      <c r="L98" s="16">
        <f t="shared" si="186"/>
        <v>0</v>
      </c>
      <c r="M98" s="16">
        <f t="shared" ref="M98:N98" si="187">M97*0.1</f>
        <v>0</v>
      </c>
      <c r="N98" s="16">
        <f t="shared" si="187"/>
        <v>0</v>
      </c>
      <c r="O98" s="13">
        <f t="shared" si="128"/>
        <v>270000</v>
      </c>
      <c r="P98" s="14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</row>
    <row r="99" spans="1:256" s="1" customFormat="1" x14ac:dyDescent="0.35">
      <c r="B99" s="15" t="s">
        <v>16</v>
      </c>
      <c r="C99" s="16">
        <f t="shared" ref="C99:H99" si="188">C97-C98</f>
        <v>270000</v>
      </c>
      <c r="D99" s="16">
        <f t="shared" si="188"/>
        <v>270000</v>
      </c>
      <c r="E99" s="16">
        <f t="shared" si="188"/>
        <v>270000</v>
      </c>
      <c r="F99" s="16">
        <f t="shared" si="188"/>
        <v>270000</v>
      </c>
      <c r="G99" s="16">
        <f t="shared" si="188"/>
        <v>270000</v>
      </c>
      <c r="H99" s="16">
        <f t="shared" si="188"/>
        <v>270000</v>
      </c>
      <c r="I99" s="16">
        <f t="shared" ref="I99:L99" si="189">I97-I98</f>
        <v>270000</v>
      </c>
      <c r="J99" s="16">
        <f t="shared" si="189"/>
        <v>270000</v>
      </c>
      <c r="K99" s="16">
        <f t="shared" si="189"/>
        <v>270000</v>
      </c>
      <c r="L99" s="16">
        <f t="shared" si="189"/>
        <v>0</v>
      </c>
      <c r="M99" s="16">
        <f t="shared" ref="M99:N99" si="190">M97-M98</f>
        <v>0</v>
      </c>
      <c r="N99" s="16">
        <f t="shared" si="190"/>
        <v>0</v>
      </c>
      <c r="O99" s="13">
        <f t="shared" si="128"/>
        <v>2430000</v>
      </c>
      <c r="P99" s="14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</row>
    <row r="100" spans="1:256" s="1" customFormat="1" x14ac:dyDescent="0.35">
      <c r="B100" s="15" t="s">
        <v>17</v>
      </c>
      <c r="C100" s="18">
        <f t="shared" ref="C100:L100" si="191">IF(C99&gt;1000000,(C100-1000000)*0.3+130500,IF(C99&gt;760000,(C99-760000)*0.25+70500,IF(C99&gt;520000,(C99-520000)*0.2+22500,IF(C99&gt;270000,(C99-270000)*0.08+0,IF(C99&lt;270001,0,0)))))</f>
        <v>0</v>
      </c>
      <c r="D100" s="18">
        <f t="shared" si="191"/>
        <v>0</v>
      </c>
      <c r="E100" s="18">
        <f t="shared" si="191"/>
        <v>0</v>
      </c>
      <c r="F100" s="18">
        <f t="shared" si="191"/>
        <v>0</v>
      </c>
      <c r="G100" s="18">
        <f t="shared" si="191"/>
        <v>0</v>
      </c>
      <c r="H100" s="18">
        <f t="shared" si="191"/>
        <v>0</v>
      </c>
      <c r="I100" s="18">
        <f t="shared" si="191"/>
        <v>0</v>
      </c>
      <c r="J100" s="18">
        <f t="shared" si="191"/>
        <v>0</v>
      </c>
      <c r="K100" s="18">
        <f t="shared" si="191"/>
        <v>0</v>
      </c>
      <c r="L100" s="18">
        <f t="shared" si="191"/>
        <v>0</v>
      </c>
      <c r="M100" s="18">
        <f t="shared" ref="M100:N100" si="192">IF(M99&gt;1000000,(M100-1000000)*0.3+130500,IF(M99&gt;760000,(M99-760000)*0.25+70500,IF(M99&gt;520000,(M99-520000)*0.2+22500,IF(M99&gt;270000,(M99-270000)*0.08+0,IF(M99&lt;270001,0,0)))))</f>
        <v>0</v>
      </c>
      <c r="N100" s="18">
        <f t="shared" si="192"/>
        <v>0</v>
      </c>
      <c r="O100" s="13">
        <f t="shared" si="128"/>
        <v>0</v>
      </c>
      <c r="P100" s="14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</row>
    <row r="101" spans="1:256" s="17" customFormat="1" x14ac:dyDescent="0.35">
      <c r="A101" s="17">
        <v>25</v>
      </c>
      <c r="B101" s="11" t="s">
        <v>42</v>
      </c>
      <c r="C101" s="12">
        <v>300000</v>
      </c>
      <c r="D101" s="12">
        <v>300000</v>
      </c>
      <c r="E101" s="12">
        <v>300000</v>
      </c>
      <c r="F101" s="12">
        <v>300000</v>
      </c>
      <c r="G101" s="12">
        <v>300000</v>
      </c>
      <c r="H101" s="12">
        <v>300000</v>
      </c>
      <c r="I101" s="12">
        <v>300000</v>
      </c>
      <c r="J101" s="12">
        <v>300000</v>
      </c>
      <c r="K101" s="12">
        <v>300000</v>
      </c>
      <c r="L101" s="12">
        <v>300000</v>
      </c>
      <c r="M101" s="12">
        <v>300000</v>
      </c>
      <c r="N101" s="12">
        <v>300000</v>
      </c>
      <c r="O101" s="13">
        <f t="shared" si="128"/>
        <v>3600000</v>
      </c>
      <c r="P101" s="14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</row>
    <row r="102" spans="1:256" s="17" customFormat="1" x14ac:dyDescent="0.35">
      <c r="B102" s="15" t="s">
        <v>15</v>
      </c>
      <c r="C102" s="16">
        <f t="shared" ref="C102:H102" si="193">C101*0.1</f>
        <v>30000</v>
      </c>
      <c r="D102" s="16">
        <f t="shared" si="193"/>
        <v>30000</v>
      </c>
      <c r="E102" s="16">
        <f t="shared" si="193"/>
        <v>30000</v>
      </c>
      <c r="F102" s="16">
        <f t="shared" si="193"/>
        <v>30000</v>
      </c>
      <c r="G102" s="16">
        <f t="shared" si="193"/>
        <v>30000</v>
      </c>
      <c r="H102" s="16">
        <f t="shared" si="193"/>
        <v>30000</v>
      </c>
      <c r="I102" s="16">
        <f t="shared" ref="I102:L102" si="194">I101*0.1</f>
        <v>30000</v>
      </c>
      <c r="J102" s="16">
        <f t="shared" si="194"/>
        <v>30000</v>
      </c>
      <c r="K102" s="16">
        <f t="shared" si="194"/>
        <v>30000</v>
      </c>
      <c r="L102" s="16">
        <f t="shared" si="194"/>
        <v>30000</v>
      </c>
      <c r="M102" s="16">
        <f t="shared" ref="M102:N102" si="195">M101*0.1</f>
        <v>30000</v>
      </c>
      <c r="N102" s="16">
        <f t="shared" si="195"/>
        <v>30000</v>
      </c>
      <c r="O102" s="13">
        <f t="shared" si="128"/>
        <v>360000</v>
      </c>
      <c r="P102" s="14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</row>
    <row r="103" spans="1:256" s="1" customFormat="1" x14ac:dyDescent="0.35">
      <c r="B103" s="15" t="s">
        <v>16</v>
      </c>
      <c r="C103" s="16">
        <f t="shared" ref="C103:H103" si="196">C101-C102</f>
        <v>270000</v>
      </c>
      <c r="D103" s="16">
        <f t="shared" si="196"/>
        <v>270000</v>
      </c>
      <c r="E103" s="16">
        <f t="shared" si="196"/>
        <v>270000</v>
      </c>
      <c r="F103" s="16">
        <f t="shared" si="196"/>
        <v>270000</v>
      </c>
      <c r="G103" s="16">
        <f t="shared" si="196"/>
        <v>270000</v>
      </c>
      <c r="H103" s="16">
        <f t="shared" si="196"/>
        <v>270000</v>
      </c>
      <c r="I103" s="16">
        <f t="shared" ref="I103:L103" si="197">I101-I102</f>
        <v>270000</v>
      </c>
      <c r="J103" s="16">
        <f t="shared" si="197"/>
        <v>270000</v>
      </c>
      <c r="K103" s="16">
        <f t="shared" si="197"/>
        <v>270000</v>
      </c>
      <c r="L103" s="16">
        <f t="shared" si="197"/>
        <v>270000</v>
      </c>
      <c r="M103" s="16">
        <f t="shared" ref="M103:N103" si="198">M101-M102</f>
        <v>270000</v>
      </c>
      <c r="N103" s="16">
        <f t="shared" si="198"/>
        <v>270000</v>
      </c>
      <c r="O103" s="13">
        <f t="shared" si="128"/>
        <v>3240000</v>
      </c>
      <c r="P103" s="14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</row>
    <row r="104" spans="1:256" s="1" customFormat="1" x14ac:dyDescent="0.35">
      <c r="B104" s="15" t="s">
        <v>17</v>
      </c>
      <c r="C104" s="18">
        <f t="shared" ref="C104:L104" si="199">IF(C103&gt;1000000,(C104-1000000)*0.3+130500,IF(C103&gt;760000,(C103-760000)*0.25+70500,IF(C103&gt;520000,(C103-520000)*0.2+22500,IF(C103&gt;270000,(C103-270000)*0.08+0,IF(C103&lt;270001,0,0)))))</f>
        <v>0</v>
      </c>
      <c r="D104" s="18">
        <f t="shared" si="199"/>
        <v>0</v>
      </c>
      <c r="E104" s="18">
        <f t="shared" si="199"/>
        <v>0</v>
      </c>
      <c r="F104" s="18">
        <f t="shared" si="199"/>
        <v>0</v>
      </c>
      <c r="G104" s="18">
        <f t="shared" si="199"/>
        <v>0</v>
      </c>
      <c r="H104" s="18">
        <f t="shared" si="199"/>
        <v>0</v>
      </c>
      <c r="I104" s="18">
        <f t="shared" si="199"/>
        <v>0</v>
      </c>
      <c r="J104" s="18">
        <f t="shared" si="199"/>
        <v>0</v>
      </c>
      <c r="K104" s="18">
        <f t="shared" si="199"/>
        <v>0</v>
      </c>
      <c r="L104" s="18">
        <f t="shared" si="199"/>
        <v>0</v>
      </c>
      <c r="M104" s="18">
        <f t="shared" ref="M104:N104" si="200">IF(M103&gt;1000000,(M104-1000000)*0.3+130500,IF(M103&gt;760000,(M103-760000)*0.25+70500,IF(M103&gt;520000,(M103-520000)*0.2+22500,IF(M103&gt;270000,(M103-270000)*0.08+0,IF(M103&lt;270001,0,0)))))</f>
        <v>0</v>
      </c>
      <c r="N104" s="18">
        <f t="shared" si="200"/>
        <v>0</v>
      </c>
      <c r="O104" s="13">
        <f t="shared" si="128"/>
        <v>0</v>
      </c>
      <c r="P104" s="14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</row>
    <row r="105" spans="1:256" s="17" customFormat="1" x14ac:dyDescent="0.35">
      <c r="A105" s="17">
        <v>26</v>
      </c>
      <c r="B105" s="11" t="s">
        <v>43</v>
      </c>
      <c r="C105" s="12">
        <v>300000</v>
      </c>
      <c r="D105" s="12">
        <v>300000</v>
      </c>
      <c r="E105" s="12">
        <v>300000</v>
      </c>
      <c r="F105" s="12">
        <v>300000</v>
      </c>
      <c r="G105" s="12">
        <v>300000</v>
      </c>
      <c r="H105" s="12">
        <v>300000</v>
      </c>
      <c r="I105" s="12">
        <v>300000</v>
      </c>
      <c r="J105" s="12">
        <v>300000</v>
      </c>
      <c r="K105" s="12">
        <v>300000</v>
      </c>
      <c r="L105" s="12">
        <v>300000</v>
      </c>
      <c r="M105" s="12">
        <v>300000</v>
      </c>
      <c r="N105" s="12">
        <v>300000</v>
      </c>
      <c r="O105" s="13">
        <f t="shared" si="128"/>
        <v>3600000</v>
      </c>
      <c r="P105" s="14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</row>
    <row r="106" spans="1:256" s="17" customFormat="1" x14ac:dyDescent="0.35">
      <c r="B106" s="15" t="s">
        <v>15</v>
      </c>
      <c r="C106" s="16">
        <f t="shared" ref="C106:H106" si="201">C105*0.1</f>
        <v>30000</v>
      </c>
      <c r="D106" s="16">
        <f t="shared" si="201"/>
        <v>30000</v>
      </c>
      <c r="E106" s="16">
        <f t="shared" si="201"/>
        <v>30000</v>
      </c>
      <c r="F106" s="16">
        <f t="shared" si="201"/>
        <v>30000</v>
      </c>
      <c r="G106" s="16">
        <f t="shared" si="201"/>
        <v>30000</v>
      </c>
      <c r="H106" s="16">
        <f t="shared" si="201"/>
        <v>30000</v>
      </c>
      <c r="I106" s="16">
        <f t="shared" ref="I106:L106" si="202">I105*0.1</f>
        <v>30000</v>
      </c>
      <c r="J106" s="16">
        <f t="shared" si="202"/>
        <v>30000</v>
      </c>
      <c r="K106" s="16">
        <f t="shared" si="202"/>
        <v>30000</v>
      </c>
      <c r="L106" s="16">
        <f t="shared" si="202"/>
        <v>30000</v>
      </c>
      <c r="M106" s="16">
        <f t="shared" ref="M106:N106" si="203">M105*0.1</f>
        <v>30000</v>
      </c>
      <c r="N106" s="16">
        <f t="shared" si="203"/>
        <v>30000</v>
      </c>
      <c r="O106" s="13">
        <f t="shared" si="128"/>
        <v>360000</v>
      </c>
      <c r="P106" s="14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</row>
    <row r="107" spans="1:256" s="1" customFormat="1" x14ac:dyDescent="0.35">
      <c r="B107" s="15" t="s">
        <v>16</v>
      </c>
      <c r="C107" s="16">
        <f t="shared" ref="C107:H107" si="204">C105-C106</f>
        <v>270000</v>
      </c>
      <c r="D107" s="16">
        <f t="shared" si="204"/>
        <v>270000</v>
      </c>
      <c r="E107" s="16">
        <f t="shared" si="204"/>
        <v>270000</v>
      </c>
      <c r="F107" s="16">
        <f t="shared" si="204"/>
        <v>270000</v>
      </c>
      <c r="G107" s="16">
        <f t="shared" si="204"/>
        <v>270000</v>
      </c>
      <c r="H107" s="16">
        <f t="shared" si="204"/>
        <v>270000</v>
      </c>
      <c r="I107" s="16">
        <f t="shared" ref="I107:L107" si="205">I105-I106</f>
        <v>270000</v>
      </c>
      <c r="J107" s="16">
        <f t="shared" si="205"/>
        <v>270000</v>
      </c>
      <c r="K107" s="16">
        <f t="shared" si="205"/>
        <v>270000</v>
      </c>
      <c r="L107" s="16">
        <f t="shared" si="205"/>
        <v>270000</v>
      </c>
      <c r="M107" s="16">
        <f t="shared" ref="M107:N107" si="206">M105-M106</f>
        <v>270000</v>
      </c>
      <c r="N107" s="16">
        <f t="shared" si="206"/>
        <v>270000</v>
      </c>
      <c r="O107" s="13">
        <f t="shared" si="128"/>
        <v>3240000</v>
      </c>
      <c r="P107" s="14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</row>
    <row r="108" spans="1:256" s="1" customFormat="1" x14ac:dyDescent="0.35">
      <c r="B108" s="15" t="s">
        <v>17</v>
      </c>
      <c r="C108" s="18">
        <f t="shared" ref="C108:L108" si="207">IF(C107&gt;1000000,(C108-1000000)*0.3+130500,IF(C107&gt;760000,(C107-760000)*0.25+70500,IF(C107&gt;520000,(C107-520000)*0.2+22500,IF(C107&gt;270000,(C107-270000)*0.08+0,IF(C107&lt;270001,0,0)))))</f>
        <v>0</v>
      </c>
      <c r="D108" s="18">
        <f t="shared" si="207"/>
        <v>0</v>
      </c>
      <c r="E108" s="18">
        <f t="shared" si="207"/>
        <v>0</v>
      </c>
      <c r="F108" s="18">
        <f t="shared" si="207"/>
        <v>0</v>
      </c>
      <c r="G108" s="18">
        <f t="shared" si="207"/>
        <v>0</v>
      </c>
      <c r="H108" s="18">
        <f t="shared" si="207"/>
        <v>0</v>
      </c>
      <c r="I108" s="18">
        <f t="shared" si="207"/>
        <v>0</v>
      </c>
      <c r="J108" s="18">
        <f t="shared" si="207"/>
        <v>0</v>
      </c>
      <c r="K108" s="18">
        <f t="shared" si="207"/>
        <v>0</v>
      </c>
      <c r="L108" s="18">
        <f t="shared" si="207"/>
        <v>0</v>
      </c>
      <c r="M108" s="18">
        <f t="shared" ref="M108:N108" si="208">IF(M107&gt;1000000,(M108-1000000)*0.3+130500,IF(M107&gt;760000,(M107-760000)*0.25+70500,IF(M107&gt;520000,(M107-520000)*0.2+22500,IF(M107&gt;270000,(M107-270000)*0.08+0,IF(M107&lt;270001,0,0)))))</f>
        <v>0</v>
      </c>
      <c r="N108" s="18">
        <f t="shared" si="208"/>
        <v>0</v>
      </c>
      <c r="O108" s="13">
        <f t="shared" si="128"/>
        <v>0</v>
      </c>
      <c r="P108" s="14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</row>
    <row r="109" spans="1:256" s="17" customFormat="1" x14ac:dyDescent="0.35">
      <c r="A109" s="17">
        <v>27</v>
      </c>
      <c r="B109" s="11" t="s">
        <v>44</v>
      </c>
      <c r="C109" s="12">
        <v>300000</v>
      </c>
      <c r="D109" s="12">
        <v>300000</v>
      </c>
      <c r="E109" s="12">
        <v>300000</v>
      </c>
      <c r="F109" s="12">
        <v>300000</v>
      </c>
      <c r="G109" s="12">
        <v>300000</v>
      </c>
      <c r="H109" s="12">
        <v>300000</v>
      </c>
      <c r="I109" s="12">
        <v>300000</v>
      </c>
      <c r="J109" s="12">
        <v>300000</v>
      </c>
      <c r="K109" s="12">
        <v>300000</v>
      </c>
      <c r="L109" s="12">
        <v>300000</v>
      </c>
      <c r="M109" s="12">
        <v>300000</v>
      </c>
      <c r="N109" s="12">
        <v>300000</v>
      </c>
      <c r="O109" s="13">
        <f t="shared" si="128"/>
        <v>3600000</v>
      </c>
      <c r="P109" s="14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</row>
    <row r="110" spans="1:256" s="17" customFormat="1" x14ac:dyDescent="0.35">
      <c r="B110" s="15" t="s">
        <v>15</v>
      </c>
      <c r="C110" s="16">
        <f t="shared" ref="C110:H110" si="209">C109*0.1</f>
        <v>30000</v>
      </c>
      <c r="D110" s="16">
        <f t="shared" si="209"/>
        <v>30000</v>
      </c>
      <c r="E110" s="16">
        <f t="shared" si="209"/>
        <v>30000</v>
      </c>
      <c r="F110" s="16">
        <f t="shared" si="209"/>
        <v>30000</v>
      </c>
      <c r="G110" s="16">
        <f t="shared" si="209"/>
        <v>30000</v>
      </c>
      <c r="H110" s="16">
        <f t="shared" si="209"/>
        <v>30000</v>
      </c>
      <c r="I110" s="16">
        <f t="shared" ref="I110:L110" si="210">I109*0.1</f>
        <v>30000</v>
      </c>
      <c r="J110" s="16">
        <f t="shared" si="210"/>
        <v>30000</v>
      </c>
      <c r="K110" s="16">
        <f t="shared" si="210"/>
        <v>30000</v>
      </c>
      <c r="L110" s="16">
        <f t="shared" si="210"/>
        <v>30000</v>
      </c>
      <c r="M110" s="16">
        <f t="shared" ref="M110:N110" si="211">M109*0.1</f>
        <v>30000</v>
      </c>
      <c r="N110" s="16">
        <f t="shared" si="211"/>
        <v>30000</v>
      </c>
      <c r="O110" s="13">
        <f t="shared" si="128"/>
        <v>360000</v>
      </c>
      <c r="P110" s="14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</row>
    <row r="111" spans="1:256" s="1" customFormat="1" x14ac:dyDescent="0.35">
      <c r="B111" s="15" t="s">
        <v>16</v>
      </c>
      <c r="C111" s="16">
        <f t="shared" ref="C111:H111" si="212">C109-C110</f>
        <v>270000</v>
      </c>
      <c r="D111" s="16">
        <f t="shared" si="212"/>
        <v>270000</v>
      </c>
      <c r="E111" s="16">
        <f t="shared" si="212"/>
        <v>270000</v>
      </c>
      <c r="F111" s="16">
        <f t="shared" si="212"/>
        <v>270000</v>
      </c>
      <c r="G111" s="16">
        <f t="shared" si="212"/>
        <v>270000</v>
      </c>
      <c r="H111" s="16">
        <f t="shared" si="212"/>
        <v>270000</v>
      </c>
      <c r="I111" s="16">
        <f t="shared" ref="I111:L111" si="213">I109-I110</f>
        <v>270000</v>
      </c>
      <c r="J111" s="16">
        <f t="shared" si="213"/>
        <v>270000</v>
      </c>
      <c r="K111" s="16">
        <f t="shared" si="213"/>
        <v>270000</v>
      </c>
      <c r="L111" s="16">
        <f t="shared" si="213"/>
        <v>270000</v>
      </c>
      <c r="M111" s="16">
        <f t="shared" ref="M111:N111" si="214">M109-M110</f>
        <v>270000</v>
      </c>
      <c r="N111" s="16">
        <f t="shared" si="214"/>
        <v>270000</v>
      </c>
      <c r="O111" s="13">
        <f t="shared" si="128"/>
        <v>3240000</v>
      </c>
      <c r="P111" s="14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</row>
    <row r="112" spans="1:256" s="1" customFormat="1" x14ac:dyDescent="0.35">
      <c r="B112" s="15" t="s">
        <v>17</v>
      </c>
      <c r="C112" s="18">
        <f t="shared" ref="C112:L112" si="215">IF(C111&gt;1000000,(C112-1000000)*0.3+130500,IF(C111&gt;760000,(C111-760000)*0.25+70500,IF(C111&gt;520000,(C111-520000)*0.2+22500,IF(C111&gt;270000,(C111-270000)*0.08+0,IF(C111&lt;270001,0,0)))))</f>
        <v>0</v>
      </c>
      <c r="D112" s="18">
        <f t="shared" si="215"/>
        <v>0</v>
      </c>
      <c r="E112" s="18">
        <f t="shared" si="215"/>
        <v>0</v>
      </c>
      <c r="F112" s="18">
        <f t="shared" si="215"/>
        <v>0</v>
      </c>
      <c r="G112" s="18">
        <f t="shared" si="215"/>
        <v>0</v>
      </c>
      <c r="H112" s="18">
        <f t="shared" si="215"/>
        <v>0</v>
      </c>
      <c r="I112" s="18">
        <f t="shared" si="215"/>
        <v>0</v>
      </c>
      <c r="J112" s="18">
        <f t="shared" si="215"/>
        <v>0</v>
      </c>
      <c r="K112" s="18">
        <f t="shared" si="215"/>
        <v>0</v>
      </c>
      <c r="L112" s="18">
        <f t="shared" si="215"/>
        <v>0</v>
      </c>
      <c r="M112" s="18">
        <f t="shared" ref="M112:N112" si="216">IF(M111&gt;1000000,(M112-1000000)*0.3+130500,IF(M111&gt;760000,(M111-760000)*0.25+70500,IF(M111&gt;520000,(M111-520000)*0.2+22500,IF(M111&gt;270000,(M111-270000)*0.08+0,IF(M111&lt;270001,0,0)))))</f>
        <v>0</v>
      </c>
      <c r="N112" s="18">
        <f t="shared" si="216"/>
        <v>0</v>
      </c>
      <c r="O112" s="13">
        <f t="shared" si="128"/>
        <v>0</v>
      </c>
      <c r="P112" s="14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</row>
    <row r="113" spans="1:256" s="17" customFormat="1" x14ac:dyDescent="0.35">
      <c r="A113" s="17">
        <v>28</v>
      </c>
      <c r="B113" s="11" t="s">
        <v>45</v>
      </c>
      <c r="C113" s="12">
        <v>300000</v>
      </c>
      <c r="D113" s="12">
        <v>300000</v>
      </c>
      <c r="E113" s="12">
        <v>300000</v>
      </c>
      <c r="F113" s="12">
        <v>300000</v>
      </c>
      <c r="G113" s="12">
        <v>300000</v>
      </c>
      <c r="H113" s="12">
        <v>300000</v>
      </c>
      <c r="I113" s="12">
        <v>300000</v>
      </c>
      <c r="J113" s="12">
        <v>300000</v>
      </c>
      <c r="K113" s="12">
        <v>300000</v>
      </c>
      <c r="L113" s="12">
        <v>300000</v>
      </c>
      <c r="M113" s="12">
        <v>300000</v>
      </c>
      <c r="N113" s="12">
        <v>300000</v>
      </c>
      <c r="O113" s="13">
        <f t="shared" si="128"/>
        <v>3600000</v>
      </c>
      <c r="P113" s="14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</row>
    <row r="114" spans="1:256" s="17" customFormat="1" x14ac:dyDescent="0.35">
      <c r="B114" s="15" t="s">
        <v>15</v>
      </c>
      <c r="C114" s="16">
        <f t="shared" ref="C114:H114" si="217">C113*0.1</f>
        <v>30000</v>
      </c>
      <c r="D114" s="16">
        <f t="shared" si="217"/>
        <v>30000</v>
      </c>
      <c r="E114" s="16">
        <f t="shared" si="217"/>
        <v>30000</v>
      </c>
      <c r="F114" s="16">
        <f t="shared" si="217"/>
        <v>30000</v>
      </c>
      <c r="G114" s="16">
        <f t="shared" si="217"/>
        <v>30000</v>
      </c>
      <c r="H114" s="16">
        <f t="shared" si="217"/>
        <v>30000</v>
      </c>
      <c r="I114" s="16">
        <f t="shared" ref="I114:L114" si="218">I113*0.1</f>
        <v>30000</v>
      </c>
      <c r="J114" s="16">
        <f t="shared" si="218"/>
        <v>30000</v>
      </c>
      <c r="K114" s="16">
        <f t="shared" si="218"/>
        <v>30000</v>
      </c>
      <c r="L114" s="16">
        <f t="shared" si="218"/>
        <v>30000</v>
      </c>
      <c r="M114" s="16">
        <f t="shared" ref="M114:N114" si="219">M113*0.1</f>
        <v>30000</v>
      </c>
      <c r="N114" s="16">
        <f t="shared" si="219"/>
        <v>30000</v>
      </c>
      <c r="O114" s="13">
        <f t="shared" si="128"/>
        <v>360000</v>
      </c>
      <c r="P114" s="14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</row>
    <row r="115" spans="1:256" s="1" customFormat="1" x14ac:dyDescent="0.35">
      <c r="B115" s="15" t="s">
        <v>16</v>
      </c>
      <c r="C115" s="16">
        <f t="shared" ref="C115:H115" si="220">C113-C114</f>
        <v>270000</v>
      </c>
      <c r="D115" s="16">
        <f t="shared" si="220"/>
        <v>270000</v>
      </c>
      <c r="E115" s="16">
        <f t="shared" si="220"/>
        <v>270000</v>
      </c>
      <c r="F115" s="16">
        <f t="shared" si="220"/>
        <v>270000</v>
      </c>
      <c r="G115" s="16">
        <f t="shared" si="220"/>
        <v>270000</v>
      </c>
      <c r="H115" s="16">
        <f t="shared" si="220"/>
        <v>270000</v>
      </c>
      <c r="I115" s="16">
        <f t="shared" ref="I115:L115" si="221">I113-I114</f>
        <v>270000</v>
      </c>
      <c r="J115" s="16">
        <f t="shared" si="221"/>
        <v>270000</v>
      </c>
      <c r="K115" s="16">
        <f t="shared" si="221"/>
        <v>270000</v>
      </c>
      <c r="L115" s="16">
        <f t="shared" si="221"/>
        <v>270000</v>
      </c>
      <c r="M115" s="16">
        <f t="shared" ref="M115:N115" si="222">M113-M114</f>
        <v>270000</v>
      </c>
      <c r="N115" s="16">
        <f t="shared" si="222"/>
        <v>270000</v>
      </c>
      <c r="O115" s="13">
        <f t="shared" si="128"/>
        <v>3240000</v>
      </c>
      <c r="P115" s="14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</row>
    <row r="116" spans="1:256" s="1" customFormat="1" x14ac:dyDescent="0.35">
      <c r="B116" s="15" t="s">
        <v>17</v>
      </c>
      <c r="C116" s="18">
        <f t="shared" ref="C116:L116" si="223">IF(C115&gt;1000000,(C116-1000000)*0.3+130500,IF(C115&gt;760000,(C115-760000)*0.25+70500,IF(C115&gt;520000,(C115-520000)*0.2+22500,IF(C115&gt;270000,(C115-270000)*0.08+0,IF(C115&lt;270001,0,0)))))</f>
        <v>0</v>
      </c>
      <c r="D116" s="18">
        <f t="shared" si="223"/>
        <v>0</v>
      </c>
      <c r="E116" s="18">
        <f t="shared" si="223"/>
        <v>0</v>
      </c>
      <c r="F116" s="18">
        <f t="shared" si="223"/>
        <v>0</v>
      </c>
      <c r="G116" s="18">
        <f t="shared" si="223"/>
        <v>0</v>
      </c>
      <c r="H116" s="18">
        <f t="shared" si="223"/>
        <v>0</v>
      </c>
      <c r="I116" s="18">
        <f t="shared" si="223"/>
        <v>0</v>
      </c>
      <c r="J116" s="18">
        <f t="shared" si="223"/>
        <v>0</v>
      </c>
      <c r="K116" s="18">
        <f t="shared" si="223"/>
        <v>0</v>
      </c>
      <c r="L116" s="18">
        <f t="shared" si="223"/>
        <v>0</v>
      </c>
      <c r="M116" s="18">
        <f t="shared" ref="M116:N116" si="224">IF(M115&gt;1000000,(M116-1000000)*0.3+130500,IF(M115&gt;760000,(M115-760000)*0.25+70500,IF(M115&gt;520000,(M115-520000)*0.2+22500,IF(M115&gt;270000,(M115-270000)*0.08+0,IF(M115&lt;270001,0,0)))))</f>
        <v>0</v>
      </c>
      <c r="N116" s="18">
        <f t="shared" si="224"/>
        <v>0</v>
      </c>
      <c r="O116" s="13">
        <f t="shared" si="128"/>
        <v>0</v>
      </c>
      <c r="P116" s="14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</row>
    <row r="117" spans="1:256" s="17" customFormat="1" x14ac:dyDescent="0.35">
      <c r="A117" s="17">
        <v>29</v>
      </c>
      <c r="B117" s="11" t="s">
        <v>46</v>
      </c>
      <c r="C117" s="12">
        <v>300000</v>
      </c>
      <c r="D117" s="12">
        <v>300000</v>
      </c>
      <c r="E117" s="12">
        <v>300000</v>
      </c>
      <c r="F117" s="12">
        <v>300000</v>
      </c>
      <c r="G117" s="12">
        <v>300000</v>
      </c>
      <c r="H117" s="12">
        <v>300000</v>
      </c>
      <c r="I117" s="12">
        <v>300000</v>
      </c>
      <c r="J117" s="12">
        <v>300000</v>
      </c>
      <c r="K117" s="12">
        <v>300000</v>
      </c>
      <c r="L117" s="12">
        <v>300000</v>
      </c>
      <c r="M117" s="12">
        <v>300000</v>
      </c>
      <c r="N117" s="12">
        <v>300000</v>
      </c>
      <c r="O117" s="13">
        <f t="shared" si="128"/>
        <v>3600000</v>
      </c>
      <c r="P117" s="14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</row>
    <row r="118" spans="1:256" s="17" customFormat="1" x14ac:dyDescent="0.35">
      <c r="B118" s="15" t="s">
        <v>15</v>
      </c>
      <c r="C118" s="16">
        <f t="shared" ref="C118:H118" si="225">C117*0.1</f>
        <v>30000</v>
      </c>
      <c r="D118" s="16">
        <f t="shared" si="225"/>
        <v>30000</v>
      </c>
      <c r="E118" s="16">
        <f t="shared" si="225"/>
        <v>30000</v>
      </c>
      <c r="F118" s="16">
        <f t="shared" si="225"/>
        <v>30000</v>
      </c>
      <c r="G118" s="16">
        <f t="shared" si="225"/>
        <v>30000</v>
      </c>
      <c r="H118" s="16">
        <f t="shared" si="225"/>
        <v>30000</v>
      </c>
      <c r="I118" s="16">
        <f t="shared" ref="I118:L118" si="226">I117*0.1</f>
        <v>30000</v>
      </c>
      <c r="J118" s="16">
        <f t="shared" si="226"/>
        <v>30000</v>
      </c>
      <c r="K118" s="16">
        <f t="shared" si="226"/>
        <v>30000</v>
      </c>
      <c r="L118" s="16">
        <f t="shared" si="226"/>
        <v>30000</v>
      </c>
      <c r="M118" s="16">
        <f t="shared" ref="M118:N118" si="227">M117*0.1</f>
        <v>30000</v>
      </c>
      <c r="N118" s="16">
        <f t="shared" si="227"/>
        <v>30000</v>
      </c>
      <c r="O118" s="13">
        <f t="shared" si="128"/>
        <v>360000</v>
      </c>
      <c r="P118" s="14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</row>
    <row r="119" spans="1:256" s="1" customFormat="1" x14ac:dyDescent="0.35">
      <c r="B119" s="15" t="s">
        <v>16</v>
      </c>
      <c r="C119" s="16">
        <f t="shared" ref="C119:H119" si="228">C117-C118</f>
        <v>270000</v>
      </c>
      <c r="D119" s="16">
        <f t="shared" si="228"/>
        <v>270000</v>
      </c>
      <c r="E119" s="16">
        <f t="shared" si="228"/>
        <v>270000</v>
      </c>
      <c r="F119" s="16">
        <f t="shared" si="228"/>
        <v>270000</v>
      </c>
      <c r="G119" s="16">
        <f t="shared" si="228"/>
        <v>270000</v>
      </c>
      <c r="H119" s="16">
        <f t="shared" si="228"/>
        <v>270000</v>
      </c>
      <c r="I119" s="16">
        <f t="shared" ref="I119:L119" si="229">I117-I118</f>
        <v>270000</v>
      </c>
      <c r="J119" s="16">
        <f t="shared" si="229"/>
        <v>270000</v>
      </c>
      <c r="K119" s="16">
        <f t="shared" si="229"/>
        <v>270000</v>
      </c>
      <c r="L119" s="16">
        <f t="shared" si="229"/>
        <v>270000</v>
      </c>
      <c r="M119" s="16">
        <f t="shared" ref="M119:N119" si="230">M117-M118</f>
        <v>270000</v>
      </c>
      <c r="N119" s="16">
        <f t="shared" si="230"/>
        <v>270000</v>
      </c>
      <c r="O119" s="13">
        <f t="shared" si="128"/>
        <v>3240000</v>
      </c>
      <c r="P119" s="14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</row>
    <row r="120" spans="1:256" s="1" customFormat="1" x14ac:dyDescent="0.35">
      <c r="B120" s="15" t="s">
        <v>17</v>
      </c>
      <c r="C120" s="18">
        <f t="shared" ref="C120:L120" si="231">IF(C119&gt;1000000,(C120-1000000)*0.3+130500,IF(C119&gt;760000,(C119-760000)*0.25+70500,IF(C119&gt;520000,(C119-520000)*0.2+22500,IF(C119&gt;270000,(C119-270000)*0.08+0,IF(C119&lt;270001,0,0)))))</f>
        <v>0</v>
      </c>
      <c r="D120" s="18">
        <f t="shared" si="231"/>
        <v>0</v>
      </c>
      <c r="E120" s="18">
        <f t="shared" si="231"/>
        <v>0</v>
      </c>
      <c r="F120" s="18">
        <f t="shared" si="231"/>
        <v>0</v>
      </c>
      <c r="G120" s="18">
        <f t="shared" si="231"/>
        <v>0</v>
      </c>
      <c r="H120" s="18">
        <f t="shared" si="231"/>
        <v>0</v>
      </c>
      <c r="I120" s="18">
        <f t="shared" si="231"/>
        <v>0</v>
      </c>
      <c r="J120" s="18">
        <f t="shared" si="231"/>
        <v>0</v>
      </c>
      <c r="K120" s="18">
        <f t="shared" si="231"/>
        <v>0</v>
      </c>
      <c r="L120" s="18">
        <f t="shared" si="231"/>
        <v>0</v>
      </c>
      <c r="M120" s="18">
        <f t="shared" ref="M120:N120" si="232">IF(M119&gt;1000000,(M120-1000000)*0.3+130500,IF(M119&gt;760000,(M119-760000)*0.25+70500,IF(M119&gt;520000,(M119-520000)*0.2+22500,IF(M119&gt;270000,(M119-270000)*0.08+0,IF(M119&lt;270001,0,0)))))</f>
        <v>0</v>
      </c>
      <c r="N120" s="18">
        <f t="shared" si="232"/>
        <v>0</v>
      </c>
      <c r="O120" s="13">
        <f t="shared" si="128"/>
        <v>0</v>
      </c>
      <c r="P120" s="14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</row>
    <row r="121" spans="1:256" s="17" customFormat="1" x14ac:dyDescent="0.35">
      <c r="A121" s="17">
        <v>30</v>
      </c>
      <c r="B121" s="11" t="s">
        <v>47</v>
      </c>
      <c r="C121" s="12">
        <v>300000</v>
      </c>
      <c r="D121" s="12">
        <v>300000</v>
      </c>
      <c r="E121" s="12">
        <v>300000</v>
      </c>
      <c r="F121" s="12">
        <v>300000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3">
        <f t="shared" si="128"/>
        <v>1200000</v>
      </c>
      <c r="P121" s="14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</row>
    <row r="122" spans="1:256" s="17" customFormat="1" x14ac:dyDescent="0.35">
      <c r="B122" s="15" t="s">
        <v>15</v>
      </c>
      <c r="C122" s="16">
        <f t="shared" ref="C122:L122" si="233">C121*0.1</f>
        <v>30000</v>
      </c>
      <c r="D122" s="16">
        <f t="shared" si="233"/>
        <v>30000</v>
      </c>
      <c r="E122" s="16">
        <f t="shared" si="233"/>
        <v>30000</v>
      </c>
      <c r="F122" s="16">
        <f t="shared" si="233"/>
        <v>30000</v>
      </c>
      <c r="G122" s="16">
        <f t="shared" si="233"/>
        <v>0</v>
      </c>
      <c r="H122" s="16">
        <f t="shared" si="233"/>
        <v>0</v>
      </c>
      <c r="I122" s="16">
        <f t="shared" si="233"/>
        <v>0</v>
      </c>
      <c r="J122" s="16">
        <f t="shared" si="233"/>
        <v>0</v>
      </c>
      <c r="K122" s="16">
        <f t="shared" si="233"/>
        <v>0</v>
      </c>
      <c r="L122" s="16">
        <f t="shared" si="233"/>
        <v>0</v>
      </c>
      <c r="M122" s="16">
        <f t="shared" ref="M122:N122" si="234">M121*0.1</f>
        <v>0</v>
      </c>
      <c r="N122" s="16">
        <f t="shared" si="234"/>
        <v>0</v>
      </c>
      <c r="O122" s="13">
        <f t="shared" si="128"/>
        <v>120000</v>
      </c>
      <c r="P122" s="14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</row>
    <row r="123" spans="1:256" s="1" customFormat="1" x14ac:dyDescent="0.35">
      <c r="B123" s="15" t="s">
        <v>16</v>
      </c>
      <c r="C123" s="16">
        <f t="shared" ref="C123:L123" si="235">C121-C122</f>
        <v>270000</v>
      </c>
      <c r="D123" s="16">
        <f t="shared" si="235"/>
        <v>270000</v>
      </c>
      <c r="E123" s="16">
        <f t="shared" si="235"/>
        <v>270000</v>
      </c>
      <c r="F123" s="16">
        <f t="shared" si="235"/>
        <v>270000</v>
      </c>
      <c r="G123" s="16">
        <f t="shared" si="235"/>
        <v>0</v>
      </c>
      <c r="H123" s="16">
        <f t="shared" si="235"/>
        <v>0</v>
      </c>
      <c r="I123" s="16">
        <f t="shared" si="235"/>
        <v>0</v>
      </c>
      <c r="J123" s="16">
        <f t="shared" si="235"/>
        <v>0</v>
      </c>
      <c r="K123" s="16">
        <f t="shared" si="235"/>
        <v>0</v>
      </c>
      <c r="L123" s="16">
        <f t="shared" si="235"/>
        <v>0</v>
      </c>
      <c r="M123" s="16">
        <f t="shared" ref="M123:N123" si="236">M121-M122</f>
        <v>0</v>
      </c>
      <c r="N123" s="16">
        <f t="shared" si="236"/>
        <v>0</v>
      </c>
      <c r="O123" s="13">
        <f t="shared" si="128"/>
        <v>1080000</v>
      </c>
      <c r="P123" s="14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</row>
    <row r="124" spans="1:256" s="1" customFormat="1" x14ac:dyDescent="0.35">
      <c r="B124" s="15" t="s">
        <v>17</v>
      </c>
      <c r="C124" s="18">
        <f t="shared" ref="C124:L124" si="237">IF(C123&gt;1000000,(C124-1000000)*0.3+130500,IF(C123&gt;760000,(C123-760000)*0.25+70500,IF(C123&gt;520000,(C123-520000)*0.2+22500,IF(C123&gt;270000,(C123-270000)*0.08+0,IF(C123&lt;270001,0,0)))))</f>
        <v>0</v>
      </c>
      <c r="D124" s="18">
        <f t="shared" si="237"/>
        <v>0</v>
      </c>
      <c r="E124" s="18">
        <f t="shared" si="237"/>
        <v>0</v>
      </c>
      <c r="F124" s="18">
        <f t="shared" si="237"/>
        <v>0</v>
      </c>
      <c r="G124" s="18">
        <f t="shared" si="237"/>
        <v>0</v>
      </c>
      <c r="H124" s="18">
        <f t="shared" si="237"/>
        <v>0</v>
      </c>
      <c r="I124" s="18">
        <f t="shared" si="237"/>
        <v>0</v>
      </c>
      <c r="J124" s="18">
        <f t="shared" si="237"/>
        <v>0</v>
      </c>
      <c r="K124" s="18">
        <f t="shared" si="237"/>
        <v>0</v>
      </c>
      <c r="L124" s="18">
        <f t="shared" si="237"/>
        <v>0</v>
      </c>
      <c r="M124" s="18">
        <f t="shared" ref="M124:N124" si="238">IF(M123&gt;1000000,(M124-1000000)*0.3+130500,IF(M123&gt;760000,(M123-760000)*0.25+70500,IF(M123&gt;520000,(M123-520000)*0.2+22500,IF(M123&gt;270000,(M123-270000)*0.08+0,IF(M123&lt;270001,0,0)))))</f>
        <v>0</v>
      </c>
      <c r="N124" s="18">
        <f t="shared" si="238"/>
        <v>0</v>
      </c>
      <c r="O124" s="13">
        <f t="shared" si="128"/>
        <v>0</v>
      </c>
      <c r="P124" s="14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</row>
    <row r="125" spans="1:256" s="17" customFormat="1" x14ac:dyDescent="0.35">
      <c r="A125" s="17">
        <v>31</v>
      </c>
      <c r="B125" s="11" t="s">
        <v>48</v>
      </c>
      <c r="C125" s="12">
        <v>300000</v>
      </c>
      <c r="D125" s="12">
        <v>300000</v>
      </c>
      <c r="E125" s="12">
        <v>300000</v>
      </c>
      <c r="F125" s="12">
        <v>300000</v>
      </c>
      <c r="G125" s="12">
        <v>300000</v>
      </c>
      <c r="H125" s="12">
        <v>300000</v>
      </c>
      <c r="I125" s="12">
        <v>300000</v>
      </c>
      <c r="J125" s="12">
        <v>300000</v>
      </c>
      <c r="K125" s="12"/>
      <c r="L125" s="12"/>
      <c r="M125" s="12"/>
      <c r="N125" s="12"/>
      <c r="O125" s="13">
        <f t="shared" si="128"/>
        <v>2400000</v>
      </c>
      <c r="P125" s="14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</row>
    <row r="126" spans="1:256" s="17" customFormat="1" x14ac:dyDescent="0.35">
      <c r="B126" s="15" t="s">
        <v>15</v>
      </c>
      <c r="C126" s="16">
        <f t="shared" ref="C126:H126" si="239">C125*0.1</f>
        <v>30000</v>
      </c>
      <c r="D126" s="16">
        <f t="shared" si="239"/>
        <v>30000</v>
      </c>
      <c r="E126" s="16">
        <f t="shared" si="239"/>
        <v>30000</v>
      </c>
      <c r="F126" s="16">
        <f t="shared" si="239"/>
        <v>30000</v>
      </c>
      <c r="G126" s="16">
        <f t="shared" si="239"/>
        <v>30000</v>
      </c>
      <c r="H126" s="16">
        <f t="shared" si="239"/>
        <v>30000</v>
      </c>
      <c r="I126" s="16">
        <f t="shared" ref="I126:L126" si="240">I125*0.1</f>
        <v>30000</v>
      </c>
      <c r="J126" s="16">
        <f t="shared" si="240"/>
        <v>30000</v>
      </c>
      <c r="K126" s="16">
        <f t="shared" si="240"/>
        <v>0</v>
      </c>
      <c r="L126" s="16">
        <f t="shared" si="240"/>
        <v>0</v>
      </c>
      <c r="M126" s="16">
        <f t="shared" ref="M126:N126" si="241">M125*0.1</f>
        <v>0</v>
      </c>
      <c r="N126" s="16">
        <f t="shared" si="241"/>
        <v>0</v>
      </c>
      <c r="O126" s="13">
        <f t="shared" si="128"/>
        <v>240000</v>
      </c>
      <c r="P126" s="14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</row>
    <row r="127" spans="1:256" s="1" customFormat="1" x14ac:dyDescent="0.35">
      <c r="B127" s="15" t="s">
        <v>16</v>
      </c>
      <c r="C127" s="16">
        <f t="shared" ref="C127:H127" si="242">C125-C126</f>
        <v>270000</v>
      </c>
      <c r="D127" s="16">
        <f t="shared" si="242"/>
        <v>270000</v>
      </c>
      <c r="E127" s="16">
        <f t="shared" si="242"/>
        <v>270000</v>
      </c>
      <c r="F127" s="16">
        <f t="shared" si="242"/>
        <v>270000</v>
      </c>
      <c r="G127" s="16">
        <f t="shared" si="242"/>
        <v>270000</v>
      </c>
      <c r="H127" s="16">
        <f t="shared" si="242"/>
        <v>270000</v>
      </c>
      <c r="I127" s="16">
        <f t="shared" ref="I127:L127" si="243">I125-I126</f>
        <v>270000</v>
      </c>
      <c r="J127" s="16">
        <f t="shared" si="243"/>
        <v>270000</v>
      </c>
      <c r="K127" s="16">
        <f t="shared" si="243"/>
        <v>0</v>
      </c>
      <c r="L127" s="16">
        <f t="shared" si="243"/>
        <v>0</v>
      </c>
      <c r="M127" s="16">
        <f t="shared" ref="M127:N127" si="244">M125-M126</f>
        <v>0</v>
      </c>
      <c r="N127" s="16">
        <f t="shared" si="244"/>
        <v>0</v>
      </c>
      <c r="O127" s="13">
        <f t="shared" si="128"/>
        <v>2160000</v>
      </c>
      <c r="P127" s="14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</row>
    <row r="128" spans="1:256" s="1" customFormat="1" x14ac:dyDescent="0.35">
      <c r="B128" s="15" t="s">
        <v>17</v>
      </c>
      <c r="C128" s="18">
        <f t="shared" ref="C128:L128" si="245">IF(C127&gt;1000000,(C128-1000000)*0.3+130500,IF(C127&gt;760000,(C127-760000)*0.25+70500,IF(C127&gt;520000,(C127-520000)*0.2+22500,IF(C127&gt;270000,(C127-270000)*0.08+0,IF(C127&lt;270001,0,0)))))</f>
        <v>0</v>
      </c>
      <c r="D128" s="18">
        <f t="shared" si="245"/>
        <v>0</v>
      </c>
      <c r="E128" s="18">
        <f t="shared" si="245"/>
        <v>0</v>
      </c>
      <c r="F128" s="18">
        <f t="shared" si="245"/>
        <v>0</v>
      </c>
      <c r="G128" s="18">
        <f t="shared" si="245"/>
        <v>0</v>
      </c>
      <c r="H128" s="18">
        <f t="shared" si="245"/>
        <v>0</v>
      </c>
      <c r="I128" s="18">
        <f t="shared" si="245"/>
        <v>0</v>
      </c>
      <c r="J128" s="18">
        <f t="shared" si="245"/>
        <v>0</v>
      </c>
      <c r="K128" s="18">
        <f t="shared" si="245"/>
        <v>0</v>
      </c>
      <c r="L128" s="18">
        <f t="shared" si="245"/>
        <v>0</v>
      </c>
      <c r="M128" s="18">
        <f t="shared" ref="M128:N128" si="246">IF(M127&gt;1000000,(M128-1000000)*0.3+130500,IF(M127&gt;760000,(M127-760000)*0.25+70500,IF(M127&gt;520000,(M127-520000)*0.2+22500,IF(M127&gt;270000,(M127-270000)*0.08+0,IF(M127&lt;270001,0,0)))))</f>
        <v>0</v>
      </c>
      <c r="N128" s="18">
        <f t="shared" si="246"/>
        <v>0</v>
      </c>
      <c r="O128" s="13">
        <f t="shared" si="128"/>
        <v>0</v>
      </c>
      <c r="P128" s="14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</row>
    <row r="129" spans="1:256" s="17" customFormat="1" x14ac:dyDescent="0.35">
      <c r="A129" s="17">
        <v>32</v>
      </c>
      <c r="B129" s="11" t="s">
        <v>49</v>
      </c>
      <c r="C129" s="12">
        <v>300000</v>
      </c>
      <c r="D129" s="12">
        <v>300000</v>
      </c>
      <c r="E129" s="12">
        <v>300000</v>
      </c>
      <c r="F129" s="12">
        <v>300000</v>
      </c>
      <c r="G129" s="12">
        <v>300000</v>
      </c>
      <c r="H129" s="12">
        <v>300000</v>
      </c>
      <c r="I129" s="12">
        <v>300000</v>
      </c>
      <c r="J129" s="12">
        <v>300000</v>
      </c>
      <c r="K129" s="12">
        <v>300000</v>
      </c>
      <c r="L129" s="12">
        <v>300000</v>
      </c>
      <c r="M129" s="12">
        <v>300000</v>
      </c>
      <c r="N129" s="12">
        <v>300000</v>
      </c>
      <c r="O129" s="13">
        <f t="shared" si="128"/>
        <v>3600000</v>
      </c>
      <c r="P129" s="14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</row>
    <row r="130" spans="1:256" s="17" customFormat="1" x14ac:dyDescent="0.35">
      <c r="B130" s="15" t="s">
        <v>15</v>
      </c>
      <c r="C130" s="16">
        <f t="shared" ref="C130:H130" si="247">C129*0.1</f>
        <v>30000</v>
      </c>
      <c r="D130" s="16">
        <f t="shared" si="247"/>
        <v>30000</v>
      </c>
      <c r="E130" s="16">
        <f t="shared" si="247"/>
        <v>30000</v>
      </c>
      <c r="F130" s="16">
        <f t="shared" si="247"/>
        <v>30000</v>
      </c>
      <c r="G130" s="16">
        <f t="shared" si="247"/>
        <v>30000</v>
      </c>
      <c r="H130" s="16">
        <f t="shared" si="247"/>
        <v>30000</v>
      </c>
      <c r="I130" s="16">
        <f t="shared" ref="I130:L130" si="248">I129*0.1</f>
        <v>30000</v>
      </c>
      <c r="J130" s="16">
        <f t="shared" si="248"/>
        <v>30000</v>
      </c>
      <c r="K130" s="16">
        <f t="shared" si="248"/>
        <v>30000</v>
      </c>
      <c r="L130" s="16">
        <f t="shared" si="248"/>
        <v>30000</v>
      </c>
      <c r="M130" s="16">
        <f t="shared" ref="M130:N130" si="249">M129*0.1</f>
        <v>30000</v>
      </c>
      <c r="N130" s="16">
        <f t="shared" si="249"/>
        <v>30000</v>
      </c>
      <c r="O130" s="13">
        <f t="shared" si="128"/>
        <v>360000</v>
      </c>
      <c r="P130" s="14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</row>
    <row r="131" spans="1:256" s="1" customFormat="1" x14ac:dyDescent="0.35">
      <c r="B131" s="15" t="s">
        <v>16</v>
      </c>
      <c r="C131" s="16">
        <f t="shared" ref="C131:H131" si="250">C129-C130</f>
        <v>270000</v>
      </c>
      <c r="D131" s="16">
        <f t="shared" si="250"/>
        <v>270000</v>
      </c>
      <c r="E131" s="16">
        <f t="shared" si="250"/>
        <v>270000</v>
      </c>
      <c r="F131" s="16">
        <f t="shared" si="250"/>
        <v>270000</v>
      </c>
      <c r="G131" s="16">
        <f t="shared" si="250"/>
        <v>270000</v>
      </c>
      <c r="H131" s="16">
        <f t="shared" si="250"/>
        <v>270000</v>
      </c>
      <c r="I131" s="16">
        <f t="shared" ref="I131:L131" si="251">I129-I130</f>
        <v>270000</v>
      </c>
      <c r="J131" s="16">
        <f t="shared" si="251"/>
        <v>270000</v>
      </c>
      <c r="K131" s="16">
        <f t="shared" si="251"/>
        <v>270000</v>
      </c>
      <c r="L131" s="16">
        <f t="shared" si="251"/>
        <v>270000</v>
      </c>
      <c r="M131" s="16">
        <f t="shared" ref="M131:N131" si="252">M129-M130</f>
        <v>270000</v>
      </c>
      <c r="N131" s="16">
        <f t="shared" si="252"/>
        <v>270000</v>
      </c>
      <c r="O131" s="13">
        <f t="shared" si="128"/>
        <v>3240000</v>
      </c>
      <c r="P131" s="14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</row>
    <row r="132" spans="1:256" s="1" customFormat="1" x14ac:dyDescent="0.35">
      <c r="B132" s="15" t="s">
        <v>17</v>
      </c>
      <c r="C132" s="18">
        <f t="shared" ref="C132:L132" si="253">IF(C131&gt;1000000,(C132-1000000)*0.3+130500,IF(C131&gt;760000,(C131-760000)*0.25+70500,IF(C131&gt;520000,(C131-520000)*0.2+22500,IF(C131&gt;270000,(C131-270000)*0.08+0,IF(C131&lt;270001,0,0)))))</f>
        <v>0</v>
      </c>
      <c r="D132" s="18">
        <f t="shared" si="253"/>
        <v>0</v>
      </c>
      <c r="E132" s="18">
        <f t="shared" si="253"/>
        <v>0</v>
      </c>
      <c r="F132" s="18">
        <f t="shared" si="253"/>
        <v>0</v>
      </c>
      <c r="G132" s="18">
        <f t="shared" si="253"/>
        <v>0</v>
      </c>
      <c r="H132" s="18">
        <f t="shared" si="253"/>
        <v>0</v>
      </c>
      <c r="I132" s="18">
        <f t="shared" si="253"/>
        <v>0</v>
      </c>
      <c r="J132" s="18">
        <f t="shared" si="253"/>
        <v>0</v>
      </c>
      <c r="K132" s="18">
        <f t="shared" si="253"/>
        <v>0</v>
      </c>
      <c r="L132" s="18">
        <f t="shared" si="253"/>
        <v>0</v>
      </c>
      <c r="M132" s="18">
        <f t="shared" ref="M132:N132" si="254">IF(M131&gt;1000000,(M132-1000000)*0.3+130500,IF(M131&gt;760000,(M131-760000)*0.25+70500,IF(M131&gt;520000,(M131-520000)*0.2+22500,IF(M131&gt;270000,(M131-270000)*0.08+0,IF(M131&lt;270001,0,0)))))</f>
        <v>0</v>
      </c>
      <c r="N132" s="18">
        <f t="shared" si="254"/>
        <v>0</v>
      </c>
      <c r="O132" s="13">
        <f t="shared" si="128"/>
        <v>0</v>
      </c>
      <c r="P132" s="14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</row>
    <row r="133" spans="1:256" s="17" customFormat="1" x14ac:dyDescent="0.35">
      <c r="A133" s="17">
        <v>33</v>
      </c>
      <c r="B133" s="11" t="s">
        <v>50</v>
      </c>
      <c r="C133" s="12">
        <v>300000</v>
      </c>
      <c r="D133" s="12">
        <v>300000</v>
      </c>
      <c r="E133" s="12">
        <v>300000</v>
      </c>
      <c r="F133" s="12">
        <v>300000</v>
      </c>
      <c r="G133" s="12">
        <v>300000</v>
      </c>
      <c r="H133" s="12">
        <v>300000</v>
      </c>
      <c r="I133" s="12">
        <v>300000</v>
      </c>
      <c r="J133" s="12">
        <v>300000</v>
      </c>
      <c r="K133" s="12">
        <v>300000</v>
      </c>
      <c r="L133" s="12">
        <v>300000</v>
      </c>
      <c r="M133" s="12">
        <v>300000</v>
      </c>
      <c r="N133" s="12">
        <v>300000</v>
      </c>
      <c r="O133" s="13">
        <f t="shared" ref="O133:O196" si="255">SUM(C133:N133)</f>
        <v>3600000</v>
      </c>
      <c r="P133" s="14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</row>
    <row r="134" spans="1:256" s="17" customFormat="1" x14ac:dyDescent="0.35">
      <c r="B134" s="15" t="s">
        <v>15</v>
      </c>
      <c r="C134" s="16">
        <f t="shared" ref="C134:H134" si="256">C133*0.1</f>
        <v>30000</v>
      </c>
      <c r="D134" s="16">
        <f t="shared" si="256"/>
        <v>30000</v>
      </c>
      <c r="E134" s="16">
        <f t="shared" si="256"/>
        <v>30000</v>
      </c>
      <c r="F134" s="16">
        <f t="shared" si="256"/>
        <v>30000</v>
      </c>
      <c r="G134" s="16">
        <f t="shared" si="256"/>
        <v>30000</v>
      </c>
      <c r="H134" s="16">
        <f t="shared" si="256"/>
        <v>30000</v>
      </c>
      <c r="I134" s="16">
        <f t="shared" ref="I134:L134" si="257">I133*0.1</f>
        <v>30000</v>
      </c>
      <c r="J134" s="16">
        <f t="shared" si="257"/>
        <v>30000</v>
      </c>
      <c r="K134" s="16">
        <f t="shared" si="257"/>
        <v>30000</v>
      </c>
      <c r="L134" s="16">
        <f t="shared" si="257"/>
        <v>30000</v>
      </c>
      <c r="M134" s="16">
        <f t="shared" ref="M134:N134" si="258">M133*0.1</f>
        <v>30000</v>
      </c>
      <c r="N134" s="16">
        <f t="shared" si="258"/>
        <v>30000</v>
      </c>
      <c r="O134" s="13">
        <f t="shared" si="255"/>
        <v>360000</v>
      </c>
      <c r="P134" s="14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</row>
    <row r="135" spans="1:256" s="1" customFormat="1" x14ac:dyDescent="0.35">
      <c r="B135" s="15" t="s">
        <v>16</v>
      </c>
      <c r="C135" s="16">
        <f t="shared" ref="C135:H135" si="259">C133-C134</f>
        <v>270000</v>
      </c>
      <c r="D135" s="16">
        <f t="shared" si="259"/>
        <v>270000</v>
      </c>
      <c r="E135" s="16">
        <f t="shared" si="259"/>
        <v>270000</v>
      </c>
      <c r="F135" s="16">
        <f t="shared" si="259"/>
        <v>270000</v>
      </c>
      <c r="G135" s="16">
        <f t="shared" si="259"/>
        <v>270000</v>
      </c>
      <c r="H135" s="16">
        <f t="shared" si="259"/>
        <v>270000</v>
      </c>
      <c r="I135" s="16">
        <f t="shared" ref="I135:L135" si="260">I133-I134</f>
        <v>270000</v>
      </c>
      <c r="J135" s="16">
        <f t="shared" si="260"/>
        <v>270000</v>
      </c>
      <c r="K135" s="16">
        <f t="shared" si="260"/>
        <v>270000</v>
      </c>
      <c r="L135" s="16">
        <f t="shared" si="260"/>
        <v>270000</v>
      </c>
      <c r="M135" s="16">
        <f t="shared" ref="M135:N135" si="261">M133-M134</f>
        <v>270000</v>
      </c>
      <c r="N135" s="16">
        <f t="shared" si="261"/>
        <v>270000</v>
      </c>
      <c r="O135" s="13">
        <f t="shared" si="255"/>
        <v>3240000</v>
      </c>
      <c r="P135" s="14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</row>
    <row r="136" spans="1:256" s="1" customFormat="1" x14ac:dyDescent="0.35">
      <c r="B136" s="15" t="s">
        <v>17</v>
      </c>
      <c r="C136" s="18">
        <f t="shared" ref="C136:L136" si="262">IF(C135&gt;1000000,(C136-1000000)*0.3+130500,IF(C135&gt;760000,(C135-760000)*0.25+70500,IF(C135&gt;520000,(C135-520000)*0.2+22500,IF(C135&gt;270000,(C135-270000)*0.08+0,IF(C135&lt;270001,0,0)))))</f>
        <v>0</v>
      </c>
      <c r="D136" s="18">
        <f t="shared" si="262"/>
        <v>0</v>
      </c>
      <c r="E136" s="18">
        <f t="shared" si="262"/>
        <v>0</v>
      </c>
      <c r="F136" s="18">
        <f t="shared" si="262"/>
        <v>0</v>
      </c>
      <c r="G136" s="18">
        <f t="shared" si="262"/>
        <v>0</v>
      </c>
      <c r="H136" s="18">
        <f t="shared" si="262"/>
        <v>0</v>
      </c>
      <c r="I136" s="18">
        <f t="shared" si="262"/>
        <v>0</v>
      </c>
      <c r="J136" s="18">
        <f t="shared" si="262"/>
        <v>0</v>
      </c>
      <c r="K136" s="18">
        <f t="shared" si="262"/>
        <v>0</v>
      </c>
      <c r="L136" s="18">
        <f t="shared" si="262"/>
        <v>0</v>
      </c>
      <c r="M136" s="18">
        <f t="shared" ref="M136:N136" si="263">IF(M135&gt;1000000,(M136-1000000)*0.3+130500,IF(M135&gt;760000,(M135-760000)*0.25+70500,IF(M135&gt;520000,(M135-520000)*0.2+22500,IF(M135&gt;270000,(M135-270000)*0.08+0,IF(M135&lt;270001,0,0)))))</f>
        <v>0</v>
      </c>
      <c r="N136" s="18">
        <f t="shared" si="263"/>
        <v>0</v>
      </c>
      <c r="O136" s="13">
        <f t="shared" si="255"/>
        <v>0</v>
      </c>
      <c r="P136" s="14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</row>
    <row r="137" spans="1:256" s="17" customFormat="1" x14ac:dyDescent="0.35">
      <c r="A137" s="17">
        <v>34</v>
      </c>
      <c r="B137" s="11" t="s">
        <v>51</v>
      </c>
      <c r="C137" s="12">
        <v>300000</v>
      </c>
      <c r="D137" s="12">
        <v>300000</v>
      </c>
      <c r="E137" s="12">
        <v>300000</v>
      </c>
      <c r="F137" s="12">
        <v>300000</v>
      </c>
      <c r="G137" s="12">
        <v>300000</v>
      </c>
      <c r="H137" s="12">
        <v>300000</v>
      </c>
      <c r="I137" s="12">
        <v>300000</v>
      </c>
      <c r="J137" s="12">
        <v>300000</v>
      </c>
      <c r="K137" s="12">
        <v>300000</v>
      </c>
      <c r="L137" s="12">
        <v>300000</v>
      </c>
      <c r="M137" s="12">
        <v>300000</v>
      </c>
      <c r="N137" s="12">
        <v>0</v>
      </c>
      <c r="O137" s="13">
        <f t="shared" si="255"/>
        <v>3300000</v>
      </c>
      <c r="P137" s="14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</row>
    <row r="138" spans="1:256" s="17" customFormat="1" x14ac:dyDescent="0.35">
      <c r="B138" s="15" t="s">
        <v>15</v>
      </c>
      <c r="C138" s="16">
        <f t="shared" ref="C138:H138" si="264">C137*0.1</f>
        <v>30000</v>
      </c>
      <c r="D138" s="16">
        <f t="shared" si="264"/>
        <v>30000</v>
      </c>
      <c r="E138" s="16">
        <f t="shared" si="264"/>
        <v>30000</v>
      </c>
      <c r="F138" s="16">
        <f t="shared" si="264"/>
        <v>30000</v>
      </c>
      <c r="G138" s="16">
        <f t="shared" si="264"/>
        <v>30000</v>
      </c>
      <c r="H138" s="16">
        <f t="shared" si="264"/>
        <v>30000</v>
      </c>
      <c r="I138" s="16">
        <f t="shared" ref="I138:N138" si="265">I137*0.1</f>
        <v>30000</v>
      </c>
      <c r="J138" s="16">
        <f t="shared" si="265"/>
        <v>30000</v>
      </c>
      <c r="K138" s="16">
        <f t="shared" si="265"/>
        <v>30000</v>
      </c>
      <c r="L138" s="16">
        <f t="shared" si="265"/>
        <v>30000</v>
      </c>
      <c r="M138" s="16">
        <f t="shared" ref="M138" si="266">M137*0.1</f>
        <v>30000</v>
      </c>
      <c r="N138" s="16">
        <f t="shared" si="265"/>
        <v>0</v>
      </c>
      <c r="O138" s="13">
        <f t="shared" si="255"/>
        <v>330000</v>
      </c>
      <c r="P138" s="14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</row>
    <row r="139" spans="1:256" s="1" customFormat="1" x14ac:dyDescent="0.35">
      <c r="B139" s="15" t="s">
        <v>16</v>
      </c>
      <c r="C139" s="16">
        <f t="shared" ref="C139:H139" si="267">C137-C138</f>
        <v>270000</v>
      </c>
      <c r="D139" s="16">
        <f t="shared" si="267"/>
        <v>270000</v>
      </c>
      <c r="E139" s="16">
        <f t="shared" si="267"/>
        <v>270000</v>
      </c>
      <c r="F139" s="16">
        <f t="shared" si="267"/>
        <v>270000</v>
      </c>
      <c r="G139" s="16">
        <f t="shared" si="267"/>
        <v>270000</v>
      </c>
      <c r="H139" s="16">
        <f t="shared" si="267"/>
        <v>270000</v>
      </c>
      <c r="I139" s="16">
        <f t="shared" ref="I139:N139" si="268">I137-I138</f>
        <v>270000</v>
      </c>
      <c r="J139" s="16">
        <f t="shared" si="268"/>
        <v>270000</v>
      </c>
      <c r="K139" s="16">
        <f t="shared" si="268"/>
        <v>270000</v>
      </c>
      <c r="L139" s="16">
        <f t="shared" si="268"/>
        <v>270000</v>
      </c>
      <c r="M139" s="16">
        <f t="shared" ref="M139" si="269">M137-M138</f>
        <v>270000</v>
      </c>
      <c r="N139" s="16">
        <f t="shared" si="268"/>
        <v>0</v>
      </c>
      <c r="O139" s="13">
        <f t="shared" si="255"/>
        <v>2970000</v>
      </c>
      <c r="P139" s="14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</row>
    <row r="140" spans="1:256" s="1" customFormat="1" x14ac:dyDescent="0.35">
      <c r="B140" s="15" t="s">
        <v>17</v>
      </c>
      <c r="C140" s="18">
        <f t="shared" ref="C140:N140" si="270">IF(C139&gt;1000000,(C140-1000000)*0.3+130500,IF(C139&gt;760000,(C139-760000)*0.25+70500,IF(C139&gt;520000,(C139-520000)*0.2+22500,IF(C139&gt;270000,(C139-270000)*0.08+0,IF(C139&lt;270001,0,0)))))</f>
        <v>0</v>
      </c>
      <c r="D140" s="18">
        <f t="shared" si="270"/>
        <v>0</v>
      </c>
      <c r="E140" s="18">
        <f t="shared" si="270"/>
        <v>0</v>
      </c>
      <c r="F140" s="18">
        <f t="shared" si="270"/>
        <v>0</v>
      </c>
      <c r="G140" s="18">
        <f t="shared" si="270"/>
        <v>0</v>
      </c>
      <c r="H140" s="18">
        <f t="shared" si="270"/>
        <v>0</v>
      </c>
      <c r="I140" s="18">
        <f t="shared" si="270"/>
        <v>0</v>
      </c>
      <c r="J140" s="18">
        <f t="shared" si="270"/>
        <v>0</v>
      </c>
      <c r="K140" s="18">
        <f t="shared" si="270"/>
        <v>0</v>
      </c>
      <c r="L140" s="18">
        <f t="shared" si="270"/>
        <v>0</v>
      </c>
      <c r="M140" s="18">
        <f t="shared" ref="M140" si="271">IF(M139&gt;1000000,(M140-1000000)*0.3+130500,IF(M139&gt;760000,(M139-760000)*0.25+70500,IF(M139&gt;520000,(M139-520000)*0.2+22500,IF(M139&gt;270000,(M139-270000)*0.08+0,IF(M139&lt;270001,0,0)))))</f>
        <v>0</v>
      </c>
      <c r="N140" s="18">
        <f t="shared" si="270"/>
        <v>0</v>
      </c>
      <c r="O140" s="13">
        <f t="shared" si="255"/>
        <v>0</v>
      </c>
      <c r="P140" s="14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</row>
    <row r="141" spans="1:256" s="17" customFormat="1" x14ac:dyDescent="0.35">
      <c r="A141" s="17">
        <v>35</v>
      </c>
      <c r="B141" s="11" t="s">
        <v>52</v>
      </c>
      <c r="C141" s="12">
        <v>300000</v>
      </c>
      <c r="D141" s="12">
        <v>300000</v>
      </c>
      <c r="E141" s="12">
        <v>300000</v>
      </c>
      <c r="F141" s="12">
        <v>300000</v>
      </c>
      <c r="G141" s="12">
        <v>300000</v>
      </c>
      <c r="H141" s="12">
        <v>300000</v>
      </c>
      <c r="I141" s="12">
        <v>300000</v>
      </c>
      <c r="J141" s="12">
        <v>300000</v>
      </c>
      <c r="K141" s="12">
        <v>300000</v>
      </c>
      <c r="L141" s="12">
        <v>300000</v>
      </c>
      <c r="M141" s="12">
        <v>300000</v>
      </c>
      <c r="N141" s="12">
        <v>300000</v>
      </c>
      <c r="O141" s="13">
        <f t="shared" si="255"/>
        <v>3600000</v>
      </c>
      <c r="P141" s="14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</row>
    <row r="142" spans="1:256" s="17" customFormat="1" x14ac:dyDescent="0.35">
      <c r="B142" s="15" t="s">
        <v>15</v>
      </c>
      <c r="C142" s="16">
        <f t="shared" ref="C142:H142" si="272">C141*0.1</f>
        <v>30000</v>
      </c>
      <c r="D142" s="16">
        <f t="shared" si="272"/>
        <v>30000</v>
      </c>
      <c r="E142" s="16">
        <f t="shared" si="272"/>
        <v>30000</v>
      </c>
      <c r="F142" s="16">
        <f t="shared" si="272"/>
        <v>30000</v>
      </c>
      <c r="G142" s="16">
        <f t="shared" si="272"/>
        <v>30000</v>
      </c>
      <c r="H142" s="16">
        <f t="shared" si="272"/>
        <v>30000</v>
      </c>
      <c r="I142" s="16">
        <f t="shared" ref="I142:L142" si="273">I141*0.1</f>
        <v>30000</v>
      </c>
      <c r="J142" s="16">
        <f t="shared" si="273"/>
        <v>30000</v>
      </c>
      <c r="K142" s="16">
        <f t="shared" si="273"/>
        <v>30000</v>
      </c>
      <c r="L142" s="16">
        <f t="shared" si="273"/>
        <v>30000</v>
      </c>
      <c r="M142" s="16">
        <f t="shared" ref="M142:N142" si="274">M141*0.1</f>
        <v>30000</v>
      </c>
      <c r="N142" s="16">
        <f t="shared" si="274"/>
        <v>30000</v>
      </c>
      <c r="O142" s="13">
        <f t="shared" si="255"/>
        <v>360000</v>
      </c>
      <c r="P142" s="14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</row>
    <row r="143" spans="1:256" s="1" customFormat="1" x14ac:dyDescent="0.35">
      <c r="B143" s="15" t="s">
        <v>16</v>
      </c>
      <c r="C143" s="16">
        <f t="shared" ref="C143:H143" si="275">C141-C142</f>
        <v>270000</v>
      </c>
      <c r="D143" s="16">
        <f t="shared" si="275"/>
        <v>270000</v>
      </c>
      <c r="E143" s="16">
        <f t="shared" si="275"/>
        <v>270000</v>
      </c>
      <c r="F143" s="16">
        <f t="shared" si="275"/>
        <v>270000</v>
      </c>
      <c r="G143" s="16">
        <f t="shared" si="275"/>
        <v>270000</v>
      </c>
      <c r="H143" s="16">
        <f t="shared" si="275"/>
        <v>270000</v>
      </c>
      <c r="I143" s="16">
        <f t="shared" ref="I143:L143" si="276">I141-I142</f>
        <v>270000</v>
      </c>
      <c r="J143" s="16">
        <f t="shared" si="276"/>
        <v>270000</v>
      </c>
      <c r="K143" s="16">
        <f t="shared" si="276"/>
        <v>270000</v>
      </c>
      <c r="L143" s="16">
        <f t="shared" si="276"/>
        <v>270000</v>
      </c>
      <c r="M143" s="16">
        <f t="shared" ref="M143:N143" si="277">M141-M142</f>
        <v>270000</v>
      </c>
      <c r="N143" s="16">
        <f t="shared" si="277"/>
        <v>270000</v>
      </c>
      <c r="O143" s="13">
        <f t="shared" si="255"/>
        <v>3240000</v>
      </c>
      <c r="P143" s="14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</row>
    <row r="144" spans="1:256" s="1" customFormat="1" x14ac:dyDescent="0.35">
      <c r="B144" s="15" t="s">
        <v>17</v>
      </c>
      <c r="C144" s="18">
        <f t="shared" ref="C144:L144" si="278">IF(C143&gt;1000000,(C144-1000000)*0.3+130500,IF(C143&gt;760000,(C143-760000)*0.25+70500,IF(C143&gt;520000,(C143-520000)*0.2+22500,IF(C143&gt;270000,(C143-270000)*0.08+0,IF(C143&lt;270001,0,0)))))</f>
        <v>0</v>
      </c>
      <c r="D144" s="18">
        <f t="shared" si="278"/>
        <v>0</v>
      </c>
      <c r="E144" s="18">
        <f t="shared" si="278"/>
        <v>0</v>
      </c>
      <c r="F144" s="18">
        <f t="shared" si="278"/>
        <v>0</v>
      </c>
      <c r="G144" s="18">
        <f t="shared" si="278"/>
        <v>0</v>
      </c>
      <c r="H144" s="18">
        <f t="shared" si="278"/>
        <v>0</v>
      </c>
      <c r="I144" s="18">
        <f t="shared" si="278"/>
        <v>0</v>
      </c>
      <c r="J144" s="18">
        <f t="shared" si="278"/>
        <v>0</v>
      </c>
      <c r="K144" s="18">
        <f t="shared" si="278"/>
        <v>0</v>
      </c>
      <c r="L144" s="18">
        <f t="shared" si="278"/>
        <v>0</v>
      </c>
      <c r="M144" s="18">
        <f t="shared" ref="M144:N144" si="279">IF(M143&gt;1000000,(M144-1000000)*0.3+130500,IF(M143&gt;760000,(M143-760000)*0.25+70500,IF(M143&gt;520000,(M143-520000)*0.2+22500,IF(M143&gt;270000,(M143-270000)*0.08+0,IF(M143&lt;270001,0,0)))))</f>
        <v>0</v>
      </c>
      <c r="N144" s="18">
        <f t="shared" si="279"/>
        <v>0</v>
      </c>
      <c r="O144" s="13">
        <f t="shared" si="255"/>
        <v>0</v>
      </c>
      <c r="P144" s="14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</row>
    <row r="145" spans="1:256" s="17" customFormat="1" x14ac:dyDescent="0.35">
      <c r="A145" s="17">
        <v>36</v>
      </c>
      <c r="B145" s="11" t="s">
        <v>53</v>
      </c>
      <c r="C145" s="12">
        <v>300000</v>
      </c>
      <c r="D145" s="12">
        <v>300000</v>
      </c>
      <c r="E145" s="12">
        <v>300000</v>
      </c>
      <c r="F145" s="12">
        <v>300000</v>
      </c>
      <c r="G145" s="12">
        <v>300000</v>
      </c>
      <c r="H145" s="12">
        <v>300000</v>
      </c>
      <c r="I145" s="12">
        <v>300000</v>
      </c>
      <c r="J145" s="12">
        <v>300000</v>
      </c>
      <c r="K145" s="12">
        <v>300000</v>
      </c>
      <c r="L145" s="12">
        <v>300000</v>
      </c>
      <c r="M145" s="12">
        <v>300000</v>
      </c>
      <c r="N145" s="12">
        <v>0</v>
      </c>
      <c r="O145" s="13">
        <f t="shared" si="255"/>
        <v>3300000</v>
      </c>
      <c r="P145" s="14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</row>
    <row r="146" spans="1:256" s="17" customFormat="1" x14ac:dyDescent="0.35">
      <c r="B146" s="15" t="s">
        <v>15</v>
      </c>
      <c r="C146" s="16">
        <f t="shared" ref="C146:H146" si="280">C145*0.1</f>
        <v>30000</v>
      </c>
      <c r="D146" s="16">
        <f t="shared" si="280"/>
        <v>30000</v>
      </c>
      <c r="E146" s="16">
        <f t="shared" si="280"/>
        <v>30000</v>
      </c>
      <c r="F146" s="16">
        <f t="shared" si="280"/>
        <v>30000</v>
      </c>
      <c r="G146" s="16">
        <f t="shared" si="280"/>
        <v>30000</v>
      </c>
      <c r="H146" s="16">
        <f t="shared" si="280"/>
        <v>30000</v>
      </c>
      <c r="I146" s="16">
        <f t="shared" ref="I146:N146" si="281">I145*0.1</f>
        <v>30000</v>
      </c>
      <c r="J146" s="16">
        <f t="shared" si="281"/>
        <v>30000</v>
      </c>
      <c r="K146" s="16">
        <f t="shared" si="281"/>
        <v>30000</v>
      </c>
      <c r="L146" s="16">
        <f t="shared" si="281"/>
        <v>30000</v>
      </c>
      <c r="M146" s="16">
        <f t="shared" ref="M146" si="282">M145*0.1</f>
        <v>30000</v>
      </c>
      <c r="N146" s="16">
        <f t="shared" si="281"/>
        <v>0</v>
      </c>
      <c r="O146" s="13">
        <f t="shared" si="255"/>
        <v>330000</v>
      </c>
      <c r="P146" s="14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</row>
    <row r="147" spans="1:256" s="1" customFormat="1" x14ac:dyDescent="0.35">
      <c r="B147" s="15" t="s">
        <v>16</v>
      </c>
      <c r="C147" s="16">
        <f t="shared" ref="C147:H147" si="283">C145-C146</f>
        <v>270000</v>
      </c>
      <c r="D147" s="16">
        <f t="shared" si="283"/>
        <v>270000</v>
      </c>
      <c r="E147" s="16">
        <f t="shared" si="283"/>
        <v>270000</v>
      </c>
      <c r="F147" s="16">
        <f t="shared" si="283"/>
        <v>270000</v>
      </c>
      <c r="G147" s="16">
        <f t="shared" si="283"/>
        <v>270000</v>
      </c>
      <c r="H147" s="16">
        <f t="shared" si="283"/>
        <v>270000</v>
      </c>
      <c r="I147" s="16">
        <f t="shared" ref="I147:N147" si="284">I145-I146</f>
        <v>270000</v>
      </c>
      <c r="J147" s="16">
        <f t="shared" si="284"/>
        <v>270000</v>
      </c>
      <c r="K147" s="16">
        <f t="shared" si="284"/>
        <v>270000</v>
      </c>
      <c r="L147" s="16">
        <f t="shared" si="284"/>
        <v>270000</v>
      </c>
      <c r="M147" s="16">
        <f t="shared" ref="M147" si="285">M145-M146</f>
        <v>270000</v>
      </c>
      <c r="N147" s="16">
        <f t="shared" si="284"/>
        <v>0</v>
      </c>
      <c r="O147" s="13">
        <f t="shared" si="255"/>
        <v>2970000</v>
      </c>
      <c r="P147" s="14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</row>
    <row r="148" spans="1:256" s="1" customFormat="1" x14ac:dyDescent="0.35">
      <c r="B148" s="15" t="s">
        <v>17</v>
      </c>
      <c r="C148" s="18">
        <f t="shared" ref="C148:N148" si="286">IF(C147&gt;1000000,(C148-1000000)*0.3+130500,IF(C147&gt;760000,(C147-760000)*0.25+70500,IF(C147&gt;520000,(C147-520000)*0.2+22500,IF(C147&gt;270000,(C147-270000)*0.08+0,IF(C147&lt;270001,0,0)))))</f>
        <v>0</v>
      </c>
      <c r="D148" s="18">
        <f t="shared" si="286"/>
        <v>0</v>
      </c>
      <c r="E148" s="18">
        <f t="shared" si="286"/>
        <v>0</v>
      </c>
      <c r="F148" s="18">
        <f t="shared" si="286"/>
        <v>0</v>
      </c>
      <c r="G148" s="18">
        <f t="shared" si="286"/>
        <v>0</v>
      </c>
      <c r="H148" s="18">
        <f t="shared" si="286"/>
        <v>0</v>
      </c>
      <c r="I148" s="18">
        <f t="shared" si="286"/>
        <v>0</v>
      </c>
      <c r="J148" s="18">
        <f t="shared" si="286"/>
        <v>0</v>
      </c>
      <c r="K148" s="18">
        <f t="shared" si="286"/>
        <v>0</v>
      </c>
      <c r="L148" s="18">
        <f t="shared" si="286"/>
        <v>0</v>
      </c>
      <c r="M148" s="18">
        <f t="shared" ref="M148" si="287">IF(M147&gt;1000000,(M148-1000000)*0.3+130500,IF(M147&gt;760000,(M147-760000)*0.25+70500,IF(M147&gt;520000,(M147-520000)*0.2+22500,IF(M147&gt;270000,(M147-270000)*0.08+0,IF(M147&lt;270001,0,0)))))</f>
        <v>0</v>
      </c>
      <c r="N148" s="18">
        <f t="shared" si="286"/>
        <v>0</v>
      </c>
      <c r="O148" s="13">
        <f t="shared" si="255"/>
        <v>0</v>
      </c>
      <c r="P148" s="14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</row>
    <row r="149" spans="1:256" s="17" customFormat="1" x14ac:dyDescent="0.35">
      <c r="A149" s="17">
        <v>37</v>
      </c>
      <c r="B149" s="11" t="s">
        <v>54</v>
      </c>
      <c r="C149" s="12">
        <v>300000</v>
      </c>
      <c r="D149" s="12">
        <v>300000</v>
      </c>
      <c r="E149" s="12">
        <v>300000</v>
      </c>
      <c r="F149" s="12">
        <v>300000</v>
      </c>
      <c r="G149" s="12">
        <v>300000</v>
      </c>
      <c r="H149" s="12">
        <v>300000</v>
      </c>
      <c r="I149" s="12">
        <v>300000</v>
      </c>
      <c r="J149" s="12">
        <v>300000</v>
      </c>
      <c r="K149" s="12">
        <v>300000</v>
      </c>
      <c r="L149" s="12">
        <v>300000</v>
      </c>
      <c r="M149" s="12">
        <v>300000</v>
      </c>
      <c r="N149" s="12">
        <v>300000</v>
      </c>
      <c r="O149" s="13">
        <f t="shared" si="255"/>
        <v>3600000</v>
      </c>
      <c r="P149" s="14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</row>
    <row r="150" spans="1:256" s="17" customFormat="1" x14ac:dyDescent="0.35">
      <c r="B150" s="15" t="s">
        <v>15</v>
      </c>
      <c r="C150" s="16">
        <f t="shared" ref="C150:H150" si="288">C149*0.1</f>
        <v>30000</v>
      </c>
      <c r="D150" s="16">
        <f t="shared" si="288"/>
        <v>30000</v>
      </c>
      <c r="E150" s="16">
        <f t="shared" si="288"/>
        <v>30000</v>
      </c>
      <c r="F150" s="16">
        <f t="shared" si="288"/>
        <v>30000</v>
      </c>
      <c r="G150" s="16">
        <f t="shared" si="288"/>
        <v>30000</v>
      </c>
      <c r="H150" s="16">
        <f t="shared" si="288"/>
        <v>30000</v>
      </c>
      <c r="I150" s="16">
        <f t="shared" ref="I150:L150" si="289">I149*0.1</f>
        <v>30000</v>
      </c>
      <c r="J150" s="16">
        <f t="shared" si="289"/>
        <v>30000</v>
      </c>
      <c r="K150" s="16">
        <f t="shared" si="289"/>
        <v>30000</v>
      </c>
      <c r="L150" s="16">
        <f t="shared" si="289"/>
        <v>30000</v>
      </c>
      <c r="M150" s="16">
        <f t="shared" ref="M150:N150" si="290">M149*0.1</f>
        <v>30000</v>
      </c>
      <c r="N150" s="16">
        <f t="shared" si="290"/>
        <v>30000</v>
      </c>
      <c r="O150" s="13">
        <f t="shared" si="255"/>
        <v>360000</v>
      </c>
      <c r="P150" s="14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</row>
    <row r="151" spans="1:256" s="1" customFormat="1" x14ac:dyDescent="0.35">
      <c r="B151" s="15" t="s">
        <v>16</v>
      </c>
      <c r="C151" s="16">
        <f t="shared" ref="C151:H151" si="291">C149-C150</f>
        <v>270000</v>
      </c>
      <c r="D151" s="16">
        <f t="shared" si="291"/>
        <v>270000</v>
      </c>
      <c r="E151" s="16">
        <f t="shared" si="291"/>
        <v>270000</v>
      </c>
      <c r="F151" s="16">
        <f t="shared" si="291"/>
        <v>270000</v>
      </c>
      <c r="G151" s="16">
        <f t="shared" si="291"/>
        <v>270000</v>
      </c>
      <c r="H151" s="16">
        <f t="shared" si="291"/>
        <v>270000</v>
      </c>
      <c r="I151" s="16">
        <f t="shared" ref="I151:L151" si="292">I149-I150</f>
        <v>270000</v>
      </c>
      <c r="J151" s="16">
        <f t="shared" si="292"/>
        <v>270000</v>
      </c>
      <c r="K151" s="16">
        <f t="shared" si="292"/>
        <v>270000</v>
      </c>
      <c r="L151" s="16">
        <f t="shared" si="292"/>
        <v>270000</v>
      </c>
      <c r="M151" s="16">
        <f t="shared" ref="M151:N151" si="293">M149-M150</f>
        <v>270000</v>
      </c>
      <c r="N151" s="16">
        <f t="shared" si="293"/>
        <v>270000</v>
      </c>
      <c r="O151" s="13">
        <f t="shared" si="255"/>
        <v>3240000</v>
      </c>
      <c r="P151" s="14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</row>
    <row r="152" spans="1:256" s="1" customFormat="1" x14ac:dyDescent="0.35">
      <c r="B152" s="15" t="s">
        <v>17</v>
      </c>
      <c r="C152" s="18">
        <f t="shared" ref="C152:L152" si="294">IF(C151&gt;1000000,(C152-1000000)*0.3+130500,IF(C151&gt;760000,(C151-760000)*0.25+70500,IF(C151&gt;520000,(C151-520000)*0.2+22500,IF(C151&gt;270000,(C151-270000)*0.08+0,IF(C151&lt;270001,0,0)))))</f>
        <v>0</v>
      </c>
      <c r="D152" s="18">
        <f t="shared" si="294"/>
        <v>0</v>
      </c>
      <c r="E152" s="18">
        <f t="shared" si="294"/>
        <v>0</v>
      </c>
      <c r="F152" s="18">
        <f t="shared" si="294"/>
        <v>0</v>
      </c>
      <c r="G152" s="18">
        <f t="shared" si="294"/>
        <v>0</v>
      </c>
      <c r="H152" s="18">
        <f t="shared" si="294"/>
        <v>0</v>
      </c>
      <c r="I152" s="18">
        <f t="shared" si="294"/>
        <v>0</v>
      </c>
      <c r="J152" s="18">
        <f t="shared" si="294"/>
        <v>0</v>
      </c>
      <c r="K152" s="18">
        <f t="shared" si="294"/>
        <v>0</v>
      </c>
      <c r="L152" s="18">
        <f t="shared" si="294"/>
        <v>0</v>
      </c>
      <c r="M152" s="18">
        <f t="shared" ref="M152:N152" si="295">IF(M151&gt;1000000,(M152-1000000)*0.3+130500,IF(M151&gt;760000,(M151-760000)*0.25+70500,IF(M151&gt;520000,(M151-520000)*0.2+22500,IF(M151&gt;270000,(M151-270000)*0.08+0,IF(M151&lt;270001,0,0)))))</f>
        <v>0</v>
      </c>
      <c r="N152" s="18">
        <f t="shared" si="295"/>
        <v>0</v>
      </c>
      <c r="O152" s="13">
        <f t="shared" si="255"/>
        <v>0</v>
      </c>
      <c r="P152" s="14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</row>
    <row r="153" spans="1:256" s="17" customFormat="1" x14ac:dyDescent="0.35">
      <c r="A153" s="17">
        <v>38</v>
      </c>
      <c r="B153" s="11" t="s">
        <v>55</v>
      </c>
      <c r="C153" s="12">
        <v>300000</v>
      </c>
      <c r="D153" s="12">
        <v>300000</v>
      </c>
      <c r="E153" s="12">
        <v>300000</v>
      </c>
      <c r="F153" s="12">
        <v>300000</v>
      </c>
      <c r="G153" s="12">
        <v>300000</v>
      </c>
      <c r="H153" s="12">
        <v>300000</v>
      </c>
      <c r="I153" s="12">
        <v>300000</v>
      </c>
      <c r="J153" s="12">
        <v>300000</v>
      </c>
      <c r="K153" s="12">
        <v>300000</v>
      </c>
      <c r="L153" s="12">
        <v>300000</v>
      </c>
      <c r="M153" s="12">
        <v>300000</v>
      </c>
      <c r="N153" s="12">
        <v>300000</v>
      </c>
      <c r="O153" s="13">
        <f t="shared" si="255"/>
        <v>3600000</v>
      </c>
      <c r="P153" s="14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</row>
    <row r="154" spans="1:256" s="17" customFormat="1" x14ac:dyDescent="0.35">
      <c r="B154" s="15" t="s">
        <v>15</v>
      </c>
      <c r="C154" s="16">
        <f t="shared" ref="C154:H154" si="296">C153*0.1</f>
        <v>30000</v>
      </c>
      <c r="D154" s="16">
        <f t="shared" si="296"/>
        <v>30000</v>
      </c>
      <c r="E154" s="16">
        <f t="shared" si="296"/>
        <v>30000</v>
      </c>
      <c r="F154" s="16">
        <f t="shared" si="296"/>
        <v>30000</v>
      </c>
      <c r="G154" s="16">
        <f t="shared" si="296"/>
        <v>30000</v>
      </c>
      <c r="H154" s="16">
        <f t="shared" si="296"/>
        <v>30000</v>
      </c>
      <c r="I154" s="16">
        <f t="shared" ref="I154:L154" si="297">I153*0.1</f>
        <v>30000</v>
      </c>
      <c r="J154" s="16">
        <f t="shared" si="297"/>
        <v>30000</v>
      </c>
      <c r="K154" s="16">
        <f t="shared" si="297"/>
        <v>30000</v>
      </c>
      <c r="L154" s="16">
        <f t="shared" si="297"/>
        <v>30000</v>
      </c>
      <c r="M154" s="16">
        <f t="shared" ref="M154:N154" si="298">M153*0.1</f>
        <v>30000</v>
      </c>
      <c r="N154" s="16">
        <f t="shared" si="298"/>
        <v>30000</v>
      </c>
      <c r="O154" s="13">
        <f t="shared" si="255"/>
        <v>360000</v>
      </c>
      <c r="P154" s="14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</row>
    <row r="155" spans="1:256" s="1" customFormat="1" x14ac:dyDescent="0.35">
      <c r="B155" s="15" t="s">
        <v>16</v>
      </c>
      <c r="C155" s="16">
        <f t="shared" ref="C155:H155" si="299">C153-C154</f>
        <v>270000</v>
      </c>
      <c r="D155" s="16">
        <f t="shared" si="299"/>
        <v>270000</v>
      </c>
      <c r="E155" s="16">
        <f t="shared" si="299"/>
        <v>270000</v>
      </c>
      <c r="F155" s="16">
        <f t="shared" si="299"/>
        <v>270000</v>
      </c>
      <c r="G155" s="16">
        <f t="shared" si="299"/>
        <v>270000</v>
      </c>
      <c r="H155" s="16">
        <f t="shared" si="299"/>
        <v>270000</v>
      </c>
      <c r="I155" s="16">
        <f t="shared" ref="I155:L155" si="300">I153-I154</f>
        <v>270000</v>
      </c>
      <c r="J155" s="16">
        <f t="shared" si="300"/>
        <v>270000</v>
      </c>
      <c r="K155" s="16">
        <f t="shared" si="300"/>
        <v>270000</v>
      </c>
      <c r="L155" s="16">
        <f t="shared" si="300"/>
        <v>270000</v>
      </c>
      <c r="M155" s="16">
        <f t="shared" ref="M155:N155" si="301">M153-M154</f>
        <v>270000</v>
      </c>
      <c r="N155" s="16">
        <f t="shared" si="301"/>
        <v>270000</v>
      </c>
      <c r="O155" s="13">
        <f t="shared" si="255"/>
        <v>3240000</v>
      </c>
      <c r="P155" s="14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</row>
    <row r="156" spans="1:256" s="1" customFormat="1" x14ac:dyDescent="0.35">
      <c r="B156" s="15" t="s">
        <v>17</v>
      </c>
      <c r="C156" s="18">
        <f t="shared" ref="C156:L156" si="302">IF(C155&gt;1000000,(C156-1000000)*0.3+130500,IF(C155&gt;760000,(C155-760000)*0.25+70500,IF(C155&gt;520000,(C155-520000)*0.2+22500,IF(C155&gt;270000,(C155-270000)*0.08+0,IF(C155&lt;270001,0,0)))))</f>
        <v>0</v>
      </c>
      <c r="D156" s="18">
        <f t="shared" si="302"/>
        <v>0</v>
      </c>
      <c r="E156" s="18">
        <f t="shared" si="302"/>
        <v>0</v>
      </c>
      <c r="F156" s="18">
        <f t="shared" si="302"/>
        <v>0</v>
      </c>
      <c r="G156" s="18">
        <f t="shared" si="302"/>
        <v>0</v>
      </c>
      <c r="H156" s="18">
        <f t="shared" si="302"/>
        <v>0</v>
      </c>
      <c r="I156" s="18">
        <f t="shared" si="302"/>
        <v>0</v>
      </c>
      <c r="J156" s="18">
        <f t="shared" si="302"/>
        <v>0</v>
      </c>
      <c r="K156" s="18">
        <f t="shared" si="302"/>
        <v>0</v>
      </c>
      <c r="L156" s="18">
        <f t="shared" si="302"/>
        <v>0</v>
      </c>
      <c r="M156" s="18">
        <f t="shared" ref="M156:N156" si="303">IF(M155&gt;1000000,(M156-1000000)*0.3+130500,IF(M155&gt;760000,(M155-760000)*0.25+70500,IF(M155&gt;520000,(M155-520000)*0.2+22500,IF(M155&gt;270000,(M155-270000)*0.08+0,IF(M155&lt;270001,0,0)))))</f>
        <v>0</v>
      </c>
      <c r="N156" s="18">
        <f t="shared" si="303"/>
        <v>0</v>
      </c>
      <c r="O156" s="13">
        <f t="shared" si="255"/>
        <v>0</v>
      </c>
      <c r="P156" s="14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</row>
    <row r="157" spans="1:256" s="17" customFormat="1" x14ac:dyDescent="0.35">
      <c r="A157" s="17">
        <v>39</v>
      </c>
      <c r="B157" s="11" t="s">
        <v>56</v>
      </c>
      <c r="C157" s="12">
        <v>300000</v>
      </c>
      <c r="D157" s="12">
        <v>300000</v>
      </c>
      <c r="E157" s="12">
        <v>300000</v>
      </c>
      <c r="F157" s="12">
        <v>300000</v>
      </c>
      <c r="G157" s="12">
        <v>300000</v>
      </c>
      <c r="H157" s="12">
        <v>300000</v>
      </c>
      <c r="I157" s="12">
        <v>300000</v>
      </c>
      <c r="J157" s="12">
        <v>300000</v>
      </c>
      <c r="K157" s="12">
        <v>300000</v>
      </c>
      <c r="L157" s="12">
        <v>300000</v>
      </c>
      <c r="M157" s="12">
        <v>300000</v>
      </c>
      <c r="N157" s="12">
        <v>300000</v>
      </c>
      <c r="O157" s="13">
        <f t="shared" si="255"/>
        <v>3600000</v>
      </c>
      <c r="P157" s="14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</row>
    <row r="158" spans="1:256" s="17" customFormat="1" x14ac:dyDescent="0.35">
      <c r="B158" s="15" t="s">
        <v>15</v>
      </c>
      <c r="C158" s="16">
        <f t="shared" ref="C158:H158" si="304">C157*0.1</f>
        <v>30000</v>
      </c>
      <c r="D158" s="16">
        <f t="shared" si="304"/>
        <v>30000</v>
      </c>
      <c r="E158" s="16">
        <f t="shared" si="304"/>
        <v>30000</v>
      </c>
      <c r="F158" s="16">
        <f t="shared" si="304"/>
        <v>30000</v>
      </c>
      <c r="G158" s="16">
        <f t="shared" si="304"/>
        <v>30000</v>
      </c>
      <c r="H158" s="16">
        <f t="shared" si="304"/>
        <v>30000</v>
      </c>
      <c r="I158" s="16">
        <f t="shared" ref="I158:L158" si="305">I157*0.1</f>
        <v>30000</v>
      </c>
      <c r="J158" s="16">
        <f t="shared" si="305"/>
        <v>30000</v>
      </c>
      <c r="K158" s="16">
        <f t="shared" si="305"/>
        <v>30000</v>
      </c>
      <c r="L158" s="16">
        <f t="shared" si="305"/>
        <v>30000</v>
      </c>
      <c r="M158" s="16">
        <f t="shared" ref="M158:N158" si="306">M157*0.1</f>
        <v>30000</v>
      </c>
      <c r="N158" s="16">
        <f t="shared" si="306"/>
        <v>30000</v>
      </c>
      <c r="O158" s="13">
        <f t="shared" si="255"/>
        <v>360000</v>
      </c>
      <c r="P158" s="14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</row>
    <row r="159" spans="1:256" s="1" customFormat="1" x14ac:dyDescent="0.35">
      <c r="B159" s="15" t="s">
        <v>16</v>
      </c>
      <c r="C159" s="16">
        <f t="shared" ref="C159:H159" si="307">C157-C158</f>
        <v>270000</v>
      </c>
      <c r="D159" s="16">
        <f t="shared" si="307"/>
        <v>270000</v>
      </c>
      <c r="E159" s="16">
        <f t="shared" si="307"/>
        <v>270000</v>
      </c>
      <c r="F159" s="16">
        <f t="shared" si="307"/>
        <v>270000</v>
      </c>
      <c r="G159" s="16">
        <f t="shared" si="307"/>
        <v>270000</v>
      </c>
      <c r="H159" s="16">
        <f t="shared" si="307"/>
        <v>270000</v>
      </c>
      <c r="I159" s="16">
        <f t="shared" ref="I159:L159" si="308">I157-I158</f>
        <v>270000</v>
      </c>
      <c r="J159" s="16">
        <f t="shared" si="308"/>
        <v>270000</v>
      </c>
      <c r="K159" s="16">
        <f t="shared" si="308"/>
        <v>270000</v>
      </c>
      <c r="L159" s="16">
        <f t="shared" si="308"/>
        <v>270000</v>
      </c>
      <c r="M159" s="16">
        <f t="shared" ref="M159:N159" si="309">M157-M158</f>
        <v>270000</v>
      </c>
      <c r="N159" s="16">
        <f t="shared" si="309"/>
        <v>270000</v>
      </c>
      <c r="O159" s="13">
        <f t="shared" si="255"/>
        <v>3240000</v>
      </c>
      <c r="P159" s="14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</row>
    <row r="160" spans="1:256" s="1" customFormat="1" x14ac:dyDescent="0.35">
      <c r="B160" s="15" t="s">
        <v>17</v>
      </c>
      <c r="C160" s="18">
        <f t="shared" ref="C160:L160" si="310">IF(C159&gt;1000000,(C160-1000000)*0.3+130500,IF(C159&gt;760000,(C159-760000)*0.25+70500,IF(C159&gt;520000,(C159-520000)*0.2+22500,IF(C159&gt;270000,(C159-270000)*0.08+0,IF(C159&lt;270001,0,0)))))</f>
        <v>0</v>
      </c>
      <c r="D160" s="18">
        <f t="shared" si="310"/>
        <v>0</v>
      </c>
      <c r="E160" s="18">
        <f t="shared" si="310"/>
        <v>0</v>
      </c>
      <c r="F160" s="18">
        <f t="shared" si="310"/>
        <v>0</v>
      </c>
      <c r="G160" s="18">
        <f t="shared" si="310"/>
        <v>0</v>
      </c>
      <c r="H160" s="18">
        <f t="shared" si="310"/>
        <v>0</v>
      </c>
      <c r="I160" s="18">
        <f t="shared" si="310"/>
        <v>0</v>
      </c>
      <c r="J160" s="18">
        <f t="shared" si="310"/>
        <v>0</v>
      </c>
      <c r="K160" s="18">
        <f t="shared" si="310"/>
        <v>0</v>
      </c>
      <c r="L160" s="18">
        <f t="shared" si="310"/>
        <v>0</v>
      </c>
      <c r="M160" s="18">
        <f t="shared" ref="M160:N160" si="311">IF(M159&gt;1000000,(M160-1000000)*0.3+130500,IF(M159&gt;760000,(M159-760000)*0.25+70500,IF(M159&gt;520000,(M159-520000)*0.2+22500,IF(M159&gt;270000,(M159-270000)*0.08+0,IF(M159&lt;270001,0,0)))))</f>
        <v>0</v>
      </c>
      <c r="N160" s="18">
        <f t="shared" si="311"/>
        <v>0</v>
      </c>
      <c r="O160" s="13">
        <f t="shared" si="255"/>
        <v>0</v>
      </c>
      <c r="P160" s="14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</row>
    <row r="161" spans="1:256" s="17" customFormat="1" x14ac:dyDescent="0.35">
      <c r="A161" s="17">
        <v>40</v>
      </c>
      <c r="B161" s="11" t="s">
        <v>57</v>
      </c>
      <c r="C161" s="12">
        <v>300000</v>
      </c>
      <c r="D161" s="12">
        <v>300000</v>
      </c>
      <c r="E161" s="12">
        <v>300000</v>
      </c>
      <c r="F161" s="12">
        <v>300000</v>
      </c>
      <c r="G161" s="12">
        <v>300000</v>
      </c>
      <c r="H161" s="12">
        <v>300000</v>
      </c>
      <c r="I161" s="12">
        <v>300000</v>
      </c>
      <c r="J161" s="12">
        <v>300000</v>
      </c>
      <c r="K161" s="12">
        <v>300000</v>
      </c>
      <c r="L161" s="12">
        <v>300000</v>
      </c>
      <c r="M161" s="12">
        <v>300000</v>
      </c>
      <c r="N161" s="12">
        <v>300000</v>
      </c>
      <c r="O161" s="13">
        <f t="shared" si="255"/>
        <v>3600000</v>
      </c>
      <c r="P161" s="14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</row>
    <row r="162" spans="1:256" s="17" customFormat="1" x14ac:dyDescent="0.35">
      <c r="B162" s="15" t="s">
        <v>15</v>
      </c>
      <c r="C162" s="16">
        <f t="shared" ref="C162:H162" si="312">C161*0.1</f>
        <v>30000</v>
      </c>
      <c r="D162" s="16">
        <f t="shared" si="312"/>
        <v>30000</v>
      </c>
      <c r="E162" s="16">
        <f t="shared" si="312"/>
        <v>30000</v>
      </c>
      <c r="F162" s="16">
        <f t="shared" si="312"/>
        <v>30000</v>
      </c>
      <c r="G162" s="16">
        <f t="shared" si="312"/>
        <v>30000</v>
      </c>
      <c r="H162" s="16">
        <f t="shared" si="312"/>
        <v>30000</v>
      </c>
      <c r="I162" s="16">
        <f t="shared" ref="I162:L162" si="313">I161*0.1</f>
        <v>30000</v>
      </c>
      <c r="J162" s="16">
        <f t="shared" si="313"/>
        <v>30000</v>
      </c>
      <c r="K162" s="16">
        <f t="shared" si="313"/>
        <v>30000</v>
      </c>
      <c r="L162" s="16">
        <f t="shared" si="313"/>
        <v>30000</v>
      </c>
      <c r="M162" s="16">
        <f t="shared" ref="M162:N162" si="314">M161*0.1</f>
        <v>30000</v>
      </c>
      <c r="N162" s="16">
        <f t="shared" si="314"/>
        <v>30000</v>
      </c>
      <c r="O162" s="13">
        <f t="shared" si="255"/>
        <v>360000</v>
      </c>
      <c r="P162" s="14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</row>
    <row r="163" spans="1:256" s="1" customFormat="1" x14ac:dyDescent="0.35">
      <c r="B163" s="15" t="s">
        <v>16</v>
      </c>
      <c r="C163" s="16">
        <f t="shared" ref="C163:H163" si="315">C161-C162</f>
        <v>270000</v>
      </c>
      <c r="D163" s="16">
        <f t="shared" si="315"/>
        <v>270000</v>
      </c>
      <c r="E163" s="16">
        <f t="shared" si="315"/>
        <v>270000</v>
      </c>
      <c r="F163" s="16">
        <f t="shared" si="315"/>
        <v>270000</v>
      </c>
      <c r="G163" s="16">
        <f t="shared" si="315"/>
        <v>270000</v>
      </c>
      <c r="H163" s="16">
        <f t="shared" si="315"/>
        <v>270000</v>
      </c>
      <c r="I163" s="16">
        <f t="shared" ref="I163:L163" si="316">I161-I162</f>
        <v>270000</v>
      </c>
      <c r="J163" s="16">
        <f t="shared" si="316"/>
        <v>270000</v>
      </c>
      <c r="K163" s="16">
        <f t="shared" si="316"/>
        <v>270000</v>
      </c>
      <c r="L163" s="16">
        <f t="shared" si="316"/>
        <v>270000</v>
      </c>
      <c r="M163" s="16">
        <f t="shared" ref="M163:N163" si="317">M161-M162</f>
        <v>270000</v>
      </c>
      <c r="N163" s="16">
        <f t="shared" si="317"/>
        <v>270000</v>
      </c>
      <c r="O163" s="13">
        <f t="shared" si="255"/>
        <v>3240000</v>
      </c>
      <c r="P163" s="14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</row>
    <row r="164" spans="1:256" s="1" customFormat="1" x14ac:dyDescent="0.35">
      <c r="B164" s="15" t="s">
        <v>17</v>
      </c>
      <c r="C164" s="18">
        <f t="shared" ref="C164:L164" si="318">IF(C163&gt;1000000,(C164-1000000)*0.3+130500,IF(C163&gt;760000,(C163-760000)*0.25+70500,IF(C163&gt;520000,(C163-520000)*0.2+22500,IF(C163&gt;270000,(C163-270000)*0.08+0,IF(C163&lt;270001,0,0)))))</f>
        <v>0</v>
      </c>
      <c r="D164" s="18">
        <f t="shared" si="318"/>
        <v>0</v>
      </c>
      <c r="E164" s="18">
        <f t="shared" si="318"/>
        <v>0</v>
      </c>
      <c r="F164" s="18">
        <f t="shared" si="318"/>
        <v>0</v>
      </c>
      <c r="G164" s="18">
        <f t="shared" si="318"/>
        <v>0</v>
      </c>
      <c r="H164" s="18">
        <f t="shared" si="318"/>
        <v>0</v>
      </c>
      <c r="I164" s="18">
        <f t="shared" si="318"/>
        <v>0</v>
      </c>
      <c r="J164" s="18">
        <f t="shared" si="318"/>
        <v>0</v>
      </c>
      <c r="K164" s="18">
        <f t="shared" si="318"/>
        <v>0</v>
      </c>
      <c r="L164" s="18">
        <f t="shared" si="318"/>
        <v>0</v>
      </c>
      <c r="M164" s="18">
        <f t="shared" ref="M164:N164" si="319">IF(M163&gt;1000000,(M164-1000000)*0.3+130500,IF(M163&gt;760000,(M163-760000)*0.25+70500,IF(M163&gt;520000,(M163-520000)*0.2+22500,IF(M163&gt;270000,(M163-270000)*0.08+0,IF(M163&lt;270001,0,0)))))</f>
        <v>0</v>
      </c>
      <c r="N164" s="18">
        <f t="shared" si="319"/>
        <v>0</v>
      </c>
      <c r="O164" s="13">
        <f t="shared" si="255"/>
        <v>0</v>
      </c>
      <c r="P164" s="14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</row>
    <row r="165" spans="1:256" s="17" customFormat="1" x14ac:dyDescent="0.35">
      <c r="A165" s="17">
        <v>41</v>
      </c>
      <c r="B165" s="11" t="s">
        <v>58</v>
      </c>
      <c r="C165" s="12">
        <v>300000</v>
      </c>
      <c r="D165" s="12">
        <v>300000</v>
      </c>
      <c r="E165" s="12">
        <v>300000</v>
      </c>
      <c r="F165" s="12">
        <v>300000</v>
      </c>
      <c r="G165" s="12">
        <v>300000</v>
      </c>
      <c r="H165" s="12">
        <v>300000</v>
      </c>
      <c r="I165" s="12">
        <v>300000</v>
      </c>
      <c r="J165" s="12">
        <v>300000</v>
      </c>
      <c r="K165" s="12">
        <v>300000</v>
      </c>
      <c r="L165" s="12">
        <v>300000</v>
      </c>
      <c r="M165" s="12">
        <v>300000</v>
      </c>
      <c r="N165" s="12">
        <v>300000</v>
      </c>
      <c r="O165" s="13">
        <f t="shared" si="255"/>
        <v>3600000</v>
      </c>
      <c r="P165" s="14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</row>
    <row r="166" spans="1:256" s="17" customFormat="1" x14ac:dyDescent="0.35">
      <c r="B166" s="15" t="s">
        <v>15</v>
      </c>
      <c r="C166" s="16">
        <f t="shared" ref="C166:H166" si="320">C165*0.1</f>
        <v>30000</v>
      </c>
      <c r="D166" s="16">
        <f t="shared" si="320"/>
        <v>30000</v>
      </c>
      <c r="E166" s="16">
        <f t="shared" si="320"/>
        <v>30000</v>
      </c>
      <c r="F166" s="16">
        <f t="shared" si="320"/>
        <v>30000</v>
      </c>
      <c r="G166" s="16">
        <f t="shared" si="320"/>
        <v>30000</v>
      </c>
      <c r="H166" s="16">
        <f t="shared" si="320"/>
        <v>30000</v>
      </c>
      <c r="I166" s="16">
        <f t="shared" ref="I166:L166" si="321">I165*0.1</f>
        <v>30000</v>
      </c>
      <c r="J166" s="16">
        <f t="shared" si="321"/>
        <v>30000</v>
      </c>
      <c r="K166" s="16">
        <f t="shared" si="321"/>
        <v>30000</v>
      </c>
      <c r="L166" s="16">
        <f t="shared" si="321"/>
        <v>30000</v>
      </c>
      <c r="M166" s="16">
        <f t="shared" ref="M166:N166" si="322">M165*0.1</f>
        <v>30000</v>
      </c>
      <c r="N166" s="16">
        <f t="shared" si="322"/>
        <v>30000</v>
      </c>
      <c r="O166" s="13">
        <f t="shared" si="255"/>
        <v>360000</v>
      </c>
      <c r="P166" s="14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</row>
    <row r="167" spans="1:256" s="1" customFormat="1" x14ac:dyDescent="0.35">
      <c r="B167" s="15" t="s">
        <v>16</v>
      </c>
      <c r="C167" s="16">
        <f t="shared" ref="C167:H167" si="323">C165-C166</f>
        <v>270000</v>
      </c>
      <c r="D167" s="16">
        <f t="shared" si="323"/>
        <v>270000</v>
      </c>
      <c r="E167" s="16">
        <f t="shared" si="323"/>
        <v>270000</v>
      </c>
      <c r="F167" s="16">
        <f t="shared" si="323"/>
        <v>270000</v>
      </c>
      <c r="G167" s="16">
        <f t="shared" si="323"/>
        <v>270000</v>
      </c>
      <c r="H167" s="16">
        <f t="shared" si="323"/>
        <v>270000</v>
      </c>
      <c r="I167" s="16">
        <f t="shared" ref="I167:L167" si="324">I165-I166</f>
        <v>270000</v>
      </c>
      <c r="J167" s="16">
        <f t="shared" si="324"/>
        <v>270000</v>
      </c>
      <c r="K167" s="16">
        <f t="shared" si="324"/>
        <v>270000</v>
      </c>
      <c r="L167" s="16">
        <f t="shared" si="324"/>
        <v>270000</v>
      </c>
      <c r="M167" s="16">
        <f t="shared" ref="M167:N167" si="325">M165-M166</f>
        <v>270000</v>
      </c>
      <c r="N167" s="16">
        <f t="shared" si="325"/>
        <v>270000</v>
      </c>
      <c r="O167" s="13">
        <f t="shared" si="255"/>
        <v>3240000</v>
      </c>
      <c r="P167" s="14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</row>
    <row r="168" spans="1:256" s="1" customFormat="1" x14ac:dyDescent="0.35">
      <c r="B168" s="15" t="s">
        <v>17</v>
      </c>
      <c r="C168" s="18">
        <f t="shared" ref="C168:L168" si="326">IF(C167&gt;1000000,(C168-1000000)*0.3+130500,IF(C167&gt;760000,(C167-760000)*0.25+70500,IF(C167&gt;520000,(C167-520000)*0.2+22500,IF(C167&gt;270000,(C167-270000)*0.08+0,IF(C167&lt;270001,0,0)))))</f>
        <v>0</v>
      </c>
      <c r="D168" s="18">
        <f t="shared" si="326"/>
        <v>0</v>
      </c>
      <c r="E168" s="18">
        <f t="shared" si="326"/>
        <v>0</v>
      </c>
      <c r="F168" s="18">
        <f t="shared" si="326"/>
        <v>0</v>
      </c>
      <c r="G168" s="18">
        <f t="shared" si="326"/>
        <v>0</v>
      </c>
      <c r="H168" s="18">
        <f t="shared" si="326"/>
        <v>0</v>
      </c>
      <c r="I168" s="18">
        <f t="shared" si="326"/>
        <v>0</v>
      </c>
      <c r="J168" s="18">
        <f t="shared" si="326"/>
        <v>0</v>
      </c>
      <c r="K168" s="18">
        <f t="shared" si="326"/>
        <v>0</v>
      </c>
      <c r="L168" s="18">
        <f t="shared" si="326"/>
        <v>0</v>
      </c>
      <c r="M168" s="18">
        <f t="shared" ref="M168:N168" si="327">IF(M167&gt;1000000,(M168-1000000)*0.3+130500,IF(M167&gt;760000,(M167-760000)*0.25+70500,IF(M167&gt;520000,(M167-520000)*0.2+22500,IF(M167&gt;270000,(M167-270000)*0.08+0,IF(M167&lt;270001,0,0)))))</f>
        <v>0</v>
      </c>
      <c r="N168" s="18">
        <f t="shared" si="327"/>
        <v>0</v>
      </c>
      <c r="O168" s="13">
        <f t="shared" si="255"/>
        <v>0</v>
      </c>
      <c r="P168" s="14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</row>
    <row r="169" spans="1:256" s="17" customFormat="1" x14ac:dyDescent="0.35">
      <c r="A169" s="17">
        <v>42</v>
      </c>
      <c r="B169" s="11" t="s">
        <v>59</v>
      </c>
      <c r="C169" s="12">
        <v>300000</v>
      </c>
      <c r="D169" s="12">
        <v>300000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3">
        <f t="shared" si="255"/>
        <v>600000</v>
      </c>
      <c r="P169" s="14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</row>
    <row r="170" spans="1:256" s="17" customFormat="1" x14ac:dyDescent="0.35">
      <c r="B170" s="15" t="s">
        <v>15</v>
      </c>
      <c r="C170" s="16">
        <f t="shared" ref="C170:L170" si="328">C169*0.1</f>
        <v>30000</v>
      </c>
      <c r="D170" s="16">
        <f t="shared" si="328"/>
        <v>30000</v>
      </c>
      <c r="E170" s="16">
        <f t="shared" si="328"/>
        <v>0</v>
      </c>
      <c r="F170" s="16">
        <f t="shared" si="328"/>
        <v>0</v>
      </c>
      <c r="G170" s="16">
        <f t="shared" si="328"/>
        <v>0</v>
      </c>
      <c r="H170" s="16">
        <f t="shared" si="328"/>
        <v>0</v>
      </c>
      <c r="I170" s="16">
        <f t="shared" si="328"/>
        <v>0</v>
      </c>
      <c r="J170" s="16">
        <f t="shared" si="328"/>
        <v>0</v>
      </c>
      <c r="K170" s="16">
        <f t="shared" si="328"/>
        <v>0</v>
      </c>
      <c r="L170" s="16">
        <f t="shared" si="328"/>
        <v>0</v>
      </c>
      <c r="M170" s="16">
        <f t="shared" ref="M170:N170" si="329">M169*0.1</f>
        <v>0</v>
      </c>
      <c r="N170" s="16">
        <f t="shared" si="329"/>
        <v>0</v>
      </c>
      <c r="O170" s="13">
        <f t="shared" si="255"/>
        <v>60000</v>
      </c>
      <c r="P170" s="14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</row>
    <row r="171" spans="1:256" s="1" customFormat="1" x14ac:dyDescent="0.35">
      <c r="B171" s="15" t="s">
        <v>16</v>
      </c>
      <c r="C171" s="16">
        <f t="shared" ref="C171:L171" si="330">C169-C170</f>
        <v>270000</v>
      </c>
      <c r="D171" s="16">
        <f t="shared" si="330"/>
        <v>270000</v>
      </c>
      <c r="E171" s="16">
        <f t="shared" si="330"/>
        <v>0</v>
      </c>
      <c r="F171" s="16">
        <f t="shared" si="330"/>
        <v>0</v>
      </c>
      <c r="G171" s="16">
        <f t="shared" si="330"/>
        <v>0</v>
      </c>
      <c r="H171" s="16">
        <f t="shared" si="330"/>
        <v>0</v>
      </c>
      <c r="I171" s="16">
        <f t="shared" si="330"/>
        <v>0</v>
      </c>
      <c r="J171" s="16">
        <f t="shared" si="330"/>
        <v>0</v>
      </c>
      <c r="K171" s="16">
        <f t="shared" si="330"/>
        <v>0</v>
      </c>
      <c r="L171" s="16">
        <f t="shared" si="330"/>
        <v>0</v>
      </c>
      <c r="M171" s="16">
        <f t="shared" ref="M171:N171" si="331">M169-M170</f>
        <v>0</v>
      </c>
      <c r="N171" s="16">
        <f t="shared" si="331"/>
        <v>0</v>
      </c>
      <c r="O171" s="13">
        <f t="shared" si="255"/>
        <v>540000</v>
      </c>
      <c r="P171" s="14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</row>
    <row r="172" spans="1:256" s="1" customFormat="1" x14ac:dyDescent="0.35">
      <c r="B172" s="15" t="s">
        <v>17</v>
      </c>
      <c r="C172" s="18">
        <f t="shared" ref="C172:L172" si="332">IF(C171&gt;1000000,(C172-1000000)*0.3+130500,IF(C171&gt;760000,(C171-760000)*0.25+70500,IF(C171&gt;520000,(C171-520000)*0.2+22500,IF(C171&gt;270000,(C171-270000)*0.08+0,IF(C171&lt;270001,0,0)))))</f>
        <v>0</v>
      </c>
      <c r="D172" s="18">
        <f t="shared" si="332"/>
        <v>0</v>
      </c>
      <c r="E172" s="18">
        <f t="shared" si="332"/>
        <v>0</v>
      </c>
      <c r="F172" s="18">
        <f t="shared" si="332"/>
        <v>0</v>
      </c>
      <c r="G172" s="18">
        <f t="shared" si="332"/>
        <v>0</v>
      </c>
      <c r="H172" s="18">
        <f t="shared" si="332"/>
        <v>0</v>
      </c>
      <c r="I172" s="18">
        <f t="shared" si="332"/>
        <v>0</v>
      </c>
      <c r="J172" s="18">
        <f t="shared" si="332"/>
        <v>0</v>
      </c>
      <c r="K172" s="18">
        <f t="shared" si="332"/>
        <v>0</v>
      </c>
      <c r="L172" s="18">
        <f t="shared" si="332"/>
        <v>0</v>
      </c>
      <c r="M172" s="18">
        <f t="shared" ref="M172:N172" si="333">IF(M171&gt;1000000,(M172-1000000)*0.3+130500,IF(M171&gt;760000,(M171-760000)*0.25+70500,IF(M171&gt;520000,(M171-520000)*0.2+22500,IF(M171&gt;270000,(M171-270000)*0.08+0,IF(M171&lt;270001,0,0)))))</f>
        <v>0</v>
      </c>
      <c r="N172" s="18">
        <f t="shared" si="333"/>
        <v>0</v>
      </c>
      <c r="O172" s="13">
        <f t="shared" si="255"/>
        <v>0</v>
      </c>
      <c r="P172" s="14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</row>
    <row r="173" spans="1:256" s="17" customFormat="1" x14ac:dyDescent="0.35">
      <c r="A173" s="17">
        <v>43</v>
      </c>
      <c r="B173" s="11" t="s">
        <v>60</v>
      </c>
      <c r="C173" s="12">
        <v>300000</v>
      </c>
      <c r="D173" s="12">
        <v>300000</v>
      </c>
      <c r="E173" s="12">
        <v>300000</v>
      </c>
      <c r="F173" s="12">
        <v>300000</v>
      </c>
      <c r="G173" s="12">
        <v>300000</v>
      </c>
      <c r="H173" s="12">
        <v>300000</v>
      </c>
      <c r="I173" s="12">
        <v>300000</v>
      </c>
      <c r="J173" s="12">
        <v>300000</v>
      </c>
      <c r="K173" s="12">
        <v>300000</v>
      </c>
      <c r="L173" s="12">
        <v>0</v>
      </c>
      <c r="M173" s="12">
        <v>0</v>
      </c>
      <c r="N173" s="12">
        <v>0</v>
      </c>
      <c r="O173" s="13">
        <f t="shared" si="255"/>
        <v>2700000</v>
      </c>
      <c r="P173" s="14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</row>
    <row r="174" spans="1:256" s="17" customFormat="1" x14ac:dyDescent="0.35">
      <c r="B174" s="15" t="s">
        <v>15</v>
      </c>
      <c r="C174" s="16">
        <f t="shared" ref="C174:H174" si="334">C173*0.1</f>
        <v>30000</v>
      </c>
      <c r="D174" s="16">
        <f t="shared" si="334"/>
        <v>30000</v>
      </c>
      <c r="E174" s="16">
        <f t="shared" si="334"/>
        <v>30000</v>
      </c>
      <c r="F174" s="16">
        <f t="shared" si="334"/>
        <v>30000</v>
      </c>
      <c r="G174" s="16">
        <f t="shared" si="334"/>
        <v>30000</v>
      </c>
      <c r="H174" s="16">
        <f t="shared" si="334"/>
        <v>30000</v>
      </c>
      <c r="I174" s="16">
        <f t="shared" ref="I174:L174" si="335">I173*0.1</f>
        <v>30000</v>
      </c>
      <c r="J174" s="16">
        <f t="shared" si="335"/>
        <v>30000</v>
      </c>
      <c r="K174" s="16">
        <f t="shared" si="335"/>
        <v>30000</v>
      </c>
      <c r="L174" s="16">
        <f t="shared" si="335"/>
        <v>0</v>
      </c>
      <c r="M174" s="16">
        <f t="shared" ref="M174:N174" si="336">M173*0.1</f>
        <v>0</v>
      </c>
      <c r="N174" s="16">
        <f t="shared" si="336"/>
        <v>0</v>
      </c>
      <c r="O174" s="13">
        <f t="shared" si="255"/>
        <v>270000</v>
      </c>
      <c r="P174" s="14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</row>
    <row r="175" spans="1:256" s="1" customFormat="1" x14ac:dyDescent="0.35">
      <c r="B175" s="15" t="s">
        <v>16</v>
      </c>
      <c r="C175" s="16">
        <f t="shared" ref="C175:H175" si="337">C173-C174</f>
        <v>270000</v>
      </c>
      <c r="D175" s="16">
        <f t="shared" si="337"/>
        <v>270000</v>
      </c>
      <c r="E175" s="16">
        <f t="shared" si="337"/>
        <v>270000</v>
      </c>
      <c r="F175" s="16">
        <f t="shared" si="337"/>
        <v>270000</v>
      </c>
      <c r="G175" s="16">
        <f t="shared" si="337"/>
        <v>270000</v>
      </c>
      <c r="H175" s="16">
        <f t="shared" si="337"/>
        <v>270000</v>
      </c>
      <c r="I175" s="16">
        <f t="shared" ref="I175:L175" si="338">I173-I174</f>
        <v>270000</v>
      </c>
      <c r="J175" s="16">
        <f t="shared" si="338"/>
        <v>270000</v>
      </c>
      <c r="K175" s="16">
        <f t="shared" si="338"/>
        <v>270000</v>
      </c>
      <c r="L175" s="16">
        <f t="shared" si="338"/>
        <v>0</v>
      </c>
      <c r="M175" s="16">
        <f t="shared" ref="M175:N175" si="339">M173-M174</f>
        <v>0</v>
      </c>
      <c r="N175" s="16">
        <f t="shared" si="339"/>
        <v>0</v>
      </c>
      <c r="O175" s="13">
        <f t="shared" si="255"/>
        <v>2430000</v>
      </c>
      <c r="P175" s="14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</row>
    <row r="176" spans="1:256" s="1" customFormat="1" x14ac:dyDescent="0.35">
      <c r="B176" s="15" t="s">
        <v>17</v>
      </c>
      <c r="C176" s="18">
        <f t="shared" ref="C176:L176" si="340">IF(C175&gt;1000000,(C176-1000000)*0.3+130500,IF(C175&gt;760000,(C175-760000)*0.25+70500,IF(C175&gt;520000,(C175-520000)*0.2+22500,IF(C175&gt;270000,(C175-270000)*0.08+0,IF(C175&lt;270001,0,0)))))</f>
        <v>0</v>
      </c>
      <c r="D176" s="18">
        <f t="shared" si="340"/>
        <v>0</v>
      </c>
      <c r="E176" s="18">
        <f t="shared" si="340"/>
        <v>0</v>
      </c>
      <c r="F176" s="18">
        <f t="shared" si="340"/>
        <v>0</v>
      </c>
      <c r="G176" s="18">
        <f t="shared" si="340"/>
        <v>0</v>
      </c>
      <c r="H176" s="18">
        <f t="shared" si="340"/>
        <v>0</v>
      </c>
      <c r="I176" s="18">
        <f t="shared" si="340"/>
        <v>0</v>
      </c>
      <c r="J176" s="18">
        <f t="shared" si="340"/>
        <v>0</v>
      </c>
      <c r="K176" s="18">
        <f t="shared" si="340"/>
        <v>0</v>
      </c>
      <c r="L176" s="18">
        <f t="shared" si="340"/>
        <v>0</v>
      </c>
      <c r="M176" s="18">
        <f t="shared" ref="M176:N176" si="341">IF(M175&gt;1000000,(M176-1000000)*0.3+130500,IF(M175&gt;760000,(M175-760000)*0.25+70500,IF(M175&gt;520000,(M175-520000)*0.2+22500,IF(M175&gt;270000,(M175-270000)*0.08+0,IF(M175&lt;270001,0,0)))))</f>
        <v>0</v>
      </c>
      <c r="N176" s="18">
        <f t="shared" si="341"/>
        <v>0</v>
      </c>
      <c r="O176" s="13">
        <f t="shared" si="255"/>
        <v>0</v>
      </c>
      <c r="P176" s="14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</row>
    <row r="177" spans="1:256" s="17" customFormat="1" x14ac:dyDescent="0.35">
      <c r="A177" s="17">
        <v>44</v>
      </c>
      <c r="B177" s="11" t="s">
        <v>61</v>
      </c>
      <c r="C177" s="12">
        <v>300000</v>
      </c>
      <c r="D177" s="12">
        <v>300000</v>
      </c>
      <c r="E177" s="12">
        <v>300000</v>
      </c>
      <c r="F177" s="12">
        <v>300000</v>
      </c>
      <c r="G177" s="12">
        <v>300000</v>
      </c>
      <c r="H177" s="12">
        <v>300000</v>
      </c>
      <c r="I177" s="12">
        <v>300000</v>
      </c>
      <c r="J177" s="12">
        <v>300000</v>
      </c>
      <c r="K177" s="12">
        <v>300000</v>
      </c>
      <c r="L177" s="12">
        <v>300000</v>
      </c>
      <c r="M177" s="12">
        <v>300000</v>
      </c>
      <c r="N177" s="12">
        <v>300000</v>
      </c>
      <c r="O177" s="13">
        <f t="shared" si="255"/>
        <v>3600000</v>
      </c>
      <c r="P177" s="14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</row>
    <row r="178" spans="1:256" s="17" customFormat="1" x14ac:dyDescent="0.35">
      <c r="B178" s="15" t="s">
        <v>15</v>
      </c>
      <c r="C178" s="16">
        <f t="shared" ref="C178:H178" si="342">C177*0.1</f>
        <v>30000</v>
      </c>
      <c r="D178" s="16">
        <f t="shared" si="342"/>
        <v>30000</v>
      </c>
      <c r="E178" s="16">
        <f t="shared" si="342"/>
        <v>30000</v>
      </c>
      <c r="F178" s="16">
        <f t="shared" si="342"/>
        <v>30000</v>
      </c>
      <c r="G178" s="16">
        <f t="shared" si="342"/>
        <v>30000</v>
      </c>
      <c r="H178" s="16">
        <f t="shared" si="342"/>
        <v>30000</v>
      </c>
      <c r="I178" s="16">
        <f t="shared" ref="I178:L178" si="343">I177*0.1</f>
        <v>30000</v>
      </c>
      <c r="J178" s="16">
        <f t="shared" si="343"/>
        <v>30000</v>
      </c>
      <c r="K178" s="16">
        <f t="shared" si="343"/>
        <v>30000</v>
      </c>
      <c r="L178" s="16">
        <f t="shared" si="343"/>
        <v>30000</v>
      </c>
      <c r="M178" s="16">
        <f t="shared" ref="M178:N178" si="344">M177*0.1</f>
        <v>30000</v>
      </c>
      <c r="N178" s="16">
        <f t="shared" si="344"/>
        <v>30000</v>
      </c>
      <c r="O178" s="13">
        <f t="shared" si="255"/>
        <v>360000</v>
      </c>
      <c r="P178" s="14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</row>
    <row r="179" spans="1:256" s="1" customFormat="1" x14ac:dyDescent="0.35">
      <c r="B179" s="15" t="s">
        <v>16</v>
      </c>
      <c r="C179" s="16">
        <f t="shared" ref="C179:H179" si="345">C177-C178</f>
        <v>270000</v>
      </c>
      <c r="D179" s="16">
        <f t="shared" si="345"/>
        <v>270000</v>
      </c>
      <c r="E179" s="16">
        <f t="shared" si="345"/>
        <v>270000</v>
      </c>
      <c r="F179" s="16">
        <f t="shared" si="345"/>
        <v>270000</v>
      </c>
      <c r="G179" s="16">
        <f t="shared" si="345"/>
        <v>270000</v>
      </c>
      <c r="H179" s="16">
        <f t="shared" si="345"/>
        <v>270000</v>
      </c>
      <c r="I179" s="16">
        <f t="shared" ref="I179:L179" si="346">I177-I178</f>
        <v>270000</v>
      </c>
      <c r="J179" s="16">
        <f t="shared" si="346"/>
        <v>270000</v>
      </c>
      <c r="K179" s="16">
        <f t="shared" si="346"/>
        <v>270000</v>
      </c>
      <c r="L179" s="16">
        <f t="shared" si="346"/>
        <v>270000</v>
      </c>
      <c r="M179" s="16">
        <f t="shared" ref="M179:N179" si="347">M177-M178</f>
        <v>270000</v>
      </c>
      <c r="N179" s="16">
        <f t="shared" si="347"/>
        <v>270000</v>
      </c>
      <c r="O179" s="13">
        <f t="shared" si="255"/>
        <v>3240000</v>
      </c>
      <c r="P179" s="14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</row>
    <row r="180" spans="1:256" s="1" customFormat="1" x14ac:dyDescent="0.35">
      <c r="B180" s="15" t="s">
        <v>17</v>
      </c>
      <c r="C180" s="18">
        <f t="shared" ref="C180:L180" si="348">IF(C179&gt;1000000,(C180-1000000)*0.3+130500,IF(C179&gt;760000,(C179-760000)*0.25+70500,IF(C179&gt;520000,(C179-520000)*0.2+22500,IF(C179&gt;270000,(C179-270000)*0.08+0,IF(C179&lt;270001,0,0)))))</f>
        <v>0</v>
      </c>
      <c r="D180" s="18">
        <f t="shared" si="348"/>
        <v>0</v>
      </c>
      <c r="E180" s="18">
        <f t="shared" si="348"/>
        <v>0</v>
      </c>
      <c r="F180" s="18">
        <f t="shared" si="348"/>
        <v>0</v>
      </c>
      <c r="G180" s="18">
        <f t="shared" si="348"/>
        <v>0</v>
      </c>
      <c r="H180" s="18">
        <f t="shared" si="348"/>
        <v>0</v>
      </c>
      <c r="I180" s="18">
        <f t="shared" si="348"/>
        <v>0</v>
      </c>
      <c r="J180" s="18">
        <f t="shared" si="348"/>
        <v>0</v>
      </c>
      <c r="K180" s="18">
        <f t="shared" si="348"/>
        <v>0</v>
      </c>
      <c r="L180" s="18">
        <f t="shared" si="348"/>
        <v>0</v>
      </c>
      <c r="M180" s="18">
        <f t="shared" ref="M180:N180" si="349">IF(M179&gt;1000000,(M180-1000000)*0.3+130500,IF(M179&gt;760000,(M179-760000)*0.25+70500,IF(M179&gt;520000,(M179-520000)*0.2+22500,IF(M179&gt;270000,(M179-270000)*0.08+0,IF(M179&lt;270001,0,0)))))</f>
        <v>0</v>
      </c>
      <c r="N180" s="18">
        <f t="shared" si="349"/>
        <v>0</v>
      </c>
      <c r="O180" s="13">
        <f t="shared" si="255"/>
        <v>0</v>
      </c>
      <c r="P180" s="14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</row>
    <row r="181" spans="1:256" s="17" customFormat="1" x14ac:dyDescent="0.35">
      <c r="A181" s="17">
        <v>45</v>
      </c>
      <c r="B181" s="11" t="s">
        <v>62</v>
      </c>
      <c r="C181" s="12">
        <v>300000</v>
      </c>
      <c r="D181" s="12">
        <v>300000</v>
      </c>
      <c r="E181" s="12">
        <v>300000</v>
      </c>
      <c r="F181" s="12">
        <v>300000</v>
      </c>
      <c r="G181" s="12">
        <v>300000</v>
      </c>
      <c r="H181" s="12">
        <v>300000</v>
      </c>
      <c r="I181" s="12">
        <v>300000</v>
      </c>
      <c r="J181" s="12">
        <v>300000</v>
      </c>
      <c r="K181" s="12">
        <v>300000</v>
      </c>
      <c r="L181" s="12">
        <v>300000</v>
      </c>
      <c r="M181" s="12">
        <v>300000</v>
      </c>
      <c r="N181" s="12">
        <v>300000</v>
      </c>
      <c r="O181" s="13">
        <f t="shared" si="255"/>
        <v>3600000</v>
      </c>
      <c r="P181" s="14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</row>
    <row r="182" spans="1:256" s="17" customFormat="1" x14ac:dyDescent="0.35">
      <c r="B182" s="15" t="s">
        <v>15</v>
      </c>
      <c r="C182" s="16">
        <f t="shared" ref="C182:H182" si="350">C181*0.1</f>
        <v>30000</v>
      </c>
      <c r="D182" s="16">
        <f t="shared" si="350"/>
        <v>30000</v>
      </c>
      <c r="E182" s="16">
        <f t="shared" si="350"/>
        <v>30000</v>
      </c>
      <c r="F182" s="16">
        <f t="shared" si="350"/>
        <v>30000</v>
      </c>
      <c r="G182" s="16">
        <f t="shared" si="350"/>
        <v>30000</v>
      </c>
      <c r="H182" s="16">
        <f t="shared" si="350"/>
        <v>30000</v>
      </c>
      <c r="I182" s="16">
        <f t="shared" ref="I182:L182" si="351">I181*0.1</f>
        <v>30000</v>
      </c>
      <c r="J182" s="16">
        <f t="shared" si="351"/>
        <v>30000</v>
      </c>
      <c r="K182" s="16">
        <f t="shared" si="351"/>
        <v>30000</v>
      </c>
      <c r="L182" s="16">
        <f t="shared" si="351"/>
        <v>30000</v>
      </c>
      <c r="M182" s="16">
        <f t="shared" ref="M182:N182" si="352">M181*0.1</f>
        <v>30000</v>
      </c>
      <c r="N182" s="16">
        <f t="shared" si="352"/>
        <v>30000</v>
      </c>
      <c r="O182" s="13">
        <f t="shared" si="255"/>
        <v>360000</v>
      </c>
      <c r="P182" s="14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</row>
    <row r="183" spans="1:256" s="1" customFormat="1" x14ac:dyDescent="0.35">
      <c r="B183" s="15" t="s">
        <v>16</v>
      </c>
      <c r="C183" s="16">
        <f t="shared" ref="C183:H183" si="353">C181-C182</f>
        <v>270000</v>
      </c>
      <c r="D183" s="16">
        <f t="shared" si="353"/>
        <v>270000</v>
      </c>
      <c r="E183" s="16">
        <f t="shared" si="353"/>
        <v>270000</v>
      </c>
      <c r="F183" s="16">
        <f t="shared" si="353"/>
        <v>270000</v>
      </c>
      <c r="G183" s="16">
        <f t="shared" si="353"/>
        <v>270000</v>
      </c>
      <c r="H183" s="16">
        <f t="shared" si="353"/>
        <v>270000</v>
      </c>
      <c r="I183" s="16">
        <f t="shared" ref="I183:L183" si="354">I181-I182</f>
        <v>270000</v>
      </c>
      <c r="J183" s="16">
        <f t="shared" si="354"/>
        <v>270000</v>
      </c>
      <c r="K183" s="16">
        <f t="shared" si="354"/>
        <v>270000</v>
      </c>
      <c r="L183" s="16">
        <f t="shared" si="354"/>
        <v>270000</v>
      </c>
      <c r="M183" s="16">
        <f t="shared" ref="M183:N183" si="355">M181-M182</f>
        <v>270000</v>
      </c>
      <c r="N183" s="16">
        <f t="shared" si="355"/>
        <v>270000</v>
      </c>
      <c r="O183" s="13">
        <f t="shared" si="255"/>
        <v>3240000</v>
      </c>
      <c r="P183" s="14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</row>
    <row r="184" spans="1:256" s="1" customFormat="1" x14ac:dyDescent="0.35">
      <c r="B184" s="15" t="s">
        <v>17</v>
      </c>
      <c r="C184" s="18">
        <f t="shared" ref="C184:L184" si="356">IF(C183&gt;1000000,(C184-1000000)*0.3+130500,IF(C183&gt;760000,(C183-760000)*0.25+70500,IF(C183&gt;520000,(C183-520000)*0.2+22500,IF(C183&gt;270000,(C183-270000)*0.08+0,IF(C183&lt;270001,0,0)))))</f>
        <v>0</v>
      </c>
      <c r="D184" s="18">
        <f t="shared" si="356"/>
        <v>0</v>
      </c>
      <c r="E184" s="18">
        <f t="shared" si="356"/>
        <v>0</v>
      </c>
      <c r="F184" s="18">
        <f t="shared" si="356"/>
        <v>0</v>
      </c>
      <c r="G184" s="18">
        <f t="shared" si="356"/>
        <v>0</v>
      </c>
      <c r="H184" s="18">
        <f t="shared" si="356"/>
        <v>0</v>
      </c>
      <c r="I184" s="18">
        <f t="shared" si="356"/>
        <v>0</v>
      </c>
      <c r="J184" s="18">
        <f t="shared" si="356"/>
        <v>0</v>
      </c>
      <c r="K184" s="18">
        <f t="shared" si="356"/>
        <v>0</v>
      </c>
      <c r="L184" s="18">
        <f t="shared" si="356"/>
        <v>0</v>
      </c>
      <c r="M184" s="18">
        <f t="shared" ref="M184:N184" si="357">IF(M183&gt;1000000,(M184-1000000)*0.3+130500,IF(M183&gt;760000,(M183-760000)*0.25+70500,IF(M183&gt;520000,(M183-520000)*0.2+22500,IF(M183&gt;270000,(M183-270000)*0.08+0,IF(M183&lt;270001,0,0)))))</f>
        <v>0</v>
      </c>
      <c r="N184" s="18">
        <f t="shared" si="357"/>
        <v>0</v>
      </c>
      <c r="O184" s="13">
        <f t="shared" si="255"/>
        <v>0</v>
      </c>
      <c r="P184" s="14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</row>
    <row r="185" spans="1:256" s="17" customFormat="1" x14ac:dyDescent="0.35">
      <c r="A185" s="17">
        <v>46</v>
      </c>
      <c r="B185" s="11" t="s">
        <v>63</v>
      </c>
      <c r="C185" s="12">
        <v>300000</v>
      </c>
      <c r="D185" s="12">
        <v>300000</v>
      </c>
      <c r="E185" s="12">
        <v>300000</v>
      </c>
      <c r="F185" s="12">
        <v>300000</v>
      </c>
      <c r="G185" s="12">
        <v>300000</v>
      </c>
      <c r="H185" s="12">
        <v>300000</v>
      </c>
      <c r="I185" s="12">
        <v>300000</v>
      </c>
      <c r="J185" s="12">
        <v>300000</v>
      </c>
      <c r="K185" s="12">
        <v>300000</v>
      </c>
      <c r="L185" s="12">
        <v>300000</v>
      </c>
      <c r="M185" s="12">
        <v>300000</v>
      </c>
      <c r="N185" s="12">
        <v>300000</v>
      </c>
      <c r="O185" s="13">
        <f t="shared" si="255"/>
        <v>3600000</v>
      </c>
      <c r="P185" s="14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</row>
    <row r="186" spans="1:256" s="17" customFormat="1" x14ac:dyDescent="0.35">
      <c r="B186" s="15" t="s">
        <v>15</v>
      </c>
      <c r="C186" s="16">
        <f t="shared" ref="C186:H186" si="358">C185*0.1</f>
        <v>30000</v>
      </c>
      <c r="D186" s="16">
        <f t="shared" si="358"/>
        <v>30000</v>
      </c>
      <c r="E186" s="16">
        <f t="shared" si="358"/>
        <v>30000</v>
      </c>
      <c r="F186" s="16">
        <f t="shared" si="358"/>
        <v>30000</v>
      </c>
      <c r="G186" s="16">
        <f t="shared" si="358"/>
        <v>30000</v>
      </c>
      <c r="H186" s="16">
        <f t="shared" si="358"/>
        <v>30000</v>
      </c>
      <c r="I186" s="16">
        <f t="shared" ref="I186:L186" si="359">I185*0.1</f>
        <v>30000</v>
      </c>
      <c r="J186" s="16">
        <f t="shared" si="359"/>
        <v>30000</v>
      </c>
      <c r="K186" s="16">
        <f t="shared" si="359"/>
        <v>30000</v>
      </c>
      <c r="L186" s="16">
        <f t="shared" si="359"/>
        <v>30000</v>
      </c>
      <c r="M186" s="16">
        <f t="shared" ref="M186:N186" si="360">M185*0.1</f>
        <v>30000</v>
      </c>
      <c r="N186" s="16">
        <f t="shared" si="360"/>
        <v>30000</v>
      </c>
      <c r="O186" s="13">
        <f t="shared" si="255"/>
        <v>360000</v>
      </c>
      <c r="P186" s="14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</row>
    <row r="187" spans="1:256" s="1" customFormat="1" x14ac:dyDescent="0.35">
      <c r="B187" s="15" t="s">
        <v>16</v>
      </c>
      <c r="C187" s="16">
        <f t="shared" ref="C187:H187" si="361">C185-C186</f>
        <v>270000</v>
      </c>
      <c r="D187" s="16">
        <f t="shared" si="361"/>
        <v>270000</v>
      </c>
      <c r="E187" s="16">
        <f t="shared" si="361"/>
        <v>270000</v>
      </c>
      <c r="F187" s="16">
        <f t="shared" si="361"/>
        <v>270000</v>
      </c>
      <c r="G187" s="16">
        <f t="shared" si="361"/>
        <v>270000</v>
      </c>
      <c r="H187" s="16">
        <f t="shared" si="361"/>
        <v>270000</v>
      </c>
      <c r="I187" s="16">
        <f t="shared" ref="I187:L187" si="362">I185-I186</f>
        <v>270000</v>
      </c>
      <c r="J187" s="16">
        <f t="shared" si="362"/>
        <v>270000</v>
      </c>
      <c r="K187" s="16">
        <f t="shared" si="362"/>
        <v>270000</v>
      </c>
      <c r="L187" s="16">
        <f t="shared" si="362"/>
        <v>270000</v>
      </c>
      <c r="M187" s="16">
        <f t="shared" ref="M187:N187" si="363">M185-M186</f>
        <v>270000</v>
      </c>
      <c r="N187" s="16">
        <f t="shared" si="363"/>
        <v>270000</v>
      </c>
      <c r="O187" s="13">
        <f t="shared" si="255"/>
        <v>3240000</v>
      </c>
      <c r="P187" s="14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</row>
    <row r="188" spans="1:256" s="1" customFormat="1" x14ac:dyDescent="0.35">
      <c r="B188" s="15" t="s">
        <v>17</v>
      </c>
      <c r="C188" s="18">
        <f t="shared" ref="C188:L188" si="364">IF(C187&gt;1000000,(C188-1000000)*0.3+130500,IF(C187&gt;760000,(C187-760000)*0.25+70500,IF(C187&gt;520000,(C187-520000)*0.2+22500,IF(C187&gt;270000,(C187-270000)*0.08+0,IF(C187&lt;270001,0,0)))))</f>
        <v>0</v>
      </c>
      <c r="D188" s="18">
        <f t="shared" si="364"/>
        <v>0</v>
      </c>
      <c r="E188" s="18">
        <f t="shared" si="364"/>
        <v>0</v>
      </c>
      <c r="F188" s="18">
        <f t="shared" si="364"/>
        <v>0</v>
      </c>
      <c r="G188" s="18">
        <f t="shared" si="364"/>
        <v>0</v>
      </c>
      <c r="H188" s="18">
        <f t="shared" si="364"/>
        <v>0</v>
      </c>
      <c r="I188" s="18">
        <f t="shared" si="364"/>
        <v>0</v>
      </c>
      <c r="J188" s="18">
        <f t="shared" si="364"/>
        <v>0</v>
      </c>
      <c r="K188" s="18">
        <f t="shared" si="364"/>
        <v>0</v>
      </c>
      <c r="L188" s="18">
        <f t="shared" si="364"/>
        <v>0</v>
      </c>
      <c r="M188" s="18">
        <f t="shared" ref="M188:N188" si="365">IF(M187&gt;1000000,(M188-1000000)*0.3+130500,IF(M187&gt;760000,(M187-760000)*0.25+70500,IF(M187&gt;520000,(M187-520000)*0.2+22500,IF(M187&gt;270000,(M187-270000)*0.08+0,IF(M187&lt;270001,0,0)))))</f>
        <v>0</v>
      </c>
      <c r="N188" s="18">
        <f t="shared" si="365"/>
        <v>0</v>
      </c>
      <c r="O188" s="13">
        <f t="shared" si="255"/>
        <v>0</v>
      </c>
      <c r="P188" s="14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</row>
    <row r="189" spans="1:256" s="17" customFormat="1" x14ac:dyDescent="0.35">
      <c r="A189" s="17">
        <v>47</v>
      </c>
      <c r="B189" s="11" t="s">
        <v>243</v>
      </c>
      <c r="C189" s="12">
        <v>200000</v>
      </c>
      <c r="D189" s="12">
        <v>200000</v>
      </c>
      <c r="E189" s="12">
        <v>200000</v>
      </c>
      <c r="F189" s="12">
        <v>200000</v>
      </c>
      <c r="G189" s="12">
        <v>200000</v>
      </c>
      <c r="H189" s="12">
        <v>200000</v>
      </c>
      <c r="I189" s="12">
        <v>200000</v>
      </c>
      <c r="J189" s="12">
        <v>200000</v>
      </c>
      <c r="K189" s="12">
        <v>200000</v>
      </c>
      <c r="L189" s="12">
        <v>200000</v>
      </c>
      <c r="M189" s="12">
        <v>200000</v>
      </c>
      <c r="N189" s="12">
        <v>200000</v>
      </c>
      <c r="O189" s="13">
        <f t="shared" si="255"/>
        <v>2400000</v>
      </c>
      <c r="P189" s="14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</row>
    <row r="190" spans="1:256" s="17" customFormat="1" x14ac:dyDescent="0.35">
      <c r="B190" s="15" t="s">
        <v>15</v>
      </c>
      <c r="C190" s="16">
        <f t="shared" ref="C190:H190" si="366">C189*0.1</f>
        <v>20000</v>
      </c>
      <c r="D190" s="16">
        <f t="shared" si="366"/>
        <v>20000</v>
      </c>
      <c r="E190" s="16">
        <f t="shared" si="366"/>
        <v>20000</v>
      </c>
      <c r="F190" s="16">
        <f t="shared" si="366"/>
        <v>20000</v>
      </c>
      <c r="G190" s="16">
        <f t="shared" si="366"/>
        <v>20000</v>
      </c>
      <c r="H190" s="16">
        <f t="shared" si="366"/>
        <v>20000</v>
      </c>
      <c r="I190" s="16">
        <f t="shared" ref="I190:L190" si="367">I189*0.1</f>
        <v>20000</v>
      </c>
      <c r="J190" s="16">
        <f t="shared" si="367"/>
        <v>20000</v>
      </c>
      <c r="K190" s="16">
        <f t="shared" si="367"/>
        <v>20000</v>
      </c>
      <c r="L190" s="16">
        <f t="shared" si="367"/>
        <v>20000</v>
      </c>
      <c r="M190" s="16">
        <f t="shared" ref="M190:N190" si="368">M189*0.1</f>
        <v>20000</v>
      </c>
      <c r="N190" s="16">
        <f t="shared" si="368"/>
        <v>20000</v>
      </c>
      <c r="O190" s="13">
        <f t="shared" si="255"/>
        <v>240000</v>
      </c>
      <c r="P190" s="14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</row>
    <row r="191" spans="1:256" s="1" customFormat="1" x14ac:dyDescent="0.35">
      <c r="B191" s="15" t="s">
        <v>16</v>
      </c>
      <c r="C191" s="16">
        <f t="shared" ref="C191:H191" si="369">C189-C190</f>
        <v>180000</v>
      </c>
      <c r="D191" s="16">
        <f t="shared" si="369"/>
        <v>180000</v>
      </c>
      <c r="E191" s="16">
        <f t="shared" si="369"/>
        <v>180000</v>
      </c>
      <c r="F191" s="16">
        <f t="shared" si="369"/>
        <v>180000</v>
      </c>
      <c r="G191" s="16">
        <f t="shared" si="369"/>
        <v>180000</v>
      </c>
      <c r="H191" s="16">
        <f t="shared" si="369"/>
        <v>180000</v>
      </c>
      <c r="I191" s="16">
        <f t="shared" ref="I191:L191" si="370">I189-I190</f>
        <v>180000</v>
      </c>
      <c r="J191" s="16">
        <f t="shared" si="370"/>
        <v>180000</v>
      </c>
      <c r="K191" s="16">
        <f t="shared" si="370"/>
        <v>180000</v>
      </c>
      <c r="L191" s="16">
        <f t="shared" si="370"/>
        <v>180000</v>
      </c>
      <c r="M191" s="16">
        <f t="shared" ref="M191:N191" si="371">M189-M190</f>
        <v>180000</v>
      </c>
      <c r="N191" s="16">
        <f t="shared" si="371"/>
        <v>180000</v>
      </c>
      <c r="O191" s="13">
        <f t="shared" si="255"/>
        <v>2160000</v>
      </c>
      <c r="P191" s="14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</row>
    <row r="192" spans="1:256" s="1" customFormat="1" x14ac:dyDescent="0.35">
      <c r="B192" s="15" t="s">
        <v>17</v>
      </c>
      <c r="C192" s="18">
        <f t="shared" ref="C192:L192" si="372">IF(C191&gt;1000000,(C192-1000000)*0.3+130500,IF(C191&gt;760000,(C191-760000)*0.25+70500,IF(C191&gt;520000,(C191-520000)*0.2+22500,IF(C191&gt;270000,(C191-270000)*0.08+0,IF(C191&lt;270001,0,0)))))</f>
        <v>0</v>
      </c>
      <c r="D192" s="18">
        <f t="shared" si="372"/>
        <v>0</v>
      </c>
      <c r="E192" s="18">
        <f t="shared" si="372"/>
        <v>0</v>
      </c>
      <c r="F192" s="18">
        <f t="shared" si="372"/>
        <v>0</v>
      </c>
      <c r="G192" s="18">
        <f t="shared" si="372"/>
        <v>0</v>
      </c>
      <c r="H192" s="18">
        <f t="shared" si="372"/>
        <v>0</v>
      </c>
      <c r="I192" s="18">
        <f t="shared" si="372"/>
        <v>0</v>
      </c>
      <c r="J192" s="18">
        <f t="shared" si="372"/>
        <v>0</v>
      </c>
      <c r="K192" s="18">
        <f t="shared" si="372"/>
        <v>0</v>
      </c>
      <c r="L192" s="18">
        <f t="shared" si="372"/>
        <v>0</v>
      </c>
      <c r="M192" s="18">
        <f t="shared" ref="M192:N192" si="373">IF(M191&gt;1000000,(M192-1000000)*0.3+130500,IF(M191&gt;760000,(M191-760000)*0.25+70500,IF(M191&gt;520000,(M191-520000)*0.2+22500,IF(M191&gt;270000,(M191-270000)*0.08+0,IF(M191&lt;270001,0,0)))))</f>
        <v>0</v>
      </c>
      <c r="N192" s="18">
        <f t="shared" si="373"/>
        <v>0</v>
      </c>
      <c r="O192" s="13">
        <f t="shared" si="255"/>
        <v>0</v>
      </c>
      <c r="P192" s="14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</row>
    <row r="193" spans="1:256" s="17" customFormat="1" x14ac:dyDescent="0.35">
      <c r="A193" s="17">
        <v>48</v>
      </c>
      <c r="B193" s="11" t="s">
        <v>65</v>
      </c>
      <c r="C193" s="12">
        <v>300000</v>
      </c>
      <c r="D193" s="12">
        <v>300000</v>
      </c>
      <c r="E193" s="12">
        <v>300000</v>
      </c>
      <c r="F193" s="12">
        <v>300000</v>
      </c>
      <c r="G193" s="12">
        <v>300000</v>
      </c>
      <c r="H193" s="12">
        <v>300000</v>
      </c>
      <c r="I193" s="12">
        <v>300000</v>
      </c>
      <c r="J193" s="12">
        <v>300000</v>
      </c>
      <c r="K193" s="12">
        <v>300000</v>
      </c>
      <c r="L193" s="12">
        <v>300000</v>
      </c>
      <c r="M193" s="12">
        <v>300000</v>
      </c>
      <c r="N193" s="12">
        <v>300000</v>
      </c>
      <c r="O193" s="13">
        <f t="shared" si="255"/>
        <v>3600000</v>
      </c>
      <c r="P193" s="14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</row>
    <row r="194" spans="1:256" s="17" customFormat="1" x14ac:dyDescent="0.35">
      <c r="B194" s="15" t="s">
        <v>15</v>
      </c>
      <c r="C194" s="16">
        <f t="shared" ref="C194:H194" si="374">C193*0.1</f>
        <v>30000</v>
      </c>
      <c r="D194" s="16">
        <f t="shared" si="374"/>
        <v>30000</v>
      </c>
      <c r="E194" s="16">
        <f t="shared" si="374"/>
        <v>30000</v>
      </c>
      <c r="F194" s="16">
        <f t="shared" si="374"/>
        <v>30000</v>
      </c>
      <c r="G194" s="16">
        <f t="shared" si="374"/>
        <v>30000</v>
      </c>
      <c r="H194" s="16">
        <f t="shared" si="374"/>
        <v>30000</v>
      </c>
      <c r="I194" s="16">
        <f t="shared" ref="I194:L194" si="375">I193*0.1</f>
        <v>30000</v>
      </c>
      <c r="J194" s="16">
        <f t="shared" si="375"/>
        <v>30000</v>
      </c>
      <c r="K194" s="16">
        <f t="shared" si="375"/>
        <v>30000</v>
      </c>
      <c r="L194" s="16">
        <f t="shared" si="375"/>
        <v>30000</v>
      </c>
      <c r="M194" s="16">
        <f t="shared" ref="M194:N194" si="376">M193*0.1</f>
        <v>30000</v>
      </c>
      <c r="N194" s="16">
        <f t="shared" si="376"/>
        <v>30000</v>
      </c>
      <c r="O194" s="13">
        <f t="shared" si="255"/>
        <v>360000</v>
      </c>
      <c r="P194" s="14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</row>
    <row r="195" spans="1:256" s="1" customFormat="1" x14ac:dyDescent="0.35">
      <c r="B195" s="15" t="s">
        <v>16</v>
      </c>
      <c r="C195" s="16">
        <f t="shared" ref="C195:H195" si="377">C193-C194</f>
        <v>270000</v>
      </c>
      <c r="D195" s="16">
        <f t="shared" si="377"/>
        <v>270000</v>
      </c>
      <c r="E195" s="16">
        <f t="shared" si="377"/>
        <v>270000</v>
      </c>
      <c r="F195" s="16">
        <f t="shared" si="377"/>
        <v>270000</v>
      </c>
      <c r="G195" s="16">
        <f t="shared" si="377"/>
        <v>270000</v>
      </c>
      <c r="H195" s="16">
        <f t="shared" si="377"/>
        <v>270000</v>
      </c>
      <c r="I195" s="16">
        <f t="shared" ref="I195:L195" si="378">I193-I194</f>
        <v>270000</v>
      </c>
      <c r="J195" s="16">
        <f t="shared" si="378"/>
        <v>270000</v>
      </c>
      <c r="K195" s="16">
        <f t="shared" si="378"/>
        <v>270000</v>
      </c>
      <c r="L195" s="16">
        <f t="shared" si="378"/>
        <v>270000</v>
      </c>
      <c r="M195" s="16">
        <f t="shared" ref="M195:N195" si="379">M193-M194</f>
        <v>270000</v>
      </c>
      <c r="N195" s="16">
        <f t="shared" si="379"/>
        <v>270000</v>
      </c>
      <c r="O195" s="13">
        <f t="shared" si="255"/>
        <v>3240000</v>
      </c>
      <c r="P195" s="14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</row>
    <row r="196" spans="1:256" s="1" customFormat="1" x14ac:dyDescent="0.35">
      <c r="B196" s="15" t="s">
        <v>17</v>
      </c>
      <c r="C196" s="18">
        <f t="shared" ref="C196:L196" si="380">IF(C195&gt;1000000,(C196-1000000)*0.3+130500,IF(C195&gt;760000,(C195-760000)*0.25+70500,IF(C195&gt;520000,(C195-520000)*0.2+22500,IF(C195&gt;270000,(C195-270000)*0.08+0,IF(C195&lt;270001,0,0)))))</f>
        <v>0</v>
      </c>
      <c r="D196" s="18">
        <f t="shared" si="380"/>
        <v>0</v>
      </c>
      <c r="E196" s="18">
        <f t="shared" si="380"/>
        <v>0</v>
      </c>
      <c r="F196" s="18">
        <f t="shared" si="380"/>
        <v>0</v>
      </c>
      <c r="G196" s="18">
        <f t="shared" si="380"/>
        <v>0</v>
      </c>
      <c r="H196" s="18">
        <f t="shared" si="380"/>
        <v>0</v>
      </c>
      <c r="I196" s="18">
        <f t="shared" si="380"/>
        <v>0</v>
      </c>
      <c r="J196" s="18">
        <f t="shared" si="380"/>
        <v>0</v>
      </c>
      <c r="K196" s="18">
        <f t="shared" si="380"/>
        <v>0</v>
      </c>
      <c r="L196" s="18">
        <f t="shared" si="380"/>
        <v>0</v>
      </c>
      <c r="M196" s="18">
        <f t="shared" ref="M196:N196" si="381">IF(M195&gt;1000000,(M196-1000000)*0.3+130500,IF(M195&gt;760000,(M195-760000)*0.25+70500,IF(M195&gt;520000,(M195-520000)*0.2+22500,IF(M195&gt;270000,(M195-270000)*0.08+0,IF(M195&lt;270001,0,0)))))</f>
        <v>0</v>
      </c>
      <c r="N196" s="18">
        <f t="shared" si="381"/>
        <v>0</v>
      </c>
      <c r="O196" s="13">
        <f t="shared" si="255"/>
        <v>0</v>
      </c>
      <c r="P196" s="14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</row>
    <row r="197" spans="1:256" s="17" customFormat="1" x14ac:dyDescent="0.35">
      <c r="A197" s="17">
        <v>49</v>
      </c>
      <c r="B197" s="11" t="s">
        <v>66</v>
      </c>
      <c r="C197" s="12">
        <v>300000</v>
      </c>
      <c r="D197" s="12">
        <v>300000</v>
      </c>
      <c r="E197" s="12">
        <v>300000</v>
      </c>
      <c r="F197" s="12">
        <v>300000</v>
      </c>
      <c r="G197" s="12">
        <v>300000</v>
      </c>
      <c r="H197" s="12">
        <v>300000</v>
      </c>
      <c r="I197" s="12">
        <v>300000</v>
      </c>
      <c r="J197" s="12">
        <v>300000</v>
      </c>
      <c r="K197" s="12">
        <v>300000</v>
      </c>
      <c r="L197" s="12">
        <v>300000</v>
      </c>
      <c r="M197" s="12">
        <v>300000</v>
      </c>
      <c r="N197" s="12">
        <v>300000</v>
      </c>
      <c r="O197" s="13">
        <f t="shared" ref="O197:O243" si="382">SUM(C197:N197)</f>
        <v>3600000</v>
      </c>
      <c r="P197" s="14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</row>
    <row r="198" spans="1:256" s="17" customFormat="1" x14ac:dyDescent="0.35">
      <c r="B198" s="15" t="s">
        <v>15</v>
      </c>
      <c r="C198" s="16">
        <f t="shared" ref="C198:H198" si="383">C197*0.1</f>
        <v>30000</v>
      </c>
      <c r="D198" s="16">
        <f t="shared" si="383"/>
        <v>30000</v>
      </c>
      <c r="E198" s="16">
        <f t="shared" si="383"/>
        <v>30000</v>
      </c>
      <c r="F198" s="16">
        <f t="shared" si="383"/>
        <v>30000</v>
      </c>
      <c r="G198" s="16">
        <f t="shared" si="383"/>
        <v>30000</v>
      </c>
      <c r="H198" s="16">
        <f t="shared" si="383"/>
        <v>30000</v>
      </c>
      <c r="I198" s="16">
        <f t="shared" ref="I198:L198" si="384">I197*0.1</f>
        <v>30000</v>
      </c>
      <c r="J198" s="16">
        <f t="shared" si="384"/>
        <v>30000</v>
      </c>
      <c r="K198" s="16">
        <f t="shared" si="384"/>
        <v>30000</v>
      </c>
      <c r="L198" s="16">
        <f t="shared" si="384"/>
        <v>30000</v>
      </c>
      <c r="M198" s="16">
        <f t="shared" ref="M198:N198" si="385">M197*0.1</f>
        <v>30000</v>
      </c>
      <c r="N198" s="16">
        <f t="shared" si="385"/>
        <v>30000</v>
      </c>
      <c r="O198" s="13">
        <f t="shared" si="382"/>
        <v>360000</v>
      </c>
      <c r="P198" s="14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</row>
    <row r="199" spans="1:256" s="1" customFormat="1" x14ac:dyDescent="0.35">
      <c r="B199" s="15" t="s">
        <v>16</v>
      </c>
      <c r="C199" s="16">
        <f t="shared" ref="C199:H199" si="386">C197-C198</f>
        <v>270000</v>
      </c>
      <c r="D199" s="16">
        <f t="shared" si="386"/>
        <v>270000</v>
      </c>
      <c r="E199" s="16">
        <f t="shared" si="386"/>
        <v>270000</v>
      </c>
      <c r="F199" s="16">
        <f t="shared" si="386"/>
        <v>270000</v>
      </c>
      <c r="G199" s="16">
        <f t="shared" si="386"/>
        <v>270000</v>
      </c>
      <c r="H199" s="16">
        <f t="shared" si="386"/>
        <v>270000</v>
      </c>
      <c r="I199" s="16">
        <f t="shared" ref="I199:L199" si="387">I197-I198</f>
        <v>270000</v>
      </c>
      <c r="J199" s="16">
        <f t="shared" si="387"/>
        <v>270000</v>
      </c>
      <c r="K199" s="16">
        <f t="shared" si="387"/>
        <v>270000</v>
      </c>
      <c r="L199" s="16">
        <f t="shared" si="387"/>
        <v>270000</v>
      </c>
      <c r="M199" s="16">
        <f t="shared" ref="M199:N199" si="388">M197-M198</f>
        <v>270000</v>
      </c>
      <c r="N199" s="16">
        <f t="shared" si="388"/>
        <v>270000</v>
      </c>
      <c r="O199" s="13">
        <f t="shared" si="382"/>
        <v>3240000</v>
      </c>
      <c r="P199" s="14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</row>
    <row r="200" spans="1:256" s="1" customFormat="1" x14ac:dyDescent="0.35">
      <c r="B200" s="15" t="s">
        <v>17</v>
      </c>
      <c r="C200" s="18">
        <f t="shared" ref="C200:L200" si="389">IF(C199&gt;1000000,(C200-1000000)*0.3+130500,IF(C199&gt;760000,(C199-760000)*0.25+70500,IF(C199&gt;520000,(C199-520000)*0.2+22500,IF(C199&gt;270000,(C199-270000)*0.08+0,IF(C199&lt;270001,0,0)))))</f>
        <v>0</v>
      </c>
      <c r="D200" s="18">
        <f t="shared" si="389"/>
        <v>0</v>
      </c>
      <c r="E200" s="18">
        <f t="shared" si="389"/>
        <v>0</v>
      </c>
      <c r="F200" s="18">
        <f t="shared" si="389"/>
        <v>0</v>
      </c>
      <c r="G200" s="18">
        <f t="shared" si="389"/>
        <v>0</v>
      </c>
      <c r="H200" s="18">
        <f t="shared" si="389"/>
        <v>0</v>
      </c>
      <c r="I200" s="18">
        <f t="shared" si="389"/>
        <v>0</v>
      </c>
      <c r="J200" s="18">
        <f t="shared" si="389"/>
        <v>0</v>
      </c>
      <c r="K200" s="18">
        <f t="shared" si="389"/>
        <v>0</v>
      </c>
      <c r="L200" s="18">
        <f t="shared" si="389"/>
        <v>0</v>
      </c>
      <c r="M200" s="18">
        <f t="shared" ref="M200:N200" si="390">IF(M199&gt;1000000,(M200-1000000)*0.3+130500,IF(M199&gt;760000,(M199-760000)*0.25+70500,IF(M199&gt;520000,(M199-520000)*0.2+22500,IF(M199&gt;270000,(M199-270000)*0.08+0,IF(M199&lt;270001,0,0)))))</f>
        <v>0</v>
      </c>
      <c r="N200" s="18">
        <f t="shared" si="390"/>
        <v>0</v>
      </c>
      <c r="O200" s="13">
        <f t="shared" si="382"/>
        <v>0</v>
      </c>
      <c r="P200" s="14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</row>
    <row r="201" spans="1:256" s="17" customFormat="1" x14ac:dyDescent="0.35">
      <c r="A201" s="17">
        <v>50</v>
      </c>
      <c r="B201" s="11" t="s">
        <v>67</v>
      </c>
      <c r="C201" s="12">
        <v>300000</v>
      </c>
      <c r="D201" s="12">
        <v>300000</v>
      </c>
      <c r="E201" s="12">
        <v>300000</v>
      </c>
      <c r="F201" s="12">
        <v>300000</v>
      </c>
      <c r="G201" s="12">
        <v>300000</v>
      </c>
      <c r="H201" s="12">
        <v>300000</v>
      </c>
      <c r="I201" s="12">
        <v>300000</v>
      </c>
      <c r="J201" s="12">
        <v>300000</v>
      </c>
      <c r="K201" s="12">
        <v>300000</v>
      </c>
      <c r="L201" s="12">
        <v>300000</v>
      </c>
      <c r="M201" s="12">
        <v>300000</v>
      </c>
      <c r="N201" s="12">
        <v>300000</v>
      </c>
      <c r="O201" s="13">
        <f t="shared" si="382"/>
        <v>3600000</v>
      </c>
      <c r="P201" s="14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</row>
    <row r="202" spans="1:256" s="17" customFormat="1" x14ac:dyDescent="0.35">
      <c r="B202" s="15" t="s">
        <v>15</v>
      </c>
      <c r="C202" s="16">
        <f t="shared" ref="C202:H202" si="391">C201*0.1</f>
        <v>30000</v>
      </c>
      <c r="D202" s="16">
        <f t="shared" si="391"/>
        <v>30000</v>
      </c>
      <c r="E202" s="16">
        <f t="shared" si="391"/>
        <v>30000</v>
      </c>
      <c r="F202" s="16">
        <f t="shared" si="391"/>
        <v>30000</v>
      </c>
      <c r="G202" s="16">
        <f t="shared" si="391"/>
        <v>30000</v>
      </c>
      <c r="H202" s="16">
        <f t="shared" si="391"/>
        <v>30000</v>
      </c>
      <c r="I202" s="16">
        <f t="shared" ref="I202:L202" si="392">I201*0.1</f>
        <v>30000</v>
      </c>
      <c r="J202" s="16">
        <f t="shared" si="392"/>
        <v>30000</v>
      </c>
      <c r="K202" s="16">
        <f t="shared" si="392"/>
        <v>30000</v>
      </c>
      <c r="L202" s="16">
        <f t="shared" si="392"/>
        <v>30000</v>
      </c>
      <c r="M202" s="16">
        <f t="shared" ref="M202:N202" si="393">M201*0.1</f>
        <v>30000</v>
      </c>
      <c r="N202" s="16">
        <f t="shared" si="393"/>
        <v>30000</v>
      </c>
      <c r="O202" s="13">
        <f t="shared" si="382"/>
        <v>360000</v>
      </c>
      <c r="P202" s="14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</row>
    <row r="203" spans="1:256" s="1" customFormat="1" x14ac:dyDescent="0.35">
      <c r="B203" s="15" t="s">
        <v>16</v>
      </c>
      <c r="C203" s="16">
        <f t="shared" ref="C203:H203" si="394">C201-C202</f>
        <v>270000</v>
      </c>
      <c r="D203" s="16">
        <f t="shared" si="394"/>
        <v>270000</v>
      </c>
      <c r="E203" s="16">
        <f t="shared" si="394"/>
        <v>270000</v>
      </c>
      <c r="F203" s="16">
        <f t="shared" si="394"/>
        <v>270000</v>
      </c>
      <c r="G203" s="16">
        <f t="shared" si="394"/>
        <v>270000</v>
      </c>
      <c r="H203" s="16">
        <f t="shared" si="394"/>
        <v>270000</v>
      </c>
      <c r="I203" s="16">
        <f t="shared" ref="I203:L203" si="395">I201-I202</f>
        <v>270000</v>
      </c>
      <c r="J203" s="16">
        <f t="shared" si="395"/>
        <v>270000</v>
      </c>
      <c r="K203" s="16">
        <f t="shared" si="395"/>
        <v>270000</v>
      </c>
      <c r="L203" s="16">
        <f t="shared" si="395"/>
        <v>270000</v>
      </c>
      <c r="M203" s="16">
        <f t="shared" ref="M203:N203" si="396">M201-M202</f>
        <v>270000</v>
      </c>
      <c r="N203" s="16">
        <f t="shared" si="396"/>
        <v>270000</v>
      </c>
      <c r="O203" s="13">
        <f t="shared" si="382"/>
        <v>3240000</v>
      </c>
      <c r="P203" s="14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</row>
    <row r="204" spans="1:256" s="1" customFormat="1" x14ac:dyDescent="0.35">
      <c r="B204" s="15" t="s">
        <v>17</v>
      </c>
      <c r="C204" s="18">
        <f t="shared" ref="C204:L204" si="397">IF(C203&gt;1000000,(C204-1000000)*0.3+130500,IF(C203&gt;760000,(C203-760000)*0.25+70500,IF(C203&gt;520000,(C203-520000)*0.2+22500,IF(C203&gt;270000,(C203-270000)*0.08+0,IF(C203&lt;270001,0,0)))))</f>
        <v>0</v>
      </c>
      <c r="D204" s="18">
        <f t="shared" si="397"/>
        <v>0</v>
      </c>
      <c r="E204" s="18">
        <f t="shared" si="397"/>
        <v>0</v>
      </c>
      <c r="F204" s="18">
        <f t="shared" si="397"/>
        <v>0</v>
      </c>
      <c r="G204" s="18">
        <f t="shared" si="397"/>
        <v>0</v>
      </c>
      <c r="H204" s="18">
        <f t="shared" si="397"/>
        <v>0</v>
      </c>
      <c r="I204" s="18">
        <f t="shared" si="397"/>
        <v>0</v>
      </c>
      <c r="J204" s="18">
        <f t="shared" si="397"/>
        <v>0</v>
      </c>
      <c r="K204" s="18">
        <f t="shared" si="397"/>
        <v>0</v>
      </c>
      <c r="L204" s="18">
        <f t="shared" si="397"/>
        <v>0</v>
      </c>
      <c r="M204" s="18">
        <f t="shared" ref="M204:N204" si="398">IF(M203&gt;1000000,(M204-1000000)*0.3+130500,IF(M203&gt;760000,(M203-760000)*0.25+70500,IF(M203&gt;520000,(M203-520000)*0.2+22500,IF(M203&gt;270000,(M203-270000)*0.08+0,IF(M203&lt;270001,0,0)))))</f>
        <v>0</v>
      </c>
      <c r="N204" s="18">
        <f t="shared" si="398"/>
        <v>0</v>
      </c>
      <c r="O204" s="13">
        <f t="shared" si="382"/>
        <v>0</v>
      </c>
      <c r="P204" s="14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</row>
    <row r="205" spans="1:256" s="17" customFormat="1" x14ac:dyDescent="0.35">
      <c r="A205" s="17">
        <v>51</v>
      </c>
      <c r="B205" s="11" t="s">
        <v>68</v>
      </c>
      <c r="C205" s="12">
        <v>300000</v>
      </c>
      <c r="D205" s="12">
        <v>300000</v>
      </c>
      <c r="E205" s="12">
        <v>300000</v>
      </c>
      <c r="F205" s="12">
        <v>300000</v>
      </c>
      <c r="G205" s="12">
        <v>300000</v>
      </c>
      <c r="H205" s="12">
        <v>300000</v>
      </c>
      <c r="I205" s="12">
        <v>300000</v>
      </c>
      <c r="J205" s="12">
        <v>300000</v>
      </c>
      <c r="K205" s="12">
        <v>300000</v>
      </c>
      <c r="L205" s="12">
        <v>300000</v>
      </c>
      <c r="M205" s="12">
        <v>300000</v>
      </c>
      <c r="N205" s="12">
        <v>300000</v>
      </c>
      <c r="O205" s="13">
        <f t="shared" si="382"/>
        <v>3600000</v>
      </c>
      <c r="P205" s="14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</row>
    <row r="206" spans="1:256" s="17" customFormat="1" x14ac:dyDescent="0.35">
      <c r="B206" s="15" t="s">
        <v>15</v>
      </c>
      <c r="C206" s="16">
        <f t="shared" ref="C206:H206" si="399">C205*0.1</f>
        <v>30000</v>
      </c>
      <c r="D206" s="16">
        <f t="shared" si="399"/>
        <v>30000</v>
      </c>
      <c r="E206" s="16">
        <f t="shared" si="399"/>
        <v>30000</v>
      </c>
      <c r="F206" s="16">
        <f t="shared" si="399"/>
        <v>30000</v>
      </c>
      <c r="G206" s="16">
        <f t="shared" si="399"/>
        <v>30000</v>
      </c>
      <c r="H206" s="16">
        <f t="shared" si="399"/>
        <v>30000</v>
      </c>
      <c r="I206" s="16">
        <f t="shared" ref="I206:L206" si="400">I205*0.1</f>
        <v>30000</v>
      </c>
      <c r="J206" s="16">
        <f t="shared" si="400"/>
        <v>30000</v>
      </c>
      <c r="K206" s="16">
        <f t="shared" si="400"/>
        <v>30000</v>
      </c>
      <c r="L206" s="16">
        <f t="shared" si="400"/>
        <v>30000</v>
      </c>
      <c r="M206" s="16">
        <f t="shared" ref="M206:N206" si="401">M205*0.1</f>
        <v>30000</v>
      </c>
      <c r="N206" s="16">
        <f t="shared" si="401"/>
        <v>30000</v>
      </c>
      <c r="O206" s="13">
        <f t="shared" si="382"/>
        <v>360000</v>
      </c>
      <c r="P206" s="14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</row>
    <row r="207" spans="1:256" s="1" customFormat="1" x14ac:dyDescent="0.35">
      <c r="B207" s="15" t="s">
        <v>16</v>
      </c>
      <c r="C207" s="16">
        <f t="shared" ref="C207:H207" si="402">C205-C206</f>
        <v>270000</v>
      </c>
      <c r="D207" s="16">
        <f t="shared" si="402"/>
        <v>270000</v>
      </c>
      <c r="E207" s="16">
        <f t="shared" si="402"/>
        <v>270000</v>
      </c>
      <c r="F207" s="16">
        <f t="shared" si="402"/>
        <v>270000</v>
      </c>
      <c r="G207" s="16">
        <f t="shared" si="402"/>
        <v>270000</v>
      </c>
      <c r="H207" s="16">
        <f t="shared" si="402"/>
        <v>270000</v>
      </c>
      <c r="I207" s="16">
        <f t="shared" ref="I207:L207" si="403">I205-I206</f>
        <v>270000</v>
      </c>
      <c r="J207" s="16">
        <f t="shared" si="403"/>
        <v>270000</v>
      </c>
      <c r="K207" s="16">
        <f t="shared" si="403"/>
        <v>270000</v>
      </c>
      <c r="L207" s="16">
        <f t="shared" si="403"/>
        <v>270000</v>
      </c>
      <c r="M207" s="16">
        <f t="shared" ref="M207:N207" si="404">M205-M206</f>
        <v>270000</v>
      </c>
      <c r="N207" s="16">
        <f t="shared" si="404"/>
        <v>270000</v>
      </c>
      <c r="O207" s="13">
        <f t="shared" si="382"/>
        <v>3240000</v>
      </c>
      <c r="P207" s="14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</row>
    <row r="208" spans="1:256" s="1" customFormat="1" x14ac:dyDescent="0.35">
      <c r="B208" s="15" t="s">
        <v>17</v>
      </c>
      <c r="C208" s="18">
        <f t="shared" ref="C208:L208" si="405">IF(C207&gt;1000000,(C208-1000000)*0.3+130500,IF(C207&gt;760000,(C207-760000)*0.25+70500,IF(C207&gt;520000,(C207-520000)*0.2+22500,IF(C207&gt;270000,(C207-270000)*0.08+0,IF(C207&lt;270001,0,0)))))</f>
        <v>0</v>
      </c>
      <c r="D208" s="18">
        <f t="shared" si="405"/>
        <v>0</v>
      </c>
      <c r="E208" s="18">
        <f t="shared" si="405"/>
        <v>0</v>
      </c>
      <c r="F208" s="18">
        <f t="shared" si="405"/>
        <v>0</v>
      </c>
      <c r="G208" s="18">
        <f t="shared" si="405"/>
        <v>0</v>
      </c>
      <c r="H208" s="18">
        <f t="shared" si="405"/>
        <v>0</v>
      </c>
      <c r="I208" s="18">
        <f t="shared" si="405"/>
        <v>0</v>
      </c>
      <c r="J208" s="18">
        <f t="shared" si="405"/>
        <v>0</v>
      </c>
      <c r="K208" s="18">
        <f t="shared" si="405"/>
        <v>0</v>
      </c>
      <c r="L208" s="18">
        <f t="shared" si="405"/>
        <v>0</v>
      </c>
      <c r="M208" s="18">
        <f t="shared" ref="M208:N208" si="406">IF(M207&gt;1000000,(M208-1000000)*0.3+130500,IF(M207&gt;760000,(M207-760000)*0.25+70500,IF(M207&gt;520000,(M207-520000)*0.2+22500,IF(M207&gt;270000,(M207-270000)*0.08+0,IF(M207&lt;270001,0,0)))))</f>
        <v>0</v>
      </c>
      <c r="N208" s="18">
        <f t="shared" si="406"/>
        <v>0</v>
      </c>
      <c r="O208" s="13">
        <f t="shared" si="382"/>
        <v>0</v>
      </c>
      <c r="P208" s="14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</row>
    <row r="209" spans="1:256" s="17" customFormat="1" x14ac:dyDescent="0.35">
      <c r="A209" s="17">
        <v>52</v>
      </c>
      <c r="B209" s="11" t="s">
        <v>69</v>
      </c>
      <c r="C209" s="12">
        <v>300000</v>
      </c>
      <c r="D209" s="12">
        <v>300000</v>
      </c>
      <c r="E209" s="12">
        <v>300000</v>
      </c>
      <c r="F209" s="12">
        <v>300000</v>
      </c>
      <c r="G209" s="12">
        <v>300000</v>
      </c>
      <c r="H209" s="12">
        <v>300000</v>
      </c>
      <c r="I209" s="12">
        <v>300000</v>
      </c>
      <c r="J209" s="12">
        <v>300000</v>
      </c>
      <c r="K209" s="12">
        <v>300000</v>
      </c>
      <c r="L209" s="12">
        <v>300000</v>
      </c>
      <c r="M209" s="12">
        <v>300000</v>
      </c>
      <c r="N209" s="12">
        <v>300000</v>
      </c>
      <c r="O209" s="13">
        <f t="shared" si="382"/>
        <v>3600000</v>
      </c>
      <c r="P209" s="14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</row>
    <row r="210" spans="1:256" s="17" customFormat="1" x14ac:dyDescent="0.35">
      <c r="B210" s="15" t="s">
        <v>15</v>
      </c>
      <c r="C210" s="16">
        <f t="shared" ref="C210:H210" si="407">C209*0.1</f>
        <v>30000</v>
      </c>
      <c r="D210" s="16">
        <f t="shared" si="407"/>
        <v>30000</v>
      </c>
      <c r="E210" s="16">
        <f t="shared" si="407"/>
        <v>30000</v>
      </c>
      <c r="F210" s="16">
        <f t="shared" si="407"/>
        <v>30000</v>
      </c>
      <c r="G210" s="16">
        <f t="shared" si="407"/>
        <v>30000</v>
      </c>
      <c r="H210" s="16">
        <f t="shared" si="407"/>
        <v>30000</v>
      </c>
      <c r="I210" s="16">
        <f t="shared" ref="I210:L210" si="408">I209*0.1</f>
        <v>30000</v>
      </c>
      <c r="J210" s="16">
        <f t="shared" si="408"/>
        <v>30000</v>
      </c>
      <c r="K210" s="16">
        <f t="shared" si="408"/>
        <v>30000</v>
      </c>
      <c r="L210" s="16">
        <f t="shared" si="408"/>
        <v>30000</v>
      </c>
      <c r="M210" s="16">
        <f t="shared" ref="M210:N210" si="409">M209*0.1</f>
        <v>30000</v>
      </c>
      <c r="N210" s="16">
        <f t="shared" si="409"/>
        <v>30000</v>
      </c>
      <c r="O210" s="13">
        <f t="shared" si="382"/>
        <v>360000</v>
      </c>
      <c r="P210" s="14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</row>
    <row r="211" spans="1:256" s="1" customFormat="1" x14ac:dyDescent="0.35">
      <c r="B211" s="15" t="s">
        <v>16</v>
      </c>
      <c r="C211" s="16">
        <f t="shared" ref="C211:H211" si="410">C209-C210</f>
        <v>270000</v>
      </c>
      <c r="D211" s="16">
        <f t="shared" si="410"/>
        <v>270000</v>
      </c>
      <c r="E211" s="16">
        <f t="shared" si="410"/>
        <v>270000</v>
      </c>
      <c r="F211" s="16">
        <f t="shared" si="410"/>
        <v>270000</v>
      </c>
      <c r="G211" s="16">
        <f t="shared" si="410"/>
        <v>270000</v>
      </c>
      <c r="H211" s="16">
        <f t="shared" si="410"/>
        <v>270000</v>
      </c>
      <c r="I211" s="16">
        <f t="shared" ref="I211:L211" si="411">I209-I210</f>
        <v>270000</v>
      </c>
      <c r="J211" s="16">
        <f t="shared" si="411"/>
        <v>270000</v>
      </c>
      <c r="K211" s="16">
        <f t="shared" si="411"/>
        <v>270000</v>
      </c>
      <c r="L211" s="16">
        <f t="shared" si="411"/>
        <v>270000</v>
      </c>
      <c r="M211" s="16">
        <f t="shared" ref="M211:N211" si="412">M209-M210</f>
        <v>270000</v>
      </c>
      <c r="N211" s="16">
        <f t="shared" si="412"/>
        <v>270000</v>
      </c>
      <c r="O211" s="13">
        <f t="shared" si="382"/>
        <v>3240000</v>
      </c>
      <c r="P211" s="14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</row>
    <row r="212" spans="1:256" s="1" customFormat="1" x14ac:dyDescent="0.35">
      <c r="B212" s="15" t="s">
        <v>17</v>
      </c>
      <c r="C212" s="18">
        <f t="shared" ref="C212:L212" si="413">IF(C211&gt;1000000,(C212-1000000)*0.3+130500,IF(C211&gt;760000,(C211-760000)*0.25+70500,IF(C211&gt;520000,(C211-520000)*0.2+22500,IF(C211&gt;270000,(C211-270000)*0.08+0,IF(C211&lt;270001,0,0)))))</f>
        <v>0</v>
      </c>
      <c r="D212" s="18">
        <f t="shared" si="413"/>
        <v>0</v>
      </c>
      <c r="E212" s="18">
        <f t="shared" si="413"/>
        <v>0</v>
      </c>
      <c r="F212" s="18">
        <f t="shared" si="413"/>
        <v>0</v>
      </c>
      <c r="G212" s="18">
        <f t="shared" si="413"/>
        <v>0</v>
      </c>
      <c r="H212" s="18">
        <f t="shared" si="413"/>
        <v>0</v>
      </c>
      <c r="I212" s="18">
        <f t="shared" si="413"/>
        <v>0</v>
      </c>
      <c r="J212" s="18">
        <f t="shared" si="413"/>
        <v>0</v>
      </c>
      <c r="K212" s="18">
        <f t="shared" si="413"/>
        <v>0</v>
      </c>
      <c r="L212" s="18">
        <f t="shared" si="413"/>
        <v>0</v>
      </c>
      <c r="M212" s="18">
        <f t="shared" ref="M212:N212" si="414">IF(M211&gt;1000000,(M212-1000000)*0.3+130500,IF(M211&gt;760000,(M211-760000)*0.25+70500,IF(M211&gt;520000,(M211-520000)*0.2+22500,IF(M211&gt;270000,(M211-270000)*0.08+0,IF(M211&lt;270001,0,0)))))</f>
        <v>0</v>
      </c>
      <c r="N212" s="18">
        <f t="shared" si="414"/>
        <v>0</v>
      </c>
      <c r="O212" s="13">
        <f t="shared" si="382"/>
        <v>0</v>
      </c>
      <c r="P212" s="14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</row>
    <row r="213" spans="1:256" s="17" customFormat="1" x14ac:dyDescent="0.35">
      <c r="A213" s="17">
        <v>53</v>
      </c>
      <c r="B213" s="11" t="s">
        <v>70</v>
      </c>
      <c r="C213" s="12">
        <v>300000</v>
      </c>
      <c r="D213" s="12">
        <v>300000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3">
        <f t="shared" si="382"/>
        <v>600000</v>
      </c>
      <c r="P213" s="14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</row>
    <row r="214" spans="1:256" s="17" customFormat="1" x14ac:dyDescent="0.35">
      <c r="B214" s="15" t="s">
        <v>15</v>
      </c>
      <c r="C214" s="16">
        <f t="shared" ref="C214:H214" si="415">C213*0.1</f>
        <v>30000</v>
      </c>
      <c r="D214" s="16">
        <f t="shared" si="415"/>
        <v>30000</v>
      </c>
      <c r="E214" s="16">
        <f t="shared" si="415"/>
        <v>0</v>
      </c>
      <c r="F214" s="16">
        <f t="shared" si="415"/>
        <v>0</v>
      </c>
      <c r="G214" s="16">
        <f t="shared" si="415"/>
        <v>0</v>
      </c>
      <c r="H214" s="16">
        <f t="shared" si="415"/>
        <v>0</v>
      </c>
      <c r="I214" s="16">
        <f t="shared" ref="I214:L214" si="416">I213*0.1</f>
        <v>0</v>
      </c>
      <c r="J214" s="16">
        <f t="shared" si="416"/>
        <v>0</v>
      </c>
      <c r="K214" s="16">
        <f t="shared" si="416"/>
        <v>0</v>
      </c>
      <c r="L214" s="16">
        <f t="shared" si="416"/>
        <v>0</v>
      </c>
      <c r="M214" s="16">
        <f t="shared" ref="M214:N214" si="417">M213*0.1</f>
        <v>0</v>
      </c>
      <c r="N214" s="16">
        <f t="shared" si="417"/>
        <v>0</v>
      </c>
      <c r="O214" s="13">
        <f t="shared" si="382"/>
        <v>60000</v>
      </c>
      <c r="P214" s="14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</row>
    <row r="215" spans="1:256" s="1" customFormat="1" x14ac:dyDescent="0.35">
      <c r="B215" s="15" t="s">
        <v>16</v>
      </c>
      <c r="C215" s="16">
        <f t="shared" ref="C215:L215" si="418">C213-C214</f>
        <v>270000</v>
      </c>
      <c r="D215" s="16">
        <f t="shared" si="418"/>
        <v>270000</v>
      </c>
      <c r="E215" s="16">
        <f t="shared" si="418"/>
        <v>0</v>
      </c>
      <c r="F215" s="16">
        <f t="shared" si="418"/>
        <v>0</v>
      </c>
      <c r="G215" s="16">
        <f t="shared" si="418"/>
        <v>0</v>
      </c>
      <c r="H215" s="16">
        <f t="shared" si="418"/>
        <v>0</v>
      </c>
      <c r="I215" s="16">
        <f t="shared" si="418"/>
        <v>0</v>
      </c>
      <c r="J215" s="16">
        <f t="shared" si="418"/>
        <v>0</v>
      </c>
      <c r="K215" s="16">
        <f t="shared" si="418"/>
        <v>0</v>
      </c>
      <c r="L215" s="16">
        <f t="shared" si="418"/>
        <v>0</v>
      </c>
      <c r="M215" s="16">
        <f t="shared" ref="M215:N215" si="419">M213-M214</f>
        <v>0</v>
      </c>
      <c r="N215" s="16">
        <f t="shared" si="419"/>
        <v>0</v>
      </c>
      <c r="O215" s="13">
        <f t="shared" si="382"/>
        <v>540000</v>
      </c>
      <c r="P215" s="14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</row>
    <row r="216" spans="1:256" s="1" customFormat="1" x14ac:dyDescent="0.35">
      <c r="B216" s="15" t="s">
        <v>17</v>
      </c>
      <c r="C216" s="18">
        <f t="shared" ref="C216:L216" si="420">IF(C215&gt;1000000,(C216-1000000)*0.3+130500,IF(C215&gt;760000,(C215-760000)*0.25+70500,IF(C215&gt;520000,(C215-520000)*0.2+22500,IF(C215&gt;270000,(C215-270000)*0.08+0,IF(C215&lt;270001,0,0)))))</f>
        <v>0</v>
      </c>
      <c r="D216" s="18">
        <f t="shared" si="420"/>
        <v>0</v>
      </c>
      <c r="E216" s="18">
        <f t="shared" si="420"/>
        <v>0</v>
      </c>
      <c r="F216" s="18">
        <f t="shared" si="420"/>
        <v>0</v>
      </c>
      <c r="G216" s="18">
        <f t="shared" si="420"/>
        <v>0</v>
      </c>
      <c r="H216" s="18">
        <f t="shared" si="420"/>
        <v>0</v>
      </c>
      <c r="I216" s="18">
        <f t="shared" si="420"/>
        <v>0</v>
      </c>
      <c r="J216" s="18">
        <f t="shared" si="420"/>
        <v>0</v>
      </c>
      <c r="K216" s="18">
        <f t="shared" si="420"/>
        <v>0</v>
      </c>
      <c r="L216" s="18">
        <f t="shared" si="420"/>
        <v>0</v>
      </c>
      <c r="M216" s="18">
        <f t="shared" ref="M216:N216" si="421">IF(M215&gt;1000000,(M216-1000000)*0.3+130500,IF(M215&gt;760000,(M215-760000)*0.25+70500,IF(M215&gt;520000,(M215-520000)*0.2+22500,IF(M215&gt;270000,(M215-270000)*0.08+0,IF(M215&lt;270001,0,0)))))</f>
        <v>0</v>
      </c>
      <c r="N216" s="18">
        <f t="shared" si="421"/>
        <v>0</v>
      </c>
      <c r="O216" s="13">
        <f t="shared" si="382"/>
        <v>0</v>
      </c>
      <c r="P216" s="14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</row>
    <row r="217" spans="1:256" s="17" customFormat="1" x14ac:dyDescent="0.35">
      <c r="A217" s="17">
        <v>54</v>
      </c>
      <c r="B217" s="11" t="s">
        <v>71</v>
      </c>
      <c r="C217" s="12">
        <v>300000</v>
      </c>
      <c r="D217" s="12">
        <v>300000</v>
      </c>
      <c r="E217" s="12">
        <v>300000</v>
      </c>
      <c r="F217" s="12">
        <v>300000</v>
      </c>
      <c r="G217" s="12">
        <v>300000</v>
      </c>
      <c r="H217" s="12">
        <v>300000</v>
      </c>
      <c r="I217" s="12">
        <v>300000</v>
      </c>
      <c r="J217" s="12">
        <v>300000</v>
      </c>
      <c r="K217" s="12">
        <v>300000</v>
      </c>
      <c r="L217" s="12">
        <v>300000</v>
      </c>
      <c r="M217" s="12">
        <v>300000</v>
      </c>
      <c r="N217" s="12">
        <v>300000</v>
      </c>
      <c r="O217" s="13">
        <f t="shared" si="382"/>
        <v>3600000</v>
      </c>
      <c r="P217" s="14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</row>
    <row r="218" spans="1:256" s="17" customFormat="1" x14ac:dyDescent="0.35">
      <c r="B218" s="15" t="s">
        <v>15</v>
      </c>
      <c r="C218" s="16">
        <f t="shared" ref="C218:H218" si="422">C217*0.1</f>
        <v>30000</v>
      </c>
      <c r="D218" s="16">
        <f t="shared" si="422"/>
        <v>30000</v>
      </c>
      <c r="E218" s="16">
        <f t="shared" si="422"/>
        <v>30000</v>
      </c>
      <c r="F218" s="16">
        <f t="shared" si="422"/>
        <v>30000</v>
      </c>
      <c r="G218" s="16">
        <f t="shared" si="422"/>
        <v>30000</v>
      </c>
      <c r="H218" s="16">
        <f t="shared" si="422"/>
        <v>30000</v>
      </c>
      <c r="I218" s="16">
        <f t="shared" ref="I218:L218" si="423">I217*0.1</f>
        <v>30000</v>
      </c>
      <c r="J218" s="16">
        <f t="shared" si="423"/>
        <v>30000</v>
      </c>
      <c r="K218" s="16">
        <f t="shared" si="423"/>
        <v>30000</v>
      </c>
      <c r="L218" s="16">
        <f t="shared" si="423"/>
        <v>30000</v>
      </c>
      <c r="M218" s="16">
        <f t="shared" ref="M218:N218" si="424">M217*0.1</f>
        <v>30000</v>
      </c>
      <c r="N218" s="16">
        <f t="shared" si="424"/>
        <v>30000</v>
      </c>
      <c r="O218" s="13">
        <f t="shared" si="382"/>
        <v>360000</v>
      </c>
      <c r="P218" s="14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</row>
    <row r="219" spans="1:256" s="1" customFormat="1" x14ac:dyDescent="0.35">
      <c r="B219" s="15" t="s">
        <v>16</v>
      </c>
      <c r="C219" s="16">
        <f t="shared" ref="C219:H219" si="425">C217-C218</f>
        <v>270000</v>
      </c>
      <c r="D219" s="16">
        <f t="shared" si="425"/>
        <v>270000</v>
      </c>
      <c r="E219" s="16">
        <f t="shared" si="425"/>
        <v>270000</v>
      </c>
      <c r="F219" s="16">
        <f t="shared" si="425"/>
        <v>270000</v>
      </c>
      <c r="G219" s="16">
        <f t="shared" si="425"/>
        <v>270000</v>
      </c>
      <c r="H219" s="16">
        <f t="shared" si="425"/>
        <v>270000</v>
      </c>
      <c r="I219" s="16">
        <f t="shared" ref="I219:L219" si="426">I217-I218</f>
        <v>270000</v>
      </c>
      <c r="J219" s="16">
        <f t="shared" si="426"/>
        <v>270000</v>
      </c>
      <c r="K219" s="16">
        <f t="shared" si="426"/>
        <v>270000</v>
      </c>
      <c r="L219" s="16">
        <f t="shared" si="426"/>
        <v>270000</v>
      </c>
      <c r="M219" s="16">
        <f t="shared" ref="M219:N219" si="427">M217-M218</f>
        <v>270000</v>
      </c>
      <c r="N219" s="16">
        <f t="shared" si="427"/>
        <v>270000</v>
      </c>
      <c r="O219" s="13">
        <f t="shared" si="382"/>
        <v>3240000</v>
      </c>
      <c r="P219" s="14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</row>
    <row r="220" spans="1:256" s="1" customFormat="1" x14ac:dyDescent="0.35">
      <c r="B220" s="15" t="s">
        <v>17</v>
      </c>
      <c r="C220" s="18">
        <f t="shared" ref="C220:L220" si="428">IF(C219&gt;1000000,(C220-1000000)*0.3+130500,IF(C219&gt;760000,(C219-760000)*0.25+70500,IF(C219&gt;520000,(C219-520000)*0.2+22500,IF(C219&gt;270000,(C219-270000)*0.08+0,IF(C219&lt;270001,0,0)))))</f>
        <v>0</v>
      </c>
      <c r="D220" s="18">
        <f t="shared" si="428"/>
        <v>0</v>
      </c>
      <c r="E220" s="18">
        <f t="shared" si="428"/>
        <v>0</v>
      </c>
      <c r="F220" s="18">
        <f t="shared" si="428"/>
        <v>0</v>
      </c>
      <c r="G220" s="18">
        <f t="shared" si="428"/>
        <v>0</v>
      </c>
      <c r="H220" s="18">
        <f t="shared" si="428"/>
        <v>0</v>
      </c>
      <c r="I220" s="18">
        <f t="shared" si="428"/>
        <v>0</v>
      </c>
      <c r="J220" s="18">
        <f t="shared" si="428"/>
        <v>0</v>
      </c>
      <c r="K220" s="18">
        <f t="shared" si="428"/>
        <v>0</v>
      </c>
      <c r="L220" s="18">
        <f t="shared" si="428"/>
        <v>0</v>
      </c>
      <c r="M220" s="18">
        <f t="shared" ref="M220:N220" si="429">IF(M219&gt;1000000,(M220-1000000)*0.3+130500,IF(M219&gt;760000,(M219-760000)*0.25+70500,IF(M219&gt;520000,(M219-520000)*0.2+22500,IF(M219&gt;270000,(M219-270000)*0.08+0,IF(M219&lt;270001,0,0)))))</f>
        <v>0</v>
      </c>
      <c r="N220" s="18">
        <f t="shared" si="429"/>
        <v>0</v>
      </c>
      <c r="O220" s="13">
        <f t="shared" si="382"/>
        <v>0</v>
      </c>
      <c r="P220" s="14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</row>
    <row r="221" spans="1:256" s="17" customFormat="1" x14ac:dyDescent="0.35">
      <c r="A221" s="17">
        <v>55</v>
      </c>
      <c r="B221" s="11" t="s">
        <v>244</v>
      </c>
      <c r="C221" s="12">
        <v>200000</v>
      </c>
      <c r="D221" s="12">
        <v>200000</v>
      </c>
      <c r="E221" s="12">
        <v>200000</v>
      </c>
      <c r="F221" s="12">
        <v>200000</v>
      </c>
      <c r="G221" s="12">
        <v>200000</v>
      </c>
      <c r="H221" s="12">
        <v>200000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3">
        <f t="shared" si="382"/>
        <v>1200000</v>
      </c>
      <c r="P221" s="14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</row>
    <row r="222" spans="1:256" s="17" customFormat="1" x14ac:dyDescent="0.35">
      <c r="B222" s="15" t="s">
        <v>15</v>
      </c>
      <c r="C222" s="16">
        <f t="shared" ref="C222:H222" si="430">C221*0.1</f>
        <v>20000</v>
      </c>
      <c r="D222" s="16">
        <f t="shared" si="430"/>
        <v>20000</v>
      </c>
      <c r="E222" s="16">
        <f t="shared" si="430"/>
        <v>20000</v>
      </c>
      <c r="F222" s="16">
        <f t="shared" si="430"/>
        <v>20000</v>
      </c>
      <c r="G222" s="16">
        <f t="shared" si="430"/>
        <v>20000</v>
      </c>
      <c r="H222" s="16">
        <f t="shared" si="430"/>
        <v>20000</v>
      </c>
      <c r="I222" s="16">
        <f t="shared" ref="I222:L222" si="431">I221*0.1</f>
        <v>0</v>
      </c>
      <c r="J222" s="16">
        <f t="shared" si="431"/>
        <v>0</v>
      </c>
      <c r="K222" s="16">
        <f t="shared" si="431"/>
        <v>0</v>
      </c>
      <c r="L222" s="16">
        <f t="shared" si="431"/>
        <v>0</v>
      </c>
      <c r="M222" s="16">
        <f t="shared" ref="M222:N222" si="432">M221*0.1</f>
        <v>0</v>
      </c>
      <c r="N222" s="16">
        <f t="shared" si="432"/>
        <v>0</v>
      </c>
      <c r="O222" s="13">
        <f t="shared" si="382"/>
        <v>120000</v>
      </c>
      <c r="P222" s="14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</row>
    <row r="223" spans="1:256" s="1" customFormat="1" x14ac:dyDescent="0.35">
      <c r="B223" s="15" t="s">
        <v>16</v>
      </c>
      <c r="C223" s="16">
        <f t="shared" ref="C223:H223" si="433">C221-C222</f>
        <v>180000</v>
      </c>
      <c r="D223" s="16">
        <f t="shared" si="433"/>
        <v>180000</v>
      </c>
      <c r="E223" s="16">
        <f t="shared" si="433"/>
        <v>180000</v>
      </c>
      <c r="F223" s="16">
        <f t="shared" si="433"/>
        <v>180000</v>
      </c>
      <c r="G223" s="16">
        <f t="shared" si="433"/>
        <v>180000</v>
      </c>
      <c r="H223" s="16">
        <f t="shared" si="433"/>
        <v>180000</v>
      </c>
      <c r="I223" s="16">
        <f t="shared" ref="I223:L223" si="434">I221-I222</f>
        <v>0</v>
      </c>
      <c r="J223" s="16">
        <f t="shared" si="434"/>
        <v>0</v>
      </c>
      <c r="K223" s="16">
        <f t="shared" si="434"/>
        <v>0</v>
      </c>
      <c r="L223" s="16">
        <f t="shared" si="434"/>
        <v>0</v>
      </c>
      <c r="M223" s="16">
        <f t="shared" ref="M223:N223" si="435">M221-M222</f>
        <v>0</v>
      </c>
      <c r="N223" s="16">
        <f t="shared" si="435"/>
        <v>0</v>
      </c>
      <c r="O223" s="13">
        <f t="shared" si="382"/>
        <v>1080000</v>
      </c>
      <c r="P223" s="14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</row>
    <row r="224" spans="1:256" s="1" customFormat="1" x14ac:dyDescent="0.35">
      <c r="B224" s="15" t="s">
        <v>17</v>
      </c>
      <c r="C224" s="18">
        <f t="shared" ref="C224:L224" si="436">IF(C223&gt;1000000,(C224-1000000)*0.3+130500,IF(C223&gt;760000,(C223-760000)*0.25+70500,IF(C223&gt;520000,(C223-520000)*0.2+22500,IF(C223&gt;270000,(C223-270000)*0.08+0,IF(C223&lt;270001,0,0)))))</f>
        <v>0</v>
      </c>
      <c r="D224" s="18">
        <f t="shared" si="436"/>
        <v>0</v>
      </c>
      <c r="E224" s="18">
        <f t="shared" si="436"/>
        <v>0</v>
      </c>
      <c r="F224" s="18">
        <f t="shared" si="436"/>
        <v>0</v>
      </c>
      <c r="G224" s="18">
        <f t="shared" si="436"/>
        <v>0</v>
      </c>
      <c r="H224" s="18">
        <f t="shared" si="436"/>
        <v>0</v>
      </c>
      <c r="I224" s="18">
        <f t="shared" si="436"/>
        <v>0</v>
      </c>
      <c r="J224" s="18">
        <f t="shared" si="436"/>
        <v>0</v>
      </c>
      <c r="K224" s="18">
        <f t="shared" si="436"/>
        <v>0</v>
      </c>
      <c r="L224" s="18">
        <f t="shared" si="436"/>
        <v>0</v>
      </c>
      <c r="M224" s="18">
        <f t="shared" ref="M224:N224" si="437">IF(M223&gt;1000000,(M224-1000000)*0.3+130500,IF(M223&gt;760000,(M223-760000)*0.25+70500,IF(M223&gt;520000,(M223-520000)*0.2+22500,IF(M223&gt;270000,(M223-270000)*0.08+0,IF(M223&lt;270001,0,0)))))</f>
        <v>0</v>
      </c>
      <c r="N224" s="18">
        <f t="shared" si="437"/>
        <v>0</v>
      </c>
      <c r="O224" s="13">
        <f t="shared" si="382"/>
        <v>0</v>
      </c>
      <c r="P224" s="14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</row>
    <row r="225" spans="1:256" s="17" customFormat="1" x14ac:dyDescent="0.35">
      <c r="A225" s="17">
        <v>56</v>
      </c>
      <c r="B225" s="11" t="s">
        <v>22</v>
      </c>
      <c r="C225" s="12">
        <v>500000</v>
      </c>
      <c r="D225" s="12">
        <v>500000</v>
      </c>
      <c r="E225" s="12">
        <v>500000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3">
        <f t="shared" si="382"/>
        <v>1500000</v>
      </c>
      <c r="P225" s="14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</row>
    <row r="226" spans="1:256" s="17" customFormat="1" x14ac:dyDescent="0.35">
      <c r="B226" s="15" t="s">
        <v>15</v>
      </c>
      <c r="C226" s="16">
        <f t="shared" ref="C226:L226" si="438">C225*0.1</f>
        <v>50000</v>
      </c>
      <c r="D226" s="16">
        <f t="shared" si="438"/>
        <v>50000</v>
      </c>
      <c r="E226" s="16">
        <f t="shared" si="438"/>
        <v>50000</v>
      </c>
      <c r="F226" s="16">
        <f t="shared" si="438"/>
        <v>0</v>
      </c>
      <c r="G226" s="16">
        <f t="shared" si="438"/>
        <v>0</v>
      </c>
      <c r="H226" s="16">
        <f t="shared" si="438"/>
        <v>0</v>
      </c>
      <c r="I226" s="16">
        <f t="shared" si="438"/>
        <v>0</v>
      </c>
      <c r="J226" s="16">
        <f t="shared" si="438"/>
        <v>0</v>
      </c>
      <c r="K226" s="16">
        <f t="shared" si="438"/>
        <v>0</v>
      </c>
      <c r="L226" s="16">
        <f t="shared" si="438"/>
        <v>0</v>
      </c>
      <c r="M226" s="16">
        <f t="shared" ref="M226:N226" si="439">M225*0.1</f>
        <v>0</v>
      </c>
      <c r="N226" s="16">
        <f t="shared" si="439"/>
        <v>0</v>
      </c>
      <c r="O226" s="13">
        <f t="shared" si="382"/>
        <v>150000</v>
      </c>
      <c r="P226" s="14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</row>
    <row r="227" spans="1:256" s="1" customFormat="1" x14ac:dyDescent="0.35">
      <c r="B227" s="15" t="s">
        <v>16</v>
      </c>
      <c r="C227" s="16">
        <f t="shared" ref="C227:L227" si="440">C225-C226</f>
        <v>450000</v>
      </c>
      <c r="D227" s="16">
        <f t="shared" si="440"/>
        <v>450000</v>
      </c>
      <c r="E227" s="16">
        <f t="shared" si="440"/>
        <v>450000</v>
      </c>
      <c r="F227" s="16">
        <f t="shared" si="440"/>
        <v>0</v>
      </c>
      <c r="G227" s="16">
        <f t="shared" si="440"/>
        <v>0</v>
      </c>
      <c r="H227" s="16">
        <f t="shared" si="440"/>
        <v>0</v>
      </c>
      <c r="I227" s="16">
        <f t="shared" si="440"/>
        <v>0</v>
      </c>
      <c r="J227" s="16">
        <f t="shared" si="440"/>
        <v>0</v>
      </c>
      <c r="K227" s="16">
        <f t="shared" si="440"/>
        <v>0</v>
      </c>
      <c r="L227" s="16">
        <f t="shared" si="440"/>
        <v>0</v>
      </c>
      <c r="M227" s="16">
        <f t="shared" ref="M227:N227" si="441">M225-M226</f>
        <v>0</v>
      </c>
      <c r="N227" s="16">
        <f t="shared" si="441"/>
        <v>0</v>
      </c>
      <c r="O227" s="13">
        <f t="shared" si="382"/>
        <v>1350000</v>
      </c>
      <c r="P227" s="14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</row>
    <row r="228" spans="1:256" s="1" customFormat="1" x14ac:dyDescent="0.35">
      <c r="B228" s="15" t="s">
        <v>17</v>
      </c>
      <c r="C228" s="18">
        <f t="shared" ref="C228:L228" si="442">IF(C227&gt;1000000,(C228-1000000)*0.3+130500,IF(C227&gt;760000,(C227-760000)*0.25+70500,IF(C227&gt;520000,(C227-520000)*0.2+22500,IF(C227&gt;270000,(C227-270000)*0.08+0,IF(C227&lt;270001,0,0)))))</f>
        <v>14400</v>
      </c>
      <c r="D228" s="18">
        <f t="shared" si="442"/>
        <v>14400</v>
      </c>
      <c r="E228" s="18">
        <f t="shared" si="442"/>
        <v>14400</v>
      </c>
      <c r="F228" s="18">
        <f t="shared" si="442"/>
        <v>0</v>
      </c>
      <c r="G228" s="18">
        <f t="shared" si="442"/>
        <v>0</v>
      </c>
      <c r="H228" s="18">
        <f t="shared" si="442"/>
        <v>0</v>
      </c>
      <c r="I228" s="18">
        <f t="shared" si="442"/>
        <v>0</v>
      </c>
      <c r="J228" s="18">
        <f t="shared" si="442"/>
        <v>0</v>
      </c>
      <c r="K228" s="18">
        <f t="shared" si="442"/>
        <v>0</v>
      </c>
      <c r="L228" s="18">
        <f t="shared" si="442"/>
        <v>0</v>
      </c>
      <c r="M228" s="18">
        <f t="shared" ref="M228:N228" si="443">IF(M227&gt;1000000,(M228-1000000)*0.3+130500,IF(M227&gt;760000,(M227-760000)*0.25+70500,IF(M227&gt;520000,(M227-520000)*0.2+22500,IF(M227&gt;270000,(M227-270000)*0.08+0,IF(M227&lt;270001,0,0)))))</f>
        <v>0</v>
      </c>
      <c r="N228" s="18">
        <f t="shared" si="443"/>
        <v>0</v>
      </c>
      <c r="O228" s="13">
        <f t="shared" si="382"/>
        <v>43200</v>
      </c>
      <c r="P228" s="14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</row>
    <row r="229" spans="1:256" s="17" customFormat="1" x14ac:dyDescent="0.35">
      <c r="A229" s="17">
        <v>57</v>
      </c>
      <c r="B229" s="11" t="s">
        <v>64</v>
      </c>
      <c r="C229" s="12">
        <v>300000</v>
      </c>
      <c r="D229" s="12">
        <v>300000</v>
      </c>
      <c r="E229" s="12">
        <v>300000</v>
      </c>
      <c r="F229" s="12">
        <v>300000</v>
      </c>
      <c r="G229" s="12">
        <v>300000</v>
      </c>
      <c r="H229" s="12">
        <v>300000</v>
      </c>
      <c r="I229" s="12">
        <v>300000</v>
      </c>
      <c r="J229" s="12">
        <v>300000</v>
      </c>
      <c r="K229" s="12">
        <v>300000</v>
      </c>
      <c r="L229" s="12">
        <v>300000</v>
      </c>
      <c r="M229" s="12">
        <v>300000</v>
      </c>
      <c r="N229" s="12">
        <v>300000</v>
      </c>
      <c r="O229" s="13">
        <f t="shared" si="382"/>
        <v>3600000</v>
      </c>
      <c r="P229" s="14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</row>
    <row r="230" spans="1:256" s="17" customFormat="1" x14ac:dyDescent="0.35">
      <c r="B230" s="15" t="s">
        <v>15</v>
      </c>
      <c r="C230" s="16">
        <f t="shared" ref="C230:H230" si="444">C229*0.1</f>
        <v>30000</v>
      </c>
      <c r="D230" s="16">
        <f t="shared" si="444"/>
        <v>30000</v>
      </c>
      <c r="E230" s="16">
        <f t="shared" si="444"/>
        <v>30000</v>
      </c>
      <c r="F230" s="16">
        <f t="shared" si="444"/>
        <v>30000</v>
      </c>
      <c r="G230" s="16">
        <f t="shared" si="444"/>
        <v>30000</v>
      </c>
      <c r="H230" s="16">
        <f t="shared" si="444"/>
        <v>30000</v>
      </c>
      <c r="I230" s="16">
        <f t="shared" ref="I230:L230" si="445">I229*0.1</f>
        <v>30000</v>
      </c>
      <c r="J230" s="16">
        <f t="shared" si="445"/>
        <v>30000</v>
      </c>
      <c r="K230" s="16">
        <f t="shared" si="445"/>
        <v>30000</v>
      </c>
      <c r="L230" s="16">
        <f t="shared" si="445"/>
        <v>30000</v>
      </c>
      <c r="M230" s="16">
        <f t="shared" ref="M230:N230" si="446">M229*0.1</f>
        <v>30000</v>
      </c>
      <c r="N230" s="16">
        <f t="shared" si="446"/>
        <v>30000</v>
      </c>
      <c r="O230" s="13">
        <f t="shared" si="382"/>
        <v>360000</v>
      </c>
      <c r="P230" s="14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</row>
    <row r="231" spans="1:256" s="1" customFormat="1" x14ac:dyDescent="0.35">
      <c r="B231" s="15" t="s">
        <v>16</v>
      </c>
      <c r="C231" s="16">
        <f t="shared" ref="C231:H231" si="447">C229-C230</f>
        <v>270000</v>
      </c>
      <c r="D231" s="16">
        <f t="shared" si="447"/>
        <v>270000</v>
      </c>
      <c r="E231" s="16">
        <f t="shared" si="447"/>
        <v>270000</v>
      </c>
      <c r="F231" s="16">
        <f t="shared" si="447"/>
        <v>270000</v>
      </c>
      <c r="G231" s="16">
        <f t="shared" si="447"/>
        <v>270000</v>
      </c>
      <c r="H231" s="16">
        <f t="shared" si="447"/>
        <v>270000</v>
      </c>
      <c r="I231" s="16">
        <f t="shared" ref="I231:L231" si="448">I229-I230</f>
        <v>270000</v>
      </c>
      <c r="J231" s="16">
        <f t="shared" si="448"/>
        <v>270000</v>
      </c>
      <c r="K231" s="16">
        <f t="shared" si="448"/>
        <v>270000</v>
      </c>
      <c r="L231" s="16">
        <f t="shared" si="448"/>
        <v>270000</v>
      </c>
      <c r="M231" s="16">
        <f t="shared" ref="M231:N231" si="449">M229-M230</f>
        <v>270000</v>
      </c>
      <c r="N231" s="16">
        <f t="shared" si="449"/>
        <v>270000</v>
      </c>
      <c r="O231" s="13">
        <f t="shared" si="382"/>
        <v>3240000</v>
      </c>
      <c r="P231" s="14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</row>
    <row r="232" spans="1:256" s="1" customFormat="1" x14ac:dyDescent="0.35">
      <c r="B232" s="15" t="s">
        <v>17</v>
      </c>
      <c r="C232" s="18">
        <f t="shared" ref="C232:L232" si="450">IF(C231&gt;1000000,(C232-1000000)*0.3+130500,IF(C231&gt;760000,(C231-760000)*0.25+70500,IF(C231&gt;520000,(C231-520000)*0.2+22500,IF(C231&gt;270000,(C231-270000)*0.08+0,IF(C231&lt;270001,0,0)))))</f>
        <v>0</v>
      </c>
      <c r="D232" s="18">
        <f t="shared" si="450"/>
        <v>0</v>
      </c>
      <c r="E232" s="18">
        <f t="shared" si="450"/>
        <v>0</v>
      </c>
      <c r="F232" s="18">
        <f t="shared" si="450"/>
        <v>0</v>
      </c>
      <c r="G232" s="18">
        <f t="shared" si="450"/>
        <v>0</v>
      </c>
      <c r="H232" s="18">
        <f t="shared" si="450"/>
        <v>0</v>
      </c>
      <c r="I232" s="18">
        <f t="shared" si="450"/>
        <v>0</v>
      </c>
      <c r="J232" s="18">
        <f t="shared" si="450"/>
        <v>0</v>
      </c>
      <c r="K232" s="18">
        <f t="shared" si="450"/>
        <v>0</v>
      </c>
      <c r="L232" s="18">
        <f t="shared" si="450"/>
        <v>0</v>
      </c>
      <c r="M232" s="18">
        <f t="shared" ref="M232:N232" si="451">IF(M231&gt;1000000,(M232-1000000)*0.3+130500,IF(M231&gt;760000,(M231-760000)*0.25+70500,IF(M231&gt;520000,(M231-520000)*0.2+22500,IF(M231&gt;270000,(M231-270000)*0.08+0,IF(M231&lt;270001,0,0)))))</f>
        <v>0</v>
      </c>
      <c r="N232" s="18">
        <f t="shared" si="451"/>
        <v>0</v>
      </c>
      <c r="O232" s="13">
        <f t="shared" si="382"/>
        <v>0</v>
      </c>
      <c r="P232" s="14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</row>
    <row r="233" spans="1:256" s="17" customFormat="1" x14ac:dyDescent="0.35">
      <c r="A233" s="17">
        <v>58</v>
      </c>
      <c r="B233" s="11" t="s">
        <v>252</v>
      </c>
      <c r="C233" s="12">
        <v>200000</v>
      </c>
      <c r="D233" s="12">
        <v>200000</v>
      </c>
      <c r="E233" s="12">
        <v>200000</v>
      </c>
      <c r="F233" s="12">
        <v>200000</v>
      </c>
      <c r="G233" s="12">
        <v>200000</v>
      </c>
      <c r="H233" s="12">
        <v>200000</v>
      </c>
      <c r="I233" s="12">
        <v>200000</v>
      </c>
      <c r="J233" s="12">
        <v>200000</v>
      </c>
      <c r="K233" s="12">
        <v>200000</v>
      </c>
      <c r="L233" s="12">
        <v>200000</v>
      </c>
      <c r="M233" s="12">
        <v>200000</v>
      </c>
      <c r="N233" s="12">
        <v>200000</v>
      </c>
      <c r="O233" s="13">
        <f t="shared" si="382"/>
        <v>2400000</v>
      </c>
      <c r="P233" s="14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</row>
    <row r="234" spans="1:256" s="17" customFormat="1" x14ac:dyDescent="0.35">
      <c r="B234" s="15" t="s">
        <v>15</v>
      </c>
      <c r="C234" s="16">
        <f t="shared" ref="C234:H234" si="452">C233*0.1</f>
        <v>20000</v>
      </c>
      <c r="D234" s="16">
        <f t="shared" si="452"/>
        <v>20000</v>
      </c>
      <c r="E234" s="16">
        <f t="shared" si="452"/>
        <v>20000</v>
      </c>
      <c r="F234" s="16">
        <f t="shared" si="452"/>
        <v>20000</v>
      </c>
      <c r="G234" s="16">
        <f t="shared" si="452"/>
        <v>20000</v>
      </c>
      <c r="H234" s="16">
        <f t="shared" si="452"/>
        <v>20000</v>
      </c>
      <c r="I234" s="16">
        <f t="shared" ref="I234:L234" si="453">I233*0.1</f>
        <v>20000</v>
      </c>
      <c r="J234" s="16">
        <f t="shared" si="453"/>
        <v>20000</v>
      </c>
      <c r="K234" s="16">
        <f t="shared" si="453"/>
        <v>20000</v>
      </c>
      <c r="L234" s="16">
        <f t="shared" si="453"/>
        <v>20000</v>
      </c>
      <c r="M234" s="16">
        <f t="shared" ref="M234:N234" si="454">M233*0.1</f>
        <v>20000</v>
      </c>
      <c r="N234" s="16">
        <f t="shared" si="454"/>
        <v>20000</v>
      </c>
      <c r="O234" s="13">
        <f t="shared" si="382"/>
        <v>240000</v>
      </c>
      <c r="P234" s="14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</row>
    <row r="235" spans="1:256" s="1" customFormat="1" x14ac:dyDescent="0.35">
      <c r="B235" s="15" t="s">
        <v>16</v>
      </c>
      <c r="C235" s="16">
        <f t="shared" ref="C235:H235" si="455">C233-C234</f>
        <v>180000</v>
      </c>
      <c r="D235" s="16">
        <f t="shared" si="455"/>
        <v>180000</v>
      </c>
      <c r="E235" s="16">
        <f t="shared" si="455"/>
        <v>180000</v>
      </c>
      <c r="F235" s="16">
        <f t="shared" si="455"/>
        <v>180000</v>
      </c>
      <c r="G235" s="16">
        <f t="shared" si="455"/>
        <v>180000</v>
      </c>
      <c r="H235" s="16">
        <f t="shared" si="455"/>
        <v>180000</v>
      </c>
      <c r="I235" s="16">
        <f t="shared" ref="I235:L235" si="456">I233-I234</f>
        <v>180000</v>
      </c>
      <c r="J235" s="16">
        <f t="shared" si="456"/>
        <v>180000</v>
      </c>
      <c r="K235" s="16">
        <f t="shared" si="456"/>
        <v>180000</v>
      </c>
      <c r="L235" s="16">
        <f t="shared" si="456"/>
        <v>180000</v>
      </c>
      <c r="M235" s="16">
        <f t="shared" ref="M235:N235" si="457">M233-M234</f>
        <v>180000</v>
      </c>
      <c r="N235" s="16">
        <f t="shared" si="457"/>
        <v>180000</v>
      </c>
      <c r="O235" s="13">
        <f t="shared" si="382"/>
        <v>2160000</v>
      </c>
      <c r="P235" s="14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</row>
    <row r="236" spans="1:256" s="1" customFormat="1" x14ac:dyDescent="0.35">
      <c r="B236" s="15" t="s">
        <v>17</v>
      </c>
      <c r="C236" s="18">
        <f t="shared" ref="C236:L236" si="458">IF(C235&gt;1000000,(C236-1000000)*0.3+130500,IF(C235&gt;760000,(C235-760000)*0.25+70500,IF(C235&gt;520000,(C235-520000)*0.2+22500,IF(C235&gt;270000,(C235-270000)*0.08+0,IF(C235&lt;270001,0,0)))))</f>
        <v>0</v>
      </c>
      <c r="D236" s="18">
        <f t="shared" si="458"/>
        <v>0</v>
      </c>
      <c r="E236" s="18">
        <f t="shared" si="458"/>
        <v>0</v>
      </c>
      <c r="F236" s="18">
        <f t="shared" si="458"/>
        <v>0</v>
      </c>
      <c r="G236" s="18">
        <f t="shared" si="458"/>
        <v>0</v>
      </c>
      <c r="H236" s="18">
        <f t="shared" si="458"/>
        <v>0</v>
      </c>
      <c r="I236" s="18">
        <f t="shared" si="458"/>
        <v>0</v>
      </c>
      <c r="J236" s="18">
        <f t="shared" si="458"/>
        <v>0</v>
      </c>
      <c r="K236" s="18">
        <f t="shared" si="458"/>
        <v>0</v>
      </c>
      <c r="L236" s="18">
        <f t="shared" si="458"/>
        <v>0</v>
      </c>
      <c r="M236" s="18">
        <f t="shared" ref="M236:N236" si="459">IF(M235&gt;1000000,(M236-1000000)*0.3+130500,IF(M235&gt;760000,(M235-760000)*0.25+70500,IF(M235&gt;520000,(M235-520000)*0.2+22500,IF(M235&gt;270000,(M235-270000)*0.08+0,IF(M235&lt;270001,0,0)))))</f>
        <v>0</v>
      </c>
      <c r="N236" s="18">
        <f t="shared" si="459"/>
        <v>0</v>
      </c>
      <c r="O236" s="13">
        <f t="shared" si="382"/>
        <v>0</v>
      </c>
      <c r="P236" s="14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</row>
    <row r="237" spans="1:256" s="17" customFormat="1" x14ac:dyDescent="0.35">
      <c r="A237" s="17">
        <v>59</v>
      </c>
      <c r="B237" s="11" t="s">
        <v>253</v>
      </c>
      <c r="C237" s="12">
        <v>300000</v>
      </c>
      <c r="D237" s="12">
        <v>300000</v>
      </c>
      <c r="E237" s="12">
        <v>300000</v>
      </c>
      <c r="F237" s="12">
        <v>300000</v>
      </c>
      <c r="G237" s="12">
        <v>300000</v>
      </c>
      <c r="H237" s="12">
        <v>300000</v>
      </c>
      <c r="I237" s="12">
        <v>300000</v>
      </c>
      <c r="J237" s="12">
        <v>300000</v>
      </c>
      <c r="K237" s="12">
        <v>300000</v>
      </c>
      <c r="L237" s="12">
        <v>300000</v>
      </c>
      <c r="M237" s="12">
        <v>300000</v>
      </c>
      <c r="N237" s="12">
        <v>300000</v>
      </c>
      <c r="O237" s="13">
        <f t="shared" si="382"/>
        <v>3600000</v>
      </c>
      <c r="P237" s="14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</row>
    <row r="238" spans="1:256" s="17" customFormat="1" x14ac:dyDescent="0.35">
      <c r="B238" s="15" t="s">
        <v>15</v>
      </c>
      <c r="C238" s="16">
        <f t="shared" ref="C238:H238" si="460">C237*0.1</f>
        <v>30000</v>
      </c>
      <c r="D238" s="16">
        <f t="shared" si="460"/>
        <v>30000</v>
      </c>
      <c r="E238" s="16">
        <f t="shared" si="460"/>
        <v>30000</v>
      </c>
      <c r="F238" s="16">
        <f t="shared" si="460"/>
        <v>30000</v>
      </c>
      <c r="G238" s="16">
        <f t="shared" si="460"/>
        <v>30000</v>
      </c>
      <c r="H238" s="16">
        <f t="shared" si="460"/>
        <v>30000</v>
      </c>
      <c r="I238" s="16">
        <f t="shared" ref="I238:L238" si="461">I237*0.1</f>
        <v>30000</v>
      </c>
      <c r="J238" s="16">
        <f t="shared" si="461"/>
        <v>30000</v>
      </c>
      <c r="K238" s="16">
        <f t="shared" si="461"/>
        <v>30000</v>
      </c>
      <c r="L238" s="16">
        <f t="shared" si="461"/>
        <v>30000</v>
      </c>
      <c r="M238" s="16">
        <f t="shared" ref="M238:N238" si="462">M237*0.1</f>
        <v>30000</v>
      </c>
      <c r="N238" s="16">
        <f t="shared" si="462"/>
        <v>30000</v>
      </c>
      <c r="O238" s="13">
        <f t="shared" si="382"/>
        <v>360000</v>
      </c>
      <c r="P238" s="14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</row>
    <row r="239" spans="1:256" s="1" customFormat="1" x14ac:dyDescent="0.35">
      <c r="B239" s="15" t="s">
        <v>16</v>
      </c>
      <c r="C239" s="16">
        <f t="shared" ref="C239:H239" si="463">C237-C238</f>
        <v>270000</v>
      </c>
      <c r="D239" s="16">
        <f t="shared" si="463"/>
        <v>270000</v>
      </c>
      <c r="E239" s="16">
        <f t="shared" si="463"/>
        <v>270000</v>
      </c>
      <c r="F239" s="16">
        <f t="shared" si="463"/>
        <v>270000</v>
      </c>
      <c r="G239" s="16">
        <f t="shared" si="463"/>
        <v>270000</v>
      </c>
      <c r="H239" s="16">
        <f t="shared" si="463"/>
        <v>270000</v>
      </c>
      <c r="I239" s="16">
        <f t="shared" ref="I239:L239" si="464">I237-I238</f>
        <v>270000</v>
      </c>
      <c r="J239" s="16">
        <f t="shared" si="464"/>
        <v>270000</v>
      </c>
      <c r="K239" s="16">
        <f t="shared" si="464"/>
        <v>270000</v>
      </c>
      <c r="L239" s="16">
        <f t="shared" si="464"/>
        <v>270000</v>
      </c>
      <c r="M239" s="16">
        <f t="shared" ref="M239:N239" si="465">M237-M238</f>
        <v>270000</v>
      </c>
      <c r="N239" s="16">
        <f t="shared" si="465"/>
        <v>270000</v>
      </c>
      <c r="O239" s="13">
        <f t="shared" si="382"/>
        <v>3240000</v>
      </c>
      <c r="P239" s="14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</row>
    <row r="240" spans="1:256" s="1" customFormat="1" x14ac:dyDescent="0.35">
      <c r="B240" s="15" t="s">
        <v>17</v>
      </c>
      <c r="C240" s="18">
        <f t="shared" ref="C240:L240" si="466">IF(C239&gt;1000000,(C240-1000000)*0.3+130500,IF(C239&gt;760000,(C239-760000)*0.25+70500,IF(C239&gt;520000,(C239-520000)*0.2+22500,IF(C239&gt;270000,(C239-270000)*0.08+0,IF(C239&lt;270001,0,0)))))</f>
        <v>0</v>
      </c>
      <c r="D240" s="18">
        <f t="shared" si="466"/>
        <v>0</v>
      </c>
      <c r="E240" s="18">
        <f t="shared" si="466"/>
        <v>0</v>
      </c>
      <c r="F240" s="18">
        <f t="shared" si="466"/>
        <v>0</v>
      </c>
      <c r="G240" s="18">
        <f t="shared" si="466"/>
        <v>0</v>
      </c>
      <c r="H240" s="18">
        <f t="shared" si="466"/>
        <v>0</v>
      </c>
      <c r="I240" s="18">
        <f t="shared" si="466"/>
        <v>0</v>
      </c>
      <c r="J240" s="18">
        <f t="shared" si="466"/>
        <v>0</v>
      </c>
      <c r="K240" s="18">
        <f t="shared" si="466"/>
        <v>0</v>
      </c>
      <c r="L240" s="18">
        <f t="shared" si="466"/>
        <v>0</v>
      </c>
      <c r="M240" s="18">
        <f t="shared" ref="M240:N240" si="467">IF(M239&gt;1000000,(M240-1000000)*0.3+130500,IF(M239&gt;760000,(M239-760000)*0.25+70500,IF(M239&gt;520000,(M239-520000)*0.2+22500,IF(M239&gt;270000,(M239-270000)*0.08+0,IF(M239&lt;270001,0,0)))))</f>
        <v>0</v>
      </c>
      <c r="N240" s="18">
        <f t="shared" si="467"/>
        <v>0</v>
      </c>
      <c r="O240" s="13">
        <f t="shared" si="382"/>
        <v>0</v>
      </c>
      <c r="P240" s="14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</row>
    <row r="241" spans="1:256" s="17" customFormat="1" x14ac:dyDescent="0.35">
      <c r="A241" s="17">
        <v>60</v>
      </c>
      <c r="B241" s="11" t="s">
        <v>341</v>
      </c>
      <c r="C241" s="12">
        <v>0</v>
      </c>
      <c r="D241" s="12">
        <v>300000</v>
      </c>
      <c r="E241" s="12">
        <v>300000</v>
      </c>
      <c r="F241" s="12">
        <v>300000</v>
      </c>
      <c r="G241" s="12">
        <v>300000</v>
      </c>
      <c r="H241" s="12">
        <v>300000</v>
      </c>
      <c r="I241" s="12">
        <v>300000</v>
      </c>
      <c r="J241" s="12">
        <v>300000</v>
      </c>
      <c r="K241" s="12">
        <v>300000</v>
      </c>
      <c r="L241" s="12">
        <v>300000</v>
      </c>
      <c r="M241" s="12">
        <v>300000</v>
      </c>
      <c r="N241" s="12">
        <v>300000</v>
      </c>
      <c r="O241" s="13">
        <f t="shared" si="382"/>
        <v>3300000</v>
      </c>
      <c r="P241" s="14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</row>
    <row r="242" spans="1:256" s="17" customFormat="1" x14ac:dyDescent="0.35">
      <c r="B242" s="15" t="s">
        <v>15</v>
      </c>
      <c r="C242" s="16">
        <f t="shared" ref="C242:L242" si="468">C241*0.1</f>
        <v>0</v>
      </c>
      <c r="D242" s="16">
        <f t="shared" si="468"/>
        <v>30000</v>
      </c>
      <c r="E242" s="16">
        <f t="shared" si="468"/>
        <v>30000</v>
      </c>
      <c r="F242" s="16">
        <f t="shared" si="468"/>
        <v>30000</v>
      </c>
      <c r="G242" s="16">
        <f t="shared" si="468"/>
        <v>30000</v>
      </c>
      <c r="H242" s="16">
        <f t="shared" si="468"/>
        <v>30000</v>
      </c>
      <c r="I242" s="16">
        <f t="shared" si="468"/>
        <v>30000</v>
      </c>
      <c r="J242" s="16">
        <f t="shared" si="468"/>
        <v>30000</v>
      </c>
      <c r="K242" s="16">
        <f t="shared" si="468"/>
        <v>30000</v>
      </c>
      <c r="L242" s="16">
        <f t="shared" si="468"/>
        <v>30000</v>
      </c>
      <c r="M242" s="16">
        <f t="shared" ref="M242:N242" si="469">M241*0.1</f>
        <v>30000</v>
      </c>
      <c r="N242" s="16">
        <f t="shared" si="469"/>
        <v>30000</v>
      </c>
      <c r="O242" s="13">
        <f t="shared" si="382"/>
        <v>330000</v>
      </c>
      <c r="P242" s="14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</row>
    <row r="243" spans="1:256" s="1" customFormat="1" x14ac:dyDescent="0.35">
      <c r="B243" s="15" t="s">
        <v>16</v>
      </c>
      <c r="C243" s="16">
        <f t="shared" ref="C243:L243" si="470">C241-C242</f>
        <v>0</v>
      </c>
      <c r="D243" s="16">
        <f t="shared" si="470"/>
        <v>270000</v>
      </c>
      <c r="E243" s="16">
        <f t="shared" si="470"/>
        <v>270000</v>
      </c>
      <c r="F243" s="16">
        <f t="shared" si="470"/>
        <v>270000</v>
      </c>
      <c r="G243" s="16">
        <f t="shared" si="470"/>
        <v>270000</v>
      </c>
      <c r="H243" s="16">
        <f t="shared" si="470"/>
        <v>270000</v>
      </c>
      <c r="I243" s="16">
        <f t="shared" si="470"/>
        <v>270000</v>
      </c>
      <c r="J243" s="16">
        <f t="shared" si="470"/>
        <v>270000</v>
      </c>
      <c r="K243" s="16">
        <f t="shared" si="470"/>
        <v>270000</v>
      </c>
      <c r="L243" s="16">
        <f t="shared" si="470"/>
        <v>270000</v>
      </c>
      <c r="M243" s="16">
        <f t="shared" ref="M243:N243" si="471">M241-M242</f>
        <v>270000</v>
      </c>
      <c r="N243" s="16">
        <f t="shared" si="471"/>
        <v>270000</v>
      </c>
      <c r="O243" s="13">
        <f t="shared" si="382"/>
        <v>2970000</v>
      </c>
      <c r="P243" s="14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</row>
    <row r="244" spans="1:256" s="1" customFormat="1" x14ac:dyDescent="0.35">
      <c r="B244" s="15" t="s">
        <v>17</v>
      </c>
      <c r="C244" s="18">
        <f t="shared" ref="C244:L244" si="472">IF(C243&gt;1000000,(C244-1000000)*0.3+130500,IF(C243&gt;760000,(C243-760000)*0.25+70500,IF(C243&gt;520000,(C243-520000)*0.2+22500,IF(C243&gt;270000,(C243-270000)*0.08+0,IF(C243&lt;270001,0,0)))))</f>
        <v>0</v>
      </c>
      <c r="D244" s="18">
        <f t="shared" si="472"/>
        <v>0</v>
      </c>
      <c r="E244" s="18">
        <f t="shared" si="472"/>
        <v>0</v>
      </c>
      <c r="F244" s="18">
        <f t="shared" si="472"/>
        <v>0</v>
      </c>
      <c r="G244" s="18">
        <f t="shared" si="472"/>
        <v>0</v>
      </c>
      <c r="H244" s="18">
        <f t="shared" si="472"/>
        <v>0</v>
      </c>
      <c r="I244" s="18">
        <f t="shared" si="472"/>
        <v>0</v>
      </c>
      <c r="J244" s="18">
        <f t="shared" si="472"/>
        <v>0</v>
      </c>
      <c r="K244" s="18">
        <f t="shared" si="472"/>
        <v>0</v>
      </c>
      <c r="L244" s="18">
        <f t="shared" si="472"/>
        <v>0</v>
      </c>
      <c r="M244" s="18">
        <f t="shared" ref="M244:N244" si="473">IF(M243&gt;1000000,(M244-1000000)*0.3+130500,IF(M243&gt;760000,(M243-760000)*0.25+70500,IF(M243&gt;520000,(M243-520000)*0.2+22500,IF(M243&gt;270000,(M243-270000)*0.08+0,IF(M243&lt;270001,0,0)))))</f>
        <v>0</v>
      </c>
      <c r="N244" s="18">
        <f t="shared" si="473"/>
        <v>0</v>
      </c>
      <c r="O244" s="13">
        <f t="shared" ref="O244:O264" si="474">SUM(C244:N244)</f>
        <v>0</v>
      </c>
      <c r="P244" s="14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</row>
    <row r="245" spans="1:256" s="17" customFormat="1" x14ac:dyDescent="0.35">
      <c r="A245" s="17">
        <v>61</v>
      </c>
      <c r="B245" s="11" t="s">
        <v>342</v>
      </c>
      <c r="C245" s="12">
        <v>0</v>
      </c>
      <c r="D245" s="12">
        <v>300000</v>
      </c>
      <c r="E245" s="12">
        <v>300000</v>
      </c>
      <c r="F245" s="12">
        <v>300000</v>
      </c>
      <c r="G245" s="12">
        <v>300000</v>
      </c>
      <c r="H245" s="12">
        <v>300000</v>
      </c>
      <c r="I245" s="12">
        <v>300000</v>
      </c>
      <c r="J245" s="12">
        <v>300000</v>
      </c>
      <c r="K245" s="12">
        <v>300000</v>
      </c>
      <c r="L245" s="12">
        <v>300000</v>
      </c>
      <c r="M245" s="12">
        <v>300000</v>
      </c>
      <c r="N245" s="12">
        <v>300000</v>
      </c>
      <c r="O245" s="13">
        <f t="shared" si="474"/>
        <v>3300000</v>
      </c>
      <c r="P245" s="14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</row>
    <row r="246" spans="1:256" s="17" customFormat="1" x14ac:dyDescent="0.35">
      <c r="B246" s="15" t="s">
        <v>15</v>
      </c>
      <c r="C246" s="16">
        <f t="shared" ref="C246:L246" si="475">C245*0.1</f>
        <v>0</v>
      </c>
      <c r="D246" s="16">
        <f t="shared" si="475"/>
        <v>30000</v>
      </c>
      <c r="E246" s="16">
        <f t="shared" si="475"/>
        <v>30000</v>
      </c>
      <c r="F246" s="16">
        <f t="shared" si="475"/>
        <v>30000</v>
      </c>
      <c r="G246" s="16">
        <f t="shared" si="475"/>
        <v>30000</v>
      </c>
      <c r="H246" s="16">
        <f t="shared" si="475"/>
        <v>30000</v>
      </c>
      <c r="I246" s="16">
        <f t="shared" si="475"/>
        <v>30000</v>
      </c>
      <c r="J246" s="16">
        <f t="shared" si="475"/>
        <v>30000</v>
      </c>
      <c r="K246" s="16">
        <f t="shared" si="475"/>
        <v>30000</v>
      </c>
      <c r="L246" s="16">
        <f t="shared" si="475"/>
        <v>30000</v>
      </c>
      <c r="M246" s="16">
        <f t="shared" ref="M246:N246" si="476">M245*0.1</f>
        <v>30000</v>
      </c>
      <c r="N246" s="16">
        <f t="shared" si="476"/>
        <v>30000</v>
      </c>
      <c r="O246" s="13">
        <f t="shared" si="474"/>
        <v>330000</v>
      </c>
      <c r="P246" s="14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</row>
    <row r="247" spans="1:256" s="1" customFormat="1" x14ac:dyDescent="0.35">
      <c r="B247" s="15" t="s">
        <v>16</v>
      </c>
      <c r="C247" s="16">
        <f t="shared" ref="C247:L247" si="477">C245-C246</f>
        <v>0</v>
      </c>
      <c r="D247" s="16">
        <f t="shared" si="477"/>
        <v>270000</v>
      </c>
      <c r="E247" s="16">
        <f t="shared" si="477"/>
        <v>270000</v>
      </c>
      <c r="F247" s="16">
        <f t="shared" si="477"/>
        <v>270000</v>
      </c>
      <c r="G247" s="16">
        <f t="shared" si="477"/>
        <v>270000</v>
      </c>
      <c r="H247" s="16">
        <f t="shared" si="477"/>
        <v>270000</v>
      </c>
      <c r="I247" s="16">
        <f t="shared" si="477"/>
        <v>270000</v>
      </c>
      <c r="J247" s="16">
        <f t="shared" si="477"/>
        <v>270000</v>
      </c>
      <c r="K247" s="16">
        <f t="shared" si="477"/>
        <v>270000</v>
      </c>
      <c r="L247" s="16">
        <f t="shared" si="477"/>
        <v>270000</v>
      </c>
      <c r="M247" s="16">
        <f t="shared" ref="M247:N247" si="478">M245-M246</f>
        <v>270000</v>
      </c>
      <c r="N247" s="16">
        <f t="shared" si="478"/>
        <v>270000</v>
      </c>
      <c r="O247" s="13">
        <f t="shared" si="474"/>
        <v>2970000</v>
      </c>
      <c r="P247" s="14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</row>
    <row r="248" spans="1:256" s="1" customFormat="1" x14ac:dyDescent="0.35">
      <c r="B248" s="15" t="s">
        <v>17</v>
      </c>
      <c r="C248" s="18">
        <f t="shared" ref="C248:L248" si="479">IF(C247&gt;1000000,(C248-1000000)*0.3+130500,IF(C247&gt;760000,(C247-760000)*0.25+70500,IF(C247&gt;520000,(C247-520000)*0.2+22500,IF(C247&gt;270000,(C247-270000)*0.08+0,IF(C247&lt;270001,0,0)))))</f>
        <v>0</v>
      </c>
      <c r="D248" s="18">
        <f t="shared" si="479"/>
        <v>0</v>
      </c>
      <c r="E248" s="18">
        <f t="shared" si="479"/>
        <v>0</v>
      </c>
      <c r="F248" s="18">
        <f t="shared" si="479"/>
        <v>0</v>
      </c>
      <c r="G248" s="18">
        <f t="shared" si="479"/>
        <v>0</v>
      </c>
      <c r="H248" s="18">
        <f t="shared" si="479"/>
        <v>0</v>
      </c>
      <c r="I248" s="18">
        <f t="shared" si="479"/>
        <v>0</v>
      </c>
      <c r="J248" s="18">
        <f t="shared" si="479"/>
        <v>0</v>
      </c>
      <c r="K248" s="18">
        <f t="shared" si="479"/>
        <v>0</v>
      </c>
      <c r="L248" s="18">
        <f t="shared" si="479"/>
        <v>0</v>
      </c>
      <c r="M248" s="18">
        <f t="shared" ref="M248:N248" si="480">IF(M247&gt;1000000,(M248-1000000)*0.3+130500,IF(M247&gt;760000,(M247-760000)*0.25+70500,IF(M247&gt;520000,(M247-520000)*0.2+22500,IF(M247&gt;270000,(M247-270000)*0.08+0,IF(M247&lt;270001,0,0)))))</f>
        <v>0</v>
      </c>
      <c r="N248" s="18">
        <f t="shared" si="480"/>
        <v>0</v>
      </c>
      <c r="O248" s="13">
        <f t="shared" si="474"/>
        <v>0</v>
      </c>
      <c r="P248" s="14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</row>
    <row r="249" spans="1:256" s="17" customFormat="1" x14ac:dyDescent="0.35">
      <c r="A249" s="17">
        <v>62</v>
      </c>
      <c r="B249" s="11" t="s">
        <v>343</v>
      </c>
      <c r="C249" s="12">
        <v>0</v>
      </c>
      <c r="D249" s="12">
        <v>300000</v>
      </c>
      <c r="E249" s="12">
        <v>300000</v>
      </c>
      <c r="F249" s="12">
        <v>300000</v>
      </c>
      <c r="G249" s="12">
        <v>300000</v>
      </c>
      <c r="H249" s="12">
        <v>300000</v>
      </c>
      <c r="I249" s="12">
        <v>300000</v>
      </c>
      <c r="J249" s="12">
        <v>300000</v>
      </c>
      <c r="K249" s="12">
        <v>300000</v>
      </c>
      <c r="L249" s="12">
        <v>300000</v>
      </c>
      <c r="M249" s="12">
        <v>300000</v>
      </c>
      <c r="N249" s="12">
        <v>300000</v>
      </c>
      <c r="O249" s="13">
        <f t="shared" si="474"/>
        <v>3300000</v>
      </c>
      <c r="P249" s="14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</row>
    <row r="250" spans="1:256" s="17" customFormat="1" x14ac:dyDescent="0.35">
      <c r="B250" s="15" t="s">
        <v>15</v>
      </c>
      <c r="C250" s="16">
        <f t="shared" ref="C250:L250" si="481">C249*0.1</f>
        <v>0</v>
      </c>
      <c r="D250" s="16">
        <f t="shared" si="481"/>
        <v>30000</v>
      </c>
      <c r="E250" s="16">
        <f t="shared" si="481"/>
        <v>30000</v>
      </c>
      <c r="F250" s="16">
        <f t="shared" si="481"/>
        <v>30000</v>
      </c>
      <c r="G250" s="16">
        <f t="shared" si="481"/>
        <v>30000</v>
      </c>
      <c r="H250" s="16">
        <f t="shared" si="481"/>
        <v>30000</v>
      </c>
      <c r="I250" s="16">
        <f t="shared" si="481"/>
        <v>30000</v>
      </c>
      <c r="J250" s="16">
        <f t="shared" si="481"/>
        <v>30000</v>
      </c>
      <c r="K250" s="16">
        <f t="shared" si="481"/>
        <v>30000</v>
      </c>
      <c r="L250" s="16">
        <f t="shared" si="481"/>
        <v>30000</v>
      </c>
      <c r="M250" s="16">
        <f t="shared" ref="M250:N250" si="482">M249*0.1</f>
        <v>30000</v>
      </c>
      <c r="N250" s="16">
        <f t="shared" si="482"/>
        <v>30000</v>
      </c>
      <c r="O250" s="13">
        <f t="shared" si="474"/>
        <v>330000</v>
      </c>
      <c r="P250" s="14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</row>
    <row r="251" spans="1:256" s="1" customFormat="1" x14ac:dyDescent="0.35">
      <c r="B251" s="15" t="s">
        <v>16</v>
      </c>
      <c r="C251" s="16">
        <f t="shared" ref="C251:L251" si="483">C249-C250</f>
        <v>0</v>
      </c>
      <c r="D251" s="16">
        <f t="shared" si="483"/>
        <v>270000</v>
      </c>
      <c r="E251" s="16">
        <f t="shared" si="483"/>
        <v>270000</v>
      </c>
      <c r="F251" s="16">
        <f t="shared" si="483"/>
        <v>270000</v>
      </c>
      <c r="G251" s="16">
        <f t="shared" si="483"/>
        <v>270000</v>
      </c>
      <c r="H251" s="16">
        <f t="shared" si="483"/>
        <v>270000</v>
      </c>
      <c r="I251" s="16">
        <f t="shared" si="483"/>
        <v>270000</v>
      </c>
      <c r="J251" s="16">
        <f t="shared" si="483"/>
        <v>270000</v>
      </c>
      <c r="K251" s="16">
        <f t="shared" si="483"/>
        <v>270000</v>
      </c>
      <c r="L251" s="16">
        <f t="shared" si="483"/>
        <v>270000</v>
      </c>
      <c r="M251" s="16">
        <f t="shared" ref="M251:N251" si="484">M249-M250</f>
        <v>270000</v>
      </c>
      <c r="N251" s="16">
        <f t="shared" si="484"/>
        <v>270000</v>
      </c>
      <c r="O251" s="13">
        <f t="shared" si="474"/>
        <v>2970000</v>
      </c>
      <c r="P251" s="14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</row>
    <row r="252" spans="1:256" s="1" customFormat="1" x14ac:dyDescent="0.35">
      <c r="B252" s="15" t="s">
        <v>17</v>
      </c>
      <c r="C252" s="18">
        <f t="shared" ref="C252:L252" si="485">IF(C251&gt;1000000,(C252-1000000)*0.3+130500,IF(C251&gt;760000,(C251-760000)*0.25+70500,IF(C251&gt;520000,(C251-520000)*0.2+22500,IF(C251&gt;270000,(C251-270000)*0.08+0,IF(C251&lt;270001,0,0)))))</f>
        <v>0</v>
      </c>
      <c r="D252" s="18">
        <f t="shared" si="485"/>
        <v>0</v>
      </c>
      <c r="E252" s="18">
        <f t="shared" si="485"/>
        <v>0</v>
      </c>
      <c r="F252" s="18">
        <f t="shared" si="485"/>
        <v>0</v>
      </c>
      <c r="G252" s="18">
        <f t="shared" si="485"/>
        <v>0</v>
      </c>
      <c r="H252" s="18">
        <f t="shared" si="485"/>
        <v>0</v>
      </c>
      <c r="I252" s="18">
        <f t="shared" si="485"/>
        <v>0</v>
      </c>
      <c r="J252" s="18">
        <f t="shared" si="485"/>
        <v>0</v>
      </c>
      <c r="K252" s="18">
        <f t="shared" si="485"/>
        <v>0</v>
      </c>
      <c r="L252" s="18">
        <f t="shared" si="485"/>
        <v>0</v>
      </c>
      <c r="M252" s="18">
        <f t="shared" ref="M252:N252" si="486">IF(M251&gt;1000000,(M252-1000000)*0.3+130500,IF(M251&gt;760000,(M251-760000)*0.25+70500,IF(M251&gt;520000,(M251-520000)*0.2+22500,IF(M251&gt;270000,(M251-270000)*0.08+0,IF(M251&lt;270001,0,0)))))</f>
        <v>0</v>
      </c>
      <c r="N252" s="18">
        <f t="shared" si="486"/>
        <v>0</v>
      </c>
      <c r="O252" s="13">
        <f t="shared" si="474"/>
        <v>0</v>
      </c>
      <c r="P252" s="14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</row>
    <row r="253" spans="1:256" s="17" customFormat="1" x14ac:dyDescent="0.35">
      <c r="A253" s="17">
        <v>63</v>
      </c>
      <c r="B253" s="11" t="s">
        <v>344</v>
      </c>
      <c r="C253" s="12">
        <v>0</v>
      </c>
      <c r="D253" s="12">
        <v>300000</v>
      </c>
      <c r="E253" s="12">
        <v>300000</v>
      </c>
      <c r="F253" s="12">
        <v>300000</v>
      </c>
      <c r="G253" s="12">
        <v>300000</v>
      </c>
      <c r="H253" s="12">
        <v>300000</v>
      </c>
      <c r="I253" s="12">
        <v>300000</v>
      </c>
      <c r="J253" s="12">
        <v>300000</v>
      </c>
      <c r="K253" s="12">
        <v>300000</v>
      </c>
      <c r="L253" s="12">
        <v>300000</v>
      </c>
      <c r="M253" s="12">
        <v>300000</v>
      </c>
      <c r="N253" s="12">
        <v>300000</v>
      </c>
      <c r="O253" s="13">
        <f t="shared" si="474"/>
        <v>3300000</v>
      </c>
      <c r="P253" s="14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</row>
    <row r="254" spans="1:256" s="17" customFormat="1" x14ac:dyDescent="0.35">
      <c r="B254" s="15" t="s">
        <v>15</v>
      </c>
      <c r="C254" s="16">
        <f t="shared" ref="C254:L254" si="487">C253*0.1</f>
        <v>0</v>
      </c>
      <c r="D254" s="16">
        <f t="shared" si="487"/>
        <v>30000</v>
      </c>
      <c r="E254" s="16">
        <f t="shared" si="487"/>
        <v>30000</v>
      </c>
      <c r="F254" s="16">
        <f t="shared" si="487"/>
        <v>30000</v>
      </c>
      <c r="G254" s="16">
        <f t="shared" si="487"/>
        <v>30000</v>
      </c>
      <c r="H254" s="16">
        <f t="shared" si="487"/>
        <v>30000</v>
      </c>
      <c r="I254" s="16">
        <f t="shared" si="487"/>
        <v>30000</v>
      </c>
      <c r="J254" s="16">
        <f t="shared" si="487"/>
        <v>30000</v>
      </c>
      <c r="K254" s="16">
        <f t="shared" si="487"/>
        <v>30000</v>
      </c>
      <c r="L254" s="16">
        <f t="shared" si="487"/>
        <v>30000</v>
      </c>
      <c r="M254" s="16">
        <f t="shared" ref="M254:N254" si="488">M253*0.1</f>
        <v>30000</v>
      </c>
      <c r="N254" s="16">
        <f t="shared" si="488"/>
        <v>30000</v>
      </c>
      <c r="O254" s="13">
        <f t="shared" si="474"/>
        <v>330000</v>
      </c>
      <c r="P254" s="14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</row>
    <row r="255" spans="1:256" s="1" customFormat="1" x14ac:dyDescent="0.35">
      <c r="B255" s="15" t="s">
        <v>16</v>
      </c>
      <c r="C255" s="16">
        <f t="shared" ref="C255:L255" si="489">C253-C254</f>
        <v>0</v>
      </c>
      <c r="D255" s="16">
        <f t="shared" si="489"/>
        <v>270000</v>
      </c>
      <c r="E255" s="16">
        <f t="shared" si="489"/>
        <v>270000</v>
      </c>
      <c r="F255" s="16">
        <f t="shared" si="489"/>
        <v>270000</v>
      </c>
      <c r="G255" s="16">
        <f t="shared" si="489"/>
        <v>270000</v>
      </c>
      <c r="H255" s="16">
        <f t="shared" si="489"/>
        <v>270000</v>
      </c>
      <c r="I255" s="16">
        <f t="shared" si="489"/>
        <v>270000</v>
      </c>
      <c r="J255" s="16">
        <f t="shared" si="489"/>
        <v>270000</v>
      </c>
      <c r="K255" s="16">
        <f t="shared" si="489"/>
        <v>270000</v>
      </c>
      <c r="L255" s="16">
        <f t="shared" si="489"/>
        <v>270000</v>
      </c>
      <c r="M255" s="16">
        <f t="shared" ref="M255:N255" si="490">M253-M254</f>
        <v>270000</v>
      </c>
      <c r="N255" s="16">
        <f t="shared" si="490"/>
        <v>270000</v>
      </c>
      <c r="O255" s="13">
        <f t="shared" si="474"/>
        <v>2970000</v>
      </c>
      <c r="P255" s="14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</row>
    <row r="256" spans="1:256" s="1" customFormat="1" x14ac:dyDescent="0.35">
      <c r="B256" s="15" t="s">
        <v>17</v>
      </c>
      <c r="C256" s="18">
        <f t="shared" ref="C256:L256" si="491">IF(C255&gt;1000000,(C256-1000000)*0.3+130500,IF(C255&gt;760000,(C255-760000)*0.25+70500,IF(C255&gt;520000,(C255-520000)*0.2+22500,IF(C255&gt;270000,(C255-270000)*0.08+0,IF(C255&lt;270001,0,0)))))</f>
        <v>0</v>
      </c>
      <c r="D256" s="18">
        <f t="shared" si="491"/>
        <v>0</v>
      </c>
      <c r="E256" s="18">
        <f t="shared" si="491"/>
        <v>0</v>
      </c>
      <c r="F256" s="18">
        <f t="shared" si="491"/>
        <v>0</v>
      </c>
      <c r="G256" s="18">
        <f t="shared" si="491"/>
        <v>0</v>
      </c>
      <c r="H256" s="18">
        <f t="shared" si="491"/>
        <v>0</v>
      </c>
      <c r="I256" s="18">
        <f t="shared" si="491"/>
        <v>0</v>
      </c>
      <c r="J256" s="18">
        <f t="shared" si="491"/>
        <v>0</v>
      </c>
      <c r="K256" s="18">
        <f t="shared" si="491"/>
        <v>0</v>
      </c>
      <c r="L256" s="18">
        <f t="shared" si="491"/>
        <v>0</v>
      </c>
      <c r="M256" s="18">
        <f t="shared" ref="M256:N256" si="492">IF(M255&gt;1000000,(M256-1000000)*0.3+130500,IF(M255&gt;760000,(M255-760000)*0.25+70500,IF(M255&gt;520000,(M255-520000)*0.2+22500,IF(M255&gt;270000,(M255-270000)*0.08+0,IF(M255&lt;270001,0,0)))))</f>
        <v>0</v>
      </c>
      <c r="N256" s="18">
        <f t="shared" si="492"/>
        <v>0</v>
      </c>
      <c r="O256" s="13">
        <f t="shared" si="474"/>
        <v>0</v>
      </c>
      <c r="P256" s="14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</row>
    <row r="257" spans="1:256" s="17" customFormat="1" x14ac:dyDescent="0.35">
      <c r="A257" s="17">
        <v>64</v>
      </c>
      <c r="B257" s="11" t="s">
        <v>424</v>
      </c>
      <c r="C257" s="12">
        <v>0</v>
      </c>
      <c r="D257" s="12">
        <v>0</v>
      </c>
      <c r="E257" s="12">
        <v>300000</v>
      </c>
      <c r="F257" s="12">
        <v>300000</v>
      </c>
      <c r="G257" s="12">
        <v>300000</v>
      </c>
      <c r="H257" s="12">
        <v>300000</v>
      </c>
      <c r="I257" s="12">
        <v>300000</v>
      </c>
      <c r="J257" s="12">
        <v>300000</v>
      </c>
      <c r="K257" s="12">
        <v>300000</v>
      </c>
      <c r="L257" s="12">
        <v>300000</v>
      </c>
      <c r="M257" s="12">
        <v>300000</v>
      </c>
      <c r="N257" s="12">
        <v>300000</v>
      </c>
      <c r="O257" s="13">
        <f t="shared" si="474"/>
        <v>3000000</v>
      </c>
      <c r="P257" s="14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</row>
    <row r="258" spans="1:256" s="17" customFormat="1" x14ac:dyDescent="0.35">
      <c r="B258" s="15" t="s">
        <v>15</v>
      </c>
      <c r="C258" s="16">
        <f t="shared" ref="C258:L258" si="493">C257*0.1</f>
        <v>0</v>
      </c>
      <c r="D258" s="16">
        <f t="shared" si="493"/>
        <v>0</v>
      </c>
      <c r="E258" s="16">
        <f t="shared" si="493"/>
        <v>30000</v>
      </c>
      <c r="F258" s="16">
        <f t="shared" si="493"/>
        <v>30000</v>
      </c>
      <c r="G258" s="16">
        <f t="shared" si="493"/>
        <v>30000</v>
      </c>
      <c r="H258" s="16">
        <f t="shared" si="493"/>
        <v>30000</v>
      </c>
      <c r="I258" s="16">
        <f t="shared" si="493"/>
        <v>30000</v>
      </c>
      <c r="J258" s="16">
        <f t="shared" si="493"/>
        <v>30000</v>
      </c>
      <c r="K258" s="16">
        <f t="shared" si="493"/>
        <v>30000</v>
      </c>
      <c r="L258" s="16">
        <f t="shared" si="493"/>
        <v>30000</v>
      </c>
      <c r="M258" s="16">
        <f t="shared" ref="M258:N258" si="494">M257*0.1</f>
        <v>30000</v>
      </c>
      <c r="N258" s="16">
        <f t="shared" si="494"/>
        <v>30000</v>
      </c>
      <c r="O258" s="13">
        <f t="shared" si="474"/>
        <v>300000</v>
      </c>
      <c r="P258" s="14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</row>
    <row r="259" spans="1:256" s="1" customFormat="1" x14ac:dyDescent="0.35">
      <c r="B259" s="15" t="s">
        <v>16</v>
      </c>
      <c r="C259" s="16">
        <f t="shared" ref="C259:L259" si="495">C257-C258</f>
        <v>0</v>
      </c>
      <c r="D259" s="16">
        <f t="shared" si="495"/>
        <v>0</v>
      </c>
      <c r="E259" s="16">
        <f t="shared" si="495"/>
        <v>270000</v>
      </c>
      <c r="F259" s="16">
        <f t="shared" si="495"/>
        <v>270000</v>
      </c>
      <c r="G259" s="16">
        <f t="shared" si="495"/>
        <v>270000</v>
      </c>
      <c r="H259" s="16">
        <f t="shared" si="495"/>
        <v>270000</v>
      </c>
      <c r="I259" s="16">
        <f t="shared" si="495"/>
        <v>270000</v>
      </c>
      <c r="J259" s="16">
        <f t="shared" si="495"/>
        <v>270000</v>
      </c>
      <c r="K259" s="16">
        <f t="shared" si="495"/>
        <v>270000</v>
      </c>
      <c r="L259" s="16">
        <f t="shared" si="495"/>
        <v>270000</v>
      </c>
      <c r="M259" s="16">
        <f t="shared" ref="M259:N259" si="496">M257-M258</f>
        <v>270000</v>
      </c>
      <c r="N259" s="16">
        <f t="shared" si="496"/>
        <v>270000</v>
      </c>
      <c r="O259" s="13">
        <f t="shared" si="474"/>
        <v>2700000</v>
      </c>
      <c r="P259" s="14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</row>
    <row r="260" spans="1:256" s="1" customFormat="1" x14ac:dyDescent="0.35">
      <c r="B260" s="15" t="s">
        <v>17</v>
      </c>
      <c r="C260" s="18">
        <f t="shared" ref="C260:L260" si="497">IF(C259&gt;1000000,(C260-1000000)*0.3+130500,IF(C259&gt;760000,(C259-760000)*0.25+70500,IF(C259&gt;520000,(C259-520000)*0.2+22500,IF(C259&gt;270000,(C259-270000)*0.08+0,IF(C259&lt;270001,0,0)))))</f>
        <v>0</v>
      </c>
      <c r="D260" s="18">
        <f t="shared" si="497"/>
        <v>0</v>
      </c>
      <c r="E260" s="18">
        <f t="shared" si="497"/>
        <v>0</v>
      </c>
      <c r="F260" s="18">
        <f t="shared" si="497"/>
        <v>0</v>
      </c>
      <c r="G260" s="18">
        <f t="shared" si="497"/>
        <v>0</v>
      </c>
      <c r="H260" s="18">
        <f t="shared" si="497"/>
        <v>0</v>
      </c>
      <c r="I260" s="18">
        <f t="shared" si="497"/>
        <v>0</v>
      </c>
      <c r="J260" s="18">
        <f t="shared" si="497"/>
        <v>0</v>
      </c>
      <c r="K260" s="18">
        <f t="shared" si="497"/>
        <v>0</v>
      </c>
      <c r="L260" s="18">
        <f t="shared" si="497"/>
        <v>0</v>
      </c>
      <c r="M260" s="18">
        <f t="shared" ref="M260:N260" si="498">IF(M259&gt;1000000,(M260-1000000)*0.3+130500,IF(M259&gt;760000,(M259-760000)*0.25+70500,IF(M259&gt;520000,(M259-520000)*0.2+22500,IF(M259&gt;270000,(M259-270000)*0.08+0,IF(M259&lt;270001,0,0)))))</f>
        <v>0</v>
      </c>
      <c r="N260" s="18">
        <f t="shared" si="498"/>
        <v>0</v>
      </c>
      <c r="O260" s="13">
        <f t="shared" si="474"/>
        <v>0</v>
      </c>
      <c r="P260" s="14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</row>
    <row r="261" spans="1:256" s="17" customFormat="1" x14ac:dyDescent="0.35">
      <c r="A261" s="17">
        <v>65</v>
      </c>
      <c r="B261" s="11" t="s">
        <v>425</v>
      </c>
      <c r="C261" s="12">
        <v>0</v>
      </c>
      <c r="D261" s="12">
        <v>0</v>
      </c>
      <c r="E261" s="12">
        <v>300000</v>
      </c>
      <c r="F261" s="12">
        <v>300000</v>
      </c>
      <c r="G261" s="12">
        <v>300000</v>
      </c>
      <c r="H261" s="12">
        <v>300000</v>
      </c>
      <c r="I261" s="12">
        <v>300000</v>
      </c>
      <c r="J261" s="12">
        <v>300000</v>
      </c>
      <c r="K261" s="12">
        <v>300000</v>
      </c>
      <c r="L261" s="12">
        <v>300000</v>
      </c>
      <c r="M261" s="12">
        <v>300000</v>
      </c>
      <c r="N261" s="12">
        <v>300000</v>
      </c>
      <c r="O261" s="13">
        <f t="shared" si="474"/>
        <v>3000000</v>
      </c>
      <c r="P261" s="14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</row>
    <row r="262" spans="1:256" s="17" customFormat="1" x14ac:dyDescent="0.35">
      <c r="B262" s="15" t="s">
        <v>15</v>
      </c>
      <c r="C262" s="16">
        <f t="shared" ref="C262:L262" si="499">C261*0.1</f>
        <v>0</v>
      </c>
      <c r="D262" s="16">
        <f t="shared" si="499"/>
        <v>0</v>
      </c>
      <c r="E262" s="16">
        <f t="shared" si="499"/>
        <v>30000</v>
      </c>
      <c r="F262" s="16">
        <f t="shared" si="499"/>
        <v>30000</v>
      </c>
      <c r="G262" s="16">
        <f t="shared" si="499"/>
        <v>30000</v>
      </c>
      <c r="H262" s="16">
        <f t="shared" si="499"/>
        <v>30000</v>
      </c>
      <c r="I262" s="16">
        <f t="shared" si="499"/>
        <v>30000</v>
      </c>
      <c r="J262" s="16">
        <f t="shared" si="499"/>
        <v>30000</v>
      </c>
      <c r="K262" s="16">
        <f t="shared" si="499"/>
        <v>30000</v>
      </c>
      <c r="L262" s="16">
        <f t="shared" si="499"/>
        <v>30000</v>
      </c>
      <c r="M262" s="16">
        <f t="shared" ref="M262:N262" si="500">M261*0.1</f>
        <v>30000</v>
      </c>
      <c r="N262" s="16">
        <f t="shared" si="500"/>
        <v>30000</v>
      </c>
      <c r="O262" s="13">
        <f t="shared" si="474"/>
        <v>300000</v>
      </c>
      <c r="P262" s="14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</row>
    <row r="263" spans="1:256" s="1" customFormat="1" x14ac:dyDescent="0.35">
      <c r="B263" s="15" t="s">
        <v>16</v>
      </c>
      <c r="C263" s="16">
        <f t="shared" ref="C263:L263" si="501">C261-C262</f>
        <v>0</v>
      </c>
      <c r="D263" s="16">
        <f t="shared" si="501"/>
        <v>0</v>
      </c>
      <c r="E263" s="16">
        <f t="shared" si="501"/>
        <v>270000</v>
      </c>
      <c r="F263" s="16">
        <f t="shared" si="501"/>
        <v>270000</v>
      </c>
      <c r="G263" s="16">
        <f t="shared" si="501"/>
        <v>270000</v>
      </c>
      <c r="H263" s="16">
        <f t="shared" si="501"/>
        <v>270000</v>
      </c>
      <c r="I263" s="16">
        <f t="shared" si="501"/>
        <v>270000</v>
      </c>
      <c r="J263" s="16">
        <f t="shared" si="501"/>
        <v>270000</v>
      </c>
      <c r="K263" s="16">
        <f t="shared" si="501"/>
        <v>270000</v>
      </c>
      <c r="L263" s="16">
        <f t="shared" si="501"/>
        <v>270000</v>
      </c>
      <c r="M263" s="16">
        <f t="shared" ref="M263:N263" si="502">M261-M262</f>
        <v>270000</v>
      </c>
      <c r="N263" s="16">
        <f t="shared" si="502"/>
        <v>270000</v>
      </c>
      <c r="O263" s="13">
        <f t="shared" si="474"/>
        <v>2700000</v>
      </c>
      <c r="P263" s="14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</row>
    <row r="264" spans="1:256" s="1" customFormat="1" x14ac:dyDescent="0.35">
      <c r="B264" s="15" t="s">
        <v>17</v>
      </c>
      <c r="C264" s="18">
        <f t="shared" ref="C264:L264" si="503">IF(C263&gt;1000000,(C264-1000000)*0.3+130500,IF(C263&gt;760000,(C263-760000)*0.25+70500,IF(C263&gt;520000,(C263-520000)*0.2+22500,IF(C263&gt;270000,(C263-270000)*0.08+0,IF(C263&lt;270001,0,0)))))</f>
        <v>0</v>
      </c>
      <c r="D264" s="18">
        <f t="shared" si="503"/>
        <v>0</v>
      </c>
      <c r="E264" s="18">
        <f t="shared" si="503"/>
        <v>0</v>
      </c>
      <c r="F264" s="18">
        <f t="shared" si="503"/>
        <v>0</v>
      </c>
      <c r="G264" s="18">
        <f t="shared" si="503"/>
        <v>0</v>
      </c>
      <c r="H264" s="18">
        <f t="shared" si="503"/>
        <v>0</v>
      </c>
      <c r="I264" s="18">
        <f t="shared" si="503"/>
        <v>0</v>
      </c>
      <c r="J264" s="18">
        <f t="shared" si="503"/>
        <v>0</v>
      </c>
      <c r="K264" s="18">
        <f t="shared" si="503"/>
        <v>0</v>
      </c>
      <c r="L264" s="18">
        <f t="shared" si="503"/>
        <v>0</v>
      </c>
      <c r="M264" s="18">
        <f t="shared" ref="M264:N264" si="504">IF(M263&gt;1000000,(M264-1000000)*0.3+130500,IF(M263&gt;760000,(M263-760000)*0.25+70500,IF(M263&gt;520000,(M263-520000)*0.2+22500,IF(M263&gt;270000,(M263-270000)*0.08+0,IF(M263&lt;270001,0,0)))))</f>
        <v>0</v>
      </c>
      <c r="N264" s="18">
        <f t="shared" si="504"/>
        <v>0</v>
      </c>
      <c r="O264" s="13">
        <f t="shared" si="474"/>
        <v>0</v>
      </c>
      <c r="P264" s="14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</row>
    <row r="265" spans="1:256" s="17" customFormat="1" x14ac:dyDescent="0.35">
      <c r="A265" s="17">
        <v>66</v>
      </c>
      <c r="B265" s="11" t="s">
        <v>426</v>
      </c>
      <c r="C265" s="12">
        <v>0</v>
      </c>
      <c r="D265" s="12">
        <v>0</v>
      </c>
      <c r="E265" s="12">
        <v>300000</v>
      </c>
      <c r="F265" s="12">
        <v>300000</v>
      </c>
      <c r="G265" s="12">
        <v>300000</v>
      </c>
      <c r="H265" s="12">
        <v>300000</v>
      </c>
      <c r="I265" s="12">
        <v>300000</v>
      </c>
      <c r="J265" s="12">
        <v>300000</v>
      </c>
      <c r="K265" s="12">
        <v>300000</v>
      </c>
      <c r="L265" s="12">
        <v>300000</v>
      </c>
      <c r="M265" s="12">
        <v>300000</v>
      </c>
      <c r="N265" s="12">
        <v>300000</v>
      </c>
      <c r="O265" s="13">
        <f t="shared" ref="O265:O280" si="505">SUM(C265:N265)</f>
        <v>3000000</v>
      </c>
      <c r="P265" s="14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</row>
    <row r="266" spans="1:256" s="17" customFormat="1" x14ac:dyDescent="0.35">
      <c r="B266" s="15" t="s">
        <v>15</v>
      </c>
      <c r="C266" s="16">
        <f t="shared" ref="C266:L266" si="506">C265*0.1</f>
        <v>0</v>
      </c>
      <c r="D266" s="16">
        <f t="shared" si="506"/>
        <v>0</v>
      </c>
      <c r="E266" s="16">
        <f t="shared" si="506"/>
        <v>30000</v>
      </c>
      <c r="F266" s="16">
        <f t="shared" si="506"/>
        <v>30000</v>
      </c>
      <c r="G266" s="16">
        <f t="shared" si="506"/>
        <v>30000</v>
      </c>
      <c r="H266" s="16">
        <f t="shared" si="506"/>
        <v>30000</v>
      </c>
      <c r="I266" s="16">
        <f t="shared" si="506"/>
        <v>30000</v>
      </c>
      <c r="J266" s="16">
        <f t="shared" si="506"/>
        <v>30000</v>
      </c>
      <c r="K266" s="16">
        <f t="shared" si="506"/>
        <v>30000</v>
      </c>
      <c r="L266" s="16">
        <f t="shared" si="506"/>
        <v>30000</v>
      </c>
      <c r="M266" s="16">
        <f t="shared" ref="M266:N266" si="507">M265*0.1</f>
        <v>30000</v>
      </c>
      <c r="N266" s="16">
        <f t="shared" si="507"/>
        <v>30000</v>
      </c>
      <c r="O266" s="13">
        <f t="shared" si="505"/>
        <v>300000</v>
      </c>
      <c r="P266" s="14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</row>
    <row r="267" spans="1:256" s="1" customFormat="1" x14ac:dyDescent="0.35">
      <c r="B267" s="15" t="s">
        <v>16</v>
      </c>
      <c r="C267" s="16">
        <f t="shared" ref="C267:L267" si="508">C265-C266</f>
        <v>0</v>
      </c>
      <c r="D267" s="16">
        <f t="shared" si="508"/>
        <v>0</v>
      </c>
      <c r="E267" s="16">
        <f t="shared" si="508"/>
        <v>270000</v>
      </c>
      <c r="F267" s="16">
        <f t="shared" si="508"/>
        <v>270000</v>
      </c>
      <c r="G267" s="16">
        <f t="shared" si="508"/>
        <v>270000</v>
      </c>
      <c r="H267" s="16">
        <f t="shared" si="508"/>
        <v>270000</v>
      </c>
      <c r="I267" s="16">
        <f t="shared" si="508"/>
        <v>270000</v>
      </c>
      <c r="J267" s="16">
        <f t="shared" si="508"/>
        <v>270000</v>
      </c>
      <c r="K267" s="16">
        <f t="shared" si="508"/>
        <v>270000</v>
      </c>
      <c r="L267" s="16">
        <f t="shared" si="508"/>
        <v>270000</v>
      </c>
      <c r="M267" s="16">
        <f t="shared" ref="M267:N267" si="509">M265-M266</f>
        <v>270000</v>
      </c>
      <c r="N267" s="16">
        <f t="shared" si="509"/>
        <v>270000</v>
      </c>
      <c r="O267" s="13">
        <f t="shared" si="505"/>
        <v>2700000</v>
      </c>
      <c r="P267" s="14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</row>
    <row r="268" spans="1:256" s="1" customFormat="1" x14ac:dyDescent="0.35">
      <c r="B268" s="15" t="s">
        <v>17</v>
      </c>
      <c r="C268" s="18">
        <f t="shared" ref="C268:L268" si="510">IF(C267&gt;1000000,(C268-1000000)*0.3+130500,IF(C267&gt;760000,(C267-760000)*0.25+70500,IF(C267&gt;520000,(C267-520000)*0.2+22500,IF(C267&gt;270000,(C267-270000)*0.08+0,IF(C267&lt;270001,0,0)))))</f>
        <v>0</v>
      </c>
      <c r="D268" s="18">
        <f t="shared" si="510"/>
        <v>0</v>
      </c>
      <c r="E268" s="18">
        <f t="shared" si="510"/>
        <v>0</v>
      </c>
      <c r="F268" s="18">
        <f t="shared" si="510"/>
        <v>0</v>
      </c>
      <c r="G268" s="18">
        <f t="shared" si="510"/>
        <v>0</v>
      </c>
      <c r="H268" s="18">
        <f t="shared" si="510"/>
        <v>0</v>
      </c>
      <c r="I268" s="18">
        <f t="shared" si="510"/>
        <v>0</v>
      </c>
      <c r="J268" s="18">
        <f t="shared" si="510"/>
        <v>0</v>
      </c>
      <c r="K268" s="18">
        <f t="shared" si="510"/>
        <v>0</v>
      </c>
      <c r="L268" s="18">
        <f t="shared" si="510"/>
        <v>0</v>
      </c>
      <c r="M268" s="18">
        <f t="shared" ref="M268:N268" si="511">IF(M267&gt;1000000,(M268-1000000)*0.3+130500,IF(M267&gt;760000,(M267-760000)*0.25+70500,IF(M267&gt;520000,(M267-520000)*0.2+22500,IF(M267&gt;270000,(M267-270000)*0.08+0,IF(M267&lt;270001,0,0)))))</f>
        <v>0</v>
      </c>
      <c r="N268" s="18">
        <f t="shared" si="511"/>
        <v>0</v>
      </c>
      <c r="O268" s="13">
        <f t="shared" si="505"/>
        <v>0</v>
      </c>
      <c r="P268" s="14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</row>
    <row r="269" spans="1:256" s="17" customFormat="1" x14ac:dyDescent="0.35">
      <c r="A269" s="17">
        <v>67</v>
      </c>
      <c r="B269" s="11" t="s">
        <v>543</v>
      </c>
      <c r="C269" s="12">
        <v>0</v>
      </c>
      <c r="D269" s="12">
        <v>0</v>
      </c>
      <c r="E269" s="12">
        <v>0</v>
      </c>
      <c r="F269" s="12">
        <v>300000</v>
      </c>
      <c r="G269" s="12">
        <v>300000</v>
      </c>
      <c r="H269" s="12">
        <v>300000</v>
      </c>
      <c r="I269" s="12">
        <v>300000</v>
      </c>
      <c r="J269" s="12">
        <v>300000</v>
      </c>
      <c r="K269" s="12">
        <v>300000</v>
      </c>
      <c r="L269" s="12">
        <v>300000</v>
      </c>
      <c r="M269" s="12">
        <v>300000</v>
      </c>
      <c r="N269" s="12">
        <v>300000</v>
      </c>
      <c r="O269" s="13">
        <f t="shared" si="505"/>
        <v>2700000</v>
      </c>
      <c r="P269" s="14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</row>
    <row r="270" spans="1:256" s="17" customFormat="1" x14ac:dyDescent="0.35">
      <c r="B270" s="15" t="s">
        <v>15</v>
      </c>
      <c r="C270" s="16">
        <f>C269*0.1</f>
        <v>0</v>
      </c>
      <c r="D270" s="16">
        <f t="shared" ref="D270:F270" si="512">D269*0.1</f>
        <v>0</v>
      </c>
      <c r="E270" s="16">
        <f t="shared" si="512"/>
        <v>0</v>
      </c>
      <c r="F270" s="16">
        <f t="shared" si="512"/>
        <v>30000</v>
      </c>
      <c r="G270" s="16">
        <f t="shared" ref="G270:L270" si="513">G269*0.1</f>
        <v>30000</v>
      </c>
      <c r="H270" s="16">
        <f t="shared" si="513"/>
        <v>30000</v>
      </c>
      <c r="I270" s="16">
        <f t="shared" si="513"/>
        <v>30000</v>
      </c>
      <c r="J270" s="16">
        <f t="shared" si="513"/>
        <v>30000</v>
      </c>
      <c r="K270" s="16">
        <f t="shared" si="513"/>
        <v>30000</v>
      </c>
      <c r="L270" s="16">
        <f t="shared" si="513"/>
        <v>30000</v>
      </c>
      <c r="M270" s="16">
        <f t="shared" ref="M270:N270" si="514">M269*0.1</f>
        <v>30000</v>
      </c>
      <c r="N270" s="16">
        <f t="shared" si="514"/>
        <v>30000</v>
      </c>
      <c r="O270" s="13">
        <f t="shared" si="505"/>
        <v>270000</v>
      </c>
      <c r="P270" s="14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</row>
    <row r="271" spans="1:256" s="1" customFormat="1" x14ac:dyDescent="0.35">
      <c r="B271" s="15" t="s">
        <v>16</v>
      </c>
      <c r="C271" s="16">
        <f>C269-C270</f>
        <v>0</v>
      </c>
      <c r="D271" s="16">
        <f t="shared" ref="D271:F271" si="515">D269-D270</f>
        <v>0</v>
      </c>
      <c r="E271" s="16">
        <f t="shared" si="515"/>
        <v>0</v>
      </c>
      <c r="F271" s="16">
        <f t="shared" si="515"/>
        <v>270000</v>
      </c>
      <c r="G271" s="16">
        <f t="shared" ref="G271:L271" si="516">G269-G270</f>
        <v>270000</v>
      </c>
      <c r="H271" s="16">
        <f t="shared" si="516"/>
        <v>270000</v>
      </c>
      <c r="I271" s="16">
        <f t="shared" si="516"/>
        <v>270000</v>
      </c>
      <c r="J271" s="16">
        <f t="shared" si="516"/>
        <v>270000</v>
      </c>
      <c r="K271" s="16">
        <f t="shared" si="516"/>
        <v>270000</v>
      </c>
      <c r="L271" s="16">
        <f t="shared" si="516"/>
        <v>270000</v>
      </c>
      <c r="M271" s="16">
        <f t="shared" ref="M271:N271" si="517">M269-M270</f>
        <v>270000</v>
      </c>
      <c r="N271" s="16">
        <f t="shared" si="517"/>
        <v>270000</v>
      </c>
      <c r="O271" s="13">
        <f t="shared" si="505"/>
        <v>2430000</v>
      </c>
      <c r="P271" s="14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</row>
    <row r="272" spans="1:256" s="1" customFormat="1" x14ac:dyDescent="0.35">
      <c r="B272" s="15" t="s">
        <v>17</v>
      </c>
      <c r="C272" s="18">
        <f t="shared" ref="C272:F272" si="518">IF(C271&gt;1000000,(C272-1000000)*0.3+130500,IF(C271&gt;760000,(C271-760000)*0.25+70500,IF(C271&gt;520000,(C271-520000)*0.2+22500,IF(C271&gt;270000,(C271-270000)*0.08+0,IF(C271&lt;270001,0,0)))))</f>
        <v>0</v>
      </c>
      <c r="D272" s="18">
        <f t="shared" si="518"/>
        <v>0</v>
      </c>
      <c r="E272" s="18">
        <f t="shared" si="518"/>
        <v>0</v>
      </c>
      <c r="F272" s="18">
        <f t="shared" si="518"/>
        <v>0</v>
      </c>
      <c r="G272" s="18">
        <f t="shared" ref="G272:L272" si="519">IF(G271&gt;1000000,(G272-1000000)*0.3+130500,IF(G271&gt;760000,(G271-760000)*0.25+70500,IF(G271&gt;520000,(G271-520000)*0.2+22500,IF(G271&gt;270000,(G271-270000)*0.08+0,IF(G271&lt;270001,0,0)))))</f>
        <v>0</v>
      </c>
      <c r="H272" s="18">
        <f t="shared" si="519"/>
        <v>0</v>
      </c>
      <c r="I272" s="18">
        <f t="shared" si="519"/>
        <v>0</v>
      </c>
      <c r="J272" s="18">
        <f t="shared" si="519"/>
        <v>0</v>
      </c>
      <c r="K272" s="18">
        <f t="shared" si="519"/>
        <v>0</v>
      </c>
      <c r="L272" s="18">
        <f t="shared" si="519"/>
        <v>0</v>
      </c>
      <c r="M272" s="18">
        <f t="shared" ref="M272:N272" si="520">IF(M271&gt;1000000,(M272-1000000)*0.3+130500,IF(M271&gt;760000,(M271-760000)*0.25+70500,IF(M271&gt;520000,(M271-520000)*0.2+22500,IF(M271&gt;270000,(M271-270000)*0.08+0,IF(M271&lt;270001,0,0)))))</f>
        <v>0</v>
      </c>
      <c r="N272" s="18">
        <f t="shared" si="520"/>
        <v>0</v>
      </c>
      <c r="O272" s="13">
        <f t="shared" si="505"/>
        <v>0</v>
      </c>
      <c r="P272" s="14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</row>
    <row r="273" spans="1:256" s="17" customFormat="1" x14ac:dyDescent="0.35">
      <c r="A273" s="17">
        <v>68</v>
      </c>
      <c r="B273" s="11" t="s">
        <v>639</v>
      </c>
      <c r="C273" s="12">
        <v>0</v>
      </c>
      <c r="D273" s="12">
        <v>0</v>
      </c>
      <c r="E273" s="12">
        <v>0</v>
      </c>
      <c r="F273" s="12">
        <v>0</v>
      </c>
      <c r="G273" s="12">
        <v>300000</v>
      </c>
      <c r="H273" s="12">
        <v>300000</v>
      </c>
      <c r="I273" s="12">
        <v>300000</v>
      </c>
      <c r="J273" s="12">
        <v>300000</v>
      </c>
      <c r="K273" s="12">
        <v>300000</v>
      </c>
      <c r="L273" s="12">
        <v>300000</v>
      </c>
      <c r="M273" s="12">
        <v>300000</v>
      </c>
      <c r="N273" s="12">
        <v>300000</v>
      </c>
      <c r="O273" s="13">
        <f t="shared" si="505"/>
        <v>2400000</v>
      </c>
      <c r="P273" s="14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</row>
    <row r="274" spans="1:256" s="17" customFormat="1" x14ac:dyDescent="0.35">
      <c r="B274" s="15" t="s">
        <v>15</v>
      </c>
      <c r="C274" s="16">
        <f>C273*0.1</f>
        <v>0</v>
      </c>
      <c r="D274" s="16">
        <f t="shared" ref="D274:G274" si="521">D273*0.1</f>
        <v>0</v>
      </c>
      <c r="E274" s="16">
        <f t="shared" si="521"/>
        <v>0</v>
      </c>
      <c r="F274" s="16">
        <f t="shared" si="521"/>
        <v>0</v>
      </c>
      <c r="G274" s="16">
        <f t="shared" si="521"/>
        <v>30000</v>
      </c>
      <c r="H274" s="16">
        <f t="shared" ref="H274:M274" si="522">H273*0.1</f>
        <v>30000</v>
      </c>
      <c r="I274" s="16">
        <f t="shared" si="522"/>
        <v>30000</v>
      </c>
      <c r="J274" s="16">
        <f t="shared" si="522"/>
        <v>30000</v>
      </c>
      <c r="K274" s="16">
        <f t="shared" si="522"/>
        <v>30000</v>
      </c>
      <c r="L274" s="16">
        <f t="shared" si="522"/>
        <v>30000</v>
      </c>
      <c r="M274" s="16">
        <f t="shared" si="522"/>
        <v>30000</v>
      </c>
      <c r="N274" s="16">
        <f t="shared" ref="N274" si="523">N273*0.1</f>
        <v>30000</v>
      </c>
      <c r="O274" s="13">
        <f t="shared" si="505"/>
        <v>240000</v>
      </c>
      <c r="P274" s="14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</row>
    <row r="275" spans="1:256" s="1" customFormat="1" x14ac:dyDescent="0.35">
      <c r="B275" s="15" t="s">
        <v>16</v>
      </c>
      <c r="C275" s="16">
        <f>C273-C274</f>
        <v>0</v>
      </c>
      <c r="D275" s="16">
        <f t="shared" ref="D275:G275" si="524">D273-D274</f>
        <v>0</v>
      </c>
      <c r="E275" s="16">
        <f t="shared" si="524"/>
        <v>0</v>
      </c>
      <c r="F275" s="16">
        <f t="shared" si="524"/>
        <v>0</v>
      </c>
      <c r="G275" s="16">
        <f t="shared" si="524"/>
        <v>270000</v>
      </c>
      <c r="H275" s="16">
        <f t="shared" ref="H275:M275" si="525">H273-H274</f>
        <v>270000</v>
      </c>
      <c r="I275" s="16">
        <f t="shared" si="525"/>
        <v>270000</v>
      </c>
      <c r="J275" s="16">
        <f t="shared" si="525"/>
        <v>270000</v>
      </c>
      <c r="K275" s="16">
        <f t="shared" si="525"/>
        <v>270000</v>
      </c>
      <c r="L275" s="16">
        <f t="shared" si="525"/>
        <v>270000</v>
      </c>
      <c r="M275" s="16">
        <f t="shared" si="525"/>
        <v>270000</v>
      </c>
      <c r="N275" s="16">
        <f t="shared" ref="N275" si="526">N273-N274</f>
        <v>270000</v>
      </c>
      <c r="O275" s="13">
        <f t="shared" si="505"/>
        <v>2160000</v>
      </c>
      <c r="P275" s="14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</row>
    <row r="276" spans="1:256" s="1" customFormat="1" x14ac:dyDescent="0.35">
      <c r="B276" s="15" t="s">
        <v>17</v>
      </c>
      <c r="C276" s="18">
        <f t="shared" ref="C276:G276" si="527">IF(C275&gt;1000000,(C276-1000000)*0.3+130500,IF(C275&gt;760000,(C275-760000)*0.25+70500,IF(C275&gt;520000,(C275-520000)*0.2+22500,IF(C275&gt;270000,(C275-270000)*0.08+0,IF(C275&lt;270001,0,0)))))</f>
        <v>0</v>
      </c>
      <c r="D276" s="18">
        <f t="shared" si="527"/>
        <v>0</v>
      </c>
      <c r="E276" s="18">
        <f t="shared" si="527"/>
        <v>0</v>
      </c>
      <c r="F276" s="18">
        <f t="shared" si="527"/>
        <v>0</v>
      </c>
      <c r="G276" s="18">
        <f t="shared" si="527"/>
        <v>0</v>
      </c>
      <c r="H276" s="18">
        <f t="shared" ref="H276:M276" si="528">IF(H275&gt;1000000,(H276-1000000)*0.3+130500,IF(H275&gt;760000,(H275-760000)*0.25+70500,IF(H275&gt;520000,(H275-520000)*0.2+22500,IF(H275&gt;270000,(H275-270000)*0.08+0,IF(H275&lt;270001,0,0)))))</f>
        <v>0</v>
      </c>
      <c r="I276" s="18">
        <f t="shared" si="528"/>
        <v>0</v>
      </c>
      <c r="J276" s="18">
        <f t="shared" si="528"/>
        <v>0</v>
      </c>
      <c r="K276" s="18">
        <f t="shared" si="528"/>
        <v>0</v>
      </c>
      <c r="L276" s="18">
        <f t="shared" si="528"/>
        <v>0</v>
      </c>
      <c r="M276" s="18">
        <f t="shared" si="528"/>
        <v>0</v>
      </c>
      <c r="N276" s="18">
        <f t="shared" ref="N276" si="529">IF(N275&gt;1000000,(N276-1000000)*0.3+130500,IF(N275&gt;760000,(N275-760000)*0.25+70500,IF(N275&gt;520000,(N275-520000)*0.2+22500,IF(N275&gt;270000,(N275-270000)*0.08+0,IF(N275&lt;270001,0,0)))))</f>
        <v>0</v>
      </c>
      <c r="O276" s="13">
        <f t="shared" si="505"/>
        <v>0</v>
      </c>
      <c r="P276" s="14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</row>
    <row r="277" spans="1:256" s="17" customFormat="1" x14ac:dyDescent="0.35">
      <c r="A277" s="17">
        <v>69</v>
      </c>
      <c r="B277" s="11" t="s">
        <v>775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300000</v>
      </c>
      <c r="I277" s="12">
        <v>300000</v>
      </c>
      <c r="J277" s="12">
        <v>300000</v>
      </c>
      <c r="K277" s="12">
        <v>300000</v>
      </c>
      <c r="L277" s="12">
        <v>300000</v>
      </c>
      <c r="M277" s="12">
        <v>300000</v>
      </c>
      <c r="N277" s="12">
        <v>300000</v>
      </c>
      <c r="O277" s="13">
        <f t="shared" si="505"/>
        <v>2100000</v>
      </c>
      <c r="P277" s="14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</row>
    <row r="278" spans="1:256" s="17" customFormat="1" x14ac:dyDescent="0.35">
      <c r="B278" s="15" t="s">
        <v>15</v>
      </c>
      <c r="C278" s="16">
        <f>C277*0.1</f>
        <v>0</v>
      </c>
      <c r="D278" s="16">
        <f t="shared" ref="D278:G278" si="530">D277*0.1</f>
        <v>0</v>
      </c>
      <c r="E278" s="16">
        <f t="shared" si="530"/>
        <v>0</v>
      </c>
      <c r="F278" s="16">
        <f t="shared" si="530"/>
        <v>0</v>
      </c>
      <c r="G278" s="16">
        <f t="shared" si="530"/>
        <v>0</v>
      </c>
      <c r="H278" s="16">
        <f t="shared" ref="H278:M278" si="531">H277*0.1</f>
        <v>30000</v>
      </c>
      <c r="I278" s="16">
        <f t="shared" si="531"/>
        <v>30000</v>
      </c>
      <c r="J278" s="16">
        <f t="shared" si="531"/>
        <v>30000</v>
      </c>
      <c r="K278" s="16">
        <f t="shared" si="531"/>
        <v>30000</v>
      </c>
      <c r="L278" s="16">
        <f t="shared" si="531"/>
        <v>30000</v>
      </c>
      <c r="M278" s="16">
        <f t="shared" si="531"/>
        <v>30000</v>
      </c>
      <c r="N278" s="16">
        <f t="shared" ref="N278" si="532">N277*0.1</f>
        <v>30000</v>
      </c>
      <c r="O278" s="13">
        <f t="shared" si="505"/>
        <v>210000</v>
      </c>
      <c r="P278" s="14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</row>
    <row r="279" spans="1:256" s="1" customFormat="1" x14ac:dyDescent="0.35">
      <c r="B279" s="15" t="s">
        <v>16</v>
      </c>
      <c r="C279" s="16">
        <f>C277-C278</f>
        <v>0</v>
      </c>
      <c r="D279" s="16">
        <f t="shared" ref="D279:G279" si="533">D277-D278</f>
        <v>0</v>
      </c>
      <c r="E279" s="16">
        <f t="shared" si="533"/>
        <v>0</v>
      </c>
      <c r="F279" s="16">
        <f t="shared" si="533"/>
        <v>0</v>
      </c>
      <c r="G279" s="16">
        <f t="shared" si="533"/>
        <v>0</v>
      </c>
      <c r="H279" s="16">
        <f t="shared" ref="H279:M279" si="534">H277-H278</f>
        <v>270000</v>
      </c>
      <c r="I279" s="16">
        <f t="shared" si="534"/>
        <v>270000</v>
      </c>
      <c r="J279" s="16">
        <f t="shared" si="534"/>
        <v>270000</v>
      </c>
      <c r="K279" s="16">
        <f t="shared" si="534"/>
        <v>270000</v>
      </c>
      <c r="L279" s="16">
        <f t="shared" si="534"/>
        <v>270000</v>
      </c>
      <c r="M279" s="16">
        <f t="shared" si="534"/>
        <v>270000</v>
      </c>
      <c r="N279" s="16">
        <f t="shared" ref="N279" si="535">N277-N278</f>
        <v>270000</v>
      </c>
      <c r="O279" s="13">
        <f t="shared" si="505"/>
        <v>1890000</v>
      </c>
      <c r="P279" s="14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</row>
    <row r="280" spans="1:256" s="1" customFormat="1" x14ac:dyDescent="0.35">
      <c r="B280" s="15" t="s">
        <v>17</v>
      </c>
      <c r="C280" s="18">
        <f t="shared" ref="C280:G280" si="536">IF(C279&gt;1000000,(C280-1000000)*0.3+130500,IF(C279&gt;760000,(C279-760000)*0.25+70500,IF(C279&gt;520000,(C279-520000)*0.2+22500,IF(C279&gt;270000,(C279-270000)*0.08+0,IF(C279&lt;270001,0,0)))))</f>
        <v>0</v>
      </c>
      <c r="D280" s="18">
        <f t="shared" si="536"/>
        <v>0</v>
      </c>
      <c r="E280" s="18">
        <f t="shared" si="536"/>
        <v>0</v>
      </c>
      <c r="F280" s="18">
        <f t="shared" si="536"/>
        <v>0</v>
      </c>
      <c r="G280" s="18">
        <f t="shared" si="536"/>
        <v>0</v>
      </c>
      <c r="H280" s="18">
        <f t="shared" ref="H280:M280" si="537">IF(H279&gt;1000000,(H280-1000000)*0.3+130500,IF(H279&gt;760000,(H279-760000)*0.25+70500,IF(H279&gt;520000,(H279-520000)*0.2+22500,IF(H279&gt;270000,(H279-270000)*0.08+0,IF(H279&lt;270001,0,0)))))</f>
        <v>0</v>
      </c>
      <c r="I280" s="18">
        <f t="shared" si="537"/>
        <v>0</v>
      </c>
      <c r="J280" s="18">
        <f t="shared" si="537"/>
        <v>0</v>
      </c>
      <c r="K280" s="18">
        <f t="shared" si="537"/>
        <v>0</v>
      </c>
      <c r="L280" s="18">
        <f t="shared" si="537"/>
        <v>0</v>
      </c>
      <c r="M280" s="18">
        <f t="shared" si="537"/>
        <v>0</v>
      </c>
      <c r="N280" s="18">
        <f t="shared" ref="N280" si="538">IF(N279&gt;1000000,(N280-1000000)*0.3+130500,IF(N279&gt;760000,(N279-760000)*0.25+70500,IF(N279&gt;520000,(N279-520000)*0.2+22500,IF(N279&gt;270000,(N279-270000)*0.08+0,IF(N279&lt;270001,0,0)))))</f>
        <v>0</v>
      </c>
      <c r="O280" s="13">
        <f t="shared" si="505"/>
        <v>0</v>
      </c>
      <c r="P280" s="14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</row>
    <row r="281" spans="1:256" s="17" customFormat="1" x14ac:dyDescent="0.35">
      <c r="A281" s="17">
        <v>69</v>
      </c>
      <c r="B281" s="11" t="s">
        <v>776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300000</v>
      </c>
      <c r="I281" s="12">
        <v>300000</v>
      </c>
      <c r="J281" s="12">
        <v>300000</v>
      </c>
      <c r="K281" s="12">
        <v>300000</v>
      </c>
      <c r="L281" s="12">
        <v>300000</v>
      </c>
      <c r="M281" s="12">
        <v>300000</v>
      </c>
      <c r="N281" s="12">
        <v>300000</v>
      </c>
      <c r="O281" s="13">
        <f t="shared" ref="O281:O344" si="539">SUM(C281:N281)</f>
        <v>2100000</v>
      </c>
      <c r="P281" s="14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</row>
    <row r="282" spans="1:256" s="17" customFormat="1" x14ac:dyDescent="0.35">
      <c r="B282" s="15" t="s">
        <v>15</v>
      </c>
      <c r="C282" s="16">
        <f>C281*0.1</f>
        <v>0</v>
      </c>
      <c r="D282" s="16">
        <f t="shared" ref="D282:G282" si="540">D281*0.1</f>
        <v>0</v>
      </c>
      <c r="E282" s="16">
        <f t="shared" si="540"/>
        <v>0</v>
      </c>
      <c r="F282" s="16">
        <f t="shared" si="540"/>
        <v>0</v>
      </c>
      <c r="G282" s="16">
        <f t="shared" si="540"/>
        <v>0</v>
      </c>
      <c r="H282" s="16">
        <f t="shared" ref="H282:M282" si="541">H281*0.1</f>
        <v>30000</v>
      </c>
      <c r="I282" s="16">
        <f t="shared" si="541"/>
        <v>30000</v>
      </c>
      <c r="J282" s="16">
        <f t="shared" si="541"/>
        <v>30000</v>
      </c>
      <c r="K282" s="16">
        <f t="shared" si="541"/>
        <v>30000</v>
      </c>
      <c r="L282" s="16">
        <f t="shared" si="541"/>
        <v>30000</v>
      </c>
      <c r="M282" s="16">
        <f t="shared" si="541"/>
        <v>30000</v>
      </c>
      <c r="N282" s="16">
        <f t="shared" ref="N282" si="542">N281*0.1</f>
        <v>30000</v>
      </c>
      <c r="O282" s="13">
        <f t="shared" si="539"/>
        <v>210000</v>
      </c>
      <c r="P282" s="14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</row>
    <row r="283" spans="1:256" s="1" customFormat="1" x14ac:dyDescent="0.35">
      <c r="B283" s="15" t="s">
        <v>16</v>
      </c>
      <c r="C283" s="16">
        <f>C281-C282</f>
        <v>0</v>
      </c>
      <c r="D283" s="16">
        <f t="shared" ref="D283:G283" si="543">D281-D282</f>
        <v>0</v>
      </c>
      <c r="E283" s="16">
        <f t="shared" si="543"/>
        <v>0</v>
      </c>
      <c r="F283" s="16">
        <f t="shared" si="543"/>
        <v>0</v>
      </c>
      <c r="G283" s="16">
        <f t="shared" si="543"/>
        <v>0</v>
      </c>
      <c r="H283" s="16">
        <f t="shared" ref="H283:M283" si="544">H281-H282</f>
        <v>270000</v>
      </c>
      <c r="I283" s="16">
        <f t="shared" si="544"/>
        <v>270000</v>
      </c>
      <c r="J283" s="16">
        <f t="shared" si="544"/>
        <v>270000</v>
      </c>
      <c r="K283" s="16">
        <f t="shared" si="544"/>
        <v>270000</v>
      </c>
      <c r="L283" s="16">
        <f t="shared" si="544"/>
        <v>270000</v>
      </c>
      <c r="M283" s="16">
        <f t="shared" si="544"/>
        <v>270000</v>
      </c>
      <c r="N283" s="16">
        <f t="shared" ref="N283" si="545">N281-N282</f>
        <v>270000</v>
      </c>
      <c r="O283" s="13">
        <f t="shared" si="539"/>
        <v>1890000</v>
      </c>
      <c r="P283" s="14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</row>
    <row r="284" spans="1:256" s="1" customFormat="1" x14ac:dyDescent="0.35">
      <c r="B284" s="15" t="s">
        <v>17</v>
      </c>
      <c r="C284" s="18">
        <f t="shared" ref="C284:G284" si="546">IF(C283&gt;1000000,(C284-1000000)*0.3+130500,IF(C283&gt;760000,(C283-760000)*0.25+70500,IF(C283&gt;520000,(C283-520000)*0.2+22500,IF(C283&gt;270000,(C283-270000)*0.08+0,IF(C283&lt;270001,0,0)))))</f>
        <v>0</v>
      </c>
      <c r="D284" s="18">
        <f t="shared" si="546"/>
        <v>0</v>
      </c>
      <c r="E284" s="18">
        <f t="shared" si="546"/>
        <v>0</v>
      </c>
      <c r="F284" s="18">
        <f t="shared" si="546"/>
        <v>0</v>
      </c>
      <c r="G284" s="18">
        <f t="shared" si="546"/>
        <v>0</v>
      </c>
      <c r="H284" s="18">
        <f t="shared" ref="H284:M284" si="547">IF(H283&gt;1000000,(H284-1000000)*0.3+130500,IF(H283&gt;760000,(H283-760000)*0.25+70500,IF(H283&gt;520000,(H283-520000)*0.2+22500,IF(H283&gt;270000,(H283-270000)*0.08+0,IF(H283&lt;270001,0,0)))))</f>
        <v>0</v>
      </c>
      <c r="I284" s="18">
        <f t="shared" si="547"/>
        <v>0</v>
      </c>
      <c r="J284" s="18">
        <f t="shared" si="547"/>
        <v>0</v>
      </c>
      <c r="K284" s="18">
        <f t="shared" si="547"/>
        <v>0</v>
      </c>
      <c r="L284" s="18">
        <f t="shared" si="547"/>
        <v>0</v>
      </c>
      <c r="M284" s="18">
        <f t="shared" si="547"/>
        <v>0</v>
      </c>
      <c r="N284" s="18">
        <f t="shared" ref="N284" si="548">IF(N283&gt;1000000,(N284-1000000)*0.3+130500,IF(N283&gt;760000,(N283-760000)*0.25+70500,IF(N283&gt;520000,(N283-520000)*0.2+22500,IF(N283&gt;270000,(N283-270000)*0.08+0,IF(N283&lt;270001,0,0)))))</f>
        <v>0</v>
      </c>
      <c r="O284" s="13">
        <f t="shared" si="539"/>
        <v>0</v>
      </c>
      <c r="P284" s="14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</row>
    <row r="285" spans="1:256" s="17" customFormat="1" x14ac:dyDescent="0.35">
      <c r="A285" s="17">
        <v>70</v>
      </c>
      <c r="B285" s="11" t="s">
        <v>777</v>
      </c>
      <c r="C285" s="12">
        <v>0</v>
      </c>
      <c r="D285" s="12">
        <v>0</v>
      </c>
      <c r="E285" s="12">
        <v>0</v>
      </c>
      <c r="F285" s="12">
        <v>0</v>
      </c>
      <c r="G285" s="12">
        <v>0</v>
      </c>
      <c r="H285" s="12">
        <v>300000</v>
      </c>
      <c r="I285" s="12">
        <v>300000</v>
      </c>
      <c r="J285" s="12">
        <v>300000</v>
      </c>
      <c r="K285" s="12">
        <v>300000</v>
      </c>
      <c r="L285" s="12">
        <v>300000</v>
      </c>
      <c r="M285" s="12">
        <v>300000</v>
      </c>
      <c r="N285" s="12">
        <v>300000</v>
      </c>
      <c r="O285" s="13">
        <f t="shared" si="539"/>
        <v>2100000</v>
      </c>
      <c r="P285" s="14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</row>
    <row r="286" spans="1:256" s="17" customFormat="1" x14ac:dyDescent="0.35">
      <c r="B286" s="15" t="s">
        <v>15</v>
      </c>
      <c r="C286" s="16">
        <f>C285*0.1</f>
        <v>0</v>
      </c>
      <c r="D286" s="16">
        <f t="shared" ref="D286:G286" si="549">D285*0.1</f>
        <v>0</v>
      </c>
      <c r="E286" s="16">
        <f t="shared" si="549"/>
        <v>0</v>
      </c>
      <c r="F286" s="16">
        <f t="shared" si="549"/>
        <v>0</v>
      </c>
      <c r="G286" s="16">
        <f t="shared" si="549"/>
        <v>0</v>
      </c>
      <c r="H286" s="16">
        <f t="shared" ref="H286:M286" si="550">H285*0.1</f>
        <v>30000</v>
      </c>
      <c r="I286" s="16">
        <f t="shared" si="550"/>
        <v>30000</v>
      </c>
      <c r="J286" s="16">
        <f t="shared" si="550"/>
        <v>30000</v>
      </c>
      <c r="K286" s="16">
        <f t="shared" si="550"/>
        <v>30000</v>
      </c>
      <c r="L286" s="16">
        <f t="shared" si="550"/>
        <v>30000</v>
      </c>
      <c r="M286" s="16">
        <f t="shared" si="550"/>
        <v>30000</v>
      </c>
      <c r="N286" s="16">
        <f t="shared" ref="N286" si="551">N285*0.1</f>
        <v>30000</v>
      </c>
      <c r="O286" s="13">
        <f t="shared" si="539"/>
        <v>210000</v>
      </c>
      <c r="P286" s="14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</row>
    <row r="287" spans="1:256" s="1" customFormat="1" x14ac:dyDescent="0.35">
      <c r="B287" s="15" t="s">
        <v>16</v>
      </c>
      <c r="C287" s="16">
        <f>C285-C286</f>
        <v>0</v>
      </c>
      <c r="D287" s="16">
        <f t="shared" ref="D287:G287" si="552">D285-D286</f>
        <v>0</v>
      </c>
      <c r="E287" s="16">
        <f t="shared" si="552"/>
        <v>0</v>
      </c>
      <c r="F287" s="16">
        <f t="shared" si="552"/>
        <v>0</v>
      </c>
      <c r="G287" s="16">
        <f t="shared" si="552"/>
        <v>0</v>
      </c>
      <c r="H287" s="16">
        <f t="shared" ref="H287:M287" si="553">H285-H286</f>
        <v>270000</v>
      </c>
      <c r="I287" s="16">
        <f t="shared" si="553"/>
        <v>270000</v>
      </c>
      <c r="J287" s="16">
        <f t="shared" si="553"/>
        <v>270000</v>
      </c>
      <c r="K287" s="16">
        <f t="shared" si="553"/>
        <v>270000</v>
      </c>
      <c r="L287" s="16">
        <f t="shared" si="553"/>
        <v>270000</v>
      </c>
      <c r="M287" s="16">
        <f t="shared" si="553"/>
        <v>270000</v>
      </c>
      <c r="N287" s="16">
        <f t="shared" ref="N287" si="554">N285-N286</f>
        <v>270000</v>
      </c>
      <c r="O287" s="13">
        <f t="shared" si="539"/>
        <v>1890000</v>
      </c>
      <c r="P287" s="14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</row>
    <row r="288" spans="1:256" s="1" customFormat="1" x14ac:dyDescent="0.35">
      <c r="B288" s="15" t="s">
        <v>17</v>
      </c>
      <c r="C288" s="18">
        <f t="shared" ref="C288:G288" si="555">IF(C287&gt;1000000,(C288-1000000)*0.3+130500,IF(C287&gt;760000,(C287-760000)*0.25+70500,IF(C287&gt;520000,(C287-520000)*0.2+22500,IF(C287&gt;270000,(C287-270000)*0.08+0,IF(C287&lt;270001,0,0)))))</f>
        <v>0</v>
      </c>
      <c r="D288" s="18">
        <f t="shared" si="555"/>
        <v>0</v>
      </c>
      <c r="E288" s="18">
        <f t="shared" si="555"/>
        <v>0</v>
      </c>
      <c r="F288" s="18">
        <f t="shared" si="555"/>
        <v>0</v>
      </c>
      <c r="G288" s="18">
        <f t="shared" si="555"/>
        <v>0</v>
      </c>
      <c r="H288" s="18">
        <f t="shared" ref="H288:M288" si="556">IF(H287&gt;1000000,(H288-1000000)*0.3+130500,IF(H287&gt;760000,(H287-760000)*0.25+70500,IF(H287&gt;520000,(H287-520000)*0.2+22500,IF(H287&gt;270000,(H287-270000)*0.08+0,IF(H287&lt;270001,0,0)))))</f>
        <v>0</v>
      </c>
      <c r="I288" s="18">
        <f t="shared" si="556"/>
        <v>0</v>
      </c>
      <c r="J288" s="18">
        <f t="shared" si="556"/>
        <v>0</v>
      </c>
      <c r="K288" s="18">
        <f t="shared" si="556"/>
        <v>0</v>
      </c>
      <c r="L288" s="18">
        <f t="shared" si="556"/>
        <v>0</v>
      </c>
      <c r="M288" s="18">
        <f t="shared" si="556"/>
        <v>0</v>
      </c>
      <c r="N288" s="18">
        <f t="shared" ref="N288" si="557">IF(N287&gt;1000000,(N288-1000000)*0.3+130500,IF(N287&gt;760000,(N287-760000)*0.25+70500,IF(N287&gt;520000,(N287-520000)*0.2+22500,IF(N287&gt;270000,(N287-270000)*0.08+0,IF(N287&lt;270001,0,0)))))</f>
        <v>0</v>
      </c>
      <c r="O288" s="13">
        <f t="shared" si="539"/>
        <v>0</v>
      </c>
      <c r="P288" s="14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</row>
    <row r="289" spans="1:256" s="17" customFormat="1" x14ac:dyDescent="0.35">
      <c r="A289" s="17">
        <v>71</v>
      </c>
      <c r="B289" s="11" t="s">
        <v>778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300000</v>
      </c>
      <c r="I289" s="12">
        <v>300000</v>
      </c>
      <c r="J289" s="12">
        <v>300000</v>
      </c>
      <c r="K289" s="12">
        <v>300000</v>
      </c>
      <c r="L289" s="12">
        <v>300000</v>
      </c>
      <c r="M289" s="12">
        <v>300000</v>
      </c>
      <c r="N289" s="12">
        <v>0</v>
      </c>
      <c r="O289" s="13">
        <f t="shared" si="539"/>
        <v>1800000</v>
      </c>
      <c r="P289" s="14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</row>
    <row r="290" spans="1:256" s="17" customFormat="1" x14ac:dyDescent="0.35">
      <c r="B290" s="15" t="s">
        <v>15</v>
      </c>
      <c r="C290" s="16">
        <f>C289*0.1</f>
        <v>0</v>
      </c>
      <c r="D290" s="16">
        <f t="shared" ref="D290:N290" si="558">D289*0.1</f>
        <v>0</v>
      </c>
      <c r="E290" s="16">
        <f t="shared" si="558"/>
        <v>0</v>
      </c>
      <c r="F290" s="16">
        <f t="shared" si="558"/>
        <v>0</v>
      </c>
      <c r="G290" s="16">
        <f t="shared" si="558"/>
        <v>0</v>
      </c>
      <c r="H290" s="16">
        <f t="shared" ref="H290:M290" si="559">H289*0.1</f>
        <v>30000</v>
      </c>
      <c r="I290" s="16">
        <f t="shared" si="559"/>
        <v>30000</v>
      </c>
      <c r="J290" s="16">
        <f t="shared" si="559"/>
        <v>30000</v>
      </c>
      <c r="K290" s="16">
        <f t="shared" si="559"/>
        <v>30000</v>
      </c>
      <c r="L290" s="16">
        <f t="shared" si="559"/>
        <v>30000</v>
      </c>
      <c r="M290" s="16">
        <f t="shared" si="559"/>
        <v>30000</v>
      </c>
      <c r="N290" s="16">
        <f t="shared" si="558"/>
        <v>0</v>
      </c>
      <c r="O290" s="13">
        <f t="shared" si="539"/>
        <v>180000</v>
      </c>
      <c r="P290" s="14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</row>
    <row r="291" spans="1:256" s="1" customFormat="1" x14ac:dyDescent="0.35">
      <c r="B291" s="15" t="s">
        <v>16</v>
      </c>
      <c r="C291" s="16">
        <f>C289-C290</f>
        <v>0</v>
      </c>
      <c r="D291" s="16">
        <f t="shared" ref="D291:N291" si="560">D289-D290</f>
        <v>0</v>
      </c>
      <c r="E291" s="16">
        <f t="shared" si="560"/>
        <v>0</v>
      </c>
      <c r="F291" s="16">
        <f t="shared" si="560"/>
        <v>0</v>
      </c>
      <c r="G291" s="16">
        <f t="shared" si="560"/>
        <v>0</v>
      </c>
      <c r="H291" s="16">
        <f t="shared" ref="H291:M291" si="561">H289-H290</f>
        <v>270000</v>
      </c>
      <c r="I291" s="16">
        <f t="shared" si="561"/>
        <v>270000</v>
      </c>
      <c r="J291" s="16">
        <f t="shared" si="561"/>
        <v>270000</v>
      </c>
      <c r="K291" s="16">
        <f t="shared" si="561"/>
        <v>270000</v>
      </c>
      <c r="L291" s="16">
        <f t="shared" si="561"/>
        <v>270000</v>
      </c>
      <c r="M291" s="16">
        <f t="shared" si="561"/>
        <v>270000</v>
      </c>
      <c r="N291" s="16">
        <f t="shared" si="560"/>
        <v>0</v>
      </c>
      <c r="O291" s="13">
        <f t="shared" si="539"/>
        <v>1620000</v>
      </c>
      <c r="P291" s="14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</row>
    <row r="292" spans="1:256" s="1" customFormat="1" x14ac:dyDescent="0.35">
      <c r="B292" s="15" t="s">
        <v>17</v>
      </c>
      <c r="C292" s="18">
        <f t="shared" ref="C292:N292" si="562">IF(C291&gt;1000000,(C292-1000000)*0.3+130500,IF(C291&gt;760000,(C291-760000)*0.25+70500,IF(C291&gt;520000,(C291-520000)*0.2+22500,IF(C291&gt;270000,(C291-270000)*0.08+0,IF(C291&lt;270001,0,0)))))</f>
        <v>0</v>
      </c>
      <c r="D292" s="18">
        <f t="shared" si="562"/>
        <v>0</v>
      </c>
      <c r="E292" s="18">
        <f t="shared" si="562"/>
        <v>0</v>
      </c>
      <c r="F292" s="18">
        <f t="shared" si="562"/>
        <v>0</v>
      </c>
      <c r="G292" s="18">
        <f t="shared" si="562"/>
        <v>0</v>
      </c>
      <c r="H292" s="18">
        <f t="shared" ref="H292:M292" si="563">IF(H291&gt;1000000,(H292-1000000)*0.3+130500,IF(H291&gt;760000,(H291-760000)*0.25+70500,IF(H291&gt;520000,(H291-520000)*0.2+22500,IF(H291&gt;270000,(H291-270000)*0.08+0,IF(H291&lt;270001,0,0)))))</f>
        <v>0</v>
      </c>
      <c r="I292" s="18">
        <f t="shared" si="563"/>
        <v>0</v>
      </c>
      <c r="J292" s="18">
        <f t="shared" si="563"/>
        <v>0</v>
      </c>
      <c r="K292" s="18">
        <f t="shared" si="563"/>
        <v>0</v>
      </c>
      <c r="L292" s="18">
        <f t="shared" si="563"/>
        <v>0</v>
      </c>
      <c r="M292" s="18">
        <f t="shared" si="563"/>
        <v>0</v>
      </c>
      <c r="N292" s="18">
        <f t="shared" si="562"/>
        <v>0</v>
      </c>
      <c r="O292" s="13">
        <f t="shared" si="539"/>
        <v>0</v>
      </c>
      <c r="P292" s="14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</row>
    <row r="293" spans="1:256" s="17" customFormat="1" x14ac:dyDescent="0.35">
      <c r="A293" s="17">
        <v>72</v>
      </c>
      <c r="B293" s="11" t="s">
        <v>779</v>
      </c>
      <c r="C293" s="12">
        <v>0</v>
      </c>
      <c r="D293" s="12">
        <v>0</v>
      </c>
      <c r="E293" s="12">
        <v>0</v>
      </c>
      <c r="F293" s="12">
        <v>0</v>
      </c>
      <c r="G293" s="12">
        <v>0</v>
      </c>
      <c r="H293" s="12">
        <v>300000</v>
      </c>
      <c r="I293" s="12">
        <v>300000</v>
      </c>
      <c r="J293" s="12">
        <v>300000</v>
      </c>
      <c r="K293" s="12">
        <v>0</v>
      </c>
      <c r="L293" s="12">
        <v>0</v>
      </c>
      <c r="M293" s="12">
        <v>0</v>
      </c>
      <c r="N293" s="12">
        <v>0</v>
      </c>
      <c r="O293" s="13">
        <f t="shared" si="539"/>
        <v>900000</v>
      </c>
      <c r="P293" s="14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</row>
    <row r="294" spans="1:256" s="17" customFormat="1" x14ac:dyDescent="0.35">
      <c r="B294" s="15" t="s">
        <v>15</v>
      </c>
      <c r="C294" s="16">
        <f>C293*0.1</f>
        <v>0</v>
      </c>
      <c r="D294" s="16">
        <f t="shared" ref="D294:N294" si="564">D293*0.1</f>
        <v>0</v>
      </c>
      <c r="E294" s="16">
        <f t="shared" si="564"/>
        <v>0</v>
      </c>
      <c r="F294" s="16">
        <f t="shared" si="564"/>
        <v>0</v>
      </c>
      <c r="G294" s="16">
        <f t="shared" si="564"/>
        <v>0</v>
      </c>
      <c r="H294" s="16">
        <f>H293*0.1</f>
        <v>30000</v>
      </c>
      <c r="I294" s="16">
        <f>I293*0.1</f>
        <v>30000</v>
      </c>
      <c r="J294" s="16">
        <f>J293*0.1</f>
        <v>30000</v>
      </c>
      <c r="K294" s="16">
        <f t="shared" si="564"/>
        <v>0</v>
      </c>
      <c r="L294" s="16">
        <f>L293*0.1</f>
        <v>0</v>
      </c>
      <c r="M294" s="16">
        <f>M293*0.1</f>
        <v>0</v>
      </c>
      <c r="N294" s="16">
        <f t="shared" si="564"/>
        <v>0</v>
      </c>
      <c r="O294" s="13">
        <f t="shared" si="539"/>
        <v>90000</v>
      </c>
      <c r="P294" s="14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</row>
    <row r="295" spans="1:256" s="1" customFormat="1" x14ac:dyDescent="0.35">
      <c r="B295" s="15" t="s">
        <v>16</v>
      </c>
      <c r="C295" s="16">
        <f>C293-C294</f>
        <v>0</v>
      </c>
      <c r="D295" s="16">
        <f t="shared" ref="D295:N295" si="565">D293-D294</f>
        <v>0</v>
      </c>
      <c r="E295" s="16">
        <f t="shared" si="565"/>
        <v>0</v>
      </c>
      <c r="F295" s="16">
        <f t="shared" si="565"/>
        <v>0</v>
      </c>
      <c r="G295" s="16">
        <f t="shared" si="565"/>
        <v>0</v>
      </c>
      <c r="H295" s="16">
        <f>H293-H294</f>
        <v>270000</v>
      </c>
      <c r="I295" s="16">
        <f>I293-I294</f>
        <v>270000</v>
      </c>
      <c r="J295" s="16">
        <f>J293-J294</f>
        <v>270000</v>
      </c>
      <c r="K295" s="16">
        <f t="shared" si="565"/>
        <v>0</v>
      </c>
      <c r="L295" s="16">
        <f>L293-L294</f>
        <v>0</v>
      </c>
      <c r="M295" s="16">
        <f>M293-M294</f>
        <v>0</v>
      </c>
      <c r="N295" s="16">
        <f t="shared" si="565"/>
        <v>0</v>
      </c>
      <c r="O295" s="13">
        <f t="shared" si="539"/>
        <v>810000</v>
      </c>
      <c r="P295" s="14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</row>
    <row r="296" spans="1:256" s="1" customFormat="1" x14ac:dyDescent="0.35">
      <c r="B296" s="15" t="s">
        <v>17</v>
      </c>
      <c r="C296" s="18">
        <f t="shared" ref="C296:N296" si="566">IF(C295&gt;1000000,(C296-1000000)*0.3+130500,IF(C295&gt;760000,(C295-760000)*0.25+70500,IF(C295&gt;520000,(C295-520000)*0.2+22500,IF(C295&gt;270000,(C295-270000)*0.08+0,IF(C295&lt;270001,0,0)))))</f>
        <v>0</v>
      </c>
      <c r="D296" s="18">
        <f t="shared" si="566"/>
        <v>0</v>
      </c>
      <c r="E296" s="18">
        <f t="shared" si="566"/>
        <v>0</v>
      </c>
      <c r="F296" s="18">
        <f t="shared" si="566"/>
        <v>0</v>
      </c>
      <c r="G296" s="18">
        <f t="shared" si="566"/>
        <v>0</v>
      </c>
      <c r="H296" s="18">
        <f>IF(H295&gt;1000000,(H296-1000000)*0.3+130500,IF(H295&gt;760000,(H295-760000)*0.25+70500,IF(H295&gt;520000,(H295-520000)*0.2+22500,IF(H295&gt;270000,(H295-270000)*0.08+0,IF(H295&lt;270001,0,0)))))</f>
        <v>0</v>
      </c>
      <c r="I296" s="18">
        <f>IF(I295&gt;1000000,(I296-1000000)*0.3+130500,IF(I295&gt;760000,(I295-760000)*0.25+70500,IF(I295&gt;520000,(I295-520000)*0.2+22500,IF(I295&gt;270000,(I295-270000)*0.08+0,IF(I295&lt;270001,0,0)))))</f>
        <v>0</v>
      </c>
      <c r="J296" s="18">
        <f>IF(J295&gt;1000000,(J296-1000000)*0.3+130500,IF(J295&gt;760000,(J295-760000)*0.25+70500,IF(J295&gt;520000,(J295-520000)*0.2+22500,IF(J295&gt;270000,(J295-270000)*0.08+0,IF(J295&lt;270001,0,0)))))</f>
        <v>0</v>
      </c>
      <c r="K296" s="18">
        <f t="shared" si="566"/>
        <v>0</v>
      </c>
      <c r="L296" s="18">
        <f>IF(L295&gt;1000000,(L296-1000000)*0.3+130500,IF(L295&gt;760000,(L295-760000)*0.25+70500,IF(L295&gt;520000,(L295-520000)*0.2+22500,IF(L295&gt;270000,(L295-270000)*0.08+0,IF(L295&lt;270001,0,0)))))</f>
        <v>0</v>
      </c>
      <c r="M296" s="18">
        <f>IF(M295&gt;1000000,(M296-1000000)*0.3+130500,IF(M295&gt;760000,(M295-760000)*0.25+70500,IF(M295&gt;520000,(M295-520000)*0.2+22500,IF(M295&gt;270000,(M295-270000)*0.08+0,IF(M295&lt;270001,0,0)))))</f>
        <v>0</v>
      </c>
      <c r="N296" s="18">
        <f t="shared" si="566"/>
        <v>0</v>
      </c>
      <c r="O296" s="13">
        <f t="shared" si="539"/>
        <v>0</v>
      </c>
      <c r="P296" s="14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</row>
    <row r="297" spans="1:256" s="17" customFormat="1" x14ac:dyDescent="0.35">
      <c r="A297" s="17">
        <v>73</v>
      </c>
      <c r="B297" s="11" t="s">
        <v>900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300000</v>
      </c>
      <c r="J297" s="12">
        <v>300000</v>
      </c>
      <c r="K297" s="12">
        <v>300000</v>
      </c>
      <c r="L297" s="12">
        <v>300000</v>
      </c>
      <c r="M297" s="12">
        <v>300000</v>
      </c>
      <c r="N297" s="12">
        <v>300000</v>
      </c>
      <c r="O297" s="13">
        <f t="shared" si="539"/>
        <v>1800000</v>
      </c>
      <c r="P297" s="14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</row>
    <row r="298" spans="1:256" s="17" customFormat="1" x14ac:dyDescent="0.35">
      <c r="B298" s="15" t="s">
        <v>15</v>
      </c>
      <c r="C298" s="16">
        <f>C297*0.1</f>
        <v>0</v>
      </c>
      <c r="D298" s="16">
        <f t="shared" ref="D298:I298" si="567">D297*0.1</f>
        <v>0</v>
      </c>
      <c r="E298" s="16">
        <f t="shared" si="567"/>
        <v>0</v>
      </c>
      <c r="F298" s="16">
        <f t="shared" si="567"/>
        <v>0</v>
      </c>
      <c r="G298" s="16">
        <f t="shared" si="567"/>
        <v>0</v>
      </c>
      <c r="H298" s="16">
        <f t="shared" si="567"/>
        <v>0</v>
      </c>
      <c r="I298" s="16">
        <f t="shared" si="567"/>
        <v>30000</v>
      </c>
      <c r="J298" s="16">
        <f>J297*0.1</f>
        <v>30000</v>
      </c>
      <c r="K298" s="16">
        <f>K297*0.1</f>
        <v>30000</v>
      </c>
      <c r="L298" s="16">
        <f>L297*0.1</f>
        <v>30000</v>
      </c>
      <c r="M298" s="16">
        <f>M297*0.1</f>
        <v>30000</v>
      </c>
      <c r="N298" s="16">
        <f>N297*0.1</f>
        <v>30000</v>
      </c>
      <c r="O298" s="13">
        <f t="shared" si="539"/>
        <v>180000</v>
      </c>
      <c r="P298" s="14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</row>
    <row r="299" spans="1:256" s="1" customFormat="1" x14ac:dyDescent="0.35">
      <c r="B299" s="15" t="s">
        <v>16</v>
      </c>
      <c r="C299" s="16">
        <f>C297-C298</f>
        <v>0</v>
      </c>
      <c r="D299" s="16">
        <f t="shared" ref="D299:I299" si="568">D297-D298</f>
        <v>0</v>
      </c>
      <c r="E299" s="16">
        <f t="shared" si="568"/>
        <v>0</v>
      </c>
      <c r="F299" s="16">
        <f t="shared" si="568"/>
        <v>0</v>
      </c>
      <c r="G299" s="16">
        <f t="shared" si="568"/>
        <v>0</v>
      </c>
      <c r="H299" s="16">
        <f t="shared" si="568"/>
        <v>0</v>
      </c>
      <c r="I299" s="16">
        <f t="shared" si="568"/>
        <v>270000</v>
      </c>
      <c r="J299" s="16">
        <f>J297-J298</f>
        <v>270000</v>
      </c>
      <c r="K299" s="16">
        <f>K297-K298</f>
        <v>270000</v>
      </c>
      <c r="L299" s="16">
        <f>L297-L298</f>
        <v>270000</v>
      </c>
      <c r="M299" s="16">
        <f>M297-M298</f>
        <v>270000</v>
      </c>
      <c r="N299" s="16">
        <f>N297-N298</f>
        <v>270000</v>
      </c>
      <c r="O299" s="13">
        <f t="shared" si="539"/>
        <v>1620000</v>
      </c>
      <c r="P299" s="14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</row>
    <row r="300" spans="1:256" s="1" customFormat="1" x14ac:dyDescent="0.35">
      <c r="B300" s="15" t="s">
        <v>17</v>
      </c>
      <c r="C300" s="18">
        <f t="shared" ref="C300:I300" si="569">IF(C299&gt;1000000,(C300-1000000)*0.3+130500,IF(C299&gt;760000,(C299-760000)*0.25+70500,IF(C299&gt;520000,(C299-520000)*0.2+22500,IF(C299&gt;270000,(C299-270000)*0.08+0,IF(C299&lt;270001,0,0)))))</f>
        <v>0</v>
      </c>
      <c r="D300" s="18">
        <f t="shared" si="569"/>
        <v>0</v>
      </c>
      <c r="E300" s="18">
        <f t="shared" si="569"/>
        <v>0</v>
      </c>
      <c r="F300" s="18">
        <f t="shared" si="569"/>
        <v>0</v>
      </c>
      <c r="G300" s="18">
        <f t="shared" si="569"/>
        <v>0</v>
      </c>
      <c r="H300" s="18">
        <f t="shared" si="569"/>
        <v>0</v>
      </c>
      <c r="I300" s="18">
        <f t="shared" si="569"/>
        <v>0</v>
      </c>
      <c r="J300" s="18">
        <f>IF(J299&gt;1000000,(J300-1000000)*0.3+130500,IF(J299&gt;760000,(J299-760000)*0.25+70500,IF(J299&gt;520000,(J299-520000)*0.2+22500,IF(J299&gt;270000,(J299-270000)*0.08+0,IF(J299&lt;270001,0,0)))))</f>
        <v>0</v>
      </c>
      <c r="K300" s="18">
        <f>IF(K299&gt;1000000,(K300-1000000)*0.3+130500,IF(K299&gt;760000,(K299-760000)*0.25+70500,IF(K299&gt;520000,(K299-520000)*0.2+22500,IF(K299&gt;270000,(K299-270000)*0.08+0,IF(K299&lt;270001,0,0)))))</f>
        <v>0</v>
      </c>
      <c r="L300" s="18">
        <f>IF(L299&gt;1000000,(L300-1000000)*0.3+130500,IF(L299&gt;760000,(L299-760000)*0.25+70500,IF(L299&gt;520000,(L299-520000)*0.2+22500,IF(L299&gt;270000,(L299-270000)*0.08+0,IF(L299&lt;270001,0,0)))))</f>
        <v>0</v>
      </c>
      <c r="M300" s="18">
        <f>IF(M299&gt;1000000,(M300-1000000)*0.3+130500,IF(M299&gt;760000,(M299-760000)*0.25+70500,IF(M299&gt;520000,(M299-520000)*0.2+22500,IF(M299&gt;270000,(M299-270000)*0.08+0,IF(M299&lt;270001,0,0)))))</f>
        <v>0</v>
      </c>
      <c r="N300" s="18">
        <f>IF(N299&gt;1000000,(N300-1000000)*0.3+130500,IF(N299&gt;760000,(N299-760000)*0.25+70500,IF(N299&gt;520000,(N299-520000)*0.2+22500,IF(N299&gt;270000,(N299-270000)*0.08+0,IF(N299&lt;270001,0,0)))))</f>
        <v>0</v>
      </c>
      <c r="O300" s="13">
        <f t="shared" si="539"/>
        <v>0</v>
      </c>
      <c r="P300" s="14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</row>
    <row r="301" spans="1:256" s="17" customFormat="1" x14ac:dyDescent="0.35">
      <c r="A301" s="17">
        <v>74</v>
      </c>
      <c r="B301" s="11" t="s">
        <v>901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300000</v>
      </c>
      <c r="J301" s="12">
        <v>300000</v>
      </c>
      <c r="K301" s="12">
        <v>300000</v>
      </c>
      <c r="L301" s="12">
        <v>300000</v>
      </c>
      <c r="M301" s="12">
        <v>300000</v>
      </c>
      <c r="N301" s="12">
        <v>300000</v>
      </c>
      <c r="O301" s="13">
        <f t="shared" si="539"/>
        <v>1800000</v>
      </c>
      <c r="P301" s="14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</row>
    <row r="302" spans="1:256" s="17" customFormat="1" x14ac:dyDescent="0.35">
      <c r="B302" s="15" t="s">
        <v>15</v>
      </c>
      <c r="C302" s="16">
        <f>C301*0.1</f>
        <v>0</v>
      </c>
      <c r="D302" s="16">
        <f t="shared" ref="D302:I302" si="570">D301*0.1</f>
        <v>0</v>
      </c>
      <c r="E302" s="16">
        <f t="shared" si="570"/>
        <v>0</v>
      </c>
      <c r="F302" s="16">
        <f t="shared" si="570"/>
        <v>0</v>
      </c>
      <c r="G302" s="16">
        <f t="shared" si="570"/>
        <v>0</v>
      </c>
      <c r="H302" s="16">
        <f t="shared" si="570"/>
        <v>0</v>
      </c>
      <c r="I302" s="16">
        <f t="shared" si="570"/>
        <v>30000</v>
      </c>
      <c r="J302" s="16">
        <f>J301*0.1</f>
        <v>30000</v>
      </c>
      <c r="K302" s="16">
        <f>K301*0.1</f>
        <v>30000</v>
      </c>
      <c r="L302" s="16">
        <f>L301*0.1</f>
        <v>30000</v>
      </c>
      <c r="M302" s="16">
        <f>M301*0.1</f>
        <v>30000</v>
      </c>
      <c r="N302" s="16">
        <f>N301*0.1</f>
        <v>30000</v>
      </c>
      <c r="O302" s="13">
        <f t="shared" si="539"/>
        <v>180000</v>
      </c>
      <c r="P302" s="14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</row>
    <row r="303" spans="1:256" s="1" customFormat="1" x14ac:dyDescent="0.35">
      <c r="B303" s="15" t="s">
        <v>16</v>
      </c>
      <c r="C303" s="16">
        <f>C301-C302</f>
        <v>0</v>
      </c>
      <c r="D303" s="16">
        <f t="shared" ref="D303:I303" si="571">D301-D302</f>
        <v>0</v>
      </c>
      <c r="E303" s="16">
        <f t="shared" si="571"/>
        <v>0</v>
      </c>
      <c r="F303" s="16">
        <f t="shared" si="571"/>
        <v>0</v>
      </c>
      <c r="G303" s="16">
        <f t="shared" si="571"/>
        <v>0</v>
      </c>
      <c r="H303" s="16">
        <f t="shared" si="571"/>
        <v>0</v>
      </c>
      <c r="I303" s="16">
        <f t="shared" si="571"/>
        <v>270000</v>
      </c>
      <c r="J303" s="16">
        <f>J301-J302</f>
        <v>270000</v>
      </c>
      <c r="K303" s="16">
        <f>K301-K302</f>
        <v>270000</v>
      </c>
      <c r="L303" s="16">
        <f>L301-L302</f>
        <v>270000</v>
      </c>
      <c r="M303" s="16">
        <f>M301-M302</f>
        <v>270000</v>
      </c>
      <c r="N303" s="16">
        <f>N301-N302</f>
        <v>270000</v>
      </c>
      <c r="O303" s="13">
        <f t="shared" si="539"/>
        <v>1620000</v>
      </c>
      <c r="P303" s="14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</row>
    <row r="304" spans="1:256" s="1" customFormat="1" x14ac:dyDescent="0.35">
      <c r="B304" s="15" t="s">
        <v>17</v>
      </c>
      <c r="C304" s="18">
        <f t="shared" ref="C304:I304" si="572">IF(C303&gt;1000000,(C304-1000000)*0.3+130500,IF(C303&gt;760000,(C303-760000)*0.25+70500,IF(C303&gt;520000,(C303-520000)*0.2+22500,IF(C303&gt;270000,(C303-270000)*0.08+0,IF(C303&lt;270001,0,0)))))</f>
        <v>0</v>
      </c>
      <c r="D304" s="18">
        <f t="shared" si="572"/>
        <v>0</v>
      </c>
      <c r="E304" s="18">
        <f t="shared" si="572"/>
        <v>0</v>
      </c>
      <c r="F304" s="18">
        <f t="shared" si="572"/>
        <v>0</v>
      </c>
      <c r="G304" s="18">
        <f t="shared" si="572"/>
        <v>0</v>
      </c>
      <c r="H304" s="18">
        <f t="shared" si="572"/>
        <v>0</v>
      </c>
      <c r="I304" s="18">
        <f t="shared" si="572"/>
        <v>0</v>
      </c>
      <c r="J304" s="18">
        <f>IF(J303&gt;1000000,(J304-1000000)*0.3+130500,IF(J303&gt;760000,(J303-760000)*0.25+70500,IF(J303&gt;520000,(J303-520000)*0.2+22500,IF(J303&gt;270000,(J303-270000)*0.08+0,IF(J303&lt;270001,0,0)))))</f>
        <v>0</v>
      </c>
      <c r="K304" s="18">
        <f>IF(K303&gt;1000000,(K304-1000000)*0.3+130500,IF(K303&gt;760000,(K303-760000)*0.25+70500,IF(K303&gt;520000,(K303-520000)*0.2+22500,IF(K303&gt;270000,(K303-270000)*0.08+0,IF(K303&lt;270001,0,0)))))</f>
        <v>0</v>
      </c>
      <c r="L304" s="18">
        <f>IF(L303&gt;1000000,(L304-1000000)*0.3+130500,IF(L303&gt;760000,(L303-760000)*0.25+70500,IF(L303&gt;520000,(L303-520000)*0.2+22500,IF(L303&gt;270000,(L303-270000)*0.08+0,IF(L303&lt;270001,0,0)))))</f>
        <v>0</v>
      </c>
      <c r="M304" s="18">
        <f>IF(M303&gt;1000000,(M304-1000000)*0.3+130500,IF(M303&gt;760000,(M303-760000)*0.25+70500,IF(M303&gt;520000,(M303-520000)*0.2+22500,IF(M303&gt;270000,(M303-270000)*0.08+0,IF(M303&lt;270001,0,0)))))</f>
        <v>0</v>
      </c>
      <c r="N304" s="18">
        <f>IF(N303&gt;1000000,(N304-1000000)*0.3+130500,IF(N303&gt;760000,(N303-760000)*0.25+70500,IF(N303&gt;520000,(N303-520000)*0.2+22500,IF(N303&gt;270000,(N303-270000)*0.08+0,IF(N303&lt;270001,0,0)))))</f>
        <v>0</v>
      </c>
      <c r="O304" s="13">
        <f t="shared" si="539"/>
        <v>0</v>
      </c>
      <c r="P304" s="14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</row>
    <row r="305" spans="1:256" s="17" customFormat="1" x14ac:dyDescent="0.35">
      <c r="A305" s="17">
        <v>75</v>
      </c>
      <c r="B305" s="11" t="s">
        <v>902</v>
      </c>
      <c r="C305" s="12">
        <v>0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300000</v>
      </c>
      <c r="J305" s="12">
        <v>300000</v>
      </c>
      <c r="K305" s="12">
        <v>300000</v>
      </c>
      <c r="L305" s="12">
        <v>300000</v>
      </c>
      <c r="M305" s="12">
        <v>300000</v>
      </c>
      <c r="N305" s="12">
        <v>300000</v>
      </c>
      <c r="O305" s="13">
        <f t="shared" si="539"/>
        <v>1800000</v>
      </c>
      <c r="P305" s="14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</row>
    <row r="306" spans="1:256" s="17" customFormat="1" x14ac:dyDescent="0.35">
      <c r="B306" s="15" t="s">
        <v>15</v>
      </c>
      <c r="C306" s="16">
        <f>C305*0.1</f>
        <v>0</v>
      </c>
      <c r="D306" s="16">
        <f t="shared" ref="D306:I306" si="573">D305*0.1</f>
        <v>0</v>
      </c>
      <c r="E306" s="16">
        <f t="shared" si="573"/>
        <v>0</v>
      </c>
      <c r="F306" s="16">
        <f t="shared" si="573"/>
        <v>0</v>
      </c>
      <c r="G306" s="16">
        <f t="shared" si="573"/>
        <v>0</v>
      </c>
      <c r="H306" s="16">
        <f t="shared" si="573"/>
        <v>0</v>
      </c>
      <c r="I306" s="16">
        <f t="shared" si="573"/>
        <v>30000</v>
      </c>
      <c r="J306" s="16">
        <f>J305*0.1</f>
        <v>30000</v>
      </c>
      <c r="K306" s="16">
        <f>K305*0.1</f>
        <v>30000</v>
      </c>
      <c r="L306" s="16">
        <f>L305*0.1</f>
        <v>30000</v>
      </c>
      <c r="M306" s="16">
        <f>M305*0.1</f>
        <v>30000</v>
      </c>
      <c r="N306" s="16">
        <f>N305*0.1</f>
        <v>30000</v>
      </c>
      <c r="O306" s="13">
        <f t="shared" si="539"/>
        <v>180000</v>
      </c>
      <c r="P306" s="14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</row>
    <row r="307" spans="1:256" s="1" customFormat="1" x14ac:dyDescent="0.35">
      <c r="B307" s="15" t="s">
        <v>16</v>
      </c>
      <c r="C307" s="16">
        <f>C305-C306</f>
        <v>0</v>
      </c>
      <c r="D307" s="16">
        <f t="shared" ref="D307:I307" si="574">D305-D306</f>
        <v>0</v>
      </c>
      <c r="E307" s="16">
        <f t="shared" si="574"/>
        <v>0</v>
      </c>
      <c r="F307" s="16">
        <f t="shared" si="574"/>
        <v>0</v>
      </c>
      <c r="G307" s="16">
        <f t="shared" si="574"/>
        <v>0</v>
      </c>
      <c r="H307" s="16">
        <f t="shared" si="574"/>
        <v>0</v>
      </c>
      <c r="I307" s="16">
        <f t="shared" si="574"/>
        <v>270000</v>
      </c>
      <c r="J307" s="16">
        <f>J305-J306</f>
        <v>270000</v>
      </c>
      <c r="K307" s="16">
        <f>K305-K306</f>
        <v>270000</v>
      </c>
      <c r="L307" s="16">
        <f>L305-L306</f>
        <v>270000</v>
      </c>
      <c r="M307" s="16">
        <f>M305-M306</f>
        <v>270000</v>
      </c>
      <c r="N307" s="16">
        <f>N305-N306</f>
        <v>270000</v>
      </c>
      <c r="O307" s="13">
        <f t="shared" si="539"/>
        <v>1620000</v>
      </c>
      <c r="P307" s="14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</row>
    <row r="308" spans="1:256" s="1" customFormat="1" x14ac:dyDescent="0.35">
      <c r="B308" s="15" t="s">
        <v>17</v>
      </c>
      <c r="C308" s="18">
        <f t="shared" ref="C308:I308" si="575">IF(C307&gt;1000000,(C308-1000000)*0.3+130500,IF(C307&gt;760000,(C307-760000)*0.25+70500,IF(C307&gt;520000,(C307-520000)*0.2+22500,IF(C307&gt;270000,(C307-270000)*0.08+0,IF(C307&lt;270001,0,0)))))</f>
        <v>0</v>
      </c>
      <c r="D308" s="18">
        <f t="shared" si="575"/>
        <v>0</v>
      </c>
      <c r="E308" s="18">
        <f t="shared" si="575"/>
        <v>0</v>
      </c>
      <c r="F308" s="18">
        <f t="shared" si="575"/>
        <v>0</v>
      </c>
      <c r="G308" s="18">
        <f t="shared" si="575"/>
        <v>0</v>
      </c>
      <c r="H308" s="18">
        <f t="shared" si="575"/>
        <v>0</v>
      </c>
      <c r="I308" s="18">
        <f t="shared" si="575"/>
        <v>0</v>
      </c>
      <c r="J308" s="18">
        <f>IF(J307&gt;1000000,(J308-1000000)*0.3+130500,IF(J307&gt;760000,(J307-760000)*0.25+70500,IF(J307&gt;520000,(J307-520000)*0.2+22500,IF(J307&gt;270000,(J307-270000)*0.08+0,IF(J307&lt;270001,0,0)))))</f>
        <v>0</v>
      </c>
      <c r="K308" s="18">
        <f>IF(K307&gt;1000000,(K308-1000000)*0.3+130500,IF(K307&gt;760000,(K307-760000)*0.25+70500,IF(K307&gt;520000,(K307-520000)*0.2+22500,IF(K307&gt;270000,(K307-270000)*0.08+0,IF(K307&lt;270001,0,0)))))</f>
        <v>0</v>
      </c>
      <c r="L308" s="18">
        <f>IF(L307&gt;1000000,(L308-1000000)*0.3+130500,IF(L307&gt;760000,(L307-760000)*0.25+70500,IF(L307&gt;520000,(L307-520000)*0.2+22500,IF(L307&gt;270000,(L307-270000)*0.08+0,IF(L307&lt;270001,0,0)))))</f>
        <v>0</v>
      </c>
      <c r="M308" s="18">
        <f>IF(M307&gt;1000000,(M308-1000000)*0.3+130500,IF(M307&gt;760000,(M307-760000)*0.25+70500,IF(M307&gt;520000,(M307-520000)*0.2+22500,IF(M307&gt;270000,(M307-270000)*0.08+0,IF(M307&lt;270001,0,0)))))</f>
        <v>0</v>
      </c>
      <c r="N308" s="18">
        <f>IF(N307&gt;1000000,(N308-1000000)*0.3+130500,IF(N307&gt;760000,(N307-760000)*0.25+70500,IF(N307&gt;520000,(N307-520000)*0.2+22500,IF(N307&gt;270000,(N307-270000)*0.08+0,IF(N307&lt;270001,0,0)))))</f>
        <v>0</v>
      </c>
      <c r="O308" s="13">
        <f t="shared" si="539"/>
        <v>0</v>
      </c>
      <c r="P308" s="14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</row>
    <row r="309" spans="1:256" s="17" customFormat="1" x14ac:dyDescent="0.35">
      <c r="A309" s="17">
        <v>76</v>
      </c>
      <c r="B309" s="11" t="s">
        <v>1099</v>
      </c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300000</v>
      </c>
      <c r="K309" s="12">
        <v>300000</v>
      </c>
      <c r="L309" s="12">
        <v>300000</v>
      </c>
      <c r="M309" s="12">
        <v>300000</v>
      </c>
      <c r="N309" s="12">
        <v>300000</v>
      </c>
      <c r="O309" s="13">
        <f t="shared" si="539"/>
        <v>1500000</v>
      </c>
      <c r="P309" s="14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</row>
    <row r="310" spans="1:256" s="17" customFormat="1" x14ac:dyDescent="0.35">
      <c r="B310" s="15" t="s">
        <v>15</v>
      </c>
      <c r="C310" s="16">
        <f>C309*0.1</f>
        <v>0</v>
      </c>
      <c r="D310" s="16">
        <f t="shared" ref="D310:J310" si="576">D309*0.1</f>
        <v>0</v>
      </c>
      <c r="E310" s="16">
        <f t="shared" si="576"/>
        <v>0</v>
      </c>
      <c r="F310" s="16">
        <f t="shared" si="576"/>
        <v>0</v>
      </c>
      <c r="G310" s="16">
        <f t="shared" si="576"/>
        <v>0</v>
      </c>
      <c r="H310" s="16">
        <f t="shared" si="576"/>
        <v>0</v>
      </c>
      <c r="I310" s="16">
        <f t="shared" si="576"/>
        <v>0</v>
      </c>
      <c r="J310" s="16">
        <f t="shared" si="576"/>
        <v>30000</v>
      </c>
      <c r="K310" s="16">
        <f>K309*0.1</f>
        <v>30000</v>
      </c>
      <c r="L310" s="16">
        <f>L309*0.1</f>
        <v>30000</v>
      </c>
      <c r="M310" s="16">
        <f>M309*0.1</f>
        <v>30000</v>
      </c>
      <c r="N310" s="16">
        <f>N309*0.1</f>
        <v>30000</v>
      </c>
      <c r="O310" s="13">
        <f t="shared" si="539"/>
        <v>150000</v>
      </c>
      <c r="P310" s="14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</row>
    <row r="311" spans="1:256" s="1" customFormat="1" x14ac:dyDescent="0.35">
      <c r="B311" s="15" t="s">
        <v>16</v>
      </c>
      <c r="C311" s="16">
        <f>C309-C310</f>
        <v>0</v>
      </c>
      <c r="D311" s="16">
        <f t="shared" ref="D311:J311" si="577">D309-D310</f>
        <v>0</v>
      </c>
      <c r="E311" s="16">
        <f t="shared" si="577"/>
        <v>0</v>
      </c>
      <c r="F311" s="16">
        <f t="shared" si="577"/>
        <v>0</v>
      </c>
      <c r="G311" s="16">
        <f t="shared" si="577"/>
        <v>0</v>
      </c>
      <c r="H311" s="16">
        <f t="shared" si="577"/>
        <v>0</v>
      </c>
      <c r="I311" s="16">
        <f t="shared" si="577"/>
        <v>0</v>
      </c>
      <c r="J311" s="16">
        <f t="shared" si="577"/>
        <v>270000</v>
      </c>
      <c r="K311" s="16">
        <f>K309-K310</f>
        <v>270000</v>
      </c>
      <c r="L311" s="16">
        <f>L309-L310</f>
        <v>270000</v>
      </c>
      <c r="M311" s="16">
        <f>M309-M310</f>
        <v>270000</v>
      </c>
      <c r="N311" s="16">
        <f>N309-N310</f>
        <v>270000</v>
      </c>
      <c r="O311" s="13">
        <f t="shared" si="539"/>
        <v>1350000</v>
      </c>
      <c r="P311" s="14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</row>
    <row r="312" spans="1:256" s="1" customFormat="1" x14ac:dyDescent="0.35">
      <c r="B312" s="15" t="s">
        <v>17</v>
      </c>
      <c r="C312" s="18">
        <f t="shared" ref="C312:J312" si="578">IF(C311&gt;1000000,(C312-1000000)*0.3+130500,IF(C311&gt;760000,(C311-760000)*0.25+70500,IF(C311&gt;520000,(C311-520000)*0.2+22500,IF(C311&gt;270000,(C311-270000)*0.08+0,IF(C311&lt;270001,0,0)))))</f>
        <v>0</v>
      </c>
      <c r="D312" s="18">
        <f t="shared" si="578"/>
        <v>0</v>
      </c>
      <c r="E312" s="18">
        <f t="shared" si="578"/>
        <v>0</v>
      </c>
      <c r="F312" s="18">
        <f t="shared" si="578"/>
        <v>0</v>
      </c>
      <c r="G312" s="18">
        <f t="shared" si="578"/>
        <v>0</v>
      </c>
      <c r="H312" s="18">
        <f t="shared" si="578"/>
        <v>0</v>
      </c>
      <c r="I312" s="18">
        <f t="shared" si="578"/>
        <v>0</v>
      </c>
      <c r="J312" s="18">
        <f t="shared" si="578"/>
        <v>0</v>
      </c>
      <c r="K312" s="18">
        <f>IF(K311&gt;1000000,(K312-1000000)*0.3+130500,IF(K311&gt;760000,(K311-760000)*0.25+70500,IF(K311&gt;520000,(K311-520000)*0.2+22500,IF(K311&gt;270000,(K311-270000)*0.08+0,IF(K311&lt;270001,0,0)))))</f>
        <v>0</v>
      </c>
      <c r="L312" s="18">
        <f>IF(L311&gt;1000000,(L312-1000000)*0.3+130500,IF(L311&gt;760000,(L311-760000)*0.25+70500,IF(L311&gt;520000,(L311-520000)*0.2+22500,IF(L311&gt;270000,(L311-270000)*0.08+0,IF(L311&lt;270001,0,0)))))</f>
        <v>0</v>
      </c>
      <c r="M312" s="18">
        <f>IF(M311&gt;1000000,(M312-1000000)*0.3+130500,IF(M311&gt;760000,(M311-760000)*0.25+70500,IF(M311&gt;520000,(M311-520000)*0.2+22500,IF(M311&gt;270000,(M311-270000)*0.08+0,IF(M311&lt;270001,0,0)))))</f>
        <v>0</v>
      </c>
      <c r="N312" s="18">
        <f>IF(N311&gt;1000000,(N312-1000000)*0.3+130500,IF(N311&gt;760000,(N311-760000)*0.25+70500,IF(N311&gt;520000,(N311-520000)*0.2+22500,IF(N311&gt;270000,(N311-270000)*0.08+0,IF(N311&lt;270001,0,0)))))</f>
        <v>0</v>
      </c>
      <c r="O312" s="13">
        <f t="shared" si="539"/>
        <v>0</v>
      </c>
      <c r="P312" s="14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</row>
    <row r="313" spans="1:256" s="17" customFormat="1" x14ac:dyDescent="0.35">
      <c r="A313" s="17">
        <v>77</v>
      </c>
      <c r="B313" s="11" t="s">
        <v>1100</v>
      </c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300000</v>
      </c>
      <c r="K313" s="12">
        <v>300000</v>
      </c>
      <c r="L313" s="12">
        <v>300000</v>
      </c>
      <c r="M313" s="12">
        <v>300000</v>
      </c>
      <c r="N313" s="12">
        <v>300000</v>
      </c>
      <c r="O313" s="13">
        <f t="shared" si="539"/>
        <v>1500000</v>
      </c>
      <c r="P313" s="14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</row>
    <row r="314" spans="1:256" s="17" customFormat="1" x14ac:dyDescent="0.35">
      <c r="B314" s="15" t="s">
        <v>15</v>
      </c>
      <c r="C314" s="16">
        <f>C313*0.1</f>
        <v>0</v>
      </c>
      <c r="D314" s="16">
        <f t="shared" ref="D314:J314" si="579">D313*0.1</f>
        <v>0</v>
      </c>
      <c r="E314" s="16">
        <f t="shared" si="579"/>
        <v>0</v>
      </c>
      <c r="F314" s="16">
        <f t="shared" si="579"/>
        <v>0</v>
      </c>
      <c r="G314" s="16">
        <f t="shared" si="579"/>
        <v>0</v>
      </c>
      <c r="H314" s="16">
        <f t="shared" si="579"/>
        <v>0</v>
      </c>
      <c r="I314" s="16">
        <f t="shared" si="579"/>
        <v>0</v>
      </c>
      <c r="J314" s="16">
        <f t="shared" si="579"/>
        <v>30000</v>
      </c>
      <c r="K314" s="16">
        <f>K313*0.1</f>
        <v>30000</v>
      </c>
      <c r="L314" s="16">
        <f>L313*0.1</f>
        <v>30000</v>
      </c>
      <c r="M314" s="16">
        <f>M313*0.1</f>
        <v>30000</v>
      </c>
      <c r="N314" s="16">
        <f>N313*0.1</f>
        <v>30000</v>
      </c>
      <c r="O314" s="13">
        <f t="shared" si="539"/>
        <v>150000</v>
      </c>
      <c r="P314" s="14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</row>
    <row r="315" spans="1:256" s="1" customFormat="1" x14ac:dyDescent="0.35">
      <c r="B315" s="15" t="s">
        <v>16</v>
      </c>
      <c r="C315" s="16">
        <f>C313-C314</f>
        <v>0</v>
      </c>
      <c r="D315" s="16">
        <f t="shared" ref="D315:J315" si="580">D313-D314</f>
        <v>0</v>
      </c>
      <c r="E315" s="16">
        <f t="shared" si="580"/>
        <v>0</v>
      </c>
      <c r="F315" s="16">
        <f t="shared" si="580"/>
        <v>0</v>
      </c>
      <c r="G315" s="16">
        <f t="shared" si="580"/>
        <v>0</v>
      </c>
      <c r="H315" s="16">
        <f t="shared" si="580"/>
        <v>0</v>
      </c>
      <c r="I315" s="16">
        <f t="shared" si="580"/>
        <v>0</v>
      </c>
      <c r="J315" s="16">
        <f t="shared" si="580"/>
        <v>270000</v>
      </c>
      <c r="K315" s="16">
        <f>K313-K314</f>
        <v>270000</v>
      </c>
      <c r="L315" s="16">
        <f>L313-L314</f>
        <v>270000</v>
      </c>
      <c r="M315" s="16">
        <f>M313-M314</f>
        <v>270000</v>
      </c>
      <c r="N315" s="16">
        <f>N313-N314</f>
        <v>270000</v>
      </c>
      <c r="O315" s="13">
        <f t="shared" si="539"/>
        <v>1350000</v>
      </c>
      <c r="P315" s="14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</row>
    <row r="316" spans="1:256" s="1" customFormat="1" x14ac:dyDescent="0.35">
      <c r="B316" s="15" t="s">
        <v>17</v>
      </c>
      <c r="C316" s="18">
        <f t="shared" ref="C316:J316" si="581">IF(C315&gt;1000000,(C316-1000000)*0.3+130500,IF(C315&gt;760000,(C315-760000)*0.25+70500,IF(C315&gt;520000,(C315-520000)*0.2+22500,IF(C315&gt;270000,(C315-270000)*0.08+0,IF(C315&lt;270001,0,0)))))</f>
        <v>0</v>
      </c>
      <c r="D316" s="18">
        <f t="shared" si="581"/>
        <v>0</v>
      </c>
      <c r="E316" s="18">
        <f t="shared" si="581"/>
        <v>0</v>
      </c>
      <c r="F316" s="18">
        <f t="shared" si="581"/>
        <v>0</v>
      </c>
      <c r="G316" s="18">
        <f t="shared" si="581"/>
        <v>0</v>
      </c>
      <c r="H316" s="18">
        <f t="shared" si="581"/>
        <v>0</v>
      </c>
      <c r="I316" s="18">
        <f t="shared" si="581"/>
        <v>0</v>
      </c>
      <c r="J316" s="18">
        <f t="shared" si="581"/>
        <v>0</v>
      </c>
      <c r="K316" s="18">
        <f>IF(K315&gt;1000000,(K316-1000000)*0.3+130500,IF(K315&gt;760000,(K315-760000)*0.25+70500,IF(K315&gt;520000,(K315-520000)*0.2+22500,IF(K315&gt;270000,(K315-270000)*0.08+0,IF(K315&lt;270001,0,0)))))</f>
        <v>0</v>
      </c>
      <c r="L316" s="18">
        <f>IF(L315&gt;1000000,(L316-1000000)*0.3+130500,IF(L315&gt;760000,(L315-760000)*0.25+70500,IF(L315&gt;520000,(L315-520000)*0.2+22500,IF(L315&gt;270000,(L315-270000)*0.08+0,IF(L315&lt;270001,0,0)))))</f>
        <v>0</v>
      </c>
      <c r="M316" s="18">
        <f>IF(M315&gt;1000000,(M316-1000000)*0.3+130500,IF(M315&gt;760000,(M315-760000)*0.25+70500,IF(M315&gt;520000,(M315-520000)*0.2+22500,IF(M315&gt;270000,(M315-270000)*0.08+0,IF(M315&lt;270001,0,0)))))</f>
        <v>0</v>
      </c>
      <c r="N316" s="18">
        <f>IF(N315&gt;1000000,(N316-1000000)*0.3+130500,IF(N315&gt;760000,(N315-760000)*0.25+70500,IF(N315&gt;520000,(N315-520000)*0.2+22500,IF(N315&gt;270000,(N315-270000)*0.08+0,IF(N315&lt;270001,0,0)))))</f>
        <v>0</v>
      </c>
      <c r="O316" s="13">
        <f t="shared" si="539"/>
        <v>0</v>
      </c>
      <c r="P316" s="14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</row>
    <row r="317" spans="1:256" s="17" customFormat="1" x14ac:dyDescent="0.35">
      <c r="A317" s="17">
        <v>78</v>
      </c>
      <c r="B317" s="11" t="s">
        <v>1101</v>
      </c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300000</v>
      </c>
      <c r="K317" s="12">
        <v>300000</v>
      </c>
      <c r="L317" s="12">
        <v>300000</v>
      </c>
      <c r="M317" s="12">
        <v>300000</v>
      </c>
      <c r="N317" s="12">
        <v>300000</v>
      </c>
      <c r="O317" s="13">
        <f t="shared" si="539"/>
        <v>1500000</v>
      </c>
      <c r="P317" s="14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</row>
    <row r="318" spans="1:256" s="17" customFormat="1" x14ac:dyDescent="0.35">
      <c r="B318" s="15" t="s">
        <v>15</v>
      </c>
      <c r="C318" s="16">
        <f>C317*0.1</f>
        <v>0</v>
      </c>
      <c r="D318" s="16">
        <f t="shared" ref="D318:J318" si="582">D317*0.1</f>
        <v>0</v>
      </c>
      <c r="E318" s="16">
        <f t="shared" si="582"/>
        <v>0</v>
      </c>
      <c r="F318" s="16">
        <f t="shared" si="582"/>
        <v>0</v>
      </c>
      <c r="G318" s="16">
        <f t="shared" si="582"/>
        <v>0</v>
      </c>
      <c r="H318" s="16">
        <f t="shared" si="582"/>
        <v>0</v>
      </c>
      <c r="I318" s="16">
        <f t="shared" si="582"/>
        <v>0</v>
      </c>
      <c r="J318" s="16">
        <f t="shared" si="582"/>
        <v>30000</v>
      </c>
      <c r="K318" s="16">
        <f>K317*0.1</f>
        <v>30000</v>
      </c>
      <c r="L318" s="16">
        <f>L317*0.1</f>
        <v>30000</v>
      </c>
      <c r="M318" s="16">
        <f>M317*0.1</f>
        <v>30000</v>
      </c>
      <c r="N318" s="16">
        <f>N317*0.1</f>
        <v>30000</v>
      </c>
      <c r="O318" s="13">
        <f t="shared" si="539"/>
        <v>150000</v>
      </c>
      <c r="P318" s="14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</row>
    <row r="319" spans="1:256" s="1" customFormat="1" x14ac:dyDescent="0.35">
      <c r="B319" s="15" t="s">
        <v>16</v>
      </c>
      <c r="C319" s="16">
        <f>C317-C318</f>
        <v>0</v>
      </c>
      <c r="D319" s="16">
        <f t="shared" ref="D319:J319" si="583">D317-D318</f>
        <v>0</v>
      </c>
      <c r="E319" s="16">
        <f t="shared" si="583"/>
        <v>0</v>
      </c>
      <c r="F319" s="16">
        <f t="shared" si="583"/>
        <v>0</v>
      </c>
      <c r="G319" s="16">
        <f t="shared" si="583"/>
        <v>0</v>
      </c>
      <c r="H319" s="16">
        <f t="shared" si="583"/>
        <v>0</v>
      </c>
      <c r="I319" s="16">
        <f t="shared" si="583"/>
        <v>0</v>
      </c>
      <c r="J319" s="16">
        <f t="shared" si="583"/>
        <v>270000</v>
      </c>
      <c r="K319" s="16">
        <f>K317-K318</f>
        <v>270000</v>
      </c>
      <c r="L319" s="16">
        <f>L317-L318</f>
        <v>270000</v>
      </c>
      <c r="M319" s="16">
        <f>M317-M318</f>
        <v>270000</v>
      </c>
      <c r="N319" s="16">
        <f>N317-N318</f>
        <v>270000</v>
      </c>
      <c r="O319" s="13">
        <f t="shared" si="539"/>
        <v>1350000</v>
      </c>
      <c r="P319" s="14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</row>
    <row r="320" spans="1:256" s="1" customFormat="1" x14ac:dyDescent="0.35">
      <c r="B320" s="15" t="s">
        <v>17</v>
      </c>
      <c r="C320" s="18">
        <f t="shared" ref="C320:J320" si="584">IF(C319&gt;1000000,(C320-1000000)*0.3+130500,IF(C319&gt;760000,(C319-760000)*0.25+70500,IF(C319&gt;520000,(C319-520000)*0.2+22500,IF(C319&gt;270000,(C319-270000)*0.08+0,IF(C319&lt;270001,0,0)))))</f>
        <v>0</v>
      </c>
      <c r="D320" s="18">
        <f t="shared" si="584"/>
        <v>0</v>
      </c>
      <c r="E320" s="18">
        <f t="shared" si="584"/>
        <v>0</v>
      </c>
      <c r="F320" s="18">
        <f t="shared" si="584"/>
        <v>0</v>
      </c>
      <c r="G320" s="18">
        <f t="shared" si="584"/>
        <v>0</v>
      </c>
      <c r="H320" s="18">
        <f t="shared" si="584"/>
        <v>0</v>
      </c>
      <c r="I320" s="18">
        <f t="shared" si="584"/>
        <v>0</v>
      </c>
      <c r="J320" s="18">
        <f t="shared" si="584"/>
        <v>0</v>
      </c>
      <c r="K320" s="18">
        <f>IF(K319&gt;1000000,(K320-1000000)*0.3+130500,IF(K319&gt;760000,(K319-760000)*0.25+70500,IF(K319&gt;520000,(K319-520000)*0.2+22500,IF(K319&gt;270000,(K319-270000)*0.08+0,IF(K319&lt;270001,0,0)))))</f>
        <v>0</v>
      </c>
      <c r="L320" s="18">
        <f>IF(L319&gt;1000000,(L320-1000000)*0.3+130500,IF(L319&gt;760000,(L319-760000)*0.25+70500,IF(L319&gt;520000,(L319-520000)*0.2+22500,IF(L319&gt;270000,(L319-270000)*0.08+0,IF(L319&lt;270001,0,0)))))</f>
        <v>0</v>
      </c>
      <c r="M320" s="18">
        <f>IF(M319&gt;1000000,(M320-1000000)*0.3+130500,IF(M319&gt;760000,(M319-760000)*0.25+70500,IF(M319&gt;520000,(M319-520000)*0.2+22500,IF(M319&gt;270000,(M319-270000)*0.08+0,IF(M319&lt;270001,0,0)))))</f>
        <v>0</v>
      </c>
      <c r="N320" s="18">
        <f>IF(N319&gt;1000000,(N320-1000000)*0.3+130500,IF(N319&gt;760000,(N319-760000)*0.25+70500,IF(N319&gt;520000,(N319-520000)*0.2+22500,IF(N319&gt;270000,(N319-270000)*0.08+0,IF(N319&lt;270001,0,0)))))</f>
        <v>0</v>
      </c>
      <c r="O320" s="13">
        <f t="shared" si="539"/>
        <v>0</v>
      </c>
      <c r="P320" s="14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</row>
    <row r="321" spans="1:256" s="17" customFormat="1" x14ac:dyDescent="0.35">
      <c r="A321" s="17">
        <v>79</v>
      </c>
      <c r="B321" s="11" t="s">
        <v>1102</v>
      </c>
      <c r="C321" s="12">
        <v>0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300000</v>
      </c>
      <c r="K321" s="12">
        <v>300000</v>
      </c>
      <c r="L321" s="12">
        <v>300000</v>
      </c>
      <c r="M321" s="12">
        <v>300000</v>
      </c>
      <c r="N321" s="12">
        <v>300000</v>
      </c>
      <c r="O321" s="13">
        <f t="shared" si="539"/>
        <v>1500000</v>
      </c>
      <c r="P321" s="14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</row>
    <row r="322" spans="1:256" s="17" customFormat="1" x14ac:dyDescent="0.35">
      <c r="B322" s="15" t="s">
        <v>15</v>
      </c>
      <c r="C322" s="16">
        <f>C321*0.1</f>
        <v>0</v>
      </c>
      <c r="D322" s="16">
        <f t="shared" ref="D322:J322" si="585">D321*0.1</f>
        <v>0</v>
      </c>
      <c r="E322" s="16">
        <f t="shared" si="585"/>
        <v>0</v>
      </c>
      <c r="F322" s="16">
        <f t="shared" si="585"/>
        <v>0</v>
      </c>
      <c r="G322" s="16">
        <f t="shared" si="585"/>
        <v>0</v>
      </c>
      <c r="H322" s="16">
        <f t="shared" si="585"/>
        <v>0</v>
      </c>
      <c r="I322" s="16">
        <f t="shared" si="585"/>
        <v>0</v>
      </c>
      <c r="J322" s="16">
        <f t="shared" si="585"/>
        <v>30000</v>
      </c>
      <c r="K322" s="16">
        <f>K321*0.1</f>
        <v>30000</v>
      </c>
      <c r="L322" s="16">
        <f>L321*0.1</f>
        <v>30000</v>
      </c>
      <c r="M322" s="16">
        <f>M321*0.1</f>
        <v>30000</v>
      </c>
      <c r="N322" s="16">
        <f>N321*0.1</f>
        <v>30000</v>
      </c>
      <c r="O322" s="13">
        <f t="shared" si="539"/>
        <v>150000</v>
      </c>
      <c r="P322" s="14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</row>
    <row r="323" spans="1:256" s="1" customFormat="1" x14ac:dyDescent="0.35">
      <c r="B323" s="15" t="s">
        <v>16</v>
      </c>
      <c r="C323" s="16">
        <f>C321-C322</f>
        <v>0</v>
      </c>
      <c r="D323" s="16">
        <f t="shared" ref="D323:J323" si="586">D321-D322</f>
        <v>0</v>
      </c>
      <c r="E323" s="16">
        <f t="shared" si="586"/>
        <v>0</v>
      </c>
      <c r="F323" s="16">
        <f t="shared" si="586"/>
        <v>0</v>
      </c>
      <c r="G323" s="16">
        <f t="shared" si="586"/>
        <v>0</v>
      </c>
      <c r="H323" s="16">
        <f t="shared" si="586"/>
        <v>0</v>
      </c>
      <c r="I323" s="16">
        <f t="shared" si="586"/>
        <v>0</v>
      </c>
      <c r="J323" s="16">
        <f t="shared" si="586"/>
        <v>270000</v>
      </c>
      <c r="K323" s="16">
        <f>K321-K322</f>
        <v>270000</v>
      </c>
      <c r="L323" s="16">
        <f>L321-L322</f>
        <v>270000</v>
      </c>
      <c r="M323" s="16">
        <f>M321-M322</f>
        <v>270000</v>
      </c>
      <c r="N323" s="16">
        <f>N321-N322</f>
        <v>270000</v>
      </c>
      <c r="O323" s="13">
        <f t="shared" si="539"/>
        <v>1350000</v>
      </c>
      <c r="P323" s="14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</row>
    <row r="324" spans="1:256" s="1" customFormat="1" x14ac:dyDescent="0.35">
      <c r="B324" s="15" t="s">
        <v>17</v>
      </c>
      <c r="C324" s="18">
        <f t="shared" ref="C324:J324" si="587">IF(C323&gt;1000000,(C324-1000000)*0.3+130500,IF(C323&gt;760000,(C323-760000)*0.25+70500,IF(C323&gt;520000,(C323-520000)*0.2+22500,IF(C323&gt;270000,(C323-270000)*0.08+0,IF(C323&lt;270001,0,0)))))</f>
        <v>0</v>
      </c>
      <c r="D324" s="18">
        <f t="shared" si="587"/>
        <v>0</v>
      </c>
      <c r="E324" s="18">
        <f t="shared" si="587"/>
        <v>0</v>
      </c>
      <c r="F324" s="18">
        <f t="shared" si="587"/>
        <v>0</v>
      </c>
      <c r="G324" s="18">
        <f t="shared" si="587"/>
        <v>0</v>
      </c>
      <c r="H324" s="18">
        <f t="shared" si="587"/>
        <v>0</v>
      </c>
      <c r="I324" s="18">
        <f t="shared" si="587"/>
        <v>0</v>
      </c>
      <c r="J324" s="18">
        <f t="shared" si="587"/>
        <v>0</v>
      </c>
      <c r="K324" s="18">
        <f>IF(K323&gt;1000000,(K324-1000000)*0.3+130500,IF(K323&gt;760000,(K323-760000)*0.25+70500,IF(K323&gt;520000,(K323-520000)*0.2+22500,IF(K323&gt;270000,(K323-270000)*0.08+0,IF(K323&lt;270001,0,0)))))</f>
        <v>0</v>
      </c>
      <c r="L324" s="18">
        <f>IF(L323&gt;1000000,(L324-1000000)*0.3+130500,IF(L323&gt;760000,(L323-760000)*0.25+70500,IF(L323&gt;520000,(L323-520000)*0.2+22500,IF(L323&gt;270000,(L323-270000)*0.08+0,IF(L323&lt;270001,0,0)))))</f>
        <v>0</v>
      </c>
      <c r="M324" s="18">
        <f>IF(M323&gt;1000000,(M324-1000000)*0.3+130500,IF(M323&gt;760000,(M323-760000)*0.25+70500,IF(M323&gt;520000,(M323-520000)*0.2+22500,IF(M323&gt;270000,(M323-270000)*0.08+0,IF(M323&lt;270001,0,0)))))</f>
        <v>0</v>
      </c>
      <c r="N324" s="18">
        <f>IF(N323&gt;1000000,(N324-1000000)*0.3+130500,IF(N323&gt;760000,(N323-760000)*0.25+70500,IF(N323&gt;520000,(N323-520000)*0.2+22500,IF(N323&gt;270000,(N323-270000)*0.08+0,IF(N323&lt;270001,0,0)))))</f>
        <v>0</v>
      </c>
      <c r="O324" s="13">
        <f t="shared" si="539"/>
        <v>0</v>
      </c>
      <c r="P324" s="14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</row>
    <row r="325" spans="1:256" s="17" customFormat="1" x14ac:dyDescent="0.35">
      <c r="A325" s="17">
        <v>80</v>
      </c>
      <c r="B325" s="11" t="s">
        <v>1103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300000</v>
      </c>
      <c r="K325" s="12">
        <v>300000</v>
      </c>
      <c r="L325" s="12">
        <v>300000</v>
      </c>
      <c r="M325" s="12">
        <v>300000</v>
      </c>
      <c r="N325" s="12">
        <v>300000</v>
      </c>
      <c r="O325" s="13">
        <f t="shared" si="539"/>
        <v>1500000</v>
      </c>
      <c r="P325" s="14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</row>
    <row r="326" spans="1:256" s="17" customFormat="1" x14ac:dyDescent="0.35">
      <c r="B326" s="15" t="s">
        <v>15</v>
      </c>
      <c r="C326" s="16">
        <f>C325*0.1</f>
        <v>0</v>
      </c>
      <c r="D326" s="16">
        <f t="shared" ref="D326:J326" si="588">D325*0.1</f>
        <v>0</v>
      </c>
      <c r="E326" s="16">
        <f t="shared" si="588"/>
        <v>0</v>
      </c>
      <c r="F326" s="16">
        <f t="shared" si="588"/>
        <v>0</v>
      </c>
      <c r="G326" s="16">
        <f t="shared" si="588"/>
        <v>0</v>
      </c>
      <c r="H326" s="16">
        <f t="shared" si="588"/>
        <v>0</v>
      </c>
      <c r="I326" s="16">
        <f t="shared" si="588"/>
        <v>0</v>
      </c>
      <c r="J326" s="16">
        <f t="shared" si="588"/>
        <v>30000</v>
      </c>
      <c r="K326" s="16">
        <f>K325*0.1</f>
        <v>30000</v>
      </c>
      <c r="L326" s="16">
        <f>L325*0.1</f>
        <v>30000</v>
      </c>
      <c r="M326" s="16">
        <f>M325*0.1</f>
        <v>30000</v>
      </c>
      <c r="N326" s="16">
        <f>N325*0.1</f>
        <v>30000</v>
      </c>
      <c r="O326" s="13">
        <f t="shared" si="539"/>
        <v>150000</v>
      </c>
      <c r="P326" s="14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</row>
    <row r="327" spans="1:256" s="1" customFormat="1" x14ac:dyDescent="0.35">
      <c r="B327" s="15" t="s">
        <v>16</v>
      </c>
      <c r="C327" s="16">
        <f>C325-C326</f>
        <v>0</v>
      </c>
      <c r="D327" s="16">
        <f t="shared" ref="D327:J327" si="589">D325-D326</f>
        <v>0</v>
      </c>
      <c r="E327" s="16">
        <f t="shared" si="589"/>
        <v>0</v>
      </c>
      <c r="F327" s="16">
        <f t="shared" si="589"/>
        <v>0</v>
      </c>
      <c r="G327" s="16">
        <f t="shared" si="589"/>
        <v>0</v>
      </c>
      <c r="H327" s="16">
        <f t="shared" si="589"/>
        <v>0</v>
      </c>
      <c r="I327" s="16">
        <f t="shared" si="589"/>
        <v>0</v>
      </c>
      <c r="J327" s="16">
        <f t="shared" si="589"/>
        <v>270000</v>
      </c>
      <c r="K327" s="16">
        <f>K325-K326</f>
        <v>270000</v>
      </c>
      <c r="L327" s="16">
        <f>L325-L326</f>
        <v>270000</v>
      </c>
      <c r="M327" s="16">
        <f>M325-M326</f>
        <v>270000</v>
      </c>
      <c r="N327" s="16">
        <f>N325-N326</f>
        <v>270000</v>
      </c>
      <c r="O327" s="13">
        <f t="shared" si="539"/>
        <v>1350000</v>
      </c>
      <c r="P327" s="14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</row>
    <row r="328" spans="1:256" s="1" customFormat="1" x14ac:dyDescent="0.35">
      <c r="B328" s="15" t="s">
        <v>17</v>
      </c>
      <c r="C328" s="18">
        <f t="shared" ref="C328:J328" si="590">IF(C327&gt;1000000,(C328-1000000)*0.3+130500,IF(C327&gt;760000,(C327-760000)*0.25+70500,IF(C327&gt;520000,(C327-520000)*0.2+22500,IF(C327&gt;270000,(C327-270000)*0.08+0,IF(C327&lt;270001,0,0)))))</f>
        <v>0</v>
      </c>
      <c r="D328" s="18">
        <f t="shared" si="590"/>
        <v>0</v>
      </c>
      <c r="E328" s="18">
        <f t="shared" si="590"/>
        <v>0</v>
      </c>
      <c r="F328" s="18">
        <f t="shared" si="590"/>
        <v>0</v>
      </c>
      <c r="G328" s="18">
        <f t="shared" si="590"/>
        <v>0</v>
      </c>
      <c r="H328" s="18">
        <f t="shared" si="590"/>
        <v>0</v>
      </c>
      <c r="I328" s="18">
        <f t="shared" si="590"/>
        <v>0</v>
      </c>
      <c r="J328" s="18">
        <f t="shared" si="590"/>
        <v>0</v>
      </c>
      <c r="K328" s="18">
        <f>IF(K327&gt;1000000,(K328-1000000)*0.3+130500,IF(K327&gt;760000,(K327-760000)*0.25+70500,IF(K327&gt;520000,(K327-520000)*0.2+22500,IF(K327&gt;270000,(K327-270000)*0.08+0,IF(K327&lt;270001,0,0)))))</f>
        <v>0</v>
      </c>
      <c r="L328" s="18">
        <f>IF(L327&gt;1000000,(L328-1000000)*0.3+130500,IF(L327&gt;760000,(L327-760000)*0.25+70500,IF(L327&gt;520000,(L327-520000)*0.2+22500,IF(L327&gt;270000,(L327-270000)*0.08+0,IF(L327&lt;270001,0,0)))))</f>
        <v>0</v>
      </c>
      <c r="M328" s="18">
        <f>IF(M327&gt;1000000,(M328-1000000)*0.3+130500,IF(M327&gt;760000,(M327-760000)*0.25+70500,IF(M327&gt;520000,(M327-520000)*0.2+22500,IF(M327&gt;270000,(M327-270000)*0.08+0,IF(M327&lt;270001,0,0)))))</f>
        <v>0</v>
      </c>
      <c r="N328" s="18">
        <f>IF(N327&gt;1000000,(N328-1000000)*0.3+130500,IF(N327&gt;760000,(N327-760000)*0.25+70500,IF(N327&gt;520000,(N327-520000)*0.2+22500,IF(N327&gt;270000,(N327-270000)*0.08+0,IF(N327&lt;270001,0,0)))))</f>
        <v>0</v>
      </c>
      <c r="O328" s="13">
        <f t="shared" si="539"/>
        <v>0</v>
      </c>
      <c r="P328" s="14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</row>
    <row r="329" spans="1:256" s="17" customFormat="1" x14ac:dyDescent="0.35">
      <c r="A329" s="17">
        <v>81</v>
      </c>
      <c r="B329" s="11" t="s">
        <v>1232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300000</v>
      </c>
      <c r="L329" s="12">
        <v>300000</v>
      </c>
      <c r="M329" s="12">
        <v>300000</v>
      </c>
      <c r="N329" s="12">
        <v>300000</v>
      </c>
      <c r="O329" s="13">
        <f t="shared" si="539"/>
        <v>1200000</v>
      </c>
      <c r="P329" s="14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</row>
    <row r="330" spans="1:256" s="17" customFormat="1" x14ac:dyDescent="0.35">
      <c r="B330" s="15" t="s">
        <v>15</v>
      </c>
      <c r="C330" s="16">
        <f>C329*0.1</f>
        <v>0</v>
      </c>
      <c r="D330" s="16">
        <f t="shared" ref="D330:K330" si="591">D329*0.1</f>
        <v>0</v>
      </c>
      <c r="E330" s="16">
        <f t="shared" si="591"/>
        <v>0</v>
      </c>
      <c r="F330" s="16">
        <f t="shared" si="591"/>
        <v>0</v>
      </c>
      <c r="G330" s="16">
        <f t="shared" si="591"/>
        <v>0</v>
      </c>
      <c r="H330" s="16">
        <f t="shared" si="591"/>
        <v>0</v>
      </c>
      <c r="I330" s="16">
        <f t="shared" si="591"/>
        <v>0</v>
      </c>
      <c r="J330" s="16">
        <f t="shared" si="591"/>
        <v>0</v>
      </c>
      <c r="K330" s="16">
        <f t="shared" si="591"/>
        <v>30000</v>
      </c>
      <c r="L330" s="16">
        <f>L329*0.1</f>
        <v>30000</v>
      </c>
      <c r="M330" s="16">
        <f>M329*0.1</f>
        <v>30000</v>
      </c>
      <c r="N330" s="16">
        <f>N329*0.1</f>
        <v>30000</v>
      </c>
      <c r="O330" s="13">
        <f t="shared" si="539"/>
        <v>120000</v>
      </c>
      <c r="P330" s="14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</row>
    <row r="331" spans="1:256" s="1" customFormat="1" x14ac:dyDescent="0.35">
      <c r="B331" s="15" t="s">
        <v>16</v>
      </c>
      <c r="C331" s="16">
        <f>C329-C330</f>
        <v>0</v>
      </c>
      <c r="D331" s="16">
        <f t="shared" ref="D331:K331" si="592">D329-D330</f>
        <v>0</v>
      </c>
      <c r="E331" s="16">
        <f t="shared" si="592"/>
        <v>0</v>
      </c>
      <c r="F331" s="16">
        <f t="shared" si="592"/>
        <v>0</v>
      </c>
      <c r="G331" s="16">
        <f t="shared" si="592"/>
        <v>0</v>
      </c>
      <c r="H331" s="16">
        <f t="shared" si="592"/>
        <v>0</v>
      </c>
      <c r="I331" s="16">
        <f t="shared" si="592"/>
        <v>0</v>
      </c>
      <c r="J331" s="16">
        <f t="shared" si="592"/>
        <v>0</v>
      </c>
      <c r="K331" s="16">
        <f t="shared" si="592"/>
        <v>270000</v>
      </c>
      <c r="L331" s="16">
        <f>L329-L330</f>
        <v>270000</v>
      </c>
      <c r="M331" s="16">
        <f>M329-M330</f>
        <v>270000</v>
      </c>
      <c r="N331" s="16">
        <f>N329-N330</f>
        <v>270000</v>
      </c>
      <c r="O331" s="13">
        <f t="shared" si="539"/>
        <v>1080000</v>
      </c>
      <c r="P331" s="14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</row>
    <row r="332" spans="1:256" s="1" customFormat="1" x14ac:dyDescent="0.35">
      <c r="B332" s="15" t="s">
        <v>17</v>
      </c>
      <c r="C332" s="18">
        <f t="shared" ref="C332:N332" si="593">IF(C331&gt;1000000,(C332-1000000)*0.3+130500,IF(C331&gt;760000,(C331-760000)*0.25+70500,IF(C331&gt;520000,(C331-520000)*0.2+22500,IF(C331&gt;270000,(C331-270000)*0.08+0,IF(C331&lt;270001,0,0)))))</f>
        <v>0</v>
      </c>
      <c r="D332" s="18">
        <f t="shared" si="593"/>
        <v>0</v>
      </c>
      <c r="E332" s="18">
        <f t="shared" si="593"/>
        <v>0</v>
      </c>
      <c r="F332" s="18">
        <f t="shared" si="593"/>
        <v>0</v>
      </c>
      <c r="G332" s="18">
        <f t="shared" si="593"/>
        <v>0</v>
      </c>
      <c r="H332" s="18">
        <f t="shared" si="593"/>
        <v>0</v>
      </c>
      <c r="I332" s="18">
        <f t="shared" si="593"/>
        <v>0</v>
      </c>
      <c r="J332" s="18">
        <f t="shared" si="593"/>
        <v>0</v>
      </c>
      <c r="K332" s="18">
        <f t="shared" si="593"/>
        <v>0</v>
      </c>
      <c r="L332" s="18">
        <f>IF(L331&gt;1000000,(L332-1000000)*0.3+130500,IF(L331&gt;760000,(L331-760000)*0.25+70500,IF(L331&gt;520000,(L331-520000)*0.2+22500,IF(L331&gt;270000,(L331-270000)*0.08+0,IF(L331&lt;270001,0,0)))))</f>
        <v>0</v>
      </c>
      <c r="M332" s="18">
        <f>IF(M331&gt;1000000,(M332-1000000)*0.3+130500,IF(M331&gt;760000,(M331-760000)*0.25+70500,IF(M331&gt;520000,(M331-520000)*0.2+22500,IF(M331&gt;270000,(M331-270000)*0.08+0,IF(M331&lt;270001,0,0)))))</f>
        <v>0</v>
      </c>
      <c r="N332" s="18">
        <f t="shared" si="593"/>
        <v>0</v>
      </c>
      <c r="O332" s="13">
        <f t="shared" si="539"/>
        <v>0</v>
      </c>
      <c r="P332" s="14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</row>
    <row r="333" spans="1:256" s="17" customFormat="1" x14ac:dyDescent="0.35">
      <c r="A333" s="17">
        <v>82</v>
      </c>
      <c r="B333" s="11" t="s">
        <v>1726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600000</v>
      </c>
      <c r="O333" s="13">
        <f t="shared" si="539"/>
        <v>600000</v>
      </c>
      <c r="P333" s="14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</row>
    <row r="334" spans="1:256" s="17" customFormat="1" x14ac:dyDescent="0.35">
      <c r="B334" s="15" t="s">
        <v>15</v>
      </c>
      <c r="C334" s="16">
        <f>C333*0.1</f>
        <v>0</v>
      </c>
      <c r="D334" s="16">
        <f t="shared" ref="D334:N334" si="594">D333*0.1</f>
        <v>0</v>
      </c>
      <c r="E334" s="16">
        <f t="shared" si="594"/>
        <v>0</v>
      </c>
      <c r="F334" s="16">
        <f t="shared" si="594"/>
        <v>0</v>
      </c>
      <c r="G334" s="16">
        <f t="shared" si="594"/>
        <v>0</v>
      </c>
      <c r="H334" s="16">
        <f t="shared" si="594"/>
        <v>0</v>
      </c>
      <c r="I334" s="16">
        <f t="shared" si="594"/>
        <v>0</v>
      </c>
      <c r="J334" s="16">
        <f t="shared" si="594"/>
        <v>0</v>
      </c>
      <c r="K334" s="16">
        <f t="shared" si="594"/>
        <v>0</v>
      </c>
      <c r="L334" s="16">
        <f t="shared" si="594"/>
        <v>0</v>
      </c>
      <c r="M334" s="16">
        <f t="shared" si="594"/>
        <v>0</v>
      </c>
      <c r="N334" s="16">
        <f t="shared" si="594"/>
        <v>60000</v>
      </c>
      <c r="O334" s="13">
        <f t="shared" si="539"/>
        <v>60000</v>
      </c>
      <c r="P334" s="14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</row>
    <row r="335" spans="1:256" s="1" customFormat="1" x14ac:dyDescent="0.35">
      <c r="B335" s="15" t="s">
        <v>16</v>
      </c>
      <c r="C335" s="16">
        <f>C333-C334</f>
        <v>0</v>
      </c>
      <c r="D335" s="16">
        <f t="shared" ref="D335:N335" si="595">D333-D334</f>
        <v>0</v>
      </c>
      <c r="E335" s="16">
        <f t="shared" si="595"/>
        <v>0</v>
      </c>
      <c r="F335" s="16">
        <f t="shared" si="595"/>
        <v>0</v>
      </c>
      <c r="G335" s="16">
        <f t="shared" si="595"/>
        <v>0</v>
      </c>
      <c r="H335" s="16">
        <f t="shared" si="595"/>
        <v>0</v>
      </c>
      <c r="I335" s="16">
        <f t="shared" si="595"/>
        <v>0</v>
      </c>
      <c r="J335" s="16">
        <f t="shared" si="595"/>
        <v>0</v>
      </c>
      <c r="K335" s="16">
        <f t="shared" si="595"/>
        <v>0</v>
      </c>
      <c r="L335" s="16">
        <f t="shared" si="595"/>
        <v>0</v>
      </c>
      <c r="M335" s="16">
        <f t="shared" si="595"/>
        <v>0</v>
      </c>
      <c r="N335" s="16">
        <f t="shared" si="595"/>
        <v>540000</v>
      </c>
      <c r="O335" s="13">
        <f t="shared" si="539"/>
        <v>540000</v>
      </c>
      <c r="P335" s="14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</row>
    <row r="336" spans="1:256" s="1" customFormat="1" ht="15" thickBot="1" x14ac:dyDescent="0.4">
      <c r="B336" s="15" t="s">
        <v>17</v>
      </c>
      <c r="C336" s="18">
        <f t="shared" ref="C336:M336" si="596">IF(C335&gt;1000000,(C336-1000000)*0.3+128000,IF(C335&gt;760000,(C335-760000)*0.25+68000,IF(C335&gt;520000,(C335-520000)*0.2+20000,IF(C335&gt;270000,(C335-270000)*0.08+0,IF(C335&lt;270001,0,0)))))</f>
        <v>0</v>
      </c>
      <c r="D336" s="18">
        <f t="shared" si="596"/>
        <v>0</v>
      </c>
      <c r="E336" s="18">
        <f t="shared" si="596"/>
        <v>0</v>
      </c>
      <c r="F336" s="18">
        <f t="shared" si="596"/>
        <v>0</v>
      </c>
      <c r="G336" s="18">
        <f t="shared" si="596"/>
        <v>0</v>
      </c>
      <c r="H336" s="18">
        <f t="shared" si="596"/>
        <v>0</v>
      </c>
      <c r="I336" s="18">
        <f t="shared" si="596"/>
        <v>0</v>
      </c>
      <c r="J336" s="18">
        <f t="shared" si="596"/>
        <v>0</v>
      </c>
      <c r="K336" s="18">
        <f t="shared" si="596"/>
        <v>0</v>
      </c>
      <c r="L336" s="18">
        <f t="shared" si="596"/>
        <v>0</v>
      </c>
      <c r="M336" s="18">
        <f t="shared" si="596"/>
        <v>0</v>
      </c>
      <c r="N336" s="18">
        <f t="shared" ref="N336" si="597">IF(N335&gt;1000000,(N336-1000000)*0.3+128000,IF(N335&gt;760000,(N335-760000)*0.25+68000,IF(N335&gt;520000,(N335-520000)*0.2+20000,IF(N335&gt;270000,(N335-270000)*0.08+0,IF(N335&lt;270001,0,0)))))</f>
        <v>24000</v>
      </c>
      <c r="O336" s="13">
        <f t="shared" si="539"/>
        <v>24000</v>
      </c>
      <c r="P336" s="14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</row>
    <row r="337" spans="1:256" s="17" customFormat="1" hidden="1" x14ac:dyDescent="0.35">
      <c r="A337" s="17">
        <v>83</v>
      </c>
      <c r="B337" s="11"/>
      <c r="C337" s="12">
        <v>0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3">
        <f t="shared" si="539"/>
        <v>0</v>
      </c>
      <c r="P337" s="14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</row>
    <row r="338" spans="1:256" s="17" customFormat="1" hidden="1" x14ac:dyDescent="0.35">
      <c r="B338" s="15" t="s">
        <v>15</v>
      </c>
      <c r="C338" s="16">
        <f>C337*0.1</f>
        <v>0</v>
      </c>
      <c r="D338" s="16">
        <f t="shared" ref="D338:N338" si="598">D337*0.1</f>
        <v>0</v>
      </c>
      <c r="E338" s="16">
        <f t="shared" si="598"/>
        <v>0</v>
      </c>
      <c r="F338" s="16">
        <f t="shared" si="598"/>
        <v>0</v>
      </c>
      <c r="G338" s="16">
        <f t="shared" si="598"/>
        <v>0</v>
      </c>
      <c r="H338" s="16">
        <f t="shared" si="598"/>
        <v>0</v>
      </c>
      <c r="I338" s="16">
        <f t="shared" si="598"/>
        <v>0</v>
      </c>
      <c r="J338" s="16">
        <f t="shared" si="598"/>
        <v>0</v>
      </c>
      <c r="K338" s="16">
        <f t="shared" si="598"/>
        <v>0</v>
      </c>
      <c r="L338" s="16">
        <f t="shared" si="598"/>
        <v>0</v>
      </c>
      <c r="M338" s="16">
        <f t="shared" si="598"/>
        <v>0</v>
      </c>
      <c r="N338" s="16">
        <f t="shared" si="598"/>
        <v>0</v>
      </c>
      <c r="O338" s="13">
        <f t="shared" si="539"/>
        <v>0</v>
      </c>
      <c r="P338" s="14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</row>
    <row r="339" spans="1:256" s="1" customFormat="1" hidden="1" x14ac:dyDescent="0.35">
      <c r="B339" s="15" t="s">
        <v>16</v>
      </c>
      <c r="C339" s="16">
        <f>C337-C338</f>
        <v>0</v>
      </c>
      <c r="D339" s="16">
        <f t="shared" ref="D339:N339" si="599">D337-D338</f>
        <v>0</v>
      </c>
      <c r="E339" s="16">
        <f t="shared" si="599"/>
        <v>0</v>
      </c>
      <c r="F339" s="16">
        <f t="shared" si="599"/>
        <v>0</v>
      </c>
      <c r="G339" s="16">
        <f t="shared" si="599"/>
        <v>0</v>
      </c>
      <c r="H339" s="16">
        <f t="shared" si="599"/>
        <v>0</v>
      </c>
      <c r="I339" s="16">
        <f t="shared" si="599"/>
        <v>0</v>
      </c>
      <c r="J339" s="16">
        <f t="shared" si="599"/>
        <v>0</v>
      </c>
      <c r="K339" s="16">
        <f t="shared" si="599"/>
        <v>0</v>
      </c>
      <c r="L339" s="16">
        <f t="shared" si="599"/>
        <v>0</v>
      </c>
      <c r="M339" s="16">
        <f t="shared" si="599"/>
        <v>0</v>
      </c>
      <c r="N339" s="16">
        <f t="shared" si="599"/>
        <v>0</v>
      </c>
      <c r="O339" s="13">
        <f t="shared" si="539"/>
        <v>0</v>
      </c>
      <c r="P339" s="14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</row>
    <row r="340" spans="1:256" s="1" customFormat="1" ht="15" hidden="1" thickBot="1" x14ac:dyDescent="0.4">
      <c r="B340" s="15" t="s">
        <v>17</v>
      </c>
      <c r="C340" s="18">
        <f t="shared" ref="C340:N340" si="600">IF(C339&gt;1000000,(C340-1000000)*0.3+130500,IF(C339&gt;760000,(C339-760000)*0.25+70500,IF(C339&gt;520000,(C339-520000)*0.2+22500,IF(C339&gt;270000,(C339-270000)*0.08+0,IF(C339&lt;270001,0,0)))))</f>
        <v>0</v>
      </c>
      <c r="D340" s="18">
        <f t="shared" si="600"/>
        <v>0</v>
      </c>
      <c r="E340" s="18">
        <f t="shared" si="600"/>
        <v>0</v>
      </c>
      <c r="F340" s="18">
        <f t="shared" si="600"/>
        <v>0</v>
      </c>
      <c r="G340" s="18">
        <f t="shared" si="600"/>
        <v>0</v>
      </c>
      <c r="H340" s="18">
        <f t="shared" si="600"/>
        <v>0</v>
      </c>
      <c r="I340" s="18">
        <f t="shared" si="600"/>
        <v>0</v>
      </c>
      <c r="J340" s="18">
        <f t="shared" si="600"/>
        <v>0</v>
      </c>
      <c r="K340" s="18">
        <f t="shared" si="600"/>
        <v>0</v>
      </c>
      <c r="L340" s="18">
        <f t="shared" si="600"/>
        <v>0</v>
      </c>
      <c r="M340" s="18">
        <f t="shared" si="600"/>
        <v>0</v>
      </c>
      <c r="N340" s="18">
        <f t="shared" si="600"/>
        <v>0</v>
      </c>
      <c r="O340" s="13">
        <f t="shared" si="539"/>
        <v>0</v>
      </c>
      <c r="P340" s="14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</row>
    <row r="341" spans="1:256" s="17" customFormat="1" hidden="1" x14ac:dyDescent="0.35">
      <c r="A341" s="17">
        <v>84</v>
      </c>
      <c r="B341" s="11"/>
      <c r="C341" s="12">
        <v>0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3">
        <f t="shared" si="539"/>
        <v>0</v>
      </c>
      <c r="P341" s="14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</row>
    <row r="342" spans="1:256" s="17" customFormat="1" hidden="1" x14ac:dyDescent="0.35">
      <c r="B342" s="15" t="s">
        <v>15</v>
      </c>
      <c r="C342" s="16">
        <f>C341*0.1</f>
        <v>0</v>
      </c>
      <c r="D342" s="16">
        <f t="shared" ref="D342:N342" si="601">D341*0.1</f>
        <v>0</v>
      </c>
      <c r="E342" s="16">
        <f t="shared" si="601"/>
        <v>0</v>
      </c>
      <c r="F342" s="16">
        <f t="shared" si="601"/>
        <v>0</v>
      </c>
      <c r="G342" s="16">
        <f t="shared" si="601"/>
        <v>0</v>
      </c>
      <c r="H342" s="16">
        <f t="shared" si="601"/>
        <v>0</v>
      </c>
      <c r="I342" s="16">
        <f t="shared" si="601"/>
        <v>0</v>
      </c>
      <c r="J342" s="16">
        <f t="shared" si="601"/>
        <v>0</v>
      </c>
      <c r="K342" s="16">
        <f t="shared" si="601"/>
        <v>0</v>
      </c>
      <c r="L342" s="16">
        <f t="shared" si="601"/>
        <v>0</v>
      </c>
      <c r="M342" s="16">
        <f t="shared" si="601"/>
        <v>0</v>
      </c>
      <c r="N342" s="16">
        <f t="shared" si="601"/>
        <v>0</v>
      </c>
      <c r="O342" s="13">
        <f t="shared" si="539"/>
        <v>0</v>
      </c>
      <c r="P342" s="14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</row>
    <row r="343" spans="1:256" s="1" customFormat="1" hidden="1" x14ac:dyDescent="0.35">
      <c r="B343" s="15" t="s">
        <v>16</v>
      </c>
      <c r="C343" s="16">
        <f>C341-C342</f>
        <v>0</v>
      </c>
      <c r="D343" s="16">
        <f t="shared" ref="D343:N343" si="602">D341-D342</f>
        <v>0</v>
      </c>
      <c r="E343" s="16">
        <f t="shared" si="602"/>
        <v>0</v>
      </c>
      <c r="F343" s="16">
        <f t="shared" si="602"/>
        <v>0</v>
      </c>
      <c r="G343" s="16">
        <f t="shared" si="602"/>
        <v>0</v>
      </c>
      <c r="H343" s="16">
        <f t="shared" si="602"/>
        <v>0</v>
      </c>
      <c r="I343" s="16">
        <f t="shared" si="602"/>
        <v>0</v>
      </c>
      <c r="J343" s="16">
        <f t="shared" si="602"/>
        <v>0</v>
      </c>
      <c r="K343" s="16">
        <f t="shared" si="602"/>
        <v>0</v>
      </c>
      <c r="L343" s="16">
        <f t="shared" si="602"/>
        <v>0</v>
      </c>
      <c r="M343" s="16">
        <f t="shared" si="602"/>
        <v>0</v>
      </c>
      <c r="N343" s="16">
        <f t="shared" si="602"/>
        <v>0</v>
      </c>
      <c r="O343" s="13">
        <f t="shared" si="539"/>
        <v>0</v>
      </c>
      <c r="P343" s="14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</row>
    <row r="344" spans="1:256" s="1" customFormat="1" hidden="1" x14ac:dyDescent="0.35">
      <c r="B344" s="15" t="s">
        <v>17</v>
      </c>
      <c r="C344" s="18">
        <f t="shared" ref="C344:N344" si="603">IF(C343&gt;1000000,(C344-1000000)*0.3+130500,IF(C343&gt;760000,(C343-760000)*0.25+70500,IF(C343&gt;520000,(C343-520000)*0.2+22500,IF(C343&gt;270000,(C343-270000)*0.08+0,IF(C343&lt;270001,0,0)))))</f>
        <v>0</v>
      </c>
      <c r="D344" s="18">
        <f t="shared" si="603"/>
        <v>0</v>
      </c>
      <c r="E344" s="18">
        <f t="shared" si="603"/>
        <v>0</v>
      </c>
      <c r="F344" s="18">
        <f t="shared" si="603"/>
        <v>0</v>
      </c>
      <c r="G344" s="18">
        <f t="shared" si="603"/>
        <v>0</v>
      </c>
      <c r="H344" s="18">
        <f t="shared" si="603"/>
        <v>0</v>
      </c>
      <c r="I344" s="18">
        <f t="shared" si="603"/>
        <v>0</v>
      </c>
      <c r="J344" s="18">
        <f t="shared" si="603"/>
        <v>0</v>
      </c>
      <c r="K344" s="18">
        <f t="shared" si="603"/>
        <v>0</v>
      </c>
      <c r="L344" s="18">
        <f t="shared" si="603"/>
        <v>0</v>
      </c>
      <c r="M344" s="18">
        <f t="shared" si="603"/>
        <v>0</v>
      </c>
      <c r="N344" s="18">
        <f t="shared" si="603"/>
        <v>0</v>
      </c>
      <c r="O344" s="13">
        <f t="shared" si="539"/>
        <v>0</v>
      </c>
      <c r="P344" s="14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</row>
    <row r="345" spans="1:256" s="17" customFormat="1" hidden="1" x14ac:dyDescent="0.35">
      <c r="A345" s="17">
        <v>85</v>
      </c>
      <c r="B345" s="11"/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3">
        <f t="shared" ref="O345:O356" si="604">SUM(C345:N345)</f>
        <v>0</v>
      </c>
      <c r="P345" s="14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</row>
    <row r="346" spans="1:256" s="17" customFormat="1" hidden="1" x14ac:dyDescent="0.35">
      <c r="B346" s="15" t="s">
        <v>15</v>
      </c>
      <c r="C346" s="16">
        <f>C345*0.1</f>
        <v>0</v>
      </c>
      <c r="D346" s="16">
        <f t="shared" ref="D346:N346" si="605">D345*0.1</f>
        <v>0</v>
      </c>
      <c r="E346" s="16">
        <f t="shared" si="605"/>
        <v>0</v>
      </c>
      <c r="F346" s="16">
        <f t="shared" si="605"/>
        <v>0</v>
      </c>
      <c r="G346" s="16">
        <f t="shared" si="605"/>
        <v>0</v>
      </c>
      <c r="H346" s="16">
        <f t="shared" si="605"/>
        <v>0</v>
      </c>
      <c r="I346" s="16">
        <f t="shared" si="605"/>
        <v>0</v>
      </c>
      <c r="J346" s="16">
        <f t="shared" si="605"/>
        <v>0</v>
      </c>
      <c r="K346" s="16">
        <f t="shared" si="605"/>
        <v>0</v>
      </c>
      <c r="L346" s="16">
        <f t="shared" si="605"/>
        <v>0</v>
      </c>
      <c r="M346" s="16">
        <f t="shared" si="605"/>
        <v>0</v>
      </c>
      <c r="N346" s="16">
        <f t="shared" si="605"/>
        <v>0</v>
      </c>
      <c r="O346" s="13">
        <f t="shared" si="604"/>
        <v>0</v>
      </c>
      <c r="P346" s="14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</row>
    <row r="347" spans="1:256" s="1" customFormat="1" hidden="1" x14ac:dyDescent="0.35">
      <c r="B347" s="15" t="s">
        <v>16</v>
      </c>
      <c r="C347" s="16">
        <f>C345-C346</f>
        <v>0</v>
      </c>
      <c r="D347" s="16">
        <f t="shared" ref="D347:N347" si="606">D345-D346</f>
        <v>0</v>
      </c>
      <c r="E347" s="16">
        <f t="shared" si="606"/>
        <v>0</v>
      </c>
      <c r="F347" s="16">
        <f t="shared" si="606"/>
        <v>0</v>
      </c>
      <c r="G347" s="16">
        <f t="shared" si="606"/>
        <v>0</v>
      </c>
      <c r="H347" s="16">
        <f t="shared" si="606"/>
        <v>0</v>
      </c>
      <c r="I347" s="16">
        <f t="shared" si="606"/>
        <v>0</v>
      </c>
      <c r="J347" s="16">
        <f t="shared" si="606"/>
        <v>0</v>
      </c>
      <c r="K347" s="16">
        <f t="shared" si="606"/>
        <v>0</v>
      </c>
      <c r="L347" s="16">
        <f t="shared" si="606"/>
        <v>0</v>
      </c>
      <c r="M347" s="16">
        <f t="shared" si="606"/>
        <v>0</v>
      </c>
      <c r="N347" s="16">
        <f t="shared" si="606"/>
        <v>0</v>
      </c>
      <c r="O347" s="13">
        <f t="shared" si="604"/>
        <v>0</v>
      </c>
      <c r="P347" s="14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</row>
    <row r="348" spans="1:256" s="1" customFormat="1" hidden="1" x14ac:dyDescent="0.35">
      <c r="B348" s="15" t="s">
        <v>17</v>
      </c>
      <c r="C348" s="18">
        <f t="shared" ref="C348:N348" si="607">IF(C347&gt;1000000,(C348-1000000)*0.3+130500,IF(C347&gt;760000,(C347-760000)*0.25+70500,IF(C347&gt;520000,(C347-520000)*0.2+22500,IF(C347&gt;270000,(C347-270000)*0.08+0,IF(C347&lt;270001,0,0)))))</f>
        <v>0</v>
      </c>
      <c r="D348" s="18">
        <f t="shared" si="607"/>
        <v>0</v>
      </c>
      <c r="E348" s="18">
        <f t="shared" si="607"/>
        <v>0</v>
      </c>
      <c r="F348" s="18">
        <f t="shared" si="607"/>
        <v>0</v>
      </c>
      <c r="G348" s="18">
        <f t="shared" si="607"/>
        <v>0</v>
      </c>
      <c r="H348" s="18">
        <f t="shared" si="607"/>
        <v>0</v>
      </c>
      <c r="I348" s="18">
        <f t="shared" si="607"/>
        <v>0</v>
      </c>
      <c r="J348" s="18">
        <f t="shared" si="607"/>
        <v>0</v>
      </c>
      <c r="K348" s="18">
        <f t="shared" si="607"/>
        <v>0</v>
      </c>
      <c r="L348" s="18">
        <f t="shared" si="607"/>
        <v>0</v>
      </c>
      <c r="M348" s="18">
        <f t="shared" si="607"/>
        <v>0</v>
      </c>
      <c r="N348" s="18">
        <f t="shared" si="607"/>
        <v>0</v>
      </c>
      <c r="O348" s="13">
        <f t="shared" si="604"/>
        <v>0</v>
      </c>
      <c r="P348" s="14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</row>
    <row r="349" spans="1:256" s="17" customFormat="1" hidden="1" x14ac:dyDescent="0.35">
      <c r="A349" s="17">
        <v>86</v>
      </c>
      <c r="B349" s="11"/>
      <c r="C349" s="12">
        <v>0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3">
        <f t="shared" si="604"/>
        <v>0</v>
      </c>
      <c r="P349" s="14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</row>
    <row r="350" spans="1:256" s="17" customFormat="1" hidden="1" x14ac:dyDescent="0.35">
      <c r="B350" s="15" t="s">
        <v>15</v>
      </c>
      <c r="C350" s="16">
        <f>C349*0.1</f>
        <v>0</v>
      </c>
      <c r="D350" s="16">
        <f t="shared" ref="D350:N350" si="608">D349*0.1</f>
        <v>0</v>
      </c>
      <c r="E350" s="16">
        <f t="shared" si="608"/>
        <v>0</v>
      </c>
      <c r="F350" s="16">
        <f t="shared" si="608"/>
        <v>0</v>
      </c>
      <c r="G350" s="16">
        <f t="shared" si="608"/>
        <v>0</v>
      </c>
      <c r="H350" s="16">
        <f t="shared" si="608"/>
        <v>0</v>
      </c>
      <c r="I350" s="16">
        <f t="shared" si="608"/>
        <v>0</v>
      </c>
      <c r="J350" s="16">
        <f t="shared" si="608"/>
        <v>0</v>
      </c>
      <c r="K350" s="16">
        <f t="shared" si="608"/>
        <v>0</v>
      </c>
      <c r="L350" s="16">
        <f t="shared" si="608"/>
        <v>0</v>
      </c>
      <c r="M350" s="16">
        <f t="shared" si="608"/>
        <v>0</v>
      </c>
      <c r="N350" s="16">
        <f t="shared" si="608"/>
        <v>0</v>
      </c>
      <c r="O350" s="13">
        <f t="shared" si="604"/>
        <v>0</v>
      </c>
      <c r="P350" s="14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</row>
    <row r="351" spans="1:256" s="1" customFormat="1" hidden="1" x14ac:dyDescent="0.35">
      <c r="B351" s="15" t="s">
        <v>16</v>
      </c>
      <c r="C351" s="16">
        <f>C349-C350</f>
        <v>0</v>
      </c>
      <c r="D351" s="16">
        <f t="shared" ref="D351:N351" si="609">D349-D350</f>
        <v>0</v>
      </c>
      <c r="E351" s="16">
        <f t="shared" si="609"/>
        <v>0</v>
      </c>
      <c r="F351" s="16">
        <f t="shared" si="609"/>
        <v>0</v>
      </c>
      <c r="G351" s="16">
        <f t="shared" si="609"/>
        <v>0</v>
      </c>
      <c r="H351" s="16">
        <f t="shared" si="609"/>
        <v>0</v>
      </c>
      <c r="I351" s="16">
        <f t="shared" si="609"/>
        <v>0</v>
      </c>
      <c r="J351" s="16">
        <f t="shared" si="609"/>
        <v>0</v>
      </c>
      <c r="K351" s="16">
        <f t="shared" si="609"/>
        <v>0</v>
      </c>
      <c r="L351" s="16">
        <f t="shared" si="609"/>
        <v>0</v>
      </c>
      <c r="M351" s="16">
        <f t="shared" si="609"/>
        <v>0</v>
      </c>
      <c r="N351" s="16">
        <f t="shared" si="609"/>
        <v>0</v>
      </c>
      <c r="O351" s="13">
        <f t="shared" si="604"/>
        <v>0</v>
      </c>
      <c r="P351" s="14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</row>
    <row r="352" spans="1:256" s="1" customFormat="1" hidden="1" x14ac:dyDescent="0.35">
      <c r="B352" s="15" t="s">
        <v>17</v>
      </c>
      <c r="C352" s="18">
        <f t="shared" ref="C352:N352" si="610">IF(C351&gt;1000000,(C352-1000000)*0.3+130500,IF(C351&gt;760000,(C351-760000)*0.25+70500,IF(C351&gt;520000,(C351-520000)*0.2+22500,IF(C351&gt;270000,(C351-270000)*0.08+0,IF(C351&lt;270001,0,0)))))</f>
        <v>0</v>
      </c>
      <c r="D352" s="18">
        <f t="shared" si="610"/>
        <v>0</v>
      </c>
      <c r="E352" s="18">
        <f t="shared" si="610"/>
        <v>0</v>
      </c>
      <c r="F352" s="18">
        <f t="shared" si="610"/>
        <v>0</v>
      </c>
      <c r="G352" s="18">
        <f t="shared" si="610"/>
        <v>0</v>
      </c>
      <c r="H352" s="18">
        <f t="shared" si="610"/>
        <v>0</v>
      </c>
      <c r="I352" s="18">
        <f t="shared" si="610"/>
        <v>0</v>
      </c>
      <c r="J352" s="18">
        <f t="shared" si="610"/>
        <v>0</v>
      </c>
      <c r="K352" s="18">
        <f t="shared" si="610"/>
        <v>0</v>
      </c>
      <c r="L352" s="18">
        <f t="shared" si="610"/>
        <v>0</v>
      </c>
      <c r="M352" s="18">
        <f t="shared" si="610"/>
        <v>0</v>
      </c>
      <c r="N352" s="18">
        <f t="shared" si="610"/>
        <v>0</v>
      </c>
      <c r="O352" s="13">
        <f t="shared" si="604"/>
        <v>0</v>
      </c>
      <c r="P352" s="14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</row>
    <row r="353" spans="1:256" s="17" customFormat="1" hidden="1" x14ac:dyDescent="0.35">
      <c r="A353" s="17">
        <v>87</v>
      </c>
      <c r="B353" s="11"/>
      <c r="C353" s="12">
        <v>0</v>
      </c>
      <c r="D353" s="12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3">
        <f t="shared" si="604"/>
        <v>0</v>
      </c>
      <c r="P353" s="14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</row>
    <row r="354" spans="1:256" s="17" customFormat="1" hidden="1" x14ac:dyDescent="0.35">
      <c r="B354" s="15" t="s">
        <v>15</v>
      </c>
      <c r="C354" s="16">
        <f>C353*0.1</f>
        <v>0</v>
      </c>
      <c r="D354" s="16">
        <f t="shared" ref="D354:N354" si="611">D353*0.1</f>
        <v>0</v>
      </c>
      <c r="E354" s="16">
        <f t="shared" si="611"/>
        <v>0</v>
      </c>
      <c r="F354" s="16">
        <f t="shared" si="611"/>
        <v>0</v>
      </c>
      <c r="G354" s="16">
        <f t="shared" si="611"/>
        <v>0</v>
      </c>
      <c r="H354" s="16">
        <f t="shared" si="611"/>
        <v>0</v>
      </c>
      <c r="I354" s="16">
        <f t="shared" si="611"/>
        <v>0</v>
      </c>
      <c r="J354" s="16">
        <f t="shared" si="611"/>
        <v>0</v>
      </c>
      <c r="K354" s="16">
        <f t="shared" si="611"/>
        <v>0</v>
      </c>
      <c r="L354" s="16">
        <f t="shared" si="611"/>
        <v>0</v>
      </c>
      <c r="M354" s="16">
        <f t="shared" si="611"/>
        <v>0</v>
      </c>
      <c r="N354" s="16">
        <f t="shared" si="611"/>
        <v>0</v>
      </c>
      <c r="O354" s="13">
        <f t="shared" si="604"/>
        <v>0</v>
      </c>
      <c r="P354" s="14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</row>
    <row r="355" spans="1:256" s="1" customFormat="1" hidden="1" x14ac:dyDescent="0.35">
      <c r="B355" s="15" t="s">
        <v>16</v>
      </c>
      <c r="C355" s="16">
        <f>C353-C354</f>
        <v>0</v>
      </c>
      <c r="D355" s="16">
        <f t="shared" ref="D355:N355" si="612">D353-D354</f>
        <v>0</v>
      </c>
      <c r="E355" s="16">
        <f t="shared" si="612"/>
        <v>0</v>
      </c>
      <c r="F355" s="16">
        <f t="shared" si="612"/>
        <v>0</v>
      </c>
      <c r="G355" s="16">
        <f t="shared" si="612"/>
        <v>0</v>
      </c>
      <c r="H355" s="16">
        <f t="shared" si="612"/>
        <v>0</v>
      </c>
      <c r="I355" s="16">
        <f t="shared" si="612"/>
        <v>0</v>
      </c>
      <c r="J355" s="16">
        <f t="shared" si="612"/>
        <v>0</v>
      </c>
      <c r="K355" s="16">
        <f t="shared" si="612"/>
        <v>0</v>
      </c>
      <c r="L355" s="16">
        <f t="shared" si="612"/>
        <v>0</v>
      </c>
      <c r="M355" s="16">
        <f t="shared" si="612"/>
        <v>0</v>
      </c>
      <c r="N355" s="16">
        <f t="shared" si="612"/>
        <v>0</v>
      </c>
      <c r="O355" s="13">
        <f t="shared" si="604"/>
        <v>0</v>
      </c>
      <c r="P355" s="14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</row>
    <row r="356" spans="1:256" s="1" customFormat="1" hidden="1" x14ac:dyDescent="0.35">
      <c r="B356" s="15" t="s">
        <v>17</v>
      </c>
      <c r="C356" s="18">
        <f t="shared" ref="C356:N356" si="613">IF(C355&gt;1000000,(C356-1000000)*0.3+130500,IF(C355&gt;760000,(C355-760000)*0.25+70500,IF(C355&gt;520000,(C355-520000)*0.2+22500,IF(C355&gt;270000,(C355-270000)*0.08+0,IF(C355&lt;270001,0,0)))))</f>
        <v>0</v>
      </c>
      <c r="D356" s="18">
        <f t="shared" si="613"/>
        <v>0</v>
      </c>
      <c r="E356" s="18">
        <f t="shared" si="613"/>
        <v>0</v>
      </c>
      <c r="F356" s="18">
        <f t="shared" si="613"/>
        <v>0</v>
      </c>
      <c r="G356" s="18">
        <f t="shared" si="613"/>
        <v>0</v>
      </c>
      <c r="H356" s="18">
        <f t="shared" si="613"/>
        <v>0</v>
      </c>
      <c r="I356" s="18">
        <f t="shared" si="613"/>
        <v>0</v>
      </c>
      <c r="J356" s="18">
        <f t="shared" si="613"/>
        <v>0</v>
      </c>
      <c r="K356" s="18">
        <f t="shared" si="613"/>
        <v>0</v>
      </c>
      <c r="L356" s="18">
        <f t="shared" si="613"/>
        <v>0</v>
      </c>
      <c r="M356" s="18">
        <f t="shared" si="613"/>
        <v>0</v>
      </c>
      <c r="N356" s="18">
        <f t="shared" si="613"/>
        <v>0</v>
      </c>
      <c r="O356" s="13">
        <f t="shared" si="604"/>
        <v>0</v>
      </c>
      <c r="P356" s="14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</row>
    <row r="357" spans="1:256" s="17" customFormat="1" hidden="1" x14ac:dyDescent="0.35">
      <c r="A357" s="17">
        <v>88</v>
      </c>
      <c r="B357" s="11"/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3">
        <f t="shared" ref="O357:O370" si="614">SUM(C357:N357)</f>
        <v>0</v>
      </c>
      <c r="P357" s="14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</row>
    <row r="358" spans="1:256" s="17" customFormat="1" hidden="1" x14ac:dyDescent="0.35">
      <c r="B358" s="15" t="s">
        <v>15</v>
      </c>
      <c r="C358" s="16">
        <f>C357*0.1</f>
        <v>0</v>
      </c>
      <c r="D358" s="16">
        <f t="shared" ref="D358:N358" si="615">D357*0.1</f>
        <v>0</v>
      </c>
      <c r="E358" s="16">
        <f t="shared" si="615"/>
        <v>0</v>
      </c>
      <c r="F358" s="16">
        <f t="shared" si="615"/>
        <v>0</v>
      </c>
      <c r="G358" s="16">
        <f t="shared" si="615"/>
        <v>0</v>
      </c>
      <c r="H358" s="16">
        <f t="shared" si="615"/>
        <v>0</v>
      </c>
      <c r="I358" s="16">
        <f t="shared" si="615"/>
        <v>0</v>
      </c>
      <c r="J358" s="16">
        <f t="shared" si="615"/>
        <v>0</v>
      </c>
      <c r="K358" s="16">
        <f t="shared" si="615"/>
        <v>0</v>
      </c>
      <c r="L358" s="16">
        <f t="shared" si="615"/>
        <v>0</v>
      </c>
      <c r="M358" s="16">
        <f t="shared" si="615"/>
        <v>0</v>
      </c>
      <c r="N358" s="16">
        <f t="shared" si="615"/>
        <v>0</v>
      </c>
      <c r="O358" s="13">
        <f t="shared" si="614"/>
        <v>0</v>
      </c>
      <c r="P358" s="14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</row>
    <row r="359" spans="1:256" s="1" customFormat="1" hidden="1" x14ac:dyDescent="0.35">
      <c r="B359" s="15" t="s">
        <v>16</v>
      </c>
      <c r="C359" s="16">
        <f>C357-C358</f>
        <v>0</v>
      </c>
      <c r="D359" s="16">
        <f t="shared" ref="D359:N359" si="616">D357-D358</f>
        <v>0</v>
      </c>
      <c r="E359" s="16">
        <f t="shared" si="616"/>
        <v>0</v>
      </c>
      <c r="F359" s="16">
        <f t="shared" si="616"/>
        <v>0</v>
      </c>
      <c r="G359" s="16">
        <f t="shared" si="616"/>
        <v>0</v>
      </c>
      <c r="H359" s="16">
        <f t="shared" si="616"/>
        <v>0</v>
      </c>
      <c r="I359" s="16">
        <f t="shared" si="616"/>
        <v>0</v>
      </c>
      <c r="J359" s="16">
        <f t="shared" si="616"/>
        <v>0</v>
      </c>
      <c r="K359" s="16">
        <f t="shared" si="616"/>
        <v>0</v>
      </c>
      <c r="L359" s="16">
        <f t="shared" si="616"/>
        <v>0</v>
      </c>
      <c r="M359" s="16">
        <f t="shared" si="616"/>
        <v>0</v>
      </c>
      <c r="N359" s="16">
        <f t="shared" si="616"/>
        <v>0</v>
      </c>
      <c r="O359" s="13">
        <f t="shared" si="614"/>
        <v>0</v>
      </c>
      <c r="P359" s="14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</row>
    <row r="360" spans="1:256" s="1" customFormat="1" hidden="1" x14ac:dyDescent="0.35">
      <c r="B360" s="15" t="s">
        <v>17</v>
      </c>
      <c r="C360" s="18">
        <f t="shared" ref="C360:N360" si="617">IF(C359&gt;1000000,(C360-1000000)*0.3+130500,IF(C359&gt;760000,(C359-760000)*0.25+70500,IF(C359&gt;520000,(C359-520000)*0.2+22500,IF(C359&gt;270000,(C359-270000)*0.08+0,IF(C359&lt;270001,0,0)))))</f>
        <v>0</v>
      </c>
      <c r="D360" s="18">
        <f t="shared" si="617"/>
        <v>0</v>
      </c>
      <c r="E360" s="18">
        <f t="shared" si="617"/>
        <v>0</v>
      </c>
      <c r="F360" s="18">
        <f t="shared" si="617"/>
        <v>0</v>
      </c>
      <c r="G360" s="18">
        <f t="shared" si="617"/>
        <v>0</v>
      </c>
      <c r="H360" s="18">
        <f t="shared" si="617"/>
        <v>0</v>
      </c>
      <c r="I360" s="18">
        <f t="shared" si="617"/>
        <v>0</v>
      </c>
      <c r="J360" s="18">
        <f t="shared" si="617"/>
        <v>0</v>
      </c>
      <c r="K360" s="18">
        <f t="shared" si="617"/>
        <v>0</v>
      </c>
      <c r="L360" s="18">
        <f t="shared" si="617"/>
        <v>0</v>
      </c>
      <c r="M360" s="18">
        <f t="shared" si="617"/>
        <v>0</v>
      </c>
      <c r="N360" s="18">
        <f t="shared" si="617"/>
        <v>0</v>
      </c>
      <c r="O360" s="13">
        <f t="shared" si="614"/>
        <v>0</v>
      </c>
      <c r="P360" s="14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</row>
    <row r="361" spans="1:256" s="17" customFormat="1" hidden="1" x14ac:dyDescent="0.35">
      <c r="A361" s="17">
        <v>89</v>
      </c>
      <c r="B361" s="11"/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3">
        <f t="shared" si="614"/>
        <v>0</v>
      </c>
      <c r="P361" s="14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</row>
    <row r="362" spans="1:256" s="17" customFormat="1" hidden="1" x14ac:dyDescent="0.35">
      <c r="B362" s="15" t="s">
        <v>15</v>
      </c>
      <c r="C362" s="16">
        <f>C361*0.1</f>
        <v>0</v>
      </c>
      <c r="D362" s="16">
        <f t="shared" ref="D362:N362" si="618">D361*0.1</f>
        <v>0</v>
      </c>
      <c r="E362" s="16">
        <f t="shared" si="618"/>
        <v>0</v>
      </c>
      <c r="F362" s="16">
        <f t="shared" si="618"/>
        <v>0</v>
      </c>
      <c r="G362" s="16">
        <f t="shared" si="618"/>
        <v>0</v>
      </c>
      <c r="H362" s="16">
        <f t="shared" si="618"/>
        <v>0</v>
      </c>
      <c r="I362" s="16">
        <f t="shared" si="618"/>
        <v>0</v>
      </c>
      <c r="J362" s="16">
        <f t="shared" si="618"/>
        <v>0</v>
      </c>
      <c r="K362" s="16">
        <f t="shared" si="618"/>
        <v>0</v>
      </c>
      <c r="L362" s="16">
        <f t="shared" si="618"/>
        <v>0</v>
      </c>
      <c r="M362" s="16">
        <f t="shared" si="618"/>
        <v>0</v>
      </c>
      <c r="N362" s="16">
        <f t="shared" si="618"/>
        <v>0</v>
      </c>
      <c r="O362" s="13">
        <f t="shared" si="614"/>
        <v>0</v>
      </c>
      <c r="P362" s="14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</row>
    <row r="363" spans="1:256" s="1" customFormat="1" hidden="1" x14ac:dyDescent="0.35">
      <c r="B363" s="15" t="s">
        <v>16</v>
      </c>
      <c r="C363" s="16">
        <f>C361-C362</f>
        <v>0</v>
      </c>
      <c r="D363" s="16">
        <f t="shared" ref="D363:N363" si="619">D361-D362</f>
        <v>0</v>
      </c>
      <c r="E363" s="16">
        <f t="shared" si="619"/>
        <v>0</v>
      </c>
      <c r="F363" s="16">
        <f t="shared" si="619"/>
        <v>0</v>
      </c>
      <c r="G363" s="16">
        <f t="shared" si="619"/>
        <v>0</v>
      </c>
      <c r="H363" s="16">
        <f t="shared" si="619"/>
        <v>0</v>
      </c>
      <c r="I363" s="16">
        <f t="shared" si="619"/>
        <v>0</v>
      </c>
      <c r="J363" s="16">
        <f t="shared" si="619"/>
        <v>0</v>
      </c>
      <c r="K363" s="16">
        <f t="shared" si="619"/>
        <v>0</v>
      </c>
      <c r="L363" s="16">
        <f t="shared" si="619"/>
        <v>0</v>
      </c>
      <c r="M363" s="16">
        <f t="shared" si="619"/>
        <v>0</v>
      </c>
      <c r="N363" s="16">
        <f t="shared" si="619"/>
        <v>0</v>
      </c>
      <c r="O363" s="13">
        <f t="shared" si="614"/>
        <v>0</v>
      </c>
      <c r="P363" s="14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</row>
    <row r="364" spans="1:256" s="1" customFormat="1" ht="15" hidden="1" thickBot="1" x14ac:dyDescent="0.4">
      <c r="B364" s="15" t="s">
        <v>17</v>
      </c>
      <c r="C364" s="18">
        <f t="shared" ref="C364:N364" si="620">IF(C363&gt;1000000,(C364-1000000)*0.3+130500,IF(C363&gt;760000,(C363-760000)*0.25+70500,IF(C363&gt;520000,(C363-520000)*0.2+22500,IF(C363&gt;270000,(C363-270000)*0.08+0,IF(C363&lt;270001,0,0)))))</f>
        <v>0</v>
      </c>
      <c r="D364" s="18">
        <f t="shared" si="620"/>
        <v>0</v>
      </c>
      <c r="E364" s="18">
        <f t="shared" si="620"/>
        <v>0</v>
      </c>
      <c r="F364" s="18">
        <f t="shared" si="620"/>
        <v>0</v>
      </c>
      <c r="G364" s="18">
        <f t="shared" si="620"/>
        <v>0</v>
      </c>
      <c r="H364" s="18">
        <f t="shared" si="620"/>
        <v>0</v>
      </c>
      <c r="I364" s="18">
        <f t="shared" si="620"/>
        <v>0</v>
      </c>
      <c r="J364" s="18">
        <f t="shared" si="620"/>
        <v>0</v>
      </c>
      <c r="K364" s="18">
        <f t="shared" si="620"/>
        <v>0</v>
      </c>
      <c r="L364" s="18">
        <f t="shared" si="620"/>
        <v>0</v>
      </c>
      <c r="M364" s="18">
        <f t="shared" si="620"/>
        <v>0</v>
      </c>
      <c r="N364" s="18">
        <f t="shared" si="620"/>
        <v>0</v>
      </c>
      <c r="O364" s="13">
        <f t="shared" si="614"/>
        <v>0</v>
      </c>
      <c r="P364" s="14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</row>
    <row r="365" spans="1:256" ht="15" thickBot="1" x14ac:dyDescent="0.4">
      <c r="A365" s="3"/>
      <c r="B365" s="19" t="s">
        <v>72</v>
      </c>
      <c r="C365" s="20">
        <f>C5+C9+C13+C17+C21+C25+C29+C33+C37+C41+C45+C49+C53+C57+C61+C65+C69+C73+C77+C81+C85+C89+C93+C97+C101+C105+C109+C113+C117+C121+C125+C129+C133+C137+C141+C145+C149+C153+C157+C161+C165+C169+C173+C177+C181+C185+C189+C193+C197+C201+C205+C209+C213+C217+C221+C225+C229+C233+C237+C241+C245+C249+C253+C257+C261+C265+C269+C273+C357+C361+C277+C281+C285+C289+C293+C297+C301+C305+C309+C313+C317+C321+C325+C329+C333+C337+C341+C345+C349+C353</f>
        <v>21600000</v>
      </c>
      <c r="D365" s="20">
        <f t="shared" ref="D365:N365" si="621">D5+D9+D13+D17+D21+D25+D29+D33+D37+D41+D45+D49+D53+D57+D61+D65+D69+D73+D77+D81+D85+D89+D93+D97+D101+D105+D109+D113+D117+D121+D125+D129+D133+D137+D141+D145+D149+D153+D157+D161+D165+D169+D173+D177+D181+D185+D189+D193+D197+D201+D205+D209+D213+D217+D221+D225+D229+D233+D237+D241+D245+D249+D253+D257+D261+D265+D269+D273+D357+D361+D277+D281+D285+D289+D293+D297+D301+D305+D309+D313+D317+D321+D325+D329+D333+D337+D341+D345+D349+D353</f>
        <v>22800000</v>
      </c>
      <c r="E365" s="20">
        <f t="shared" si="621"/>
        <v>23100000</v>
      </c>
      <c r="F365" s="20">
        <f t="shared" si="621"/>
        <v>22900000</v>
      </c>
      <c r="G365" s="20">
        <f t="shared" si="621"/>
        <v>22900000</v>
      </c>
      <c r="H365" s="20">
        <f t="shared" si="621"/>
        <v>24400000</v>
      </c>
      <c r="I365" s="20">
        <f t="shared" si="621"/>
        <v>24400000</v>
      </c>
      <c r="J365" s="20">
        <f t="shared" si="621"/>
        <v>25900000</v>
      </c>
      <c r="K365" s="20">
        <f t="shared" si="621"/>
        <v>25300000</v>
      </c>
      <c r="L365" s="20">
        <f t="shared" si="621"/>
        <v>24700000</v>
      </c>
      <c r="M365" s="20">
        <f t="shared" si="621"/>
        <v>24700000</v>
      </c>
      <c r="N365" s="20">
        <f t="shared" si="621"/>
        <v>24400000</v>
      </c>
      <c r="O365" s="21">
        <f t="shared" si="614"/>
        <v>287100000</v>
      </c>
    </row>
    <row r="366" spans="1:256" ht="15" thickBot="1" x14ac:dyDescent="0.4">
      <c r="A366" s="3"/>
      <c r="B366" s="19" t="s">
        <v>15</v>
      </c>
      <c r="C366" s="20">
        <f>C6+C10+C14+C18+C22+C26+C30+C34+C38+C42+C46+C50+C54+C58+C62+C66+C70+C74+C78+C82+C86+C90+C94+C98+C102+C106+C110+C114+C118+C122+C126+C130+C134+C138+C142+C146+C150+C154+C158+C162+C166+C170+C174+C178+C182+C186+C190+C194+C198+C202+C206+C210+C214+C218+C222+C226+C230+C234+C238+C242+C246+C250+C254+C258+C262+C266+C270+C274+C278+C282+C286+C290+C294+C298+C302+C306+C358+C362+C310+C314+C318+C322+C326+C330+C334+C338+C342+C346+C350+C354</f>
        <v>2160000</v>
      </c>
      <c r="D366" s="20">
        <f t="shared" ref="D366:N366" si="622">D6+D10+D14+D18+D22+D26+D30+D34+D38+D42+D46+D50+D54+D58+D62+D66+D70+D74+D78+D82+D86+D90+D94+D98+D102+D106+D110+D114+D118+D122+D126+D130+D134+D138+D142+D146+D150+D154+D158+D162+D166+D170+D174+D178+D182+D186+D190+D194+D198+D202+D206+D210+D214+D218+D222+D226+D230+D234+D238+D242+D246+D250+D254+D258+D262+D266+D270+D274+D278+D282+D286+D290+D294+D298+D302+D306+D358+D362+D310+D314+D318+D322+D326+D330+D334+D338+D342+D346+D350+D354</f>
        <v>2280000</v>
      </c>
      <c r="E366" s="20">
        <f t="shared" si="622"/>
        <v>2310000</v>
      </c>
      <c r="F366" s="20">
        <f t="shared" si="622"/>
        <v>2290000</v>
      </c>
      <c r="G366" s="20">
        <f t="shared" si="622"/>
        <v>2290000</v>
      </c>
      <c r="H366" s="20">
        <f t="shared" si="622"/>
        <v>2440000</v>
      </c>
      <c r="I366" s="20">
        <f t="shared" si="622"/>
        <v>2440000</v>
      </c>
      <c r="J366" s="20">
        <f t="shared" si="622"/>
        <v>2590000</v>
      </c>
      <c r="K366" s="20">
        <f t="shared" si="622"/>
        <v>2530000</v>
      </c>
      <c r="L366" s="20">
        <f t="shared" si="622"/>
        <v>2470000</v>
      </c>
      <c r="M366" s="20">
        <f t="shared" si="622"/>
        <v>2470000</v>
      </c>
      <c r="N366" s="20">
        <f t="shared" si="622"/>
        <v>2440000</v>
      </c>
      <c r="O366" s="22">
        <f t="shared" si="614"/>
        <v>28710000</v>
      </c>
      <c r="R366" s="14"/>
    </row>
    <row r="367" spans="1:256" ht="15" thickBot="1" x14ac:dyDescent="0.4">
      <c r="A367" s="3"/>
      <c r="B367" s="23" t="s">
        <v>17</v>
      </c>
      <c r="C367" s="24">
        <f t="shared" ref="C367:N367" si="623">C8+C12+C16+C20+C24+C28+C32+C36+C40+C44++C48+C52+C56+C60+C64+C68+C72+C76+C80+C84+C88+C92+C96+C100+C104+C108+C112+C116+C120+C124+C128+C132+C136+C140+C144+C148+C152+C156+C160+C164+C172+C176+C180+C184+C188+C192+C196+C200+C204+C208+C212+C216+C220+C224+C228+C236+C240+C244+C248+C252+C256+C260+C264+C268+C272+C276+C360+C364+C168+C232+C280+C284+C288+C292+C296+C300+C304+C308</f>
        <v>640200</v>
      </c>
      <c r="D367" s="24">
        <f t="shared" si="623"/>
        <v>640200</v>
      </c>
      <c r="E367" s="24">
        <f t="shared" si="623"/>
        <v>640200</v>
      </c>
      <c r="F367" s="24">
        <f t="shared" si="623"/>
        <v>625800</v>
      </c>
      <c r="G367" s="24">
        <f t="shared" si="623"/>
        <v>625800</v>
      </c>
      <c r="H367" s="24">
        <f t="shared" si="623"/>
        <v>625800</v>
      </c>
      <c r="I367" s="24">
        <f t="shared" si="623"/>
        <v>583800</v>
      </c>
      <c r="J367" s="24">
        <f t="shared" si="623"/>
        <v>583800</v>
      </c>
      <c r="K367" s="24">
        <f t="shared" si="623"/>
        <v>583800</v>
      </c>
      <c r="L367" s="24">
        <f t="shared" si="623"/>
        <v>583800</v>
      </c>
      <c r="M367" s="24">
        <f t="shared" si="623"/>
        <v>583800</v>
      </c>
      <c r="N367" s="24">
        <f t="shared" si="623"/>
        <v>583800</v>
      </c>
      <c r="O367" s="22">
        <f t="shared" si="614"/>
        <v>7300800</v>
      </c>
    </row>
    <row r="368" spans="1:256" ht="15" thickBot="1" x14ac:dyDescent="0.4">
      <c r="A368" s="3"/>
      <c r="B368" s="23" t="s">
        <v>73</v>
      </c>
      <c r="C368" s="23">
        <f>C365*3.5%</f>
        <v>756000.00000000012</v>
      </c>
      <c r="D368" s="23">
        <f t="shared" ref="D368:N368" si="624">D365*3.5%</f>
        <v>798000.00000000012</v>
      </c>
      <c r="E368" s="23">
        <f t="shared" si="624"/>
        <v>808500.00000000012</v>
      </c>
      <c r="F368" s="23">
        <f t="shared" si="624"/>
        <v>801500.00000000012</v>
      </c>
      <c r="G368" s="23">
        <f t="shared" si="624"/>
        <v>801500.00000000012</v>
      </c>
      <c r="H368" s="23">
        <f t="shared" si="624"/>
        <v>854000.00000000012</v>
      </c>
      <c r="I368" s="23">
        <f t="shared" si="624"/>
        <v>854000.00000000012</v>
      </c>
      <c r="J368" s="23">
        <f t="shared" si="624"/>
        <v>906500.00000000012</v>
      </c>
      <c r="K368" s="23">
        <f t="shared" si="624"/>
        <v>885500.00000000012</v>
      </c>
      <c r="L368" s="23">
        <f t="shared" si="624"/>
        <v>864500.00000000012</v>
      </c>
      <c r="M368" s="23">
        <f t="shared" si="624"/>
        <v>864500.00000000012</v>
      </c>
      <c r="N368" s="23">
        <f t="shared" si="624"/>
        <v>854000.00000000012</v>
      </c>
      <c r="O368" s="22">
        <f t="shared" si="614"/>
        <v>10048500.000000002</v>
      </c>
      <c r="P368" s="25"/>
    </row>
    <row r="369" spans="1:256" ht="16" thickBot="1" x14ac:dyDescent="0.4">
      <c r="B369" s="27" t="s">
        <v>74</v>
      </c>
      <c r="C369" s="28">
        <f t="shared" ref="C369:N369" si="625">SUM(C365)*0.5%</f>
        <v>108000</v>
      </c>
      <c r="D369" s="28">
        <f t="shared" si="625"/>
        <v>114000</v>
      </c>
      <c r="E369" s="28">
        <f t="shared" si="625"/>
        <v>115500</v>
      </c>
      <c r="F369" s="28">
        <f t="shared" si="625"/>
        <v>114500</v>
      </c>
      <c r="G369" s="28">
        <f t="shared" si="625"/>
        <v>114500</v>
      </c>
      <c r="H369" s="28">
        <f t="shared" si="625"/>
        <v>122000</v>
      </c>
      <c r="I369" s="28">
        <f t="shared" si="625"/>
        <v>122000</v>
      </c>
      <c r="J369" s="28">
        <f t="shared" si="625"/>
        <v>129500</v>
      </c>
      <c r="K369" s="28">
        <f t="shared" si="625"/>
        <v>126500</v>
      </c>
      <c r="L369" s="28">
        <f t="shared" si="625"/>
        <v>123500</v>
      </c>
      <c r="M369" s="28">
        <f t="shared" si="625"/>
        <v>123500</v>
      </c>
      <c r="N369" s="28">
        <f t="shared" si="625"/>
        <v>122000</v>
      </c>
      <c r="O369" s="22">
        <f t="shared" si="614"/>
        <v>1435500</v>
      </c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  <c r="DM369" s="29"/>
      <c r="DN369" s="29"/>
      <c r="DO369" s="29"/>
      <c r="DP369" s="29"/>
      <c r="DQ369" s="29"/>
      <c r="DR369" s="29"/>
      <c r="DS369" s="29"/>
      <c r="DT369" s="29"/>
      <c r="DU369" s="29"/>
      <c r="DV369" s="29"/>
      <c r="DW369" s="29"/>
      <c r="DX369" s="29"/>
      <c r="DY369" s="29"/>
      <c r="DZ369" s="29"/>
      <c r="EA369" s="29"/>
      <c r="EB369" s="29"/>
      <c r="EC369" s="29"/>
      <c r="ED369" s="29"/>
      <c r="EE369" s="29"/>
      <c r="EF369" s="29"/>
      <c r="EG369" s="29"/>
      <c r="EH369" s="29"/>
      <c r="EI369" s="29"/>
      <c r="EJ369" s="29"/>
      <c r="EK369" s="29"/>
      <c r="EL369" s="29"/>
      <c r="EM369" s="29"/>
      <c r="EN369" s="29"/>
      <c r="EO369" s="29"/>
      <c r="EP369" s="29"/>
      <c r="EQ369" s="29"/>
      <c r="ER369" s="29"/>
      <c r="ES369" s="29"/>
      <c r="ET369" s="29"/>
      <c r="EU369" s="29"/>
      <c r="EV369" s="29"/>
      <c r="EW369" s="29"/>
      <c r="EX369" s="29"/>
      <c r="EY369" s="29"/>
      <c r="EZ369" s="29"/>
      <c r="FA369" s="29"/>
      <c r="FB369" s="29"/>
      <c r="FC369" s="29"/>
      <c r="FD369" s="29"/>
      <c r="FE369" s="29"/>
      <c r="FF369" s="29"/>
      <c r="FG369" s="29"/>
      <c r="FH369" s="29"/>
      <c r="FI369" s="29"/>
      <c r="FJ369" s="29"/>
      <c r="FK369" s="29"/>
      <c r="FL369" s="29"/>
      <c r="FM369" s="29"/>
      <c r="FN369" s="29"/>
      <c r="FO369" s="29"/>
      <c r="FP369" s="29"/>
      <c r="FQ369" s="29"/>
      <c r="FR369" s="29"/>
      <c r="FS369" s="29"/>
      <c r="FT369" s="29"/>
      <c r="FU369" s="29"/>
      <c r="FV369" s="29"/>
      <c r="FW369" s="29"/>
      <c r="FX369" s="29"/>
      <c r="FY369" s="29"/>
      <c r="FZ369" s="29"/>
      <c r="GA369" s="29"/>
      <c r="GB369" s="29"/>
      <c r="GC369" s="29"/>
      <c r="GD369" s="29"/>
      <c r="GE369" s="29"/>
      <c r="GF369" s="29"/>
      <c r="GG369" s="29"/>
      <c r="GH369" s="29"/>
      <c r="GI369" s="29"/>
      <c r="GJ369" s="29"/>
      <c r="GK369" s="29"/>
      <c r="GL369" s="29"/>
      <c r="GM369" s="29"/>
      <c r="GN369" s="29"/>
      <c r="GO369" s="29"/>
      <c r="GP369" s="29"/>
      <c r="GQ369" s="29"/>
      <c r="GR369" s="29"/>
      <c r="GS369" s="29"/>
      <c r="GT369" s="29"/>
      <c r="GU369" s="29"/>
      <c r="GV369" s="29"/>
      <c r="GW369" s="29"/>
      <c r="GX369" s="29"/>
      <c r="GY369" s="29"/>
      <c r="GZ369" s="29"/>
      <c r="HA369" s="29"/>
      <c r="HB369" s="29"/>
      <c r="HC369" s="29"/>
      <c r="HD369" s="29"/>
      <c r="HE369" s="29"/>
      <c r="HF369" s="29"/>
      <c r="HG369" s="29"/>
      <c r="HH369" s="29"/>
      <c r="HI369" s="29"/>
      <c r="HJ369" s="29"/>
      <c r="HK369" s="29"/>
      <c r="HL369" s="29"/>
      <c r="HM369" s="29"/>
      <c r="HN369" s="29"/>
      <c r="HO369" s="29"/>
      <c r="HP369" s="29"/>
      <c r="HQ369" s="29"/>
      <c r="HR369" s="29"/>
      <c r="HS369" s="29"/>
      <c r="HT369" s="29"/>
      <c r="HU369" s="29"/>
      <c r="HV369" s="29"/>
      <c r="HW369" s="29"/>
      <c r="HX369" s="29"/>
      <c r="HY369" s="29"/>
      <c r="HZ369" s="29"/>
      <c r="IA369" s="29"/>
      <c r="IB369" s="29"/>
      <c r="IC369" s="29"/>
      <c r="ID369" s="29"/>
      <c r="IE369" s="29"/>
      <c r="IF369" s="29"/>
      <c r="IG369" s="29"/>
      <c r="IH369" s="29"/>
      <c r="II369" s="29"/>
      <c r="IJ369" s="29"/>
      <c r="IK369" s="29"/>
      <c r="IL369" s="29"/>
      <c r="IM369" s="29"/>
      <c r="IN369" s="29"/>
      <c r="IO369" s="29"/>
      <c r="IP369" s="29"/>
      <c r="IQ369" s="29"/>
      <c r="IR369" s="29"/>
      <c r="IS369" s="29"/>
      <c r="IT369" s="29"/>
      <c r="IU369" s="29"/>
      <c r="IV369" s="29"/>
    </row>
    <row r="370" spans="1:256" ht="15" thickBot="1" x14ac:dyDescent="0.4">
      <c r="B370" s="23" t="s">
        <v>75</v>
      </c>
      <c r="C370" s="30">
        <f>C366</f>
        <v>2160000</v>
      </c>
      <c r="D370" s="30">
        <f t="shared" ref="D370:N370" si="626">D366</f>
        <v>2280000</v>
      </c>
      <c r="E370" s="30">
        <f t="shared" si="626"/>
        <v>2310000</v>
      </c>
      <c r="F370" s="30">
        <f t="shared" si="626"/>
        <v>2290000</v>
      </c>
      <c r="G370" s="30">
        <f t="shared" si="626"/>
        <v>2290000</v>
      </c>
      <c r="H370" s="30">
        <f t="shared" si="626"/>
        <v>2440000</v>
      </c>
      <c r="I370" s="30">
        <f t="shared" si="626"/>
        <v>2440000</v>
      </c>
      <c r="J370" s="30">
        <f t="shared" si="626"/>
        <v>2590000</v>
      </c>
      <c r="K370" s="30">
        <f t="shared" si="626"/>
        <v>2530000</v>
      </c>
      <c r="L370" s="30">
        <f t="shared" si="626"/>
        <v>2470000</v>
      </c>
      <c r="M370" s="30">
        <f t="shared" si="626"/>
        <v>2470000</v>
      </c>
      <c r="N370" s="30">
        <f t="shared" si="626"/>
        <v>2440000</v>
      </c>
      <c r="O370" s="22">
        <f t="shared" si="614"/>
        <v>28710000</v>
      </c>
    </row>
    <row r="372" spans="1:256" ht="15" thickBot="1" x14ac:dyDescent="0.4">
      <c r="J372" s="14"/>
      <c r="P372" s="31"/>
    </row>
    <row r="373" spans="1:256" x14ac:dyDescent="0.35">
      <c r="A373" s="32"/>
      <c r="C373" s="33" t="s">
        <v>76</v>
      </c>
      <c r="D373" s="219" t="s">
        <v>77</v>
      </c>
      <c r="E373" s="220"/>
      <c r="F373" s="220"/>
      <c r="G373" s="221"/>
      <c r="H373" s="32"/>
      <c r="I373" s="32"/>
      <c r="J373" s="4"/>
      <c r="K373" s="33" t="s">
        <v>78</v>
      </c>
      <c r="L373" s="219" t="s">
        <v>77</v>
      </c>
      <c r="M373" s="220"/>
      <c r="N373" s="220"/>
      <c r="O373" s="221"/>
      <c r="P373" s="32"/>
    </row>
    <row r="374" spans="1:256" s="10" customFormat="1" x14ac:dyDescent="0.35">
      <c r="A374" s="34"/>
      <c r="B374" s="35" t="s">
        <v>79</v>
      </c>
      <c r="C374" s="36" t="s">
        <v>80</v>
      </c>
      <c r="D374" s="36" t="s">
        <v>81</v>
      </c>
      <c r="E374" s="36" t="s">
        <v>82</v>
      </c>
      <c r="F374" s="36" t="s">
        <v>83</v>
      </c>
      <c r="G374" s="36" t="s">
        <v>84</v>
      </c>
      <c r="H374" s="36" t="s">
        <v>85</v>
      </c>
      <c r="I374" s="37"/>
      <c r="J374" s="35" t="s">
        <v>79</v>
      </c>
      <c r="K374" s="36" t="s">
        <v>80</v>
      </c>
      <c r="L374" s="36" t="s">
        <v>81</v>
      </c>
      <c r="M374" s="36" t="s">
        <v>82</v>
      </c>
      <c r="N374" s="36" t="s">
        <v>83</v>
      </c>
      <c r="O374" s="36" t="s">
        <v>84</v>
      </c>
      <c r="P374" s="36" t="s">
        <v>85</v>
      </c>
    </row>
    <row r="375" spans="1:256" x14ac:dyDescent="0.35">
      <c r="A375" s="32"/>
      <c r="B375" s="38" t="s">
        <v>86</v>
      </c>
      <c r="C375" s="39">
        <f>C367</f>
        <v>640200</v>
      </c>
      <c r="D375" s="40" t="s">
        <v>250</v>
      </c>
      <c r="E375" s="40" t="s">
        <v>249</v>
      </c>
      <c r="F375" s="40" t="s">
        <v>251</v>
      </c>
      <c r="G375" s="41">
        <v>640200</v>
      </c>
      <c r="H375" s="39">
        <f>IF(C375&lt;=0,0,IF(C375&gt;0,(C375-G375)))</f>
        <v>0</v>
      </c>
      <c r="I375" s="42"/>
      <c r="J375" s="38" t="s">
        <v>86</v>
      </c>
      <c r="K375" s="39">
        <f>C368</f>
        <v>756000.00000000012</v>
      </c>
      <c r="L375" s="40" t="s">
        <v>250</v>
      </c>
      <c r="M375" s="40" t="s">
        <v>249</v>
      </c>
      <c r="N375" s="40" t="s">
        <v>251</v>
      </c>
      <c r="O375" s="43">
        <v>756000</v>
      </c>
      <c r="P375" s="39">
        <f t="shared" ref="P375:P386" si="627">IF(K375&lt;=0,0,IF(K375&gt;0,(K375-O375)))</f>
        <v>1.1641532182693481E-10</v>
      </c>
    </row>
    <row r="376" spans="1:256" x14ac:dyDescent="0.35">
      <c r="A376" s="32"/>
      <c r="B376" s="38" t="s">
        <v>87</v>
      </c>
      <c r="C376" s="39">
        <f>D367</f>
        <v>640200</v>
      </c>
      <c r="D376" s="40" t="s">
        <v>345</v>
      </c>
      <c r="E376" s="40" t="s">
        <v>346</v>
      </c>
      <c r="F376" s="40" t="s">
        <v>251</v>
      </c>
      <c r="G376" s="41">
        <v>640200</v>
      </c>
      <c r="H376" s="39">
        <f t="shared" ref="H376:H386" si="628">IF(C376&lt;=0,0,IF(C376&gt;0,(C376-G376)))</f>
        <v>0</v>
      </c>
      <c r="I376" s="32"/>
      <c r="J376" s="38" t="s">
        <v>87</v>
      </c>
      <c r="K376" s="39">
        <f>D368</f>
        <v>798000.00000000012</v>
      </c>
      <c r="L376" s="40" t="s">
        <v>345</v>
      </c>
      <c r="M376" s="40" t="s">
        <v>346</v>
      </c>
      <c r="N376" s="40" t="s">
        <v>251</v>
      </c>
      <c r="O376" s="43">
        <v>798000</v>
      </c>
      <c r="P376" s="39">
        <f t="shared" si="627"/>
        <v>1.1641532182693481E-10</v>
      </c>
    </row>
    <row r="377" spans="1:256" x14ac:dyDescent="0.35">
      <c r="A377" s="32"/>
      <c r="B377" s="38" t="s">
        <v>88</v>
      </c>
      <c r="C377" s="39">
        <f>E367</f>
        <v>640200</v>
      </c>
      <c r="D377" s="40" t="s">
        <v>455</v>
      </c>
      <c r="E377" s="61">
        <v>9984121766485</v>
      </c>
      <c r="F377" s="44" t="s">
        <v>251</v>
      </c>
      <c r="G377" s="41">
        <v>640200</v>
      </c>
      <c r="H377" s="39">
        <f t="shared" si="628"/>
        <v>0</v>
      </c>
      <c r="I377" s="32"/>
      <c r="J377" s="38" t="s">
        <v>88</v>
      </c>
      <c r="K377" s="39">
        <f>E368</f>
        <v>808500.00000000012</v>
      </c>
      <c r="L377" s="40" t="s">
        <v>455</v>
      </c>
      <c r="M377" s="61">
        <v>9984121766485</v>
      </c>
      <c r="N377" s="44" t="s">
        <v>251</v>
      </c>
      <c r="O377" s="43">
        <v>808500</v>
      </c>
      <c r="P377" s="39">
        <f t="shared" si="627"/>
        <v>1.1641532182693481E-10</v>
      </c>
    </row>
    <row r="378" spans="1:256" x14ac:dyDescent="0.35">
      <c r="A378" s="32"/>
      <c r="B378" s="38" t="s">
        <v>89</v>
      </c>
      <c r="C378" s="39">
        <f>F367</f>
        <v>625800</v>
      </c>
      <c r="D378" s="40" t="s">
        <v>558</v>
      </c>
      <c r="E378" s="40" t="s">
        <v>557</v>
      </c>
      <c r="F378" s="44" t="s">
        <v>251</v>
      </c>
      <c r="G378" s="41">
        <v>625800</v>
      </c>
      <c r="H378" s="39">
        <f t="shared" si="628"/>
        <v>0</v>
      </c>
      <c r="I378" s="32"/>
      <c r="J378" s="38" t="s">
        <v>89</v>
      </c>
      <c r="K378" s="39">
        <f>F368</f>
        <v>801500.00000000012</v>
      </c>
      <c r="L378" s="40" t="s">
        <v>558</v>
      </c>
      <c r="M378" s="40" t="s">
        <v>557</v>
      </c>
      <c r="N378" s="44" t="s">
        <v>251</v>
      </c>
      <c r="O378" s="43">
        <v>801500.00000000012</v>
      </c>
      <c r="P378" s="39">
        <f t="shared" si="627"/>
        <v>0</v>
      </c>
    </row>
    <row r="379" spans="1:256" x14ac:dyDescent="0.35">
      <c r="A379" s="32"/>
      <c r="B379" s="38" t="s">
        <v>5</v>
      </c>
      <c r="C379" s="39">
        <f>G367</f>
        <v>625800</v>
      </c>
      <c r="D379" s="40" t="s">
        <v>689</v>
      </c>
      <c r="E379" s="40" t="s">
        <v>688</v>
      </c>
      <c r="F379" s="44" t="s">
        <v>251</v>
      </c>
      <c r="G379" s="41">
        <v>625800</v>
      </c>
      <c r="H379" s="39">
        <f t="shared" si="628"/>
        <v>0</v>
      </c>
      <c r="I379" s="32"/>
      <c r="J379" s="38" t="s">
        <v>5</v>
      </c>
      <c r="K379" s="39">
        <f>G368</f>
        <v>801500.00000000012</v>
      </c>
      <c r="L379" s="40" t="s">
        <v>689</v>
      </c>
      <c r="M379" s="40" t="s">
        <v>688</v>
      </c>
      <c r="N379" s="44" t="s">
        <v>251</v>
      </c>
      <c r="O379" s="43">
        <v>801500.00000000012</v>
      </c>
      <c r="P379" s="39">
        <f t="shared" si="627"/>
        <v>0</v>
      </c>
    </row>
    <row r="380" spans="1:256" x14ac:dyDescent="0.35">
      <c r="A380" s="32"/>
      <c r="B380" s="38" t="s">
        <v>90</v>
      </c>
      <c r="C380" s="45">
        <f>H367</f>
        <v>625800</v>
      </c>
      <c r="D380" s="40" t="s">
        <v>882</v>
      </c>
      <c r="E380" s="40" t="s">
        <v>881</v>
      </c>
      <c r="F380" s="44" t="s">
        <v>251</v>
      </c>
      <c r="G380" s="41">
        <v>625800</v>
      </c>
      <c r="H380" s="39">
        <f t="shared" si="628"/>
        <v>0</v>
      </c>
      <c r="I380" s="32"/>
      <c r="J380" s="38" t="s">
        <v>90</v>
      </c>
      <c r="K380" s="45">
        <f>H368</f>
        <v>854000.00000000012</v>
      </c>
      <c r="L380" s="40" t="s">
        <v>882</v>
      </c>
      <c r="M380" s="40" t="s">
        <v>881</v>
      </c>
      <c r="N380" s="44" t="s">
        <v>251</v>
      </c>
      <c r="O380" s="46">
        <v>854000</v>
      </c>
      <c r="P380" s="39">
        <f t="shared" si="627"/>
        <v>1.1641532182693481E-10</v>
      </c>
    </row>
    <row r="381" spans="1:256" x14ac:dyDescent="0.35">
      <c r="A381" s="32"/>
      <c r="B381" s="38" t="s">
        <v>91</v>
      </c>
      <c r="C381" s="45">
        <f>I367</f>
        <v>583800</v>
      </c>
      <c r="D381" s="47" t="s">
        <v>919</v>
      </c>
      <c r="E381" s="47" t="s">
        <v>918</v>
      </c>
      <c r="F381" s="44" t="s">
        <v>251</v>
      </c>
      <c r="G381" s="41">
        <v>583800</v>
      </c>
      <c r="H381" s="39">
        <f t="shared" si="628"/>
        <v>0</v>
      </c>
      <c r="I381" s="32"/>
      <c r="J381" s="38" t="s">
        <v>91</v>
      </c>
      <c r="K381" s="45">
        <f>I368</f>
        <v>854000.00000000012</v>
      </c>
      <c r="L381" s="47" t="s">
        <v>919</v>
      </c>
      <c r="M381" s="47" t="s">
        <v>918</v>
      </c>
      <c r="N381" s="44" t="s">
        <v>251</v>
      </c>
      <c r="O381" s="46">
        <v>854000</v>
      </c>
      <c r="P381" s="39">
        <f t="shared" si="627"/>
        <v>1.1641532182693481E-10</v>
      </c>
    </row>
    <row r="382" spans="1:256" x14ac:dyDescent="0.35">
      <c r="A382" s="32"/>
      <c r="B382" s="38" t="s">
        <v>92</v>
      </c>
      <c r="C382" s="45">
        <f>J367</f>
        <v>583800</v>
      </c>
      <c r="D382" s="47" t="s">
        <v>1233</v>
      </c>
      <c r="E382" s="61">
        <v>998421658219</v>
      </c>
      <c r="F382" s="44" t="s">
        <v>251</v>
      </c>
      <c r="G382" s="41">
        <v>583800</v>
      </c>
      <c r="H382" s="39">
        <f t="shared" si="628"/>
        <v>0</v>
      </c>
      <c r="I382" s="32"/>
      <c r="J382" s="38" t="s">
        <v>92</v>
      </c>
      <c r="K382" s="45">
        <f>J368</f>
        <v>906500.00000000012</v>
      </c>
      <c r="L382" s="47" t="s">
        <v>1233</v>
      </c>
      <c r="M382" s="61">
        <v>998421658219</v>
      </c>
      <c r="N382" s="44" t="s">
        <v>251</v>
      </c>
      <c r="O382" s="46">
        <v>906500</v>
      </c>
      <c r="P382" s="39">
        <f t="shared" si="627"/>
        <v>1.1641532182693481E-10</v>
      </c>
    </row>
    <row r="383" spans="1:256" x14ac:dyDescent="0.35">
      <c r="A383" s="32"/>
      <c r="B383" s="38" t="s">
        <v>93</v>
      </c>
      <c r="C383" s="45">
        <f>K367</f>
        <v>583800</v>
      </c>
      <c r="D383" s="47" t="s">
        <v>1242</v>
      </c>
      <c r="E383" s="47" t="s">
        <v>1241</v>
      </c>
      <c r="F383" s="44" t="s">
        <v>251</v>
      </c>
      <c r="G383" s="41">
        <v>583800</v>
      </c>
      <c r="H383" s="39">
        <f t="shared" si="628"/>
        <v>0</v>
      </c>
      <c r="J383" s="38" t="s">
        <v>93</v>
      </c>
      <c r="K383" s="45">
        <f>K368</f>
        <v>885500.00000000012</v>
      </c>
      <c r="L383" s="47" t="s">
        <v>1242</v>
      </c>
      <c r="M383" s="47" t="s">
        <v>1241</v>
      </c>
      <c r="N383" s="44" t="s">
        <v>251</v>
      </c>
      <c r="O383" s="46">
        <v>885500</v>
      </c>
      <c r="P383" s="39">
        <f t="shared" si="627"/>
        <v>1.1641532182693481E-10</v>
      </c>
    </row>
    <row r="384" spans="1:256" x14ac:dyDescent="0.35">
      <c r="A384" s="32"/>
      <c r="B384" s="38" t="s">
        <v>94</v>
      </c>
      <c r="C384" s="45">
        <f>L367</f>
        <v>583800</v>
      </c>
      <c r="D384" s="47" t="s">
        <v>1399</v>
      </c>
      <c r="E384" s="47" t="s">
        <v>1400</v>
      </c>
      <c r="F384" s="44" t="s">
        <v>251</v>
      </c>
      <c r="G384" s="41">
        <v>583800</v>
      </c>
      <c r="H384" s="39">
        <f t="shared" si="628"/>
        <v>0</v>
      </c>
      <c r="I384" s="32"/>
      <c r="J384" s="38" t="s">
        <v>94</v>
      </c>
      <c r="K384" s="45">
        <f>L368</f>
        <v>864500.00000000012</v>
      </c>
      <c r="L384" s="47" t="s">
        <v>1399</v>
      </c>
      <c r="M384" s="47" t="s">
        <v>1400</v>
      </c>
      <c r="N384" s="44" t="s">
        <v>251</v>
      </c>
      <c r="O384" s="46">
        <v>864500.00000000012</v>
      </c>
      <c r="P384" s="39">
        <f t="shared" si="627"/>
        <v>0</v>
      </c>
    </row>
    <row r="385" spans="1:256" x14ac:dyDescent="0.35">
      <c r="A385" s="32"/>
      <c r="B385" s="38" t="s">
        <v>95</v>
      </c>
      <c r="C385" s="45">
        <f>M367</f>
        <v>583800</v>
      </c>
      <c r="D385" s="47" t="s">
        <v>1573</v>
      </c>
      <c r="E385" s="47" t="s">
        <v>1575</v>
      </c>
      <c r="F385" s="44" t="s">
        <v>1574</v>
      </c>
      <c r="G385" s="41">
        <v>583800</v>
      </c>
      <c r="H385" s="39">
        <f t="shared" si="628"/>
        <v>0</v>
      </c>
      <c r="I385" s="32"/>
      <c r="J385" s="38" t="s">
        <v>95</v>
      </c>
      <c r="K385" s="45">
        <f>M368</f>
        <v>864500.00000000012</v>
      </c>
      <c r="L385" s="47" t="s">
        <v>1573</v>
      </c>
      <c r="M385" s="47" t="s">
        <v>1575</v>
      </c>
      <c r="N385" s="44" t="s">
        <v>1574</v>
      </c>
      <c r="O385" s="46">
        <v>864500.00000000012</v>
      </c>
      <c r="P385" s="39">
        <f t="shared" si="627"/>
        <v>0</v>
      </c>
    </row>
    <row r="386" spans="1:256" x14ac:dyDescent="0.35">
      <c r="A386" s="32"/>
      <c r="B386" s="38" t="s">
        <v>96</v>
      </c>
      <c r="C386" s="45">
        <f>N367</f>
        <v>583800</v>
      </c>
      <c r="D386" s="47" t="s">
        <v>1734</v>
      </c>
      <c r="E386" s="47" t="s">
        <v>1733</v>
      </c>
      <c r="F386" s="44" t="s">
        <v>251</v>
      </c>
      <c r="G386" s="41">
        <v>583800</v>
      </c>
      <c r="H386" s="39">
        <f t="shared" si="628"/>
        <v>0</v>
      </c>
      <c r="I386" s="32"/>
      <c r="J386" s="38" t="s">
        <v>96</v>
      </c>
      <c r="K386" s="45">
        <f>N368</f>
        <v>854000.00000000012</v>
      </c>
      <c r="L386" s="47" t="s">
        <v>1734</v>
      </c>
      <c r="M386" s="47" t="s">
        <v>1733</v>
      </c>
      <c r="N386" s="44" t="s">
        <v>251</v>
      </c>
      <c r="O386" s="46">
        <v>854000.00000000012</v>
      </c>
      <c r="P386" s="39">
        <f t="shared" si="627"/>
        <v>0</v>
      </c>
    </row>
    <row r="387" spans="1:256" ht="15" thickBot="1" x14ac:dyDescent="0.4">
      <c r="A387" s="32"/>
      <c r="B387" s="48"/>
      <c r="C387" s="49"/>
      <c r="D387" s="49"/>
      <c r="E387" s="50"/>
      <c r="F387" s="51"/>
      <c r="G387" s="51"/>
      <c r="H387" s="52"/>
      <c r="I387" s="32"/>
      <c r="J387" s="48"/>
      <c r="K387" s="49"/>
      <c r="L387" s="50"/>
      <c r="M387" s="50"/>
      <c r="N387" s="51"/>
      <c r="O387" s="51"/>
      <c r="P387" s="52"/>
    </row>
    <row r="388" spans="1:256" ht="15" thickBot="1" x14ac:dyDescent="0.4">
      <c r="A388" s="53"/>
      <c r="B388" s="54" t="s">
        <v>13</v>
      </c>
      <c r="C388" s="55">
        <f>SUM(C375:C386)</f>
        <v>7300800</v>
      </c>
      <c r="D388" s="55"/>
      <c r="E388" s="56"/>
      <c r="F388" s="57"/>
      <c r="G388" s="55">
        <f>SUM(G375:G386)</f>
        <v>7300800</v>
      </c>
      <c r="H388" s="55">
        <f>SUM(H375:H386)</f>
        <v>0</v>
      </c>
      <c r="I388" s="53"/>
      <c r="J388" s="54" t="s">
        <v>13</v>
      </c>
      <c r="K388" s="55">
        <f>SUM(K375:K386)</f>
        <v>10048500.000000002</v>
      </c>
      <c r="L388" s="56"/>
      <c r="M388" s="56"/>
      <c r="N388" s="57"/>
      <c r="O388" s="55">
        <f>SUM(O375:O386)</f>
        <v>10048500</v>
      </c>
      <c r="P388" s="55">
        <f>SUM(P375:P386)</f>
        <v>8.149072527885437E-10</v>
      </c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  <c r="BZ388" s="58"/>
      <c r="CA388" s="58"/>
      <c r="CB388" s="58"/>
      <c r="CC388" s="58"/>
      <c r="CD388" s="58"/>
      <c r="CE388" s="58"/>
      <c r="CF388" s="58"/>
      <c r="CG388" s="58"/>
      <c r="CH388" s="58"/>
      <c r="CI388" s="58"/>
      <c r="CJ388" s="58"/>
      <c r="CK388" s="58"/>
      <c r="CL388" s="58"/>
      <c r="CM388" s="58"/>
      <c r="CN388" s="58"/>
      <c r="CO388" s="58"/>
      <c r="CP388" s="58"/>
      <c r="CQ388" s="58"/>
      <c r="CR388" s="58"/>
      <c r="CS388" s="58"/>
      <c r="CT388" s="58"/>
      <c r="CU388" s="58"/>
      <c r="CV388" s="58"/>
      <c r="CW388" s="58"/>
      <c r="CX388" s="58"/>
      <c r="CY388" s="58"/>
      <c r="CZ388" s="58"/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  <c r="DK388" s="58"/>
      <c r="DL388" s="58"/>
      <c r="DM388" s="58"/>
      <c r="DN388" s="58"/>
      <c r="DO388" s="58"/>
      <c r="DP388" s="58"/>
      <c r="DQ388" s="58"/>
      <c r="DR388" s="58"/>
      <c r="DS388" s="58"/>
      <c r="DT388" s="58"/>
      <c r="DU388" s="58"/>
      <c r="DV388" s="58"/>
      <c r="DW388" s="58"/>
      <c r="DX388" s="58"/>
      <c r="DY388" s="58"/>
      <c r="DZ388" s="58"/>
      <c r="EA388" s="58"/>
      <c r="EB388" s="58"/>
      <c r="EC388" s="58"/>
      <c r="ED388" s="58"/>
      <c r="EE388" s="58"/>
      <c r="EF388" s="58"/>
      <c r="EG388" s="58"/>
      <c r="EH388" s="58"/>
      <c r="EI388" s="58"/>
      <c r="EJ388" s="58"/>
      <c r="EK388" s="58"/>
      <c r="EL388" s="58"/>
      <c r="EM388" s="58"/>
      <c r="EN388" s="58"/>
      <c r="EO388" s="58"/>
      <c r="EP388" s="58"/>
      <c r="EQ388" s="58"/>
      <c r="ER388" s="58"/>
      <c r="ES388" s="58"/>
      <c r="ET388" s="58"/>
      <c r="EU388" s="58"/>
      <c r="EV388" s="58"/>
      <c r="EW388" s="58"/>
      <c r="EX388" s="58"/>
      <c r="EY388" s="58"/>
      <c r="EZ388" s="58"/>
      <c r="FA388" s="58"/>
      <c r="FB388" s="58"/>
      <c r="FC388" s="58"/>
      <c r="FD388" s="58"/>
      <c r="FE388" s="58"/>
      <c r="FF388" s="58"/>
      <c r="FG388" s="58"/>
      <c r="FH388" s="58"/>
      <c r="FI388" s="58"/>
      <c r="FJ388" s="58"/>
      <c r="FK388" s="58"/>
      <c r="FL388" s="58"/>
      <c r="FM388" s="58"/>
      <c r="FN388" s="58"/>
      <c r="FO388" s="58"/>
      <c r="FP388" s="58"/>
      <c r="FQ388" s="58"/>
      <c r="FR388" s="58"/>
      <c r="FS388" s="58"/>
      <c r="FT388" s="58"/>
      <c r="FU388" s="58"/>
      <c r="FV388" s="58"/>
      <c r="FW388" s="58"/>
      <c r="FX388" s="58"/>
      <c r="FY388" s="58"/>
      <c r="FZ388" s="58"/>
      <c r="GA388" s="58"/>
      <c r="GB388" s="58"/>
      <c r="GC388" s="58"/>
      <c r="GD388" s="58"/>
      <c r="GE388" s="58"/>
      <c r="GF388" s="58"/>
      <c r="GG388" s="58"/>
      <c r="GH388" s="58"/>
      <c r="GI388" s="58"/>
      <c r="GJ388" s="58"/>
      <c r="GK388" s="58"/>
      <c r="GL388" s="58"/>
      <c r="GM388" s="58"/>
      <c r="GN388" s="58"/>
      <c r="GO388" s="58"/>
      <c r="GP388" s="58"/>
      <c r="GQ388" s="58"/>
      <c r="GR388" s="58"/>
      <c r="GS388" s="58"/>
      <c r="GT388" s="58"/>
      <c r="GU388" s="58"/>
      <c r="GV388" s="58"/>
      <c r="GW388" s="58"/>
      <c r="GX388" s="58"/>
      <c r="GY388" s="58"/>
      <c r="GZ388" s="58"/>
      <c r="HA388" s="58"/>
      <c r="HB388" s="58"/>
      <c r="HC388" s="58"/>
      <c r="HD388" s="58"/>
      <c r="HE388" s="58"/>
      <c r="HF388" s="58"/>
      <c r="HG388" s="58"/>
      <c r="HH388" s="58"/>
      <c r="HI388" s="58"/>
      <c r="HJ388" s="58"/>
      <c r="HK388" s="58"/>
      <c r="HL388" s="58"/>
      <c r="HM388" s="58"/>
      <c r="HN388" s="58"/>
      <c r="HO388" s="58"/>
      <c r="HP388" s="58"/>
      <c r="HQ388" s="58"/>
      <c r="HR388" s="58"/>
      <c r="HS388" s="58"/>
      <c r="HT388" s="58"/>
      <c r="HU388" s="58"/>
      <c r="HV388" s="58"/>
      <c r="HW388" s="58"/>
      <c r="HX388" s="58"/>
      <c r="HY388" s="58"/>
      <c r="HZ388" s="58"/>
      <c r="IA388" s="58"/>
      <c r="IB388" s="58"/>
      <c r="IC388" s="58"/>
      <c r="ID388" s="58"/>
      <c r="IE388" s="58"/>
      <c r="IF388" s="58"/>
      <c r="IG388" s="58"/>
      <c r="IH388" s="58"/>
      <c r="II388" s="58"/>
      <c r="IJ388" s="58"/>
      <c r="IK388" s="58"/>
      <c r="IL388" s="58"/>
      <c r="IM388" s="58"/>
      <c r="IN388" s="58"/>
      <c r="IO388" s="58"/>
      <c r="IP388" s="58"/>
      <c r="IQ388" s="58"/>
      <c r="IR388" s="58"/>
      <c r="IS388" s="58"/>
      <c r="IT388" s="58"/>
      <c r="IU388" s="58"/>
      <c r="IV388" s="58"/>
    </row>
    <row r="389" spans="1:256" x14ac:dyDescent="0.35">
      <c r="H389" s="59"/>
    </row>
    <row r="391" spans="1:256" ht="15" thickBot="1" x14ac:dyDescent="0.4">
      <c r="A391" s="1"/>
    </row>
    <row r="392" spans="1:256" s="10" customFormat="1" x14ac:dyDescent="0.35">
      <c r="A392" s="6"/>
      <c r="C392" s="33" t="s">
        <v>15</v>
      </c>
      <c r="D392" s="219" t="s">
        <v>77</v>
      </c>
      <c r="E392" s="220"/>
      <c r="F392" s="220"/>
      <c r="G392" s="221"/>
      <c r="H392" s="34"/>
      <c r="K392" s="33" t="s">
        <v>74</v>
      </c>
      <c r="L392" s="219" t="s">
        <v>77</v>
      </c>
      <c r="M392" s="220"/>
      <c r="N392" s="220"/>
      <c r="O392" s="221"/>
      <c r="P392" s="34"/>
    </row>
    <row r="393" spans="1:256" s="10" customFormat="1" x14ac:dyDescent="0.35">
      <c r="A393" s="6"/>
      <c r="B393" s="35" t="s">
        <v>79</v>
      </c>
      <c r="C393" s="36" t="s">
        <v>80</v>
      </c>
      <c r="D393" s="36" t="s">
        <v>81</v>
      </c>
      <c r="E393" s="36" t="s">
        <v>82</v>
      </c>
      <c r="F393" s="36" t="s">
        <v>83</v>
      </c>
      <c r="G393" s="36" t="s">
        <v>84</v>
      </c>
      <c r="H393" s="36" t="s">
        <v>85</v>
      </c>
      <c r="J393" s="35" t="s">
        <v>79</v>
      </c>
      <c r="K393" s="36" t="s">
        <v>80</v>
      </c>
      <c r="L393" s="36" t="s">
        <v>81</v>
      </c>
      <c r="M393" s="36" t="s">
        <v>82</v>
      </c>
      <c r="N393" s="36" t="s">
        <v>83</v>
      </c>
      <c r="O393" s="36" t="s">
        <v>84</v>
      </c>
      <c r="P393" s="36" t="s">
        <v>85</v>
      </c>
    </row>
    <row r="394" spans="1:256" x14ac:dyDescent="0.35">
      <c r="A394" s="1"/>
      <c r="B394" s="38" t="s">
        <v>86</v>
      </c>
      <c r="C394" s="60">
        <f>C366+C370</f>
        <v>4320000</v>
      </c>
      <c r="D394" s="40" t="s">
        <v>347</v>
      </c>
      <c r="E394" s="61">
        <v>995531360700</v>
      </c>
      <c r="F394" s="40" t="s">
        <v>251</v>
      </c>
      <c r="G394" s="43">
        <v>4320000</v>
      </c>
      <c r="H394" s="60">
        <f>IF(C394&lt;=0,0,IF(C394&gt;0,(C394-G394)))</f>
        <v>0</v>
      </c>
      <c r="J394" s="38" t="s">
        <v>86</v>
      </c>
      <c r="K394" s="39">
        <f>C369</f>
        <v>108000</v>
      </c>
      <c r="L394" s="40" t="s">
        <v>250</v>
      </c>
      <c r="M394" s="62">
        <v>991760936654</v>
      </c>
      <c r="N394" s="40" t="s">
        <v>254</v>
      </c>
      <c r="O394" s="43">
        <v>108000</v>
      </c>
      <c r="P394" s="39">
        <f>IF(K394&lt;=0,0,IF(K394&gt;0,(K394-O394)))</f>
        <v>0</v>
      </c>
    </row>
    <row r="395" spans="1:256" x14ac:dyDescent="0.35">
      <c r="A395" s="1"/>
      <c r="B395" s="38" t="s">
        <v>87</v>
      </c>
      <c r="C395" s="60">
        <f>D366+D370</f>
        <v>4560000</v>
      </c>
      <c r="D395" s="40" t="s">
        <v>375</v>
      </c>
      <c r="E395" s="61">
        <v>995531408108</v>
      </c>
      <c r="F395" s="44" t="s">
        <v>251</v>
      </c>
      <c r="G395" s="43">
        <v>4560000</v>
      </c>
      <c r="H395" s="60">
        <f t="shared" ref="H395:H405" si="629">IF(C395&lt;=0,0,IF(C395&gt;0,(C395-G395)))</f>
        <v>0</v>
      </c>
      <c r="J395" s="38" t="s">
        <v>87</v>
      </c>
      <c r="K395" s="39">
        <f>D369</f>
        <v>114000</v>
      </c>
      <c r="L395" s="40" t="s">
        <v>345</v>
      </c>
      <c r="M395" s="61">
        <v>991760955194</v>
      </c>
      <c r="N395" s="40" t="s">
        <v>254</v>
      </c>
      <c r="O395" s="43">
        <v>114000</v>
      </c>
      <c r="P395" s="39">
        <f t="shared" ref="P395:P405" si="630">IF(K395&lt;=0,0,IF(K395&gt;0,(K395-O395)))</f>
        <v>0</v>
      </c>
    </row>
    <row r="396" spans="1:256" x14ac:dyDescent="0.35">
      <c r="A396" s="1"/>
      <c r="B396" s="38" t="s">
        <v>88</v>
      </c>
      <c r="C396" s="60">
        <f>E366+E370</f>
        <v>4620000</v>
      </c>
      <c r="D396" s="40" t="s">
        <v>555</v>
      </c>
      <c r="E396" s="61">
        <v>995531454899</v>
      </c>
      <c r="F396" s="44" t="s">
        <v>251</v>
      </c>
      <c r="G396" s="43">
        <v>4620000</v>
      </c>
      <c r="H396" s="60">
        <f t="shared" si="629"/>
        <v>0</v>
      </c>
      <c r="J396" s="38" t="s">
        <v>88</v>
      </c>
      <c r="K396" s="39">
        <f>E369</f>
        <v>115500</v>
      </c>
      <c r="L396" s="40" t="s">
        <v>454</v>
      </c>
      <c r="M396" s="61">
        <v>991760974030</v>
      </c>
      <c r="N396" s="40" t="s">
        <v>254</v>
      </c>
      <c r="O396" s="43">
        <v>115500</v>
      </c>
      <c r="P396" s="39">
        <f t="shared" si="630"/>
        <v>0</v>
      </c>
    </row>
    <row r="397" spans="1:256" x14ac:dyDescent="0.35">
      <c r="A397" s="1"/>
      <c r="B397" s="38" t="s">
        <v>89</v>
      </c>
      <c r="C397" s="60">
        <f>F366+F370</f>
        <v>4580000</v>
      </c>
      <c r="D397" s="40" t="s">
        <v>609</v>
      </c>
      <c r="E397" s="61">
        <v>995531507117</v>
      </c>
      <c r="F397" s="44" t="s">
        <v>251</v>
      </c>
      <c r="G397" s="43">
        <v>4580000</v>
      </c>
      <c r="H397" s="60">
        <f t="shared" si="629"/>
        <v>0</v>
      </c>
      <c r="J397" s="38" t="s">
        <v>89</v>
      </c>
      <c r="K397" s="39">
        <f>F369</f>
        <v>114500</v>
      </c>
      <c r="L397" s="40" t="s">
        <v>556</v>
      </c>
      <c r="M397" s="61">
        <v>991760993878</v>
      </c>
      <c r="N397" s="44" t="s">
        <v>1574</v>
      </c>
      <c r="O397" s="43">
        <f>$K$397</f>
        <v>114500</v>
      </c>
      <c r="P397" s="39">
        <f t="shared" si="630"/>
        <v>0</v>
      </c>
    </row>
    <row r="398" spans="1:256" x14ac:dyDescent="0.35">
      <c r="A398" s="1"/>
      <c r="B398" s="38" t="s">
        <v>5</v>
      </c>
      <c r="C398" s="60">
        <f>G366+G370</f>
        <v>4580000</v>
      </c>
      <c r="D398" s="40" t="s">
        <v>774</v>
      </c>
      <c r="E398" s="61">
        <v>995531558909</v>
      </c>
      <c r="F398" s="44" t="s">
        <v>251</v>
      </c>
      <c r="G398" s="43">
        <v>4580000</v>
      </c>
      <c r="H398" s="60">
        <f t="shared" si="629"/>
        <v>0</v>
      </c>
      <c r="J398" s="38" t="s">
        <v>5</v>
      </c>
      <c r="K398" s="39">
        <f>G369</f>
        <v>114500</v>
      </c>
      <c r="L398" s="40" t="s">
        <v>646</v>
      </c>
      <c r="M398" s="61">
        <v>991761009749</v>
      </c>
      <c r="N398" s="44" t="s">
        <v>254</v>
      </c>
      <c r="O398" s="43">
        <f>$K$397</f>
        <v>114500</v>
      </c>
      <c r="P398" s="39">
        <f t="shared" si="630"/>
        <v>0</v>
      </c>
    </row>
    <row r="399" spans="1:256" x14ac:dyDescent="0.35">
      <c r="A399" s="1"/>
      <c r="B399" s="38" t="s">
        <v>90</v>
      </c>
      <c r="C399" s="43">
        <f>H366+H370</f>
        <v>4880000</v>
      </c>
      <c r="D399" s="40" t="s">
        <v>879</v>
      </c>
      <c r="E399" s="61">
        <v>995531611453</v>
      </c>
      <c r="F399" s="44" t="s">
        <v>251</v>
      </c>
      <c r="G399" s="46">
        <v>4880000</v>
      </c>
      <c r="H399" s="60">
        <f t="shared" si="629"/>
        <v>0</v>
      </c>
      <c r="J399" s="38" t="s">
        <v>90</v>
      </c>
      <c r="K399" s="45">
        <f>H369</f>
        <v>122000</v>
      </c>
      <c r="L399" s="40" t="s">
        <v>880</v>
      </c>
      <c r="M399" s="61">
        <v>991761035057</v>
      </c>
      <c r="N399" s="44" t="s">
        <v>254</v>
      </c>
      <c r="O399" s="46">
        <v>122000</v>
      </c>
      <c r="P399" s="39">
        <f t="shared" si="630"/>
        <v>0</v>
      </c>
    </row>
    <row r="400" spans="1:256" x14ac:dyDescent="0.35">
      <c r="A400" s="1"/>
      <c r="B400" s="38" t="s">
        <v>91</v>
      </c>
      <c r="C400" s="43">
        <f>I366+I370</f>
        <v>4880000</v>
      </c>
      <c r="D400" s="47" t="s">
        <v>1035</v>
      </c>
      <c r="E400" s="61">
        <v>995531655644</v>
      </c>
      <c r="F400" s="44" t="s">
        <v>251</v>
      </c>
      <c r="G400" s="46">
        <v>4880000</v>
      </c>
      <c r="H400" s="60">
        <f t="shared" si="629"/>
        <v>0</v>
      </c>
      <c r="J400" s="38" t="s">
        <v>91</v>
      </c>
      <c r="K400" s="45">
        <f>I369</f>
        <v>122000</v>
      </c>
      <c r="L400" s="47" t="s">
        <v>1235</v>
      </c>
      <c r="M400" s="61">
        <v>991761049999</v>
      </c>
      <c r="N400" s="44" t="s">
        <v>254</v>
      </c>
      <c r="O400" s="46">
        <v>122000</v>
      </c>
      <c r="P400" s="39">
        <f t="shared" si="630"/>
        <v>0</v>
      </c>
    </row>
    <row r="401" spans="1:16" x14ac:dyDescent="0.35">
      <c r="A401" s="1"/>
      <c r="B401" s="38" t="s">
        <v>92</v>
      </c>
      <c r="C401" s="43">
        <f>J366+J370</f>
        <v>5180000</v>
      </c>
      <c r="D401" s="47" t="s">
        <v>1234</v>
      </c>
      <c r="E401" s="61">
        <v>995531713611</v>
      </c>
      <c r="F401" s="44" t="s">
        <v>251</v>
      </c>
      <c r="G401" s="46">
        <v>5180000</v>
      </c>
      <c r="H401" s="60">
        <f t="shared" si="629"/>
        <v>0</v>
      </c>
      <c r="J401" s="38" t="s">
        <v>92</v>
      </c>
      <c r="K401" s="45">
        <f>J369</f>
        <v>129500</v>
      </c>
      <c r="L401" s="47" t="s">
        <v>1233</v>
      </c>
      <c r="M401" s="61">
        <v>991761073344</v>
      </c>
      <c r="N401" s="44" t="s">
        <v>1574</v>
      </c>
      <c r="O401" s="46">
        <v>129500</v>
      </c>
      <c r="P401" s="39">
        <f t="shared" si="630"/>
        <v>0</v>
      </c>
    </row>
    <row r="402" spans="1:16" x14ac:dyDescent="0.35">
      <c r="A402" s="1"/>
      <c r="B402" s="38" t="s">
        <v>93</v>
      </c>
      <c r="C402" s="43">
        <f>K366+K370</f>
        <v>5060000</v>
      </c>
      <c r="D402" s="47" t="s">
        <v>1398</v>
      </c>
      <c r="E402" s="61">
        <v>995531759113</v>
      </c>
      <c r="F402" s="44" t="s">
        <v>251</v>
      </c>
      <c r="G402" s="46">
        <v>5060000</v>
      </c>
      <c r="H402" s="60">
        <f t="shared" si="629"/>
        <v>0</v>
      </c>
      <c r="J402" s="38" t="s">
        <v>93</v>
      </c>
      <c r="K402" s="45">
        <f>K369</f>
        <v>126500</v>
      </c>
      <c r="L402" s="47" t="s">
        <v>1243</v>
      </c>
      <c r="M402" s="63">
        <v>991761091531</v>
      </c>
      <c r="N402" s="44" t="s">
        <v>1574</v>
      </c>
      <c r="O402" s="46">
        <v>126500</v>
      </c>
      <c r="P402" s="39">
        <f t="shared" si="630"/>
        <v>0</v>
      </c>
    </row>
    <row r="403" spans="1:16" x14ac:dyDescent="0.35">
      <c r="A403" s="1"/>
      <c r="B403" s="38" t="s">
        <v>94</v>
      </c>
      <c r="C403" s="43">
        <f>L366+L370</f>
        <v>4940000</v>
      </c>
      <c r="D403" s="47" t="s">
        <v>1494</v>
      </c>
      <c r="E403" s="61">
        <v>995531812682</v>
      </c>
      <c r="F403" s="44" t="s">
        <v>1495</v>
      </c>
      <c r="G403" s="46">
        <v>4940000</v>
      </c>
      <c r="H403" s="60">
        <f t="shared" si="629"/>
        <v>0</v>
      </c>
      <c r="J403" s="38" t="s">
        <v>94</v>
      </c>
      <c r="K403" s="45">
        <f>L369</f>
        <v>123500</v>
      </c>
      <c r="L403" s="47" t="s">
        <v>1399</v>
      </c>
      <c r="M403" s="47" t="s">
        <v>1401</v>
      </c>
      <c r="N403" s="44" t="s">
        <v>1574</v>
      </c>
      <c r="O403" s="46">
        <v>123500</v>
      </c>
      <c r="P403" s="39">
        <f t="shared" si="630"/>
        <v>0</v>
      </c>
    </row>
    <row r="404" spans="1:16" x14ac:dyDescent="0.35">
      <c r="A404" s="1"/>
      <c r="B404" s="38" t="s">
        <v>95</v>
      </c>
      <c r="C404" s="43">
        <f>M366+M370</f>
        <v>4940000</v>
      </c>
      <c r="D404" s="47" t="s">
        <v>1727</v>
      </c>
      <c r="E404" s="61">
        <v>995531867320</v>
      </c>
      <c r="F404" s="44" t="s">
        <v>251</v>
      </c>
      <c r="G404" s="46">
        <v>4940000</v>
      </c>
      <c r="H404" s="60">
        <f t="shared" si="629"/>
        <v>0</v>
      </c>
      <c r="J404" s="38" t="s">
        <v>95</v>
      </c>
      <c r="K404" s="45">
        <f>M369</f>
        <v>123500</v>
      </c>
      <c r="L404" s="47" t="s">
        <v>1573</v>
      </c>
      <c r="M404" s="47" t="s">
        <v>1572</v>
      </c>
      <c r="N404" s="44" t="s">
        <v>1574</v>
      </c>
      <c r="O404" s="46">
        <v>123500</v>
      </c>
      <c r="P404" s="39">
        <f t="shared" si="630"/>
        <v>0</v>
      </c>
    </row>
    <row r="405" spans="1:16" x14ac:dyDescent="0.35">
      <c r="A405" s="1"/>
      <c r="B405" s="38" t="s">
        <v>96</v>
      </c>
      <c r="C405" s="64">
        <f>N366+N370</f>
        <v>4880000</v>
      </c>
      <c r="D405" s="65" t="s">
        <v>1740</v>
      </c>
      <c r="E405" s="66">
        <v>995531916584</v>
      </c>
      <c r="F405" s="44" t="s">
        <v>251</v>
      </c>
      <c r="G405" s="67">
        <v>4880000</v>
      </c>
      <c r="H405" s="60">
        <f t="shared" si="629"/>
        <v>0</v>
      </c>
      <c r="J405" s="38" t="s">
        <v>96</v>
      </c>
      <c r="K405" s="45">
        <f>N369</f>
        <v>122000</v>
      </c>
      <c r="L405" s="47" t="s">
        <v>1734</v>
      </c>
      <c r="M405" s="63">
        <v>991761149061</v>
      </c>
      <c r="N405" s="44" t="s">
        <v>1574</v>
      </c>
      <c r="O405" s="46">
        <v>122000</v>
      </c>
      <c r="P405" s="39">
        <f t="shared" si="630"/>
        <v>0</v>
      </c>
    </row>
    <row r="406" spans="1:16" ht="15" thickBot="1" x14ac:dyDescent="0.4">
      <c r="A406" s="1"/>
      <c r="B406" s="48"/>
      <c r="C406" s="50"/>
      <c r="D406" s="50"/>
      <c r="E406" s="50"/>
      <c r="F406" s="51"/>
      <c r="G406" s="51"/>
      <c r="H406" s="51"/>
      <c r="J406" s="48"/>
      <c r="K406" s="49"/>
      <c r="L406" s="50"/>
      <c r="M406" s="50"/>
      <c r="N406" s="51"/>
      <c r="O406" s="51"/>
      <c r="P406" s="52"/>
    </row>
    <row r="407" spans="1:16" ht="15" thickBot="1" x14ac:dyDescent="0.4">
      <c r="A407" s="1"/>
      <c r="B407" s="54" t="s">
        <v>13</v>
      </c>
      <c r="C407" s="56">
        <f>SUM(C394:C405)</f>
        <v>57420000</v>
      </c>
      <c r="D407" s="56"/>
      <c r="E407" s="56"/>
      <c r="F407" s="57"/>
      <c r="G407" s="56">
        <f>SUM(G394:G405)</f>
        <v>57420000</v>
      </c>
      <c r="H407" s="68">
        <f>SUM(H394:H405)</f>
        <v>0</v>
      </c>
      <c r="J407" s="54" t="s">
        <v>13</v>
      </c>
      <c r="K407" s="55">
        <f>SUM(K394:K405)</f>
        <v>1435500</v>
      </c>
      <c r="L407" s="56"/>
      <c r="M407" s="56"/>
      <c r="N407" s="57"/>
      <c r="O407" s="56">
        <f>SUM(O394:O405)</f>
        <v>1435500</v>
      </c>
      <c r="P407" s="69">
        <f>SUM(P394:P405)</f>
        <v>0</v>
      </c>
    </row>
    <row r="408" spans="1:16" x14ac:dyDescent="0.35">
      <c r="A408" s="1"/>
      <c r="J408" s="4"/>
      <c r="K408" s="4"/>
      <c r="L408" s="4"/>
      <c r="M408" s="4"/>
    </row>
    <row r="472" spans="3:4" x14ac:dyDescent="0.35">
      <c r="D472" s="4" t="s">
        <v>97</v>
      </c>
    </row>
    <row r="473" spans="3:4" x14ac:dyDescent="0.35">
      <c r="C473" s="4" t="s">
        <v>98</v>
      </c>
      <c r="D473" s="4" t="s">
        <v>99</v>
      </c>
    </row>
    <row r="474" spans="3:4" x14ac:dyDescent="0.35">
      <c r="C474" s="4" t="s">
        <v>100</v>
      </c>
      <c r="D474" s="4" t="s">
        <v>101</v>
      </c>
    </row>
  </sheetData>
  <mergeCells count="6">
    <mergeCell ref="D2:M2"/>
    <mergeCell ref="B3:O3"/>
    <mergeCell ref="D373:G373"/>
    <mergeCell ref="L373:O373"/>
    <mergeCell ref="D392:G392"/>
    <mergeCell ref="L392:O3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E5BA-1644-43B3-ABC6-18F30669193E}">
  <dimension ref="A3:H7497"/>
  <sheetViews>
    <sheetView topLeftCell="A7476" zoomScaleNormal="100" workbookViewId="0">
      <selection activeCell="F7486" sqref="F7486"/>
    </sheetView>
  </sheetViews>
  <sheetFormatPr defaultRowHeight="14.5" x14ac:dyDescent="0.35"/>
  <cols>
    <col min="1" max="1" width="10.1796875" bestFit="1" customWidth="1"/>
    <col min="2" max="2" width="33.08984375" bestFit="1" customWidth="1"/>
    <col min="3" max="3" width="46.90625" bestFit="1" customWidth="1"/>
    <col min="4" max="4" width="17.453125" bestFit="1" customWidth="1"/>
    <col min="5" max="5" width="22.6328125" bestFit="1" customWidth="1"/>
    <col min="6" max="6" width="14.81640625" style="120" bestFit="1" customWidth="1"/>
    <col min="7" max="7" width="10.1796875" bestFit="1" customWidth="1"/>
  </cols>
  <sheetData>
    <row r="3" spans="1:7" s="53" customFormat="1" ht="23.5" x14ac:dyDescent="0.55000000000000004">
      <c r="B3" s="227" t="s">
        <v>0</v>
      </c>
      <c r="C3" s="227"/>
      <c r="D3" s="227"/>
      <c r="E3" s="70"/>
      <c r="F3" s="176"/>
    </row>
    <row r="4" spans="1:7" s="53" customFormat="1" ht="20.5" x14ac:dyDescent="0.45">
      <c r="B4" s="71"/>
      <c r="C4" s="72" t="s">
        <v>131</v>
      </c>
      <c r="D4" s="73"/>
      <c r="F4" s="94"/>
    </row>
    <row r="5" spans="1:7" s="53" customFormat="1" ht="21" thickBot="1" x14ac:dyDescent="0.5">
      <c r="B5" s="71" t="s">
        <v>156</v>
      </c>
      <c r="C5" s="74" t="s">
        <v>103</v>
      </c>
      <c r="D5" s="73"/>
      <c r="F5" s="94"/>
    </row>
    <row r="6" spans="1:7" s="53" customFormat="1" ht="15" thickBot="1" x14ac:dyDescent="0.4">
      <c r="A6" s="75" t="s">
        <v>104</v>
      </c>
      <c r="B6" s="76" t="s">
        <v>81</v>
      </c>
      <c r="C6" s="76" t="s">
        <v>105</v>
      </c>
      <c r="D6" s="77" t="s">
        <v>84</v>
      </c>
      <c r="F6" s="94"/>
    </row>
    <row r="7" spans="1:7" s="53" customFormat="1" ht="14.5" customHeight="1" x14ac:dyDescent="0.35">
      <c r="A7" s="222" t="s">
        <v>86</v>
      </c>
      <c r="B7" s="78" t="s">
        <v>157</v>
      </c>
      <c r="C7" s="79" t="s">
        <v>106</v>
      </c>
      <c r="D7" s="80">
        <f>F14</f>
        <v>10520000</v>
      </c>
      <c r="F7" s="94"/>
    </row>
    <row r="8" spans="1:7" s="53" customFormat="1" ht="21" thickBot="1" x14ac:dyDescent="0.5">
      <c r="A8" s="223"/>
      <c r="B8" s="71"/>
      <c r="C8" s="71"/>
      <c r="D8" s="73"/>
      <c r="F8" s="94"/>
    </row>
    <row r="9" spans="1:7" s="53" customFormat="1" ht="15" thickBot="1" x14ac:dyDescent="0.4">
      <c r="A9" s="223"/>
      <c r="B9" s="81" t="s">
        <v>81</v>
      </c>
      <c r="C9" s="82" t="s">
        <v>107</v>
      </c>
      <c r="D9" s="83" t="s">
        <v>108</v>
      </c>
      <c r="F9" s="94"/>
    </row>
    <row r="10" spans="1:7" s="87" customFormat="1" x14ac:dyDescent="0.35">
      <c r="A10" s="231"/>
      <c r="B10" s="84" t="str">
        <f>B7</f>
        <v>02nd January,2025</v>
      </c>
      <c r="C10" s="85" t="s">
        <v>204</v>
      </c>
      <c r="D10" s="86">
        <f>2000*2770</f>
        <v>5540000</v>
      </c>
      <c r="F10" s="177"/>
    </row>
    <row r="11" spans="1:7" s="53" customFormat="1" x14ac:dyDescent="0.35">
      <c r="A11" s="231"/>
      <c r="B11" s="88"/>
      <c r="C11" s="89" t="s">
        <v>159</v>
      </c>
      <c r="D11" s="90">
        <f>299*2650</f>
        <v>792350</v>
      </c>
      <c r="F11" s="94"/>
    </row>
    <row r="12" spans="1:7" s="53" customFormat="1" x14ac:dyDescent="0.35">
      <c r="A12" s="231"/>
      <c r="B12" s="88" t="s">
        <v>109</v>
      </c>
      <c r="C12" s="89" t="s">
        <v>110</v>
      </c>
      <c r="D12" s="90">
        <v>1000000</v>
      </c>
      <c r="F12" s="94"/>
    </row>
    <row r="13" spans="1:7" s="53" customFormat="1" x14ac:dyDescent="0.35">
      <c r="A13" s="231"/>
      <c r="B13" s="88" t="s">
        <v>111</v>
      </c>
      <c r="C13" s="89" t="s">
        <v>112</v>
      </c>
      <c r="D13" s="90">
        <v>40000</v>
      </c>
      <c r="E13" s="225" t="s">
        <v>113</v>
      </c>
      <c r="F13" s="225"/>
    </row>
    <row r="14" spans="1:7" s="53" customFormat="1" x14ac:dyDescent="0.35">
      <c r="A14" s="231"/>
      <c r="B14" s="88" t="s">
        <v>114</v>
      </c>
      <c r="C14" s="89" t="s">
        <v>115</v>
      </c>
      <c r="D14" s="90">
        <f>250*120</f>
        <v>30000</v>
      </c>
      <c r="E14" s="91" t="s">
        <v>116</v>
      </c>
      <c r="F14" s="92">
        <f>4000*2630</f>
        <v>10520000</v>
      </c>
    </row>
    <row r="15" spans="1:7" s="53" customFormat="1" x14ac:dyDescent="0.35">
      <c r="A15" s="231"/>
      <c r="B15" s="88"/>
      <c r="C15" s="89" t="s">
        <v>117</v>
      </c>
      <c r="D15" s="90">
        <f>1500*120</f>
        <v>180000</v>
      </c>
      <c r="E15" s="93" t="s">
        <v>118</v>
      </c>
      <c r="F15" s="94">
        <f>(2400*2630)+(1435.06*2630)</f>
        <v>10086207.800000001</v>
      </c>
    </row>
    <row r="16" spans="1:7" s="53" customFormat="1" ht="15" thickBot="1" x14ac:dyDescent="0.4">
      <c r="A16" s="231"/>
      <c r="B16" s="88" t="s">
        <v>119</v>
      </c>
      <c r="C16" s="89" t="s">
        <v>120</v>
      </c>
      <c r="D16" s="95">
        <v>30000</v>
      </c>
      <c r="E16" s="96" t="s">
        <v>121</v>
      </c>
      <c r="F16" s="97">
        <f>F14-F15</f>
        <v>433792.19999999925</v>
      </c>
      <c r="G16" s="98">
        <f>F16/2630</f>
        <v>164.93999999999971</v>
      </c>
    </row>
    <row r="17" spans="1:6" s="53" customFormat="1" ht="15" thickTop="1" x14ac:dyDescent="0.35">
      <c r="A17" s="231"/>
      <c r="B17" s="88"/>
      <c r="C17" s="89" t="s">
        <v>126</v>
      </c>
      <c r="D17" s="95">
        <v>30000</v>
      </c>
      <c r="F17" s="94"/>
    </row>
    <row r="18" spans="1:6" s="53" customFormat="1" x14ac:dyDescent="0.35">
      <c r="A18" s="231"/>
      <c r="B18" s="88" t="s">
        <v>155</v>
      </c>
      <c r="C18" s="99" t="s">
        <v>123</v>
      </c>
      <c r="D18" s="90">
        <v>15000</v>
      </c>
      <c r="E18" s="91" t="s">
        <v>124</v>
      </c>
      <c r="F18" s="92"/>
    </row>
    <row r="19" spans="1:6" s="53" customFormat="1" x14ac:dyDescent="0.35">
      <c r="A19" s="231"/>
      <c r="B19" s="101"/>
      <c r="C19" s="99" t="s">
        <v>125</v>
      </c>
      <c r="D19" s="100">
        <v>10000</v>
      </c>
      <c r="E19" s="102"/>
      <c r="F19" s="103"/>
    </row>
    <row r="20" spans="1:6" s="53" customFormat="1" x14ac:dyDescent="0.35">
      <c r="A20" s="231"/>
      <c r="B20" s="101"/>
      <c r="C20" s="89" t="s">
        <v>128</v>
      </c>
      <c r="D20" s="100">
        <f>100*120</f>
        <v>12000</v>
      </c>
      <c r="E20" s="102" t="s">
        <v>127</v>
      </c>
      <c r="F20" s="103"/>
    </row>
    <row r="21" spans="1:6" s="53" customFormat="1" x14ac:dyDescent="0.35">
      <c r="A21" s="231"/>
      <c r="B21" s="101"/>
      <c r="C21" s="89"/>
      <c r="D21" s="104"/>
      <c r="E21" s="102" t="s">
        <v>197</v>
      </c>
      <c r="F21" s="103"/>
    </row>
    <row r="22" spans="1:6" s="53" customFormat="1" ht="15" thickBot="1" x14ac:dyDescent="0.4">
      <c r="A22" s="231"/>
      <c r="B22" s="105"/>
      <c r="C22" s="106"/>
      <c r="D22" s="107"/>
      <c r="E22" s="53" t="s">
        <v>479</v>
      </c>
      <c r="F22" s="94"/>
    </row>
    <row r="23" spans="1:6" s="53" customFormat="1" ht="15" thickBot="1" x14ac:dyDescent="0.4">
      <c r="A23" s="223"/>
      <c r="B23" s="108"/>
      <c r="C23" s="109" t="s">
        <v>129</v>
      </c>
      <c r="D23" s="110">
        <f>SUM(D10:D22)</f>
        <v>7679350</v>
      </c>
      <c r="F23" s="94"/>
    </row>
    <row r="24" spans="1:6" s="53" customFormat="1" ht="15" thickTop="1" x14ac:dyDescent="0.35">
      <c r="A24" s="223"/>
      <c r="B24" s="226"/>
      <c r="C24" s="226"/>
      <c r="D24" s="226"/>
      <c r="F24" s="94"/>
    </row>
    <row r="25" spans="1:6" s="53" customFormat="1" x14ac:dyDescent="0.35">
      <c r="B25" s="87"/>
      <c r="C25" s="53" t="s">
        <v>130</v>
      </c>
      <c r="D25" s="111">
        <f>D7-D23</f>
        <v>2840650</v>
      </c>
      <c r="F25" s="94"/>
    </row>
    <row r="26" spans="1:6" s="53" customFormat="1" x14ac:dyDescent="0.35">
      <c r="B26" s="87"/>
      <c r="D26" s="111"/>
      <c r="F26" s="94"/>
    </row>
    <row r="27" spans="1:6" s="53" customFormat="1" x14ac:dyDescent="0.35">
      <c r="A27" s="112"/>
      <c r="B27" s="113"/>
      <c r="C27" s="112"/>
      <c r="D27" s="114"/>
      <c r="E27" s="112"/>
      <c r="F27" s="178"/>
    </row>
    <row r="30" spans="1:6" s="53" customFormat="1" ht="23.5" x14ac:dyDescent="0.55000000000000004">
      <c r="B30" s="227" t="s">
        <v>0</v>
      </c>
      <c r="C30" s="227"/>
      <c r="D30" s="227"/>
      <c r="E30" s="70"/>
      <c r="F30" s="176"/>
    </row>
    <row r="31" spans="1:6" s="53" customFormat="1" ht="20.5" x14ac:dyDescent="0.45">
      <c r="B31" s="71"/>
      <c r="C31" s="72" t="s">
        <v>162</v>
      </c>
      <c r="D31" s="73"/>
      <c r="F31" s="94"/>
    </row>
    <row r="32" spans="1:6" s="53" customFormat="1" ht="21" thickBot="1" x14ac:dyDescent="0.5">
      <c r="B32" s="71" t="s">
        <v>163</v>
      </c>
      <c r="C32" s="74" t="s">
        <v>103</v>
      </c>
      <c r="D32" s="73"/>
      <c r="F32" s="94"/>
    </row>
    <row r="33" spans="1:7" s="53" customFormat="1" ht="15" thickBot="1" x14ac:dyDescent="0.4">
      <c r="A33" s="75" t="s">
        <v>104</v>
      </c>
      <c r="B33" s="76" t="s">
        <v>81</v>
      </c>
      <c r="C33" s="76" t="s">
        <v>105</v>
      </c>
      <c r="D33" s="77" t="s">
        <v>84</v>
      </c>
      <c r="F33" s="94"/>
    </row>
    <row r="34" spans="1:7" s="53" customFormat="1" ht="14.5" customHeight="1" x14ac:dyDescent="0.35">
      <c r="A34" s="222" t="s">
        <v>86</v>
      </c>
      <c r="B34" s="78" t="s">
        <v>157</v>
      </c>
      <c r="C34" s="79" t="s">
        <v>106</v>
      </c>
      <c r="D34" s="80">
        <f>F41</f>
        <v>10520000</v>
      </c>
      <c r="F34" s="94"/>
    </row>
    <row r="35" spans="1:7" s="53" customFormat="1" ht="21" thickBot="1" x14ac:dyDescent="0.5">
      <c r="A35" s="223"/>
      <c r="B35" s="71"/>
      <c r="C35" s="71"/>
      <c r="D35" s="73"/>
      <c r="F35" s="94"/>
    </row>
    <row r="36" spans="1:7" s="53" customFormat="1" ht="15" thickBot="1" x14ac:dyDescent="0.4">
      <c r="A36" s="223"/>
      <c r="B36" s="81" t="s">
        <v>81</v>
      </c>
      <c r="C36" s="82" t="s">
        <v>107</v>
      </c>
      <c r="D36" s="83" t="s">
        <v>108</v>
      </c>
      <c r="F36" s="94"/>
    </row>
    <row r="37" spans="1:7" s="87" customFormat="1" x14ac:dyDescent="0.35">
      <c r="A37" s="231"/>
      <c r="B37" s="84" t="str">
        <f>B34</f>
        <v>02nd January,2025</v>
      </c>
      <c r="C37" s="85" t="s">
        <v>204</v>
      </c>
      <c r="D37" s="86">
        <f>2000*2770</f>
        <v>5540000</v>
      </c>
      <c r="F37" s="177"/>
    </row>
    <row r="38" spans="1:7" s="53" customFormat="1" x14ac:dyDescent="0.35">
      <c r="A38" s="231"/>
      <c r="B38" s="88"/>
      <c r="C38" s="89" t="s">
        <v>159</v>
      </c>
      <c r="D38" s="90">
        <f>299*2650</f>
        <v>792350</v>
      </c>
      <c r="F38" s="94"/>
    </row>
    <row r="39" spans="1:7" s="53" customFormat="1" x14ac:dyDescent="0.35">
      <c r="A39" s="231"/>
      <c r="B39" s="88" t="s">
        <v>109</v>
      </c>
      <c r="C39" s="89" t="s">
        <v>110</v>
      </c>
      <c r="D39" s="90">
        <v>1000000</v>
      </c>
      <c r="F39" s="94"/>
    </row>
    <row r="40" spans="1:7" s="53" customFormat="1" x14ac:dyDescent="0.35">
      <c r="A40" s="231"/>
      <c r="B40" s="88" t="s">
        <v>111</v>
      </c>
      <c r="C40" s="89" t="s">
        <v>112</v>
      </c>
      <c r="D40" s="90">
        <v>40000</v>
      </c>
      <c r="E40" s="225" t="s">
        <v>113</v>
      </c>
      <c r="F40" s="225"/>
    </row>
    <row r="41" spans="1:7" s="53" customFormat="1" x14ac:dyDescent="0.35">
      <c r="A41" s="231"/>
      <c r="B41" s="88" t="s">
        <v>114</v>
      </c>
      <c r="C41" s="89" t="s">
        <v>115</v>
      </c>
      <c r="D41" s="90">
        <f>250*120</f>
        <v>30000</v>
      </c>
      <c r="E41" s="91" t="s">
        <v>116</v>
      </c>
      <c r="F41" s="92">
        <f>4000*2630</f>
        <v>10520000</v>
      </c>
    </row>
    <row r="42" spans="1:7" s="53" customFormat="1" x14ac:dyDescent="0.35">
      <c r="A42" s="231"/>
      <c r="B42" s="88"/>
      <c r="C42" s="89" t="s">
        <v>117</v>
      </c>
      <c r="D42" s="90">
        <f>1500*120</f>
        <v>180000</v>
      </c>
      <c r="E42" s="93" t="s">
        <v>118</v>
      </c>
      <c r="F42" s="94">
        <f>(2400*2630)+(1560*2630)</f>
        <v>10414800</v>
      </c>
    </row>
    <row r="43" spans="1:7" s="53" customFormat="1" ht="15" thickBot="1" x14ac:dyDescent="0.4">
      <c r="A43" s="231"/>
      <c r="B43" s="88" t="s">
        <v>119</v>
      </c>
      <c r="C43" s="89" t="s">
        <v>120</v>
      </c>
      <c r="D43" s="95">
        <v>30000</v>
      </c>
      <c r="E43" s="96" t="s">
        <v>121</v>
      </c>
      <c r="F43" s="97">
        <f>F41-F42</f>
        <v>105200</v>
      </c>
      <c r="G43" s="98">
        <f>F43/2630</f>
        <v>40</v>
      </c>
    </row>
    <row r="44" spans="1:7" s="53" customFormat="1" ht="15" thickTop="1" x14ac:dyDescent="0.35">
      <c r="A44" s="231"/>
      <c r="B44" s="88"/>
      <c r="C44" s="89" t="s">
        <v>122</v>
      </c>
      <c r="D44" s="90">
        <v>140000</v>
      </c>
      <c r="F44" s="94"/>
    </row>
    <row r="45" spans="1:7" s="53" customFormat="1" x14ac:dyDescent="0.35">
      <c r="A45" s="231"/>
      <c r="B45" s="88" t="s">
        <v>161</v>
      </c>
      <c r="C45" s="99" t="s">
        <v>123</v>
      </c>
      <c r="D45" s="90">
        <v>15000</v>
      </c>
      <c r="E45" s="91" t="s">
        <v>124</v>
      </c>
      <c r="F45" s="92"/>
    </row>
    <row r="46" spans="1:7" s="53" customFormat="1" x14ac:dyDescent="0.35">
      <c r="A46" s="231"/>
      <c r="B46" s="101"/>
      <c r="C46" s="99" t="s">
        <v>125</v>
      </c>
      <c r="D46" s="100">
        <v>30000</v>
      </c>
      <c r="E46" s="102"/>
      <c r="F46" s="103"/>
    </row>
    <row r="47" spans="1:7" s="53" customFormat="1" x14ac:dyDescent="0.35">
      <c r="A47" s="231"/>
      <c r="B47" s="101"/>
      <c r="C47" s="99" t="s">
        <v>126</v>
      </c>
      <c r="D47" s="100">
        <v>30000</v>
      </c>
      <c r="E47" s="102" t="s">
        <v>127</v>
      </c>
      <c r="F47" s="103"/>
    </row>
    <row r="48" spans="1:7" s="53" customFormat="1" x14ac:dyDescent="0.35">
      <c r="A48" s="231"/>
      <c r="B48" s="101"/>
      <c r="C48" s="89" t="s">
        <v>128</v>
      </c>
      <c r="D48" s="104">
        <f>200*120</f>
        <v>24000</v>
      </c>
      <c r="E48" s="102" t="s">
        <v>197</v>
      </c>
      <c r="F48" s="103"/>
    </row>
    <row r="49" spans="1:6" s="53" customFormat="1" ht="15" thickBot="1" x14ac:dyDescent="0.4">
      <c r="A49" s="231"/>
      <c r="B49" s="105"/>
      <c r="C49" s="106"/>
      <c r="D49" s="107"/>
      <c r="E49" s="53" t="s">
        <v>480</v>
      </c>
      <c r="F49" s="94"/>
    </row>
    <row r="50" spans="1:6" s="53" customFormat="1" ht="15" thickBot="1" x14ac:dyDescent="0.4">
      <c r="A50" s="223"/>
      <c r="B50" s="108"/>
      <c r="C50" s="109" t="s">
        <v>129</v>
      </c>
      <c r="D50" s="110">
        <f>SUM(D37:D49)</f>
        <v>7851350</v>
      </c>
      <c r="F50" s="94"/>
    </row>
    <row r="51" spans="1:6" s="53" customFormat="1" ht="15" thickTop="1" x14ac:dyDescent="0.35">
      <c r="A51" s="223"/>
      <c r="B51" s="226"/>
      <c r="C51" s="226"/>
      <c r="D51" s="226"/>
      <c r="F51" s="94"/>
    </row>
    <row r="52" spans="1:6" s="53" customFormat="1" x14ac:dyDescent="0.35">
      <c r="B52" s="87"/>
      <c r="C52" s="53" t="s">
        <v>130</v>
      </c>
      <c r="D52" s="111">
        <f>D34-D50</f>
        <v>2668650</v>
      </c>
      <c r="F52" s="94"/>
    </row>
    <row r="53" spans="1:6" s="53" customFormat="1" x14ac:dyDescent="0.35">
      <c r="B53" s="87"/>
      <c r="D53" s="111"/>
      <c r="F53" s="94"/>
    </row>
    <row r="54" spans="1:6" s="53" customFormat="1" x14ac:dyDescent="0.35">
      <c r="A54" s="112"/>
      <c r="B54" s="113"/>
      <c r="C54" s="112"/>
      <c r="D54" s="114"/>
      <c r="E54" s="112"/>
      <c r="F54" s="178"/>
    </row>
    <row r="56" spans="1:6" s="53" customFormat="1" ht="23.5" x14ac:dyDescent="0.55000000000000004">
      <c r="B56" s="227" t="s">
        <v>0</v>
      </c>
      <c r="C56" s="227"/>
      <c r="D56" s="227"/>
      <c r="E56" s="70"/>
      <c r="F56" s="176"/>
    </row>
    <row r="57" spans="1:6" s="53" customFormat="1" ht="20.5" x14ac:dyDescent="0.45">
      <c r="B57" s="71"/>
      <c r="C57" s="72" t="s">
        <v>166</v>
      </c>
      <c r="D57" s="73"/>
      <c r="F57" s="94"/>
    </row>
    <row r="58" spans="1:6" s="53" customFormat="1" ht="21" thickBot="1" x14ac:dyDescent="0.5">
      <c r="B58" s="71" t="s">
        <v>167</v>
      </c>
      <c r="C58" s="74" t="s">
        <v>103</v>
      </c>
      <c r="D58" s="73"/>
      <c r="F58" s="94"/>
    </row>
    <row r="59" spans="1:6" s="53" customFormat="1" ht="15" thickBot="1" x14ac:dyDescent="0.4">
      <c r="A59" s="75" t="s">
        <v>104</v>
      </c>
      <c r="B59" s="76" t="s">
        <v>81</v>
      </c>
      <c r="C59" s="76" t="s">
        <v>105</v>
      </c>
      <c r="D59" s="77" t="s">
        <v>84</v>
      </c>
      <c r="F59" s="94"/>
    </row>
    <row r="60" spans="1:6" s="53" customFormat="1" ht="14.5" customHeight="1" x14ac:dyDescent="0.35">
      <c r="A60" s="222" t="s">
        <v>86</v>
      </c>
      <c r="B60" s="78" t="s">
        <v>168</v>
      </c>
      <c r="C60" s="79" t="s">
        <v>106</v>
      </c>
      <c r="D60" s="80">
        <f>F67</f>
        <v>10520000</v>
      </c>
      <c r="F60" s="94"/>
    </row>
    <row r="61" spans="1:6" s="53" customFormat="1" ht="21" thickBot="1" x14ac:dyDescent="0.5">
      <c r="A61" s="223"/>
      <c r="B61" s="71"/>
      <c r="C61" s="71"/>
      <c r="D61" s="73"/>
      <c r="F61" s="94"/>
    </row>
    <row r="62" spans="1:6" s="53" customFormat="1" ht="15" thickBot="1" x14ac:dyDescent="0.4">
      <c r="A62" s="223"/>
      <c r="B62" s="81" t="s">
        <v>81</v>
      </c>
      <c r="C62" s="82" t="s">
        <v>107</v>
      </c>
      <c r="D62" s="83" t="s">
        <v>108</v>
      </c>
      <c r="F62" s="94"/>
    </row>
    <row r="63" spans="1:6" s="87" customFormat="1" x14ac:dyDescent="0.35">
      <c r="A63" s="231"/>
      <c r="B63" s="84" t="str">
        <f>B60</f>
        <v>04th January,2025</v>
      </c>
      <c r="C63" s="85" t="s">
        <v>204</v>
      </c>
      <c r="D63" s="86">
        <f>2000*2770</f>
        <v>5540000</v>
      </c>
      <c r="F63" s="177"/>
    </row>
    <row r="64" spans="1:6" s="53" customFormat="1" x14ac:dyDescent="0.35">
      <c r="A64" s="231"/>
      <c r="B64" s="88"/>
      <c r="C64" s="89" t="s">
        <v>159</v>
      </c>
      <c r="D64" s="90">
        <f>299*2650</f>
        <v>792350</v>
      </c>
      <c r="F64" s="94"/>
    </row>
    <row r="65" spans="1:7" s="53" customFormat="1" x14ac:dyDescent="0.35">
      <c r="A65" s="231"/>
      <c r="B65" s="88" t="s">
        <v>109</v>
      </c>
      <c r="C65" s="89" t="s">
        <v>110</v>
      </c>
      <c r="D65" s="90">
        <v>1000000</v>
      </c>
      <c r="F65" s="94"/>
    </row>
    <row r="66" spans="1:7" s="53" customFormat="1" x14ac:dyDescent="0.35">
      <c r="A66" s="231"/>
      <c r="B66" s="88" t="s">
        <v>111</v>
      </c>
      <c r="C66" s="89" t="s">
        <v>112</v>
      </c>
      <c r="D66" s="90">
        <v>40000</v>
      </c>
      <c r="E66" s="225" t="s">
        <v>113</v>
      </c>
      <c r="F66" s="225"/>
    </row>
    <row r="67" spans="1:7" s="53" customFormat="1" x14ac:dyDescent="0.35">
      <c r="A67" s="231"/>
      <c r="B67" s="88" t="s">
        <v>114</v>
      </c>
      <c r="C67" s="89" t="s">
        <v>115</v>
      </c>
      <c r="D67" s="90">
        <f>250*120</f>
        <v>30000</v>
      </c>
      <c r="E67" s="91" t="s">
        <v>116</v>
      </c>
      <c r="F67" s="92">
        <f>4000*2630</f>
        <v>10520000</v>
      </c>
    </row>
    <row r="68" spans="1:7" s="53" customFormat="1" x14ac:dyDescent="0.35">
      <c r="A68" s="231"/>
      <c r="B68" s="88"/>
      <c r="C68" s="89" t="s">
        <v>117</v>
      </c>
      <c r="D68" s="90">
        <f>1500*120</f>
        <v>180000</v>
      </c>
      <c r="E68" s="93" t="s">
        <v>118</v>
      </c>
      <c r="F68" s="94">
        <f>(2400*2630)+(1600*2630)</f>
        <v>10520000</v>
      </c>
    </row>
    <row r="69" spans="1:7" s="53" customFormat="1" ht="15" thickBot="1" x14ac:dyDescent="0.4">
      <c r="A69" s="231"/>
      <c r="B69" s="88" t="s">
        <v>119</v>
      </c>
      <c r="C69" s="89" t="s">
        <v>120</v>
      </c>
      <c r="D69" s="95">
        <v>30000</v>
      </c>
      <c r="E69" s="96" t="s">
        <v>121</v>
      </c>
      <c r="F69" s="97">
        <f>F67-F68</f>
        <v>0</v>
      </c>
      <c r="G69" s="98">
        <f>F69/2630</f>
        <v>0</v>
      </c>
    </row>
    <row r="70" spans="1:7" s="53" customFormat="1" ht="15" thickTop="1" x14ac:dyDescent="0.35">
      <c r="A70" s="231"/>
      <c r="B70" s="88"/>
      <c r="C70" s="89" t="s">
        <v>122</v>
      </c>
      <c r="D70" s="90">
        <v>140000</v>
      </c>
      <c r="F70" s="94"/>
    </row>
    <row r="71" spans="1:7" s="53" customFormat="1" x14ac:dyDescent="0.35">
      <c r="A71" s="231"/>
      <c r="B71" s="88" t="s">
        <v>165</v>
      </c>
      <c r="C71" s="99" t="s">
        <v>123</v>
      </c>
      <c r="D71" s="100">
        <v>15000</v>
      </c>
      <c r="E71" s="91" t="s">
        <v>124</v>
      </c>
      <c r="F71" s="92"/>
    </row>
    <row r="72" spans="1:7" s="53" customFormat="1" x14ac:dyDescent="0.35">
      <c r="A72" s="231"/>
      <c r="B72" s="101"/>
      <c r="C72" s="99" t="s">
        <v>125</v>
      </c>
      <c r="D72" s="100">
        <v>10000</v>
      </c>
      <c r="E72" s="102"/>
      <c r="F72" s="103"/>
    </row>
    <row r="73" spans="1:7" s="53" customFormat="1" x14ac:dyDescent="0.35">
      <c r="A73" s="231"/>
      <c r="B73" s="101"/>
      <c r="C73" s="99" t="s">
        <v>126</v>
      </c>
      <c r="D73" s="100">
        <v>40000</v>
      </c>
      <c r="E73" s="102" t="s">
        <v>127</v>
      </c>
      <c r="F73" s="103"/>
    </row>
    <row r="74" spans="1:7" s="53" customFormat="1" x14ac:dyDescent="0.35">
      <c r="A74" s="231"/>
      <c r="B74" s="101"/>
      <c r="C74" s="89" t="s">
        <v>128</v>
      </c>
      <c r="D74" s="104">
        <f>100*120</f>
        <v>12000</v>
      </c>
      <c r="E74" s="102" t="s">
        <v>198</v>
      </c>
      <c r="F74" s="103"/>
    </row>
    <row r="75" spans="1:7" s="53" customFormat="1" ht="15" thickBot="1" x14ac:dyDescent="0.4">
      <c r="A75" s="231"/>
      <c r="B75" s="105"/>
      <c r="C75" s="106"/>
      <c r="D75" s="107"/>
      <c r="E75" s="53" t="s">
        <v>431</v>
      </c>
      <c r="F75" s="94"/>
    </row>
    <row r="76" spans="1:7" s="53" customFormat="1" ht="15" thickBot="1" x14ac:dyDescent="0.4">
      <c r="A76" s="223"/>
      <c r="B76" s="108"/>
      <c r="C76" s="109" t="s">
        <v>129</v>
      </c>
      <c r="D76" s="110">
        <f>SUM(D63:D75)</f>
        <v>7829350</v>
      </c>
      <c r="F76" s="94"/>
    </row>
    <row r="77" spans="1:7" s="53" customFormat="1" ht="15" thickTop="1" x14ac:dyDescent="0.35">
      <c r="A77" s="223"/>
      <c r="B77" s="226"/>
      <c r="C77" s="226"/>
      <c r="D77" s="226"/>
      <c r="F77" s="94"/>
    </row>
    <row r="78" spans="1:7" s="53" customFormat="1" x14ac:dyDescent="0.35">
      <c r="B78" s="87"/>
      <c r="C78" s="53" t="s">
        <v>130</v>
      </c>
      <c r="D78" s="111">
        <f>D60-D76</f>
        <v>2690650</v>
      </c>
      <c r="F78" s="94"/>
    </row>
    <row r="79" spans="1:7" s="53" customFormat="1" x14ac:dyDescent="0.35">
      <c r="B79" s="87"/>
      <c r="D79" s="111"/>
      <c r="F79" s="94"/>
    </row>
    <row r="80" spans="1:7" s="53" customFormat="1" x14ac:dyDescent="0.35">
      <c r="A80" s="112"/>
      <c r="B80" s="113"/>
      <c r="C80" s="112"/>
      <c r="D80" s="114"/>
      <c r="E80" s="112"/>
      <c r="F80" s="178"/>
    </row>
    <row r="83" spans="1:7" s="53" customFormat="1" ht="23.5" x14ac:dyDescent="0.55000000000000004">
      <c r="B83" s="227" t="s">
        <v>0</v>
      </c>
      <c r="C83" s="227"/>
      <c r="D83" s="227"/>
      <c r="E83" s="70"/>
      <c r="F83" s="176"/>
    </row>
    <row r="84" spans="1:7" s="53" customFormat="1" ht="20.5" x14ac:dyDescent="0.45">
      <c r="B84" s="71"/>
      <c r="C84" s="72" t="s">
        <v>172</v>
      </c>
      <c r="D84" s="73"/>
      <c r="F84" s="94"/>
    </row>
    <row r="85" spans="1:7" s="53" customFormat="1" ht="21" thickBot="1" x14ac:dyDescent="0.5">
      <c r="B85" s="71" t="s">
        <v>173</v>
      </c>
      <c r="C85" s="74" t="s">
        <v>103</v>
      </c>
      <c r="D85" s="73"/>
      <c r="F85" s="94"/>
    </row>
    <row r="86" spans="1:7" s="53" customFormat="1" ht="15" thickBot="1" x14ac:dyDescent="0.4">
      <c r="A86" s="75" t="s">
        <v>104</v>
      </c>
      <c r="B86" s="76" t="s">
        <v>81</v>
      </c>
      <c r="C86" s="76" t="s">
        <v>105</v>
      </c>
      <c r="D86" s="77" t="s">
        <v>84</v>
      </c>
      <c r="F86" s="94"/>
    </row>
    <row r="87" spans="1:7" s="53" customFormat="1" ht="14.5" customHeight="1" x14ac:dyDescent="0.35">
      <c r="A87" s="222" t="s">
        <v>86</v>
      </c>
      <c r="B87" s="78" t="s">
        <v>174</v>
      </c>
      <c r="C87" s="79" t="s">
        <v>106</v>
      </c>
      <c r="D87" s="80">
        <f>F94</f>
        <v>10520000</v>
      </c>
      <c r="F87" s="94"/>
    </row>
    <row r="88" spans="1:7" s="53" customFormat="1" ht="21" thickBot="1" x14ac:dyDescent="0.5">
      <c r="A88" s="223"/>
      <c r="B88" s="71"/>
      <c r="C88" s="71"/>
      <c r="D88" s="73"/>
      <c r="F88" s="94"/>
    </row>
    <row r="89" spans="1:7" s="53" customFormat="1" ht="15" thickBot="1" x14ac:dyDescent="0.4">
      <c r="A89" s="223"/>
      <c r="B89" s="81" t="s">
        <v>81</v>
      </c>
      <c r="C89" s="82" t="s">
        <v>107</v>
      </c>
      <c r="D89" s="83" t="s">
        <v>108</v>
      </c>
      <c r="F89" s="94"/>
    </row>
    <row r="90" spans="1:7" s="87" customFormat="1" x14ac:dyDescent="0.35">
      <c r="A90" s="231"/>
      <c r="B90" s="84" t="str">
        <f>B87</f>
        <v>07th January,2025</v>
      </c>
      <c r="C90" s="85" t="s">
        <v>158</v>
      </c>
      <c r="D90" s="86">
        <f>2000*2630</f>
        <v>5260000</v>
      </c>
      <c r="F90" s="177"/>
    </row>
    <row r="91" spans="1:7" s="53" customFormat="1" x14ac:dyDescent="0.35">
      <c r="A91" s="231"/>
      <c r="B91" s="88"/>
      <c r="C91" s="89" t="s">
        <v>159</v>
      </c>
      <c r="D91" s="90">
        <f>299*2650</f>
        <v>792350</v>
      </c>
      <c r="F91" s="94"/>
    </row>
    <row r="92" spans="1:7" s="53" customFormat="1" x14ac:dyDescent="0.35">
      <c r="A92" s="231"/>
      <c r="B92" s="88" t="s">
        <v>109</v>
      </c>
      <c r="C92" s="89" t="s">
        <v>110</v>
      </c>
      <c r="D92" s="90">
        <v>1000000</v>
      </c>
      <c r="F92" s="94"/>
    </row>
    <row r="93" spans="1:7" s="53" customFormat="1" x14ac:dyDescent="0.35">
      <c r="A93" s="231"/>
      <c r="B93" s="88" t="s">
        <v>111</v>
      </c>
      <c r="C93" s="89" t="s">
        <v>112</v>
      </c>
      <c r="D93" s="90">
        <v>40000</v>
      </c>
      <c r="E93" s="225" t="s">
        <v>113</v>
      </c>
      <c r="F93" s="225"/>
    </row>
    <row r="94" spans="1:7" s="53" customFormat="1" x14ac:dyDescent="0.35">
      <c r="A94" s="231"/>
      <c r="B94" s="88" t="s">
        <v>114</v>
      </c>
      <c r="C94" s="89" t="s">
        <v>115</v>
      </c>
      <c r="D94" s="90">
        <f>250*120</f>
        <v>30000</v>
      </c>
      <c r="E94" s="91" t="s">
        <v>116</v>
      </c>
      <c r="F94" s="92">
        <f>4000*2630</f>
        <v>10520000</v>
      </c>
    </row>
    <row r="95" spans="1:7" s="53" customFormat="1" x14ac:dyDescent="0.35">
      <c r="A95" s="231"/>
      <c r="B95" s="88"/>
      <c r="C95" s="89" t="s">
        <v>117</v>
      </c>
      <c r="D95" s="90">
        <f>2000*120</f>
        <v>240000</v>
      </c>
      <c r="E95" s="93" t="s">
        <v>118</v>
      </c>
      <c r="F95" s="94">
        <f>(2400*2630)+(1600*2630)</f>
        <v>10520000</v>
      </c>
    </row>
    <row r="96" spans="1:7" s="53" customFormat="1" ht="15" thickBot="1" x14ac:dyDescent="0.4">
      <c r="A96" s="231"/>
      <c r="B96" s="88" t="s">
        <v>119</v>
      </c>
      <c r="C96" s="89" t="s">
        <v>120</v>
      </c>
      <c r="D96" s="95">
        <v>30000</v>
      </c>
      <c r="E96" s="96" t="s">
        <v>121</v>
      </c>
      <c r="F96" s="97">
        <f>F94-F95</f>
        <v>0</v>
      </c>
      <c r="G96" s="98">
        <f>F96/2630</f>
        <v>0</v>
      </c>
    </row>
    <row r="97" spans="1:6" s="53" customFormat="1" ht="15" thickTop="1" x14ac:dyDescent="0.35">
      <c r="A97" s="231"/>
      <c r="B97" s="88"/>
      <c r="C97" s="89" t="s">
        <v>122</v>
      </c>
      <c r="D97" s="90">
        <v>75000</v>
      </c>
      <c r="F97" s="94"/>
    </row>
    <row r="98" spans="1:6" s="53" customFormat="1" x14ac:dyDescent="0.35">
      <c r="A98" s="231"/>
      <c r="B98" s="88" t="s">
        <v>171</v>
      </c>
      <c r="C98" s="99" t="s">
        <v>123</v>
      </c>
      <c r="D98" s="100">
        <v>15000</v>
      </c>
      <c r="E98" s="91" t="s">
        <v>124</v>
      </c>
      <c r="F98" s="92"/>
    </row>
    <row r="99" spans="1:6" s="53" customFormat="1" x14ac:dyDescent="0.35">
      <c r="A99" s="231"/>
      <c r="B99" s="101"/>
      <c r="C99" s="99" t="s">
        <v>125</v>
      </c>
      <c r="D99" s="100">
        <v>10000</v>
      </c>
      <c r="E99" s="102"/>
      <c r="F99" s="103"/>
    </row>
    <row r="100" spans="1:6" s="53" customFormat="1" x14ac:dyDescent="0.35">
      <c r="A100" s="231"/>
      <c r="B100" s="101"/>
      <c r="C100" s="99" t="s">
        <v>126</v>
      </c>
      <c r="D100" s="100">
        <v>20000</v>
      </c>
      <c r="E100" s="102" t="s">
        <v>127</v>
      </c>
      <c r="F100" s="103"/>
    </row>
    <row r="101" spans="1:6" s="53" customFormat="1" x14ac:dyDescent="0.35">
      <c r="A101" s="231"/>
      <c r="B101" s="101"/>
      <c r="C101" s="89" t="s">
        <v>128</v>
      </c>
      <c r="D101" s="104">
        <f>200*120</f>
        <v>24000</v>
      </c>
      <c r="E101" s="102" t="s">
        <v>199</v>
      </c>
      <c r="F101" s="103"/>
    </row>
    <row r="102" spans="1:6" s="53" customFormat="1" ht="15" thickBot="1" x14ac:dyDescent="0.4">
      <c r="A102" s="231"/>
      <c r="B102" s="105"/>
      <c r="C102" s="106" t="s">
        <v>265</v>
      </c>
      <c r="D102" s="107">
        <f>525*120</f>
        <v>63000</v>
      </c>
      <c r="E102" s="53" t="s">
        <v>481</v>
      </c>
      <c r="F102" s="94"/>
    </row>
    <row r="103" spans="1:6" s="53" customFormat="1" ht="15" thickBot="1" x14ac:dyDescent="0.4">
      <c r="A103" s="223"/>
      <c r="B103" s="108"/>
      <c r="C103" s="109" t="s">
        <v>129</v>
      </c>
      <c r="D103" s="110">
        <f>SUM(D90:D102)</f>
        <v>7599350</v>
      </c>
      <c r="F103" s="94"/>
    </row>
    <row r="104" spans="1:6" s="53" customFormat="1" ht="15" thickTop="1" x14ac:dyDescent="0.35">
      <c r="A104" s="223"/>
      <c r="B104" s="226"/>
      <c r="C104" s="226"/>
      <c r="D104" s="226"/>
      <c r="F104" s="94"/>
    </row>
    <row r="105" spans="1:6" s="53" customFormat="1" x14ac:dyDescent="0.35">
      <c r="B105" s="87"/>
      <c r="C105" s="53" t="s">
        <v>130</v>
      </c>
      <c r="D105" s="111">
        <f>D87-D103</f>
        <v>2920650</v>
      </c>
      <c r="F105" s="94"/>
    </row>
    <row r="106" spans="1:6" s="53" customFormat="1" x14ac:dyDescent="0.35">
      <c r="B106" s="87"/>
      <c r="D106" s="111"/>
      <c r="F106" s="94"/>
    </row>
    <row r="107" spans="1:6" s="53" customFormat="1" x14ac:dyDescent="0.35">
      <c r="A107" s="112"/>
      <c r="B107" s="113"/>
      <c r="C107" s="112"/>
      <c r="D107" s="114"/>
      <c r="E107" s="112"/>
      <c r="F107" s="178"/>
    </row>
    <row r="109" spans="1:6" s="53" customFormat="1" ht="23.5" x14ac:dyDescent="0.55000000000000004">
      <c r="B109" s="227" t="s">
        <v>0</v>
      </c>
      <c r="C109" s="227"/>
      <c r="D109" s="227"/>
      <c r="E109" s="70"/>
      <c r="F109" s="176"/>
    </row>
    <row r="110" spans="1:6" s="53" customFormat="1" ht="20.5" x14ac:dyDescent="0.45">
      <c r="B110" s="71"/>
      <c r="C110" s="72" t="s">
        <v>177</v>
      </c>
      <c r="D110" s="73"/>
      <c r="F110" s="94"/>
    </row>
    <row r="111" spans="1:6" s="53" customFormat="1" ht="21" thickBot="1" x14ac:dyDescent="0.5">
      <c r="B111" s="71" t="s">
        <v>185</v>
      </c>
      <c r="C111" s="74" t="s">
        <v>103</v>
      </c>
      <c r="D111" s="73"/>
      <c r="F111" s="94"/>
    </row>
    <row r="112" spans="1:6" s="53" customFormat="1" ht="15" thickBot="1" x14ac:dyDescent="0.4">
      <c r="A112" s="75" t="s">
        <v>104</v>
      </c>
      <c r="B112" s="76" t="s">
        <v>81</v>
      </c>
      <c r="C112" s="76" t="s">
        <v>105</v>
      </c>
      <c r="D112" s="77" t="s">
        <v>84</v>
      </c>
      <c r="F112" s="94"/>
    </row>
    <row r="113" spans="1:7" s="53" customFormat="1" ht="14.5" customHeight="1" x14ac:dyDescent="0.35">
      <c r="A113" s="222" t="s">
        <v>86</v>
      </c>
      <c r="B113" s="78" t="s">
        <v>186</v>
      </c>
      <c r="C113" s="79" t="s">
        <v>187</v>
      </c>
      <c r="D113" s="80">
        <f>F120</f>
        <v>9600000</v>
      </c>
      <c r="F113" s="94"/>
    </row>
    <row r="114" spans="1:7" s="53" customFormat="1" ht="21" thickBot="1" x14ac:dyDescent="0.5">
      <c r="A114" s="223"/>
      <c r="B114" s="71"/>
      <c r="C114" s="71"/>
      <c r="D114" s="73"/>
      <c r="F114" s="94"/>
    </row>
    <row r="115" spans="1:7" s="53" customFormat="1" ht="15" thickBot="1" x14ac:dyDescent="0.4">
      <c r="A115" s="223"/>
      <c r="B115" s="81" t="s">
        <v>81</v>
      </c>
      <c r="C115" s="82" t="s">
        <v>107</v>
      </c>
      <c r="D115" s="83" t="s">
        <v>108</v>
      </c>
      <c r="F115" s="94"/>
    </row>
    <row r="116" spans="1:7" s="87" customFormat="1" x14ac:dyDescent="0.35">
      <c r="A116" s="231"/>
      <c r="B116" s="84" t="str">
        <f>B113</f>
        <v>08th January,2025</v>
      </c>
      <c r="C116" s="85" t="s">
        <v>158</v>
      </c>
      <c r="D116" s="86">
        <f>2000*2630</f>
        <v>5260000</v>
      </c>
      <c r="F116" s="177"/>
    </row>
    <row r="117" spans="1:7" s="53" customFormat="1" x14ac:dyDescent="0.35">
      <c r="A117" s="231"/>
      <c r="B117" s="88"/>
      <c r="C117" s="89" t="s">
        <v>246</v>
      </c>
      <c r="D117" s="90">
        <f>335*2650</f>
        <v>887750</v>
      </c>
      <c r="F117" s="94"/>
    </row>
    <row r="118" spans="1:7" s="53" customFormat="1" x14ac:dyDescent="0.35">
      <c r="A118" s="231"/>
      <c r="B118" s="88" t="s">
        <v>109</v>
      </c>
      <c r="C118" s="89" t="s">
        <v>110</v>
      </c>
      <c r="D118" s="90">
        <v>1000000</v>
      </c>
      <c r="F118" s="94"/>
    </row>
    <row r="119" spans="1:7" s="53" customFormat="1" x14ac:dyDescent="0.35">
      <c r="A119" s="231"/>
      <c r="B119" s="88" t="s">
        <v>111</v>
      </c>
      <c r="C119" s="89" t="s">
        <v>112</v>
      </c>
      <c r="D119" s="90">
        <v>40000</v>
      </c>
      <c r="E119" s="225" t="s">
        <v>113</v>
      </c>
      <c r="F119" s="225"/>
    </row>
    <row r="120" spans="1:7" s="53" customFormat="1" x14ac:dyDescent="0.35">
      <c r="A120" s="231"/>
      <c r="B120" s="88" t="s">
        <v>245</v>
      </c>
      <c r="C120" s="89" t="s">
        <v>115</v>
      </c>
      <c r="D120" s="90">
        <f>250*120</f>
        <v>30000</v>
      </c>
      <c r="E120" s="91" t="s">
        <v>116</v>
      </c>
      <c r="F120" s="92">
        <f>4000*2400</f>
        <v>9600000</v>
      </c>
    </row>
    <row r="121" spans="1:7" s="53" customFormat="1" x14ac:dyDescent="0.35">
      <c r="A121" s="231"/>
      <c r="B121" s="88"/>
      <c r="C121" s="89" t="s">
        <v>117</v>
      </c>
      <c r="D121" s="90">
        <f>2500*120</f>
        <v>300000</v>
      </c>
      <c r="E121" s="93" t="s">
        <v>118</v>
      </c>
      <c r="F121" s="94">
        <f>4000*2400</f>
        <v>9600000</v>
      </c>
    </row>
    <row r="122" spans="1:7" s="53" customFormat="1" ht="15" thickBot="1" x14ac:dyDescent="0.4">
      <c r="A122" s="231"/>
      <c r="B122" s="88" t="s">
        <v>119</v>
      </c>
      <c r="C122" s="89" t="s">
        <v>120</v>
      </c>
      <c r="D122" s="95">
        <v>30000</v>
      </c>
      <c r="E122" s="96" t="s">
        <v>121</v>
      </c>
      <c r="F122" s="97">
        <f>F120-F121</f>
        <v>0</v>
      </c>
      <c r="G122" s="98">
        <f>F122/2400</f>
        <v>0</v>
      </c>
    </row>
    <row r="123" spans="1:7" s="53" customFormat="1" ht="15" thickTop="1" x14ac:dyDescent="0.35">
      <c r="A123" s="231"/>
      <c r="B123" s="88"/>
      <c r="C123" s="89" t="s">
        <v>122</v>
      </c>
      <c r="D123" s="90">
        <v>140000</v>
      </c>
      <c r="F123" s="94"/>
    </row>
    <row r="124" spans="1:7" s="53" customFormat="1" x14ac:dyDescent="0.35">
      <c r="A124" s="231"/>
      <c r="B124" s="88" t="s">
        <v>176</v>
      </c>
      <c r="C124" s="99" t="s">
        <v>123</v>
      </c>
      <c r="D124" s="100">
        <v>15000</v>
      </c>
      <c r="E124" s="91" t="s">
        <v>124</v>
      </c>
      <c r="F124" s="92"/>
    </row>
    <row r="125" spans="1:7" s="53" customFormat="1" x14ac:dyDescent="0.35">
      <c r="A125" s="231"/>
      <c r="B125" s="101"/>
      <c r="C125" s="99" t="s">
        <v>125</v>
      </c>
      <c r="D125" s="100">
        <v>30000</v>
      </c>
      <c r="E125" s="102"/>
      <c r="F125" s="103"/>
    </row>
    <row r="126" spans="1:7" s="53" customFormat="1" x14ac:dyDescent="0.35">
      <c r="A126" s="231"/>
      <c r="B126" s="101"/>
      <c r="C126" s="99" t="s">
        <v>126</v>
      </c>
      <c r="D126" s="100">
        <v>30000</v>
      </c>
      <c r="E126" s="102" t="s">
        <v>127</v>
      </c>
      <c r="F126" s="103"/>
    </row>
    <row r="127" spans="1:7" s="53" customFormat="1" x14ac:dyDescent="0.35">
      <c r="A127" s="231"/>
      <c r="B127" s="101"/>
      <c r="C127" s="89" t="s">
        <v>128</v>
      </c>
      <c r="D127" s="104">
        <f>650*120</f>
        <v>78000</v>
      </c>
      <c r="E127" s="102" t="s">
        <v>340</v>
      </c>
      <c r="F127" s="103"/>
    </row>
    <row r="128" spans="1:7" s="53" customFormat="1" ht="15" thickBot="1" x14ac:dyDescent="0.4">
      <c r="A128" s="231"/>
      <c r="B128" s="105"/>
      <c r="C128" s="106"/>
      <c r="D128" s="107"/>
      <c r="F128" s="94"/>
    </row>
    <row r="129" spans="1:6" s="53" customFormat="1" ht="15" thickBot="1" x14ac:dyDescent="0.4">
      <c r="A129" s="223"/>
      <c r="B129" s="108"/>
      <c r="C129" s="109" t="s">
        <v>129</v>
      </c>
      <c r="D129" s="110">
        <f>SUM(D116:D128)</f>
        <v>7840750</v>
      </c>
      <c r="F129" s="94"/>
    </row>
    <row r="130" spans="1:6" s="53" customFormat="1" ht="15" thickTop="1" x14ac:dyDescent="0.35">
      <c r="A130" s="223"/>
      <c r="B130" s="226"/>
      <c r="C130" s="226"/>
      <c r="D130" s="226"/>
      <c r="F130" s="94"/>
    </row>
    <row r="131" spans="1:6" s="53" customFormat="1" x14ac:dyDescent="0.35">
      <c r="B131" s="87"/>
      <c r="C131" s="53" t="s">
        <v>130</v>
      </c>
      <c r="D131" s="111">
        <f>D113-D129</f>
        <v>1759250</v>
      </c>
      <c r="F131" s="94"/>
    </row>
    <row r="132" spans="1:6" s="53" customFormat="1" x14ac:dyDescent="0.35">
      <c r="B132" s="87"/>
      <c r="D132" s="111"/>
      <c r="F132" s="94"/>
    </row>
    <row r="133" spans="1:6" s="53" customFormat="1" x14ac:dyDescent="0.35">
      <c r="A133" s="112"/>
      <c r="B133" s="113"/>
      <c r="C133" s="112"/>
      <c r="D133" s="114"/>
      <c r="E133" s="112"/>
      <c r="F133" s="178"/>
    </row>
    <row r="136" spans="1:6" s="53" customFormat="1" ht="23.5" x14ac:dyDescent="0.55000000000000004">
      <c r="B136" s="227" t="s">
        <v>0</v>
      </c>
      <c r="C136" s="227"/>
      <c r="D136" s="227"/>
      <c r="E136" s="70"/>
      <c r="F136" s="176"/>
    </row>
    <row r="137" spans="1:6" s="53" customFormat="1" ht="20.5" x14ac:dyDescent="0.45">
      <c r="B137" s="71"/>
      <c r="C137" s="72" t="s">
        <v>184</v>
      </c>
      <c r="D137" s="73"/>
      <c r="F137" s="94"/>
    </row>
    <row r="138" spans="1:6" s="53" customFormat="1" ht="21" thickBot="1" x14ac:dyDescent="0.5">
      <c r="B138" s="71" t="s">
        <v>178</v>
      </c>
      <c r="C138" s="74" t="s">
        <v>103</v>
      </c>
      <c r="D138" s="73"/>
      <c r="F138" s="94"/>
    </row>
    <row r="139" spans="1:6" s="53" customFormat="1" ht="15" thickBot="1" x14ac:dyDescent="0.4">
      <c r="A139" s="75" t="s">
        <v>104</v>
      </c>
      <c r="B139" s="76" t="s">
        <v>81</v>
      </c>
      <c r="C139" s="76" t="s">
        <v>105</v>
      </c>
      <c r="D139" s="77" t="s">
        <v>84</v>
      </c>
      <c r="F139" s="94"/>
    </row>
    <row r="140" spans="1:6" s="53" customFormat="1" ht="14.5" customHeight="1" x14ac:dyDescent="0.35">
      <c r="A140" s="222" t="s">
        <v>86</v>
      </c>
      <c r="B140" s="78" t="s">
        <v>179</v>
      </c>
      <c r="C140" s="79" t="s">
        <v>106</v>
      </c>
      <c r="D140" s="80">
        <f>F147</f>
        <v>10520000</v>
      </c>
      <c r="F140" s="94"/>
    </row>
    <row r="141" spans="1:6" s="53" customFormat="1" ht="21" thickBot="1" x14ac:dyDescent="0.5">
      <c r="A141" s="223"/>
      <c r="B141" s="71"/>
      <c r="C141" s="71"/>
      <c r="D141" s="73"/>
      <c r="F141" s="94"/>
    </row>
    <row r="142" spans="1:6" s="53" customFormat="1" ht="15" thickBot="1" x14ac:dyDescent="0.4">
      <c r="A142" s="223"/>
      <c r="B142" s="81" t="s">
        <v>81</v>
      </c>
      <c r="C142" s="82" t="s">
        <v>107</v>
      </c>
      <c r="D142" s="83" t="s">
        <v>108</v>
      </c>
      <c r="F142" s="94"/>
    </row>
    <row r="143" spans="1:6" s="87" customFormat="1" x14ac:dyDescent="0.35">
      <c r="A143" s="231"/>
      <c r="B143" s="84" t="str">
        <f>B140</f>
        <v>10th January,2025</v>
      </c>
      <c r="C143" s="85" t="s">
        <v>158</v>
      </c>
      <c r="D143" s="86">
        <f>2000*2630</f>
        <v>5260000</v>
      </c>
      <c r="F143" s="177"/>
    </row>
    <row r="144" spans="1:6" s="53" customFormat="1" x14ac:dyDescent="0.35">
      <c r="A144" s="231"/>
      <c r="B144" s="88"/>
      <c r="C144" s="89" t="s">
        <v>159</v>
      </c>
      <c r="D144" s="90">
        <f>299*2650</f>
        <v>792350</v>
      </c>
      <c r="F144" s="94"/>
    </row>
    <row r="145" spans="1:7" s="53" customFormat="1" x14ac:dyDescent="0.35">
      <c r="A145" s="231"/>
      <c r="B145" s="88" t="s">
        <v>109</v>
      </c>
      <c r="C145" s="89" t="s">
        <v>110</v>
      </c>
      <c r="D145" s="90">
        <v>1000000</v>
      </c>
      <c r="F145" s="94"/>
    </row>
    <row r="146" spans="1:7" s="53" customFormat="1" x14ac:dyDescent="0.35">
      <c r="A146" s="231"/>
      <c r="B146" s="88" t="s">
        <v>111</v>
      </c>
      <c r="C146" s="89" t="s">
        <v>112</v>
      </c>
      <c r="D146" s="90">
        <v>40000</v>
      </c>
      <c r="E146" s="225" t="s">
        <v>113</v>
      </c>
      <c r="F146" s="225"/>
    </row>
    <row r="147" spans="1:7" s="53" customFormat="1" x14ac:dyDescent="0.35">
      <c r="A147" s="231"/>
      <c r="B147" s="88" t="s">
        <v>114</v>
      </c>
      <c r="C147" s="89" t="s">
        <v>115</v>
      </c>
      <c r="D147" s="90">
        <f>250*120</f>
        <v>30000</v>
      </c>
      <c r="E147" s="91" t="s">
        <v>116</v>
      </c>
      <c r="F147" s="92">
        <f>4000*2630</f>
        <v>10520000</v>
      </c>
    </row>
    <row r="148" spans="1:7" s="53" customFormat="1" x14ac:dyDescent="0.35">
      <c r="A148" s="231"/>
      <c r="B148" s="88"/>
      <c r="C148" s="89" t="s">
        <v>117</v>
      </c>
      <c r="D148" s="90">
        <f>1500*120</f>
        <v>180000</v>
      </c>
      <c r="E148" s="93" t="s">
        <v>118</v>
      </c>
      <c r="F148" s="94">
        <f>(2400*2630)+(1600*2630)</f>
        <v>10520000</v>
      </c>
    </row>
    <row r="149" spans="1:7" s="53" customFormat="1" ht="15" thickBot="1" x14ac:dyDescent="0.4">
      <c r="A149" s="231"/>
      <c r="B149" s="88" t="s">
        <v>119</v>
      </c>
      <c r="C149" s="89" t="s">
        <v>120</v>
      </c>
      <c r="D149" s="95">
        <v>30000</v>
      </c>
      <c r="E149" s="96" t="s">
        <v>121</v>
      </c>
      <c r="F149" s="97">
        <f>F147-F148</f>
        <v>0</v>
      </c>
      <c r="G149" s="98">
        <f>F149/2630</f>
        <v>0</v>
      </c>
    </row>
    <row r="150" spans="1:7" s="53" customFormat="1" ht="15" thickTop="1" x14ac:dyDescent="0.35">
      <c r="A150" s="231"/>
      <c r="B150" s="88"/>
      <c r="C150" s="89" t="s">
        <v>122</v>
      </c>
      <c r="D150" s="90">
        <v>140000</v>
      </c>
      <c r="F150" s="94"/>
    </row>
    <row r="151" spans="1:7" s="53" customFormat="1" x14ac:dyDescent="0.35">
      <c r="A151" s="231"/>
      <c r="B151" s="88" t="s">
        <v>176</v>
      </c>
      <c r="C151" s="99" t="s">
        <v>123</v>
      </c>
      <c r="D151" s="90">
        <v>15000</v>
      </c>
      <c r="E151" s="91" t="s">
        <v>124</v>
      </c>
      <c r="F151" s="92"/>
    </row>
    <row r="152" spans="1:7" s="53" customFormat="1" x14ac:dyDescent="0.35">
      <c r="A152" s="231"/>
      <c r="B152" s="101"/>
      <c r="C152" s="99" t="s">
        <v>125</v>
      </c>
      <c r="D152" s="100">
        <v>30000</v>
      </c>
      <c r="E152" s="102"/>
      <c r="F152" s="103"/>
    </row>
    <row r="153" spans="1:7" s="53" customFormat="1" x14ac:dyDescent="0.35">
      <c r="A153" s="231"/>
      <c r="B153" s="101"/>
      <c r="C153" s="99" t="s">
        <v>126</v>
      </c>
      <c r="D153" s="100">
        <v>30000</v>
      </c>
      <c r="E153" s="102" t="s">
        <v>127</v>
      </c>
      <c r="F153" s="103"/>
    </row>
    <row r="154" spans="1:7" s="53" customFormat="1" x14ac:dyDescent="0.35">
      <c r="A154" s="231"/>
      <c r="B154" s="101"/>
      <c r="C154" s="89" t="s">
        <v>128</v>
      </c>
      <c r="D154" s="104">
        <f>200*120</f>
        <v>24000</v>
      </c>
      <c r="E154" s="102" t="s">
        <v>200</v>
      </c>
      <c r="F154" s="103"/>
    </row>
    <row r="155" spans="1:7" s="53" customFormat="1" ht="15" thickBot="1" x14ac:dyDescent="0.4">
      <c r="A155" s="231"/>
      <c r="B155" s="105"/>
      <c r="C155" s="106"/>
      <c r="D155" s="107"/>
      <c r="E155" s="53" t="s">
        <v>474</v>
      </c>
      <c r="F155" s="94"/>
    </row>
    <row r="156" spans="1:7" s="53" customFormat="1" ht="15" thickBot="1" x14ac:dyDescent="0.4">
      <c r="A156" s="223"/>
      <c r="B156" s="108"/>
      <c r="C156" s="109" t="s">
        <v>129</v>
      </c>
      <c r="D156" s="110">
        <f>SUM(D143:D155)</f>
        <v>7571350</v>
      </c>
      <c r="F156" s="94"/>
    </row>
    <row r="157" spans="1:7" s="53" customFormat="1" ht="15" thickTop="1" x14ac:dyDescent="0.35">
      <c r="A157" s="223"/>
      <c r="B157" s="226"/>
      <c r="C157" s="226"/>
      <c r="D157" s="226"/>
      <c r="F157" s="94"/>
    </row>
    <row r="158" spans="1:7" s="53" customFormat="1" x14ac:dyDescent="0.35">
      <c r="B158" s="87"/>
      <c r="C158" s="53" t="s">
        <v>130</v>
      </c>
      <c r="D158" s="111">
        <f>D140-D156</f>
        <v>2948650</v>
      </c>
      <c r="F158" s="94"/>
    </row>
    <row r="159" spans="1:7" s="53" customFormat="1" x14ac:dyDescent="0.35">
      <c r="B159" s="87"/>
      <c r="D159" s="111"/>
      <c r="F159" s="94"/>
    </row>
    <row r="160" spans="1:7" s="53" customFormat="1" x14ac:dyDescent="0.35">
      <c r="A160" s="112"/>
      <c r="B160" s="113"/>
      <c r="C160" s="112"/>
      <c r="D160" s="114"/>
      <c r="E160" s="112"/>
      <c r="F160" s="178"/>
    </row>
    <row r="163" spans="1:7" s="53" customFormat="1" ht="23.5" x14ac:dyDescent="0.55000000000000004">
      <c r="B163" s="227" t="s">
        <v>0</v>
      </c>
      <c r="C163" s="227"/>
      <c r="D163" s="227"/>
      <c r="E163" s="70"/>
      <c r="F163" s="176"/>
    </row>
    <row r="164" spans="1:7" s="53" customFormat="1" ht="20.5" x14ac:dyDescent="0.45">
      <c r="B164" s="71"/>
      <c r="C164" s="72" t="s">
        <v>192</v>
      </c>
      <c r="D164" s="73"/>
      <c r="F164" s="94"/>
    </row>
    <row r="165" spans="1:7" s="53" customFormat="1" ht="21" thickBot="1" x14ac:dyDescent="0.5">
      <c r="B165" s="71" t="s">
        <v>193</v>
      </c>
      <c r="C165" s="74" t="s">
        <v>103</v>
      </c>
      <c r="D165" s="73"/>
      <c r="F165" s="94"/>
    </row>
    <row r="166" spans="1:7" s="53" customFormat="1" ht="15" thickBot="1" x14ac:dyDescent="0.4">
      <c r="A166" s="75" t="s">
        <v>104</v>
      </c>
      <c r="B166" s="76" t="s">
        <v>81</v>
      </c>
      <c r="C166" s="76" t="s">
        <v>105</v>
      </c>
      <c r="D166" s="77" t="s">
        <v>84</v>
      </c>
      <c r="F166" s="94"/>
    </row>
    <row r="167" spans="1:7" s="53" customFormat="1" ht="14.5" customHeight="1" x14ac:dyDescent="0.35">
      <c r="A167" s="222" t="s">
        <v>86</v>
      </c>
      <c r="B167" s="78" t="s">
        <v>191</v>
      </c>
      <c r="C167" s="79" t="s">
        <v>106</v>
      </c>
      <c r="D167" s="80">
        <f>F174</f>
        <v>10520000</v>
      </c>
      <c r="F167" s="94"/>
    </row>
    <row r="168" spans="1:7" s="53" customFormat="1" ht="21" thickBot="1" x14ac:dyDescent="0.5">
      <c r="A168" s="223"/>
      <c r="B168" s="71"/>
      <c r="C168" s="71"/>
      <c r="D168" s="73"/>
      <c r="F168" s="94"/>
    </row>
    <row r="169" spans="1:7" s="53" customFormat="1" ht="15" thickBot="1" x14ac:dyDescent="0.4">
      <c r="A169" s="223"/>
      <c r="B169" s="81" t="s">
        <v>81</v>
      </c>
      <c r="C169" s="82" t="s">
        <v>107</v>
      </c>
      <c r="D169" s="83" t="s">
        <v>108</v>
      </c>
      <c r="F169" s="94"/>
    </row>
    <row r="170" spans="1:7" s="87" customFormat="1" x14ac:dyDescent="0.35">
      <c r="A170" s="231"/>
      <c r="B170" s="84" t="str">
        <f>B167</f>
        <v>11th January,2025</v>
      </c>
      <c r="C170" s="85" t="s">
        <v>158</v>
      </c>
      <c r="D170" s="86">
        <f>2000*2630</f>
        <v>5260000</v>
      </c>
      <c r="F170" s="177"/>
    </row>
    <row r="171" spans="1:7" s="53" customFormat="1" x14ac:dyDescent="0.35">
      <c r="A171" s="231"/>
      <c r="B171" s="88"/>
      <c r="C171" s="89" t="s">
        <v>159</v>
      </c>
      <c r="D171" s="90">
        <f>299*2650</f>
        <v>792350</v>
      </c>
      <c r="F171" s="94"/>
    </row>
    <row r="172" spans="1:7" s="53" customFormat="1" x14ac:dyDescent="0.35">
      <c r="A172" s="231"/>
      <c r="B172" s="88" t="s">
        <v>109</v>
      </c>
      <c r="C172" s="89" t="s">
        <v>110</v>
      </c>
      <c r="D172" s="90">
        <v>1000000</v>
      </c>
      <c r="F172" s="94"/>
    </row>
    <row r="173" spans="1:7" s="53" customFormat="1" x14ac:dyDescent="0.35">
      <c r="A173" s="231"/>
      <c r="B173" s="88" t="s">
        <v>111</v>
      </c>
      <c r="C173" s="89" t="s">
        <v>112</v>
      </c>
      <c r="D173" s="90">
        <v>40000</v>
      </c>
      <c r="E173" s="225" t="s">
        <v>113</v>
      </c>
      <c r="F173" s="225"/>
    </row>
    <row r="174" spans="1:7" s="53" customFormat="1" x14ac:dyDescent="0.35">
      <c r="A174" s="231"/>
      <c r="B174" s="88" t="s">
        <v>114</v>
      </c>
      <c r="C174" s="89" t="s">
        <v>115</v>
      </c>
      <c r="D174" s="90">
        <f>250*120</f>
        <v>30000</v>
      </c>
      <c r="E174" s="91" t="s">
        <v>116</v>
      </c>
      <c r="F174" s="92">
        <f>4000*2630</f>
        <v>10520000</v>
      </c>
    </row>
    <row r="175" spans="1:7" s="53" customFormat="1" x14ac:dyDescent="0.35">
      <c r="A175" s="231"/>
      <c r="B175" s="88"/>
      <c r="C175" s="89" t="s">
        <v>117</v>
      </c>
      <c r="D175" s="90">
        <f>1500*120</f>
        <v>180000</v>
      </c>
      <c r="E175" s="93" t="s">
        <v>118</v>
      </c>
      <c r="F175" s="94">
        <f>(2400*2630)+(1600*2630)</f>
        <v>10520000</v>
      </c>
    </row>
    <row r="176" spans="1:7" s="53" customFormat="1" ht="15" thickBot="1" x14ac:dyDescent="0.4">
      <c r="A176" s="231"/>
      <c r="B176" s="88" t="s">
        <v>119</v>
      </c>
      <c r="C176" s="89" t="s">
        <v>120</v>
      </c>
      <c r="D176" s="95">
        <v>30000</v>
      </c>
      <c r="E176" s="96" t="s">
        <v>121</v>
      </c>
      <c r="F176" s="97">
        <f>F174-F175</f>
        <v>0</v>
      </c>
      <c r="G176" s="98">
        <f>F176/2630</f>
        <v>0</v>
      </c>
    </row>
    <row r="177" spans="1:6" s="53" customFormat="1" ht="15" thickTop="1" x14ac:dyDescent="0.35">
      <c r="A177" s="231"/>
      <c r="B177" s="88"/>
      <c r="C177" s="89" t="s">
        <v>122</v>
      </c>
      <c r="D177" s="90">
        <v>140000</v>
      </c>
      <c r="F177" s="94"/>
    </row>
    <row r="178" spans="1:6" s="53" customFormat="1" x14ac:dyDescent="0.35">
      <c r="A178" s="231"/>
      <c r="B178" s="88" t="s">
        <v>190</v>
      </c>
      <c r="C178" s="99" t="s">
        <v>123</v>
      </c>
      <c r="D178" s="100">
        <v>15000</v>
      </c>
      <c r="E178" s="91" t="s">
        <v>124</v>
      </c>
      <c r="F178" s="92"/>
    </row>
    <row r="179" spans="1:6" s="53" customFormat="1" x14ac:dyDescent="0.35">
      <c r="A179" s="231"/>
      <c r="B179" s="101"/>
      <c r="C179" s="99" t="s">
        <v>125</v>
      </c>
      <c r="D179" s="100">
        <v>10000</v>
      </c>
      <c r="E179" s="102"/>
      <c r="F179" s="103"/>
    </row>
    <row r="180" spans="1:6" s="53" customFormat="1" x14ac:dyDescent="0.35">
      <c r="A180" s="231"/>
      <c r="B180" s="101"/>
      <c r="C180" s="99" t="s">
        <v>126</v>
      </c>
      <c r="D180" s="100">
        <v>25000</v>
      </c>
      <c r="E180" s="102" t="s">
        <v>127</v>
      </c>
      <c r="F180" s="103"/>
    </row>
    <row r="181" spans="1:6" s="53" customFormat="1" x14ac:dyDescent="0.35">
      <c r="A181" s="231"/>
      <c r="B181" s="101"/>
      <c r="C181" s="89" t="s">
        <v>128</v>
      </c>
      <c r="D181" s="104">
        <f>100*120</f>
        <v>12000</v>
      </c>
      <c r="E181" s="102" t="s">
        <v>200</v>
      </c>
      <c r="F181" s="103"/>
    </row>
    <row r="182" spans="1:6" s="53" customFormat="1" ht="15" thickBot="1" x14ac:dyDescent="0.4">
      <c r="A182" s="231"/>
      <c r="B182" s="105"/>
      <c r="C182" s="106"/>
      <c r="D182" s="107"/>
      <c r="E182" s="53" t="s">
        <v>474</v>
      </c>
      <c r="F182" s="94"/>
    </row>
    <row r="183" spans="1:6" s="53" customFormat="1" ht="15" thickBot="1" x14ac:dyDescent="0.4">
      <c r="A183" s="223"/>
      <c r="B183" s="108"/>
      <c r="C183" s="109" t="s">
        <v>129</v>
      </c>
      <c r="D183" s="110">
        <f>SUM(D170:D182)</f>
        <v>7534350</v>
      </c>
      <c r="F183" s="94"/>
    </row>
    <row r="184" spans="1:6" s="53" customFormat="1" ht="15" thickTop="1" x14ac:dyDescent="0.35">
      <c r="A184" s="223"/>
      <c r="B184" s="226"/>
      <c r="C184" s="226"/>
      <c r="D184" s="226"/>
      <c r="F184" s="94"/>
    </row>
    <row r="185" spans="1:6" s="53" customFormat="1" x14ac:dyDescent="0.35">
      <c r="B185" s="87"/>
      <c r="C185" s="53" t="s">
        <v>130</v>
      </c>
      <c r="D185" s="111">
        <f>D167-D183</f>
        <v>2985650</v>
      </c>
      <c r="F185" s="94"/>
    </row>
    <row r="186" spans="1:6" s="53" customFormat="1" x14ac:dyDescent="0.35">
      <c r="B186" s="87"/>
      <c r="D186" s="111"/>
      <c r="F186" s="94"/>
    </row>
    <row r="187" spans="1:6" s="53" customFormat="1" x14ac:dyDescent="0.35">
      <c r="A187" s="112"/>
      <c r="B187" s="113"/>
      <c r="C187" s="112"/>
      <c r="D187" s="114"/>
      <c r="E187" s="112"/>
      <c r="F187" s="178"/>
    </row>
    <row r="190" spans="1:6" s="53" customFormat="1" ht="23.5" x14ac:dyDescent="0.55000000000000004">
      <c r="B190" s="227" t="s">
        <v>0</v>
      </c>
      <c r="C190" s="227"/>
      <c r="D190" s="227"/>
      <c r="E190" s="70"/>
      <c r="F190" s="176"/>
    </row>
    <row r="191" spans="1:6" s="53" customFormat="1" ht="20.5" x14ac:dyDescent="0.45">
      <c r="B191" s="71"/>
      <c r="C191" s="72" t="s">
        <v>196</v>
      </c>
      <c r="D191" s="73"/>
      <c r="F191" s="94"/>
    </row>
    <row r="192" spans="1:6" s="53" customFormat="1" ht="21" thickBot="1" x14ac:dyDescent="0.5">
      <c r="B192" s="71" t="s">
        <v>102</v>
      </c>
      <c r="C192" s="74" t="s">
        <v>103</v>
      </c>
      <c r="D192" s="73"/>
      <c r="F192" s="94"/>
    </row>
    <row r="193" spans="1:7" s="53" customFormat="1" ht="15" thickBot="1" x14ac:dyDescent="0.4">
      <c r="A193" s="75" t="s">
        <v>104</v>
      </c>
      <c r="B193" s="76" t="s">
        <v>81</v>
      </c>
      <c r="C193" s="76" t="s">
        <v>105</v>
      </c>
      <c r="D193" s="77" t="s">
        <v>84</v>
      </c>
      <c r="F193" s="94"/>
    </row>
    <row r="194" spans="1:7" s="53" customFormat="1" ht="14.5" customHeight="1" x14ac:dyDescent="0.35">
      <c r="A194" s="222" t="s">
        <v>86</v>
      </c>
      <c r="B194" s="78" t="s">
        <v>191</v>
      </c>
      <c r="C194" s="79" t="s">
        <v>106</v>
      </c>
      <c r="D194" s="80">
        <f>F201</f>
        <v>10520000</v>
      </c>
      <c r="F194" s="94"/>
    </row>
    <row r="195" spans="1:7" s="53" customFormat="1" ht="21" thickBot="1" x14ac:dyDescent="0.5">
      <c r="A195" s="223"/>
      <c r="B195" s="71"/>
      <c r="C195" s="71"/>
      <c r="D195" s="73"/>
      <c r="F195" s="94"/>
    </row>
    <row r="196" spans="1:7" s="53" customFormat="1" ht="15" thickBot="1" x14ac:dyDescent="0.4">
      <c r="A196" s="223"/>
      <c r="B196" s="81" t="s">
        <v>81</v>
      </c>
      <c r="C196" s="82" t="s">
        <v>107</v>
      </c>
      <c r="D196" s="83" t="s">
        <v>108</v>
      </c>
      <c r="F196" s="94"/>
    </row>
    <row r="197" spans="1:7" s="87" customFormat="1" x14ac:dyDescent="0.35">
      <c r="A197" s="231"/>
      <c r="B197" s="84" t="str">
        <f>B194</f>
        <v>11th January,2025</v>
      </c>
      <c r="C197" s="85" t="s">
        <v>158</v>
      </c>
      <c r="D197" s="86">
        <f>2000*2630</f>
        <v>5260000</v>
      </c>
      <c r="F197" s="177"/>
    </row>
    <row r="198" spans="1:7" s="53" customFormat="1" x14ac:dyDescent="0.35">
      <c r="A198" s="231"/>
      <c r="B198" s="88"/>
      <c r="C198" s="89" t="s">
        <v>159</v>
      </c>
      <c r="D198" s="90">
        <f>299*2650</f>
        <v>792350</v>
      </c>
      <c r="F198" s="94"/>
    </row>
    <row r="199" spans="1:7" s="53" customFormat="1" x14ac:dyDescent="0.35">
      <c r="A199" s="231"/>
      <c r="B199" s="88" t="s">
        <v>109</v>
      </c>
      <c r="C199" s="89" t="s">
        <v>110</v>
      </c>
      <c r="D199" s="90">
        <v>1000000</v>
      </c>
      <c r="F199" s="94"/>
    </row>
    <row r="200" spans="1:7" s="53" customFormat="1" x14ac:dyDescent="0.35">
      <c r="A200" s="231"/>
      <c r="B200" s="88" t="s">
        <v>111</v>
      </c>
      <c r="C200" s="89" t="s">
        <v>112</v>
      </c>
      <c r="D200" s="90">
        <v>40000</v>
      </c>
      <c r="E200" s="225" t="s">
        <v>113</v>
      </c>
      <c r="F200" s="225"/>
    </row>
    <row r="201" spans="1:7" s="53" customFormat="1" x14ac:dyDescent="0.35">
      <c r="A201" s="231"/>
      <c r="B201" s="88" t="s">
        <v>114</v>
      </c>
      <c r="C201" s="89" t="s">
        <v>115</v>
      </c>
      <c r="D201" s="90">
        <f>250*120</f>
        <v>30000</v>
      </c>
      <c r="E201" s="91" t="s">
        <v>116</v>
      </c>
      <c r="F201" s="92">
        <f>4000*2630</f>
        <v>10520000</v>
      </c>
    </row>
    <row r="202" spans="1:7" s="53" customFormat="1" x14ac:dyDescent="0.35">
      <c r="A202" s="231"/>
      <c r="B202" s="88"/>
      <c r="C202" s="89" t="s">
        <v>117</v>
      </c>
      <c r="D202" s="90">
        <f>1500*120</f>
        <v>180000</v>
      </c>
      <c r="E202" s="93" t="s">
        <v>118</v>
      </c>
      <c r="F202" s="94">
        <f>(2400*2630)+(1600*2630)</f>
        <v>10520000</v>
      </c>
    </row>
    <row r="203" spans="1:7" s="53" customFormat="1" ht="15" thickBot="1" x14ac:dyDescent="0.4">
      <c r="A203" s="231"/>
      <c r="B203" s="88" t="s">
        <v>119</v>
      </c>
      <c r="C203" s="89" t="s">
        <v>120</v>
      </c>
      <c r="D203" s="95">
        <v>30000</v>
      </c>
      <c r="E203" s="96" t="s">
        <v>121</v>
      </c>
      <c r="F203" s="97">
        <f>F201-F202</f>
        <v>0</v>
      </c>
      <c r="G203" s="98">
        <f>F203/2630</f>
        <v>0</v>
      </c>
    </row>
    <row r="204" spans="1:7" s="53" customFormat="1" ht="15" thickTop="1" x14ac:dyDescent="0.35">
      <c r="A204" s="231"/>
      <c r="B204" s="88"/>
      <c r="C204" s="89" t="s">
        <v>122</v>
      </c>
      <c r="D204" s="90">
        <v>140000</v>
      </c>
      <c r="F204" s="94"/>
    </row>
    <row r="205" spans="1:7" s="53" customFormat="1" x14ac:dyDescent="0.35">
      <c r="A205" s="231"/>
      <c r="B205" s="88" t="s">
        <v>195</v>
      </c>
      <c r="C205" s="99" t="s">
        <v>123</v>
      </c>
      <c r="D205" s="90">
        <v>15000</v>
      </c>
      <c r="E205" s="91" t="s">
        <v>124</v>
      </c>
      <c r="F205" s="92"/>
    </row>
    <row r="206" spans="1:7" s="53" customFormat="1" x14ac:dyDescent="0.35">
      <c r="A206" s="231"/>
      <c r="B206" s="101"/>
      <c r="C206" s="99" t="s">
        <v>125</v>
      </c>
      <c r="D206" s="100">
        <v>10000</v>
      </c>
      <c r="E206" s="102"/>
      <c r="F206" s="103"/>
    </row>
    <row r="207" spans="1:7" s="53" customFormat="1" x14ac:dyDescent="0.35">
      <c r="A207" s="231"/>
      <c r="B207" s="101"/>
      <c r="C207" s="99" t="s">
        <v>126</v>
      </c>
      <c r="D207" s="100">
        <v>30000</v>
      </c>
      <c r="E207" s="102" t="s">
        <v>127</v>
      </c>
      <c r="F207" s="103"/>
    </row>
    <row r="208" spans="1:7" s="53" customFormat="1" x14ac:dyDescent="0.35">
      <c r="A208" s="231"/>
      <c r="B208" s="101"/>
      <c r="C208" s="89" t="s">
        <v>128</v>
      </c>
      <c r="D208" s="104">
        <f>100*120</f>
        <v>12000</v>
      </c>
      <c r="E208" s="102" t="s">
        <v>200</v>
      </c>
      <c r="F208" s="103"/>
    </row>
    <row r="209" spans="1:6" s="53" customFormat="1" ht="15" thickBot="1" x14ac:dyDescent="0.4">
      <c r="A209" s="231"/>
      <c r="B209" s="105"/>
      <c r="C209" s="106"/>
      <c r="D209" s="107"/>
      <c r="E209" s="53" t="s">
        <v>474</v>
      </c>
      <c r="F209" s="94"/>
    </row>
    <row r="210" spans="1:6" s="53" customFormat="1" ht="15" thickBot="1" x14ac:dyDescent="0.4">
      <c r="A210" s="223"/>
      <c r="B210" s="108"/>
      <c r="C210" s="109" t="s">
        <v>129</v>
      </c>
      <c r="D210" s="110">
        <f>SUM(D197:D209)</f>
        <v>7539350</v>
      </c>
      <c r="F210" s="94"/>
    </row>
    <row r="211" spans="1:6" s="53" customFormat="1" ht="15" thickTop="1" x14ac:dyDescent="0.35">
      <c r="A211" s="223"/>
      <c r="B211" s="226"/>
      <c r="C211" s="226"/>
      <c r="D211" s="226"/>
      <c r="F211" s="94"/>
    </row>
    <row r="212" spans="1:6" s="53" customFormat="1" x14ac:dyDescent="0.35">
      <c r="B212" s="87"/>
      <c r="C212" s="53" t="s">
        <v>130</v>
      </c>
      <c r="D212" s="111">
        <f>D194-D210</f>
        <v>2980650</v>
      </c>
      <c r="F212" s="94"/>
    </row>
    <row r="213" spans="1:6" s="53" customFormat="1" x14ac:dyDescent="0.35">
      <c r="B213" s="87"/>
      <c r="D213" s="111"/>
      <c r="F213" s="94"/>
    </row>
    <row r="214" spans="1:6" s="53" customFormat="1" x14ac:dyDescent="0.35">
      <c r="A214" s="112"/>
      <c r="B214" s="113"/>
      <c r="C214" s="112"/>
      <c r="D214" s="114"/>
      <c r="E214" s="112"/>
      <c r="F214" s="178"/>
    </row>
    <row r="217" spans="1:6" s="53" customFormat="1" ht="23.5" x14ac:dyDescent="0.55000000000000004">
      <c r="B217" s="227" t="s">
        <v>0</v>
      </c>
      <c r="C217" s="227"/>
      <c r="D217" s="227"/>
      <c r="E217" s="70"/>
      <c r="F217" s="176"/>
    </row>
    <row r="218" spans="1:6" s="53" customFormat="1" ht="20.5" x14ac:dyDescent="0.45">
      <c r="B218" s="71"/>
      <c r="C218" s="72" t="s">
        <v>207</v>
      </c>
      <c r="D218" s="73"/>
      <c r="F218" s="94"/>
    </row>
    <row r="219" spans="1:6" s="53" customFormat="1" ht="21" thickBot="1" x14ac:dyDescent="0.5">
      <c r="B219" s="71" t="s">
        <v>208</v>
      </c>
      <c r="C219" s="74" t="s">
        <v>103</v>
      </c>
      <c r="D219" s="73"/>
      <c r="F219" s="94"/>
    </row>
    <row r="220" spans="1:6" s="53" customFormat="1" ht="15" thickBot="1" x14ac:dyDescent="0.4">
      <c r="A220" s="75" t="s">
        <v>104</v>
      </c>
      <c r="B220" s="76" t="s">
        <v>81</v>
      </c>
      <c r="C220" s="76" t="s">
        <v>105</v>
      </c>
      <c r="D220" s="77" t="s">
        <v>84</v>
      </c>
      <c r="F220" s="94"/>
    </row>
    <row r="221" spans="1:6" s="53" customFormat="1" ht="14.5" customHeight="1" x14ac:dyDescent="0.35">
      <c r="A221" s="222" t="s">
        <v>86</v>
      </c>
      <c r="B221" s="78" t="s">
        <v>209</v>
      </c>
      <c r="C221" s="79" t="s">
        <v>106</v>
      </c>
      <c r="D221" s="80">
        <f>F228</f>
        <v>10520000</v>
      </c>
      <c r="F221" s="94"/>
    </row>
    <row r="222" spans="1:6" s="53" customFormat="1" ht="21" thickBot="1" x14ac:dyDescent="0.5">
      <c r="A222" s="223"/>
      <c r="B222" s="71"/>
      <c r="C222" s="71"/>
      <c r="D222" s="73"/>
      <c r="F222" s="94"/>
    </row>
    <row r="223" spans="1:6" s="53" customFormat="1" ht="15" thickBot="1" x14ac:dyDescent="0.4">
      <c r="A223" s="223"/>
      <c r="B223" s="81" t="s">
        <v>81</v>
      </c>
      <c r="C223" s="82" t="s">
        <v>107</v>
      </c>
      <c r="D223" s="83" t="s">
        <v>108</v>
      </c>
      <c r="F223" s="94"/>
    </row>
    <row r="224" spans="1:6" s="87" customFormat="1" x14ac:dyDescent="0.35">
      <c r="A224" s="231"/>
      <c r="B224" s="84" t="str">
        <f>B221</f>
        <v>16th January,2025</v>
      </c>
      <c r="C224" s="85" t="s">
        <v>158</v>
      </c>
      <c r="D224" s="86">
        <f>2000*2630</f>
        <v>5260000</v>
      </c>
      <c r="F224" s="177"/>
    </row>
    <row r="225" spans="1:7" s="53" customFormat="1" x14ac:dyDescent="0.35">
      <c r="A225" s="231"/>
      <c r="B225" s="88"/>
      <c r="C225" s="89" t="s">
        <v>210</v>
      </c>
      <c r="D225" s="90">
        <f>319*2650</f>
        <v>845350</v>
      </c>
      <c r="F225" s="94"/>
    </row>
    <row r="226" spans="1:7" s="53" customFormat="1" x14ac:dyDescent="0.35">
      <c r="A226" s="231"/>
      <c r="B226" s="88" t="s">
        <v>109</v>
      </c>
      <c r="C226" s="89" t="s">
        <v>110</v>
      </c>
      <c r="D226" s="90">
        <v>1000000</v>
      </c>
      <c r="F226" s="94"/>
    </row>
    <row r="227" spans="1:7" s="53" customFormat="1" x14ac:dyDescent="0.35">
      <c r="A227" s="231"/>
      <c r="B227" s="88" t="s">
        <v>111</v>
      </c>
      <c r="C227" s="89" t="s">
        <v>112</v>
      </c>
      <c r="D227" s="90">
        <v>40000</v>
      </c>
      <c r="E227" s="225" t="s">
        <v>113</v>
      </c>
      <c r="F227" s="225"/>
    </row>
    <row r="228" spans="1:7" s="53" customFormat="1" x14ac:dyDescent="0.35">
      <c r="A228" s="231"/>
      <c r="B228" s="88" t="s">
        <v>114</v>
      </c>
      <c r="C228" s="89" t="s">
        <v>115</v>
      </c>
      <c r="D228" s="90">
        <f>250*120</f>
        <v>30000</v>
      </c>
      <c r="E228" s="91" t="s">
        <v>116</v>
      </c>
      <c r="F228" s="92">
        <f>4000*2630</f>
        <v>10520000</v>
      </c>
    </row>
    <row r="229" spans="1:7" s="53" customFormat="1" x14ac:dyDescent="0.35">
      <c r="A229" s="231"/>
      <c r="B229" s="88"/>
      <c r="C229" s="89" t="s">
        <v>117</v>
      </c>
      <c r="D229" s="90">
        <f>2000*120</f>
        <v>240000</v>
      </c>
      <c r="E229" s="93" t="s">
        <v>118</v>
      </c>
      <c r="F229" s="94">
        <f>(2400*2630)+(1600*2630)</f>
        <v>10520000</v>
      </c>
    </row>
    <row r="230" spans="1:7" s="53" customFormat="1" ht="15" thickBot="1" x14ac:dyDescent="0.4">
      <c r="A230" s="231"/>
      <c r="B230" s="88" t="s">
        <v>119</v>
      </c>
      <c r="C230" s="89" t="s">
        <v>120</v>
      </c>
      <c r="D230" s="95">
        <v>30000</v>
      </c>
      <c r="E230" s="96" t="s">
        <v>121</v>
      </c>
      <c r="F230" s="97">
        <f>F228-F229</f>
        <v>0</v>
      </c>
      <c r="G230" s="98">
        <f>F230/2630</f>
        <v>0</v>
      </c>
    </row>
    <row r="231" spans="1:7" s="53" customFormat="1" ht="15" thickTop="1" x14ac:dyDescent="0.35">
      <c r="A231" s="231"/>
      <c r="B231" s="88"/>
      <c r="C231" s="89" t="s">
        <v>122</v>
      </c>
      <c r="D231" s="90">
        <v>140000</v>
      </c>
      <c r="F231" s="94"/>
    </row>
    <row r="232" spans="1:7" s="53" customFormat="1" x14ac:dyDescent="0.35">
      <c r="A232" s="231"/>
      <c r="B232" s="88" t="s">
        <v>205</v>
      </c>
      <c r="C232" s="99" t="s">
        <v>123</v>
      </c>
      <c r="D232" s="90">
        <v>15000</v>
      </c>
      <c r="E232" s="91" t="s">
        <v>124</v>
      </c>
      <c r="F232" s="92"/>
    </row>
    <row r="233" spans="1:7" s="53" customFormat="1" x14ac:dyDescent="0.35">
      <c r="A233" s="231"/>
      <c r="B233" s="101"/>
      <c r="C233" s="99" t="s">
        <v>125</v>
      </c>
      <c r="D233" s="100">
        <v>10000</v>
      </c>
      <c r="E233" s="102"/>
      <c r="F233" s="103"/>
    </row>
    <row r="234" spans="1:7" s="53" customFormat="1" x14ac:dyDescent="0.35">
      <c r="A234" s="231"/>
      <c r="B234" s="101"/>
      <c r="C234" s="99" t="s">
        <v>126</v>
      </c>
      <c r="D234" s="100">
        <v>20000</v>
      </c>
      <c r="E234" s="102" t="s">
        <v>127</v>
      </c>
      <c r="F234" s="103"/>
    </row>
    <row r="235" spans="1:7" s="53" customFormat="1" x14ac:dyDescent="0.35">
      <c r="A235" s="231"/>
      <c r="B235" s="101"/>
      <c r="C235" s="89" t="s">
        <v>128</v>
      </c>
      <c r="D235" s="104">
        <f>200*120</f>
        <v>24000</v>
      </c>
      <c r="E235" s="102" t="s">
        <v>241</v>
      </c>
      <c r="F235" s="103"/>
    </row>
    <row r="236" spans="1:7" s="53" customFormat="1" ht="15" thickBot="1" x14ac:dyDescent="0.4">
      <c r="A236" s="231"/>
      <c r="B236" s="105"/>
      <c r="C236" s="106"/>
      <c r="D236" s="107"/>
      <c r="E236" s="53" t="s">
        <v>363</v>
      </c>
      <c r="F236" s="94"/>
    </row>
    <row r="237" spans="1:7" s="53" customFormat="1" ht="15" thickBot="1" x14ac:dyDescent="0.4">
      <c r="A237" s="223"/>
      <c r="B237" s="108"/>
      <c r="C237" s="109" t="s">
        <v>129</v>
      </c>
      <c r="D237" s="110">
        <f>SUM(D224:D236)</f>
        <v>7654350</v>
      </c>
      <c r="F237" s="94"/>
    </row>
    <row r="238" spans="1:7" s="53" customFormat="1" ht="15" thickTop="1" x14ac:dyDescent="0.35">
      <c r="A238" s="223"/>
      <c r="B238" s="226"/>
      <c r="C238" s="226"/>
      <c r="D238" s="226"/>
      <c r="F238" s="94"/>
    </row>
    <row r="239" spans="1:7" s="53" customFormat="1" x14ac:dyDescent="0.35">
      <c r="B239" s="87"/>
      <c r="C239" s="53" t="s">
        <v>130</v>
      </c>
      <c r="D239" s="111">
        <f>D221-D237</f>
        <v>2865650</v>
      </c>
      <c r="F239" s="94"/>
    </row>
    <row r="240" spans="1:7" s="53" customFormat="1" x14ac:dyDescent="0.35">
      <c r="B240" s="87"/>
      <c r="D240" s="111"/>
      <c r="F240" s="94"/>
    </row>
    <row r="241" spans="1:6" s="53" customFormat="1" x14ac:dyDescent="0.35">
      <c r="A241" s="112"/>
      <c r="B241" s="113"/>
      <c r="C241" s="112"/>
      <c r="D241" s="114"/>
      <c r="E241" s="112"/>
      <c r="F241" s="178"/>
    </row>
    <row r="244" spans="1:6" s="53" customFormat="1" ht="23.5" x14ac:dyDescent="0.55000000000000004">
      <c r="B244" s="227" t="s">
        <v>0</v>
      </c>
      <c r="C244" s="227"/>
      <c r="D244" s="227"/>
      <c r="E244" s="70"/>
      <c r="F244" s="176"/>
    </row>
    <row r="245" spans="1:6" s="53" customFormat="1" ht="20.5" x14ac:dyDescent="0.45">
      <c r="B245" s="71"/>
      <c r="C245" s="72" t="s">
        <v>214</v>
      </c>
      <c r="D245" s="73"/>
      <c r="F245" s="94"/>
    </row>
    <row r="246" spans="1:6" s="53" customFormat="1" ht="21" thickBot="1" x14ac:dyDescent="0.5">
      <c r="B246" s="71" t="s">
        <v>215</v>
      </c>
      <c r="C246" s="74" t="s">
        <v>103</v>
      </c>
      <c r="D246" s="73"/>
      <c r="F246" s="94"/>
    </row>
    <row r="247" spans="1:6" s="53" customFormat="1" ht="15" thickBot="1" x14ac:dyDescent="0.4">
      <c r="A247" s="75" t="s">
        <v>104</v>
      </c>
      <c r="B247" s="76" t="s">
        <v>81</v>
      </c>
      <c r="C247" s="76" t="s">
        <v>105</v>
      </c>
      <c r="D247" s="77" t="s">
        <v>84</v>
      </c>
      <c r="F247" s="94"/>
    </row>
    <row r="248" spans="1:6" s="53" customFormat="1" ht="14.5" customHeight="1" x14ac:dyDescent="0.35">
      <c r="A248" s="222" t="s">
        <v>86</v>
      </c>
      <c r="B248" s="78" t="s">
        <v>209</v>
      </c>
      <c r="C248" s="79" t="s">
        <v>106</v>
      </c>
      <c r="D248" s="80">
        <f>F255</f>
        <v>10520000</v>
      </c>
      <c r="F248" s="94"/>
    </row>
    <row r="249" spans="1:6" s="53" customFormat="1" ht="21" thickBot="1" x14ac:dyDescent="0.5">
      <c r="A249" s="223"/>
      <c r="B249" s="71"/>
      <c r="C249" s="71"/>
      <c r="D249" s="73"/>
      <c r="F249" s="94"/>
    </row>
    <row r="250" spans="1:6" s="53" customFormat="1" ht="15" thickBot="1" x14ac:dyDescent="0.4">
      <c r="A250" s="223"/>
      <c r="B250" s="81" t="s">
        <v>81</v>
      </c>
      <c r="C250" s="82" t="s">
        <v>107</v>
      </c>
      <c r="D250" s="83" t="s">
        <v>108</v>
      </c>
      <c r="F250" s="94"/>
    </row>
    <row r="251" spans="1:6" s="87" customFormat="1" x14ac:dyDescent="0.35">
      <c r="A251" s="231"/>
      <c r="B251" s="84" t="str">
        <f>B248</f>
        <v>16th January,2025</v>
      </c>
      <c r="C251" s="85" t="s">
        <v>219</v>
      </c>
      <c r="D251" s="86">
        <f>2000*2650</f>
        <v>5300000</v>
      </c>
      <c r="F251" s="177"/>
    </row>
    <row r="252" spans="1:6" s="53" customFormat="1" x14ac:dyDescent="0.35">
      <c r="A252" s="231"/>
      <c r="B252" s="88"/>
      <c r="C252" s="89" t="s">
        <v>210</v>
      </c>
      <c r="D252" s="90">
        <f>319*2650</f>
        <v>845350</v>
      </c>
      <c r="F252" s="94"/>
    </row>
    <row r="253" spans="1:6" s="53" customFormat="1" x14ac:dyDescent="0.35">
      <c r="A253" s="231"/>
      <c r="B253" s="88" t="s">
        <v>109</v>
      </c>
      <c r="C253" s="89" t="s">
        <v>110</v>
      </c>
      <c r="D253" s="90">
        <v>1000000</v>
      </c>
      <c r="F253" s="94"/>
    </row>
    <row r="254" spans="1:6" s="53" customFormat="1" x14ac:dyDescent="0.35">
      <c r="A254" s="231"/>
      <c r="B254" s="88" t="s">
        <v>111</v>
      </c>
      <c r="C254" s="89" t="s">
        <v>112</v>
      </c>
      <c r="D254" s="90">
        <v>40000</v>
      </c>
      <c r="E254" s="225" t="s">
        <v>113</v>
      </c>
      <c r="F254" s="225"/>
    </row>
    <row r="255" spans="1:6" s="53" customFormat="1" x14ac:dyDescent="0.35">
      <c r="A255" s="231"/>
      <c r="B255" s="88" t="s">
        <v>206</v>
      </c>
      <c r="C255" s="89" t="s">
        <v>115</v>
      </c>
      <c r="D255" s="90">
        <f>250*120</f>
        <v>30000</v>
      </c>
      <c r="E255" s="91" t="s">
        <v>116</v>
      </c>
      <c r="F255" s="92">
        <f>4000*2630</f>
        <v>10520000</v>
      </c>
    </row>
    <row r="256" spans="1:6" s="53" customFormat="1" x14ac:dyDescent="0.35">
      <c r="A256" s="231"/>
      <c r="B256" s="88"/>
      <c r="C256" s="89" t="s">
        <v>117</v>
      </c>
      <c r="D256" s="90">
        <f>2500*120</f>
        <v>300000</v>
      </c>
      <c r="E256" s="93" t="s">
        <v>118</v>
      </c>
      <c r="F256" s="94">
        <f>(2400*2630)+(1600*2630)</f>
        <v>10520000</v>
      </c>
    </row>
    <row r="257" spans="1:7" s="53" customFormat="1" ht="15" thickBot="1" x14ac:dyDescent="0.4">
      <c r="A257" s="231"/>
      <c r="B257" s="88" t="s">
        <v>119</v>
      </c>
      <c r="C257" s="89" t="s">
        <v>120</v>
      </c>
      <c r="D257" s="90">
        <v>30000</v>
      </c>
      <c r="E257" s="96" t="s">
        <v>121</v>
      </c>
      <c r="F257" s="97">
        <f>F255-F256</f>
        <v>0</v>
      </c>
      <c r="G257" s="98">
        <f>F257/2630</f>
        <v>0</v>
      </c>
    </row>
    <row r="258" spans="1:7" s="53" customFormat="1" ht="15" thickTop="1" x14ac:dyDescent="0.35">
      <c r="A258" s="231"/>
      <c r="B258" s="88"/>
      <c r="C258" s="89" t="s">
        <v>128</v>
      </c>
      <c r="D258" s="90">
        <f>100*120</f>
        <v>12000</v>
      </c>
      <c r="F258" s="94"/>
    </row>
    <row r="259" spans="1:7" s="53" customFormat="1" x14ac:dyDescent="0.35">
      <c r="A259" s="231"/>
      <c r="B259" s="88" t="s">
        <v>213</v>
      </c>
      <c r="C259" s="99" t="s">
        <v>123</v>
      </c>
      <c r="D259" s="100">
        <v>15000</v>
      </c>
      <c r="E259" s="91" t="s">
        <v>124</v>
      </c>
      <c r="F259" s="92"/>
    </row>
    <row r="260" spans="1:7" s="53" customFormat="1" x14ac:dyDescent="0.35">
      <c r="A260" s="231"/>
      <c r="B260" s="101"/>
      <c r="C260" s="99" t="s">
        <v>126</v>
      </c>
      <c r="D260" s="100">
        <v>40000</v>
      </c>
      <c r="E260" s="102"/>
      <c r="F260" s="103"/>
    </row>
    <row r="261" spans="1:7" s="53" customFormat="1" x14ac:dyDescent="0.35">
      <c r="A261" s="231"/>
      <c r="B261" s="101"/>
      <c r="C261" s="99" t="s">
        <v>265</v>
      </c>
      <c r="D261" s="100">
        <f>470*160</f>
        <v>75200</v>
      </c>
      <c r="E261" s="102" t="s">
        <v>127</v>
      </c>
      <c r="F261" s="103"/>
    </row>
    <row r="262" spans="1:7" s="53" customFormat="1" x14ac:dyDescent="0.35">
      <c r="A262" s="231"/>
      <c r="B262" s="101"/>
      <c r="C262" s="89"/>
      <c r="D262" s="104">
        <v>0</v>
      </c>
      <c r="E262" s="102" t="s">
        <v>242</v>
      </c>
      <c r="F262" s="103"/>
    </row>
    <row r="263" spans="1:7" s="53" customFormat="1" ht="15" thickBot="1" x14ac:dyDescent="0.4">
      <c r="A263" s="231"/>
      <c r="B263" s="105"/>
      <c r="C263" s="106"/>
      <c r="D263" s="107"/>
      <c r="E263" s="53" t="s">
        <v>363</v>
      </c>
      <c r="F263" s="94"/>
    </row>
    <row r="264" spans="1:7" s="53" customFormat="1" ht="15" thickBot="1" x14ac:dyDescent="0.4">
      <c r="A264" s="223"/>
      <c r="B264" s="108"/>
      <c r="C264" s="109" t="s">
        <v>129</v>
      </c>
      <c r="D264" s="110">
        <f>SUM(D251:D263)</f>
        <v>7687550</v>
      </c>
      <c r="F264" s="94"/>
    </row>
    <row r="265" spans="1:7" s="53" customFormat="1" ht="15" thickTop="1" x14ac:dyDescent="0.35">
      <c r="A265" s="223"/>
      <c r="B265" s="226"/>
      <c r="C265" s="226"/>
      <c r="D265" s="226"/>
      <c r="F265" s="94"/>
    </row>
    <row r="266" spans="1:7" s="53" customFormat="1" x14ac:dyDescent="0.35">
      <c r="B266" s="87"/>
      <c r="C266" s="53" t="s">
        <v>130</v>
      </c>
      <c r="D266" s="111">
        <f>D248-D264</f>
        <v>2832450</v>
      </c>
      <c r="F266" s="94"/>
    </row>
    <row r="267" spans="1:7" s="53" customFormat="1" x14ac:dyDescent="0.35">
      <c r="B267" s="87"/>
      <c r="D267" s="111"/>
      <c r="F267" s="94"/>
    </row>
    <row r="268" spans="1:7" s="53" customFormat="1" x14ac:dyDescent="0.35">
      <c r="A268" s="112"/>
      <c r="B268" s="113"/>
      <c r="C268" s="112"/>
      <c r="D268" s="114"/>
      <c r="E268" s="112"/>
      <c r="F268" s="178"/>
    </row>
    <row r="271" spans="1:7" s="53" customFormat="1" ht="23.5" x14ac:dyDescent="0.55000000000000004">
      <c r="B271" s="227" t="s">
        <v>0</v>
      </c>
      <c r="C271" s="227"/>
      <c r="D271" s="227"/>
      <c r="E271" s="70"/>
      <c r="F271" s="176"/>
    </row>
    <row r="272" spans="1:7" s="53" customFormat="1" ht="20.5" x14ac:dyDescent="0.45">
      <c r="B272" s="71"/>
      <c r="C272" s="72" t="s">
        <v>217</v>
      </c>
      <c r="D272" s="73"/>
      <c r="F272" s="94"/>
    </row>
    <row r="273" spans="1:7" s="53" customFormat="1" ht="21" thickBot="1" x14ac:dyDescent="0.5">
      <c r="B273" s="71" t="s">
        <v>218</v>
      </c>
      <c r="C273" s="74" t="s">
        <v>103</v>
      </c>
      <c r="D273" s="73"/>
      <c r="F273" s="94"/>
    </row>
    <row r="274" spans="1:7" s="53" customFormat="1" ht="15" thickBot="1" x14ac:dyDescent="0.4">
      <c r="A274" s="75" t="s">
        <v>104</v>
      </c>
      <c r="B274" s="76" t="s">
        <v>81</v>
      </c>
      <c r="C274" s="76" t="s">
        <v>105</v>
      </c>
      <c r="D274" s="77" t="s">
        <v>84</v>
      </c>
      <c r="F274" s="94"/>
    </row>
    <row r="275" spans="1:7" s="53" customFormat="1" ht="14.5" customHeight="1" x14ac:dyDescent="0.35">
      <c r="A275" s="222" t="s">
        <v>86</v>
      </c>
      <c r="B275" s="78" t="s">
        <v>209</v>
      </c>
      <c r="C275" s="79" t="s">
        <v>106</v>
      </c>
      <c r="D275" s="80">
        <f>F282</f>
        <v>11572000</v>
      </c>
      <c r="F275" s="94"/>
    </row>
    <row r="276" spans="1:7" s="53" customFormat="1" ht="21" thickBot="1" x14ac:dyDescent="0.5">
      <c r="A276" s="223"/>
      <c r="B276" s="71"/>
      <c r="C276" s="71"/>
      <c r="D276" s="73"/>
      <c r="F276" s="94"/>
    </row>
    <row r="277" spans="1:7" s="53" customFormat="1" ht="15" thickBot="1" x14ac:dyDescent="0.4">
      <c r="A277" s="223"/>
      <c r="B277" s="81" t="s">
        <v>81</v>
      </c>
      <c r="C277" s="82" t="s">
        <v>107</v>
      </c>
      <c r="D277" s="83" t="s">
        <v>108</v>
      </c>
      <c r="F277" s="94"/>
    </row>
    <row r="278" spans="1:7" s="87" customFormat="1" x14ac:dyDescent="0.35">
      <c r="A278" s="231"/>
      <c r="B278" s="84" t="str">
        <f>B275</f>
        <v>16th January,2025</v>
      </c>
      <c r="C278" s="85" t="s">
        <v>219</v>
      </c>
      <c r="D278" s="86">
        <f>2000*2650</f>
        <v>5300000</v>
      </c>
      <c r="F278" s="177"/>
    </row>
    <row r="279" spans="1:7" s="53" customFormat="1" x14ac:dyDescent="0.35">
      <c r="A279" s="231"/>
      <c r="B279" s="88"/>
      <c r="C279" s="89" t="s">
        <v>210</v>
      </c>
      <c r="D279" s="90">
        <f>319*2650</f>
        <v>845350</v>
      </c>
      <c r="F279" s="94"/>
    </row>
    <row r="280" spans="1:7" s="53" customFormat="1" x14ac:dyDescent="0.35">
      <c r="A280" s="231"/>
      <c r="B280" s="88" t="s">
        <v>109</v>
      </c>
      <c r="C280" s="89" t="s">
        <v>110</v>
      </c>
      <c r="D280" s="90">
        <v>1000000</v>
      </c>
      <c r="F280" s="94"/>
    </row>
    <row r="281" spans="1:7" s="53" customFormat="1" x14ac:dyDescent="0.35">
      <c r="A281" s="231"/>
      <c r="B281" s="88" t="s">
        <v>111</v>
      </c>
      <c r="C281" s="89" t="s">
        <v>112</v>
      </c>
      <c r="D281" s="90">
        <v>40000</v>
      </c>
      <c r="E281" s="225" t="s">
        <v>113</v>
      </c>
      <c r="F281" s="225"/>
    </row>
    <row r="282" spans="1:7" s="53" customFormat="1" x14ac:dyDescent="0.35">
      <c r="A282" s="231"/>
      <c r="B282" s="88" t="s">
        <v>114</v>
      </c>
      <c r="C282" s="89" t="s">
        <v>115</v>
      </c>
      <c r="D282" s="90">
        <f>550*120</f>
        <v>66000</v>
      </c>
      <c r="E282" s="91" t="s">
        <v>116</v>
      </c>
      <c r="F282" s="92">
        <f>4400*2630</f>
        <v>11572000</v>
      </c>
    </row>
    <row r="283" spans="1:7" s="53" customFormat="1" x14ac:dyDescent="0.35">
      <c r="A283" s="231"/>
      <c r="B283" s="88"/>
      <c r="C283" s="89" t="s">
        <v>117</v>
      </c>
      <c r="D283" s="90">
        <f>2000*120</f>
        <v>240000</v>
      </c>
      <c r="E283" s="93" t="s">
        <v>118</v>
      </c>
      <c r="F283" s="94">
        <f>(2400*2630)+(1600*2630)+(400*2630)</f>
        <v>11572000</v>
      </c>
    </row>
    <row r="284" spans="1:7" s="53" customFormat="1" ht="15" thickBot="1" x14ac:dyDescent="0.4">
      <c r="A284" s="231"/>
      <c r="B284" s="88" t="s">
        <v>119</v>
      </c>
      <c r="C284" s="89" t="s">
        <v>120</v>
      </c>
      <c r="D284" s="95">
        <v>30000</v>
      </c>
      <c r="E284" s="96" t="s">
        <v>121</v>
      </c>
      <c r="F284" s="97">
        <f>F282-F283</f>
        <v>0</v>
      </c>
      <c r="G284" s="98">
        <f>F284/2630</f>
        <v>0</v>
      </c>
    </row>
    <row r="285" spans="1:7" s="53" customFormat="1" ht="15" thickTop="1" x14ac:dyDescent="0.35">
      <c r="A285" s="231"/>
      <c r="B285" s="88"/>
      <c r="C285" s="89" t="s">
        <v>315</v>
      </c>
      <c r="D285" s="90">
        <f>100*120</f>
        <v>12000</v>
      </c>
      <c r="F285" s="94"/>
    </row>
    <row r="286" spans="1:7" s="53" customFormat="1" x14ac:dyDescent="0.35">
      <c r="A286" s="231"/>
      <c r="B286" s="88" t="s">
        <v>213</v>
      </c>
      <c r="C286" s="99" t="s">
        <v>123</v>
      </c>
      <c r="D286" s="100">
        <v>15000</v>
      </c>
      <c r="E286" s="91" t="s">
        <v>124</v>
      </c>
      <c r="F286" s="92"/>
    </row>
    <row r="287" spans="1:7" s="53" customFormat="1" x14ac:dyDescent="0.35">
      <c r="A287" s="231"/>
      <c r="B287" s="101"/>
      <c r="C287" s="99" t="s">
        <v>126</v>
      </c>
      <c r="D287" s="100">
        <v>30000</v>
      </c>
      <c r="E287" s="102"/>
      <c r="F287" s="103"/>
    </row>
    <row r="288" spans="1:7" s="53" customFormat="1" x14ac:dyDescent="0.35">
      <c r="A288" s="231"/>
      <c r="B288" s="101"/>
      <c r="C288" s="99"/>
      <c r="D288" s="100"/>
      <c r="E288" s="102" t="s">
        <v>127</v>
      </c>
      <c r="F288" s="103"/>
    </row>
    <row r="289" spans="1:6" s="53" customFormat="1" x14ac:dyDescent="0.35">
      <c r="A289" s="231"/>
      <c r="B289" s="101"/>
      <c r="C289" s="89"/>
      <c r="D289" s="104"/>
      <c r="E289" s="102" t="s">
        <v>242</v>
      </c>
      <c r="F289" s="103"/>
    </row>
    <row r="290" spans="1:6" s="53" customFormat="1" ht="15" thickBot="1" x14ac:dyDescent="0.4">
      <c r="A290" s="231"/>
      <c r="B290" s="105"/>
      <c r="C290" s="106"/>
      <c r="D290" s="107"/>
      <c r="E290" s="53" t="s">
        <v>474</v>
      </c>
      <c r="F290" s="94"/>
    </row>
    <row r="291" spans="1:6" s="53" customFormat="1" ht="15" thickBot="1" x14ac:dyDescent="0.4">
      <c r="A291" s="223"/>
      <c r="B291" s="108"/>
      <c r="C291" s="109" t="s">
        <v>129</v>
      </c>
      <c r="D291" s="110">
        <f>SUM(D278:D290)</f>
        <v>7578350</v>
      </c>
      <c r="E291" s="53" t="s">
        <v>488</v>
      </c>
      <c r="F291" s="94"/>
    </row>
    <row r="292" spans="1:6" s="53" customFormat="1" ht="15" thickTop="1" x14ac:dyDescent="0.35">
      <c r="A292" s="223"/>
      <c r="B292" s="226"/>
      <c r="C292" s="226"/>
      <c r="D292" s="226"/>
      <c r="F292" s="94"/>
    </row>
    <row r="293" spans="1:6" s="53" customFormat="1" x14ac:dyDescent="0.35">
      <c r="B293" s="87"/>
      <c r="C293" s="53" t="s">
        <v>130</v>
      </c>
      <c r="D293" s="111">
        <f>D275-D291</f>
        <v>3993650</v>
      </c>
      <c r="F293" s="94"/>
    </row>
    <row r="294" spans="1:6" s="53" customFormat="1" x14ac:dyDescent="0.35">
      <c r="B294" s="87"/>
      <c r="D294" s="111"/>
      <c r="F294" s="94"/>
    </row>
    <row r="295" spans="1:6" s="53" customFormat="1" x14ac:dyDescent="0.35">
      <c r="A295" s="112"/>
      <c r="B295" s="113"/>
      <c r="C295" s="112"/>
      <c r="D295" s="114"/>
      <c r="E295" s="112"/>
      <c r="F295" s="178"/>
    </row>
    <row r="297" spans="1:6" s="53" customFormat="1" ht="23.5" x14ac:dyDescent="0.55000000000000004">
      <c r="B297" s="227" t="s">
        <v>0</v>
      </c>
      <c r="C297" s="227"/>
      <c r="D297" s="227"/>
      <c r="E297" s="70"/>
      <c r="F297" s="176"/>
    </row>
    <row r="298" spans="1:6" s="53" customFormat="1" ht="20.5" x14ac:dyDescent="0.45">
      <c r="B298" s="71"/>
      <c r="C298" s="72" t="s">
        <v>221</v>
      </c>
      <c r="D298" s="73"/>
      <c r="F298" s="94"/>
    </row>
    <row r="299" spans="1:6" s="53" customFormat="1" ht="21" thickBot="1" x14ac:dyDescent="0.5">
      <c r="B299" s="71" t="s">
        <v>222</v>
      </c>
      <c r="C299" s="74" t="s">
        <v>103</v>
      </c>
      <c r="D299" s="73"/>
      <c r="F299" s="94"/>
    </row>
    <row r="300" spans="1:6" s="53" customFormat="1" ht="15" thickBot="1" x14ac:dyDescent="0.4">
      <c r="A300" s="75" t="s">
        <v>104</v>
      </c>
      <c r="B300" s="76" t="s">
        <v>81</v>
      </c>
      <c r="C300" s="76" t="s">
        <v>105</v>
      </c>
      <c r="D300" s="77" t="s">
        <v>84</v>
      </c>
      <c r="F300" s="94"/>
    </row>
    <row r="301" spans="1:6" s="53" customFormat="1" ht="14.5" customHeight="1" x14ac:dyDescent="0.35">
      <c r="A301" s="222" t="s">
        <v>86</v>
      </c>
      <c r="B301" s="78" t="s">
        <v>209</v>
      </c>
      <c r="C301" s="79" t="s">
        <v>106</v>
      </c>
      <c r="D301" s="80">
        <f>F308</f>
        <v>11309000</v>
      </c>
      <c r="F301" s="94"/>
    </row>
    <row r="302" spans="1:6" s="53" customFormat="1" ht="21" thickBot="1" x14ac:dyDescent="0.5">
      <c r="A302" s="223"/>
      <c r="B302" s="71"/>
      <c r="C302" s="71"/>
      <c r="D302" s="73"/>
      <c r="F302" s="94"/>
    </row>
    <row r="303" spans="1:6" s="53" customFormat="1" ht="15" thickBot="1" x14ac:dyDescent="0.4">
      <c r="A303" s="223"/>
      <c r="B303" s="81" t="s">
        <v>81</v>
      </c>
      <c r="C303" s="82" t="s">
        <v>107</v>
      </c>
      <c r="D303" s="83" t="s">
        <v>108</v>
      </c>
      <c r="F303" s="94"/>
    </row>
    <row r="304" spans="1:6" s="87" customFormat="1" x14ac:dyDescent="0.35">
      <c r="A304" s="231"/>
      <c r="B304" s="84" t="str">
        <f>B301</f>
        <v>16th January,2025</v>
      </c>
      <c r="C304" s="85" t="s">
        <v>219</v>
      </c>
      <c r="D304" s="86">
        <f>2000*2650</f>
        <v>5300000</v>
      </c>
      <c r="F304" s="177"/>
    </row>
    <row r="305" spans="1:7" s="53" customFormat="1" x14ac:dyDescent="0.35">
      <c r="A305" s="231"/>
      <c r="B305" s="88"/>
      <c r="C305" s="89" t="s">
        <v>210</v>
      </c>
      <c r="D305" s="90">
        <f>319*2650</f>
        <v>845350</v>
      </c>
      <c r="F305" s="94"/>
    </row>
    <row r="306" spans="1:7" s="53" customFormat="1" x14ac:dyDescent="0.35">
      <c r="A306" s="231"/>
      <c r="B306" s="88" t="s">
        <v>109</v>
      </c>
      <c r="C306" s="89" t="s">
        <v>110</v>
      </c>
      <c r="D306" s="90">
        <v>1000000</v>
      </c>
      <c r="F306" s="94"/>
    </row>
    <row r="307" spans="1:7" s="53" customFormat="1" x14ac:dyDescent="0.35">
      <c r="A307" s="231"/>
      <c r="B307" s="88" t="s">
        <v>111</v>
      </c>
      <c r="C307" s="89" t="s">
        <v>112</v>
      </c>
      <c r="D307" s="90">
        <v>40000</v>
      </c>
      <c r="E307" s="225" t="s">
        <v>113</v>
      </c>
      <c r="F307" s="225"/>
    </row>
    <row r="308" spans="1:7" s="53" customFormat="1" x14ac:dyDescent="0.35">
      <c r="A308" s="231"/>
      <c r="B308" s="88" t="s">
        <v>114</v>
      </c>
      <c r="C308" s="89" t="s">
        <v>115</v>
      </c>
      <c r="D308" s="90">
        <f>550*120</f>
        <v>66000</v>
      </c>
      <c r="E308" s="91" t="s">
        <v>116</v>
      </c>
      <c r="F308" s="92">
        <f>4300*2630</f>
        <v>11309000</v>
      </c>
    </row>
    <row r="309" spans="1:7" s="53" customFormat="1" x14ac:dyDescent="0.35">
      <c r="A309" s="231"/>
      <c r="B309" s="88"/>
      <c r="C309" s="89" t="s">
        <v>117</v>
      </c>
      <c r="D309" s="90">
        <f>2000*120</f>
        <v>240000</v>
      </c>
      <c r="E309" s="93" t="s">
        <v>118</v>
      </c>
      <c r="F309" s="94">
        <f>(2400*2630)+(1600*2630)+(300*2630)</f>
        <v>11309000</v>
      </c>
    </row>
    <row r="310" spans="1:7" s="53" customFormat="1" ht="15" thickBot="1" x14ac:dyDescent="0.4">
      <c r="A310" s="231"/>
      <c r="B310" s="88" t="s">
        <v>119</v>
      </c>
      <c r="C310" s="89" t="s">
        <v>120</v>
      </c>
      <c r="D310" s="95">
        <v>30000</v>
      </c>
      <c r="E310" s="96" t="s">
        <v>121</v>
      </c>
      <c r="F310" s="97">
        <f>F308-F309</f>
        <v>0</v>
      </c>
      <c r="G310" s="98">
        <f>F310/2630</f>
        <v>0</v>
      </c>
    </row>
    <row r="311" spans="1:7" s="53" customFormat="1" ht="15" thickTop="1" x14ac:dyDescent="0.35">
      <c r="A311" s="231"/>
      <c r="B311" s="88"/>
      <c r="C311" s="89" t="s">
        <v>315</v>
      </c>
      <c r="D311" s="90">
        <f>100*120</f>
        <v>12000</v>
      </c>
      <c r="F311" s="94"/>
    </row>
    <row r="312" spans="1:7" s="53" customFormat="1" x14ac:dyDescent="0.35">
      <c r="A312" s="231"/>
      <c r="B312" s="88" t="s">
        <v>213</v>
      </c>
      <c r="C312" s="99" t="s">
        <v>123</v>
      </c>
      <c r="D312" s="100">
        <v>15000</v>
      </c>
      <c r="E312" s="91" t="s">
        <v>124</v>
      </c>
      <c r="F312" s="92"/>
    </row>
    <row r="313" spans="1:7" s="53" customFormat="1" x14ac:dyDescent="0.35">
      <c r="A313" s="231"/>
      <c r="B313" s="101"/>
      <c r="C313" s="99" t="s">
        <v>126</v>
      </c>
      <c r="D313" s="100">
        <v>30000</v>
      </c>
      <c r="E313" s="102"/>
      <c r="F313" s="103"/>
    </row>
    <row r="314" spans="1:7" s="53" customFormat="1" x14ac:dyDescent="0.35">
      <c r="A314" s="231"/>
      <c r="B314" s="101"/>
      <c r="C314" s="99"/>
      <c r="D314" s="100"/>
      <c r="E314" s="102" t="s">
        <v>127</v>
      </c>
      <c r="F314" s="103"/>
    </row>
    <row r="315" spans="1:7" s="53" customFormat="1" x14ac:dyDescent="0.35">
      <c r="A315" s="231"/>
      <c r="B315" s="101"/>
      <c r="C315" s="89"/>
      <c r="D315" s="104"/>
      <c r="E315" s="102" t="s">
        <v>242</v>
      </c>
      <c r="F315" s="103"/>
    </row>
    <row r="316" spans="1:7" s="53" customFormat="1" ht="15" thickBot="1" x14ac:dyDescent="0.4">
      <c r="A316" s="231"/>
      <c r="B316" s="105"/>
      <c r="C316" s="106"/>
      <c r="D316" s="107"/>
      <c r="E316" s="53" t="s">
        <v>474</v>
      </c>
      <c r="F316" s="94"/>
    </row>
    <row r="317" spans="1:7" s="53" customFormat="1" ht="15" thickBot="1" x14ac:dyDescent="0.4">
      <c r="A317" s="223"/>
      <c r="B317" s="108"/>
      <c r="C317" s="109" t="s">
        <v>129</v>
      </c>
      <c r="D317" s="110">
        <f>SUM(D304:D316)</f>
        <v>7578350</v>
      </c>
      <c r="E317" s="53" t="s">
        <v>488</v>
      </c>
      <c r="F317" s="94"/>
    </row>
    <row r="318" spans="1:7" s="53" customFormat="1" ht="15" thickTop="1" x14ac:dyDescent="0.35">
      <c r="A318" s="223"/>
      <c r="B318" s="226"/>
      <c r="C318" s="226"/>
      <c r="D318" s="226"/>
      <c r="F318" s="94"/>
    </row>
    <row r="319" spans="1:7" s="53" customFormat="1" x14ac:dyDescent="0.35">
      <c r="B319" s="87"/>
      <c r="C319" s="53" t="s">
        <v>130</v>
      </c>
      <c r="D319" s="111">
        <f>D301-D317</f>
        <v>3730650</v>
      </c>
      <c r="F319" s="94"/>
    </row>
    <row r="320" spans="1:7" s="53" customFormat="1" x14ac:dyDescent="0.35">
      <c r="B320" s="87"/>
      <c r="D320" s="111"/>
      <c r="F320" s="94"/>
    </row>
    <row r="321" spans="1:6" s="53" customFormat="1" x14ac:dyDescent="0.35">
      <c r="A321" s="112"/>
      <c r="B321" s="113"/>
      <c r="C321" s="112"/>
      <c r="D321" s="114"/>
      <c r="E321" s="112"/>
      <c r="F321" s="178"/>
    </row>
    <row r="324" spans="1:6" s="53" customFormat="1" ht="23.5" x14ac:dyDescent="0.55000000000000004">
      <c r="B324" s="227" t="s">
        <v>0</v>
      </c>
      <c r="C324" s="227"/>
      <c r="D324" s="227"/>
      <c r="E324" s="70"/>
      <c r="F324" s="176"/>
    </row>
    <row r="325" spans="1:6" s="53" customFormat="1" ht="20.5" x14ac:dyDescent="0.45">
      <c r="B325" s="71"/>
      <c r="C325" s="72" t="s">
        <v>226</v>
      </c>
      <c r="D325" s="73"/>
      <c r="F325" s="94"/>
    </row>
    <row r="326" spans="1:6" s="53" customFormat="1" ht="21" thickBot="1" x14ac:dyDescent="0.5">
      <c r="B326" s="71" t="s">
        <v>227</v>
      </c>
      <c r="C326" s="74" t="s">
        <v>103</v>
      </c>
      <c r="D326" s="73"/>
      <c r="F326" s="94"/>
    </row>
    <row r="327" spans="1:6" s="53" customFormat="1" ht="15" thickBot="1" x14ac:dyDescent="0.4">
      <c r="A327" s="75" t="s">
        <v>104</v>
      </c>
      <c r="B327" s="76" t="s">
        <v>81</v>
      </c>
      <c r="C327" s="76" t="s">
        <v>105</v>
      </c>
      <c r="D327" s="77" t="s">
        <v>84</v>
      </c>
      <c r="F327" s="94"/>
    </row>
    <row r="328" spans="1:6" s="53" customFormat="1" ht="14.5" customHeight="1" x14ac:dyDescent="0.35">
      <c r="A328" s="222" t="s">
        <v>86</v>
      </c>
      <c r="B328" s="78" t="s">
        <v>209</v>
      </c>
      <c r="C328" s="79" t="s">
        <v>106</v>
      </c>
      <c r="D328" s="80">
        <f>F335</f>
        <v>10520000</v>
      </c>
      <c r="F328" s="94"/>
    </row>
    <row r="329" spans="1:6" s="53" customFormat="1" ht="21" thickBot="1" x14ac:dyDescent="0.5">
      <c r="A329" s="223"/>
      <c r="B329" s="71"/>
      <c r="C329" s="71"/>
      <c r="D329" s="73"/>
      <c r="F329" s="94"/>
    </row>
    <row r="330" spans="1:6" s="53" customFormat="1" ht="15" thickBot="1" x14ac:dyDescent="0.4">
      <c r="A330" s="223"/>
      <c r="B330" s="81" t="s">
        <v>81</v>
      </c>
      <c r="C330" s="82" t="s">
        <v>107</v>
      </c>
      <c r="D330" s="83" t="s">
        <v>108</v>
      </c>
      <c r="F330" s="94"/>
    </row>
    <row r="331" spans="1:6" s="87" customFormat="1" x14ac:dyDescent="0.35">
      <c r="A331" s="231"/>
      <c r="B331" s="84" t="str">
        <f>B328</f>
        <v>16th January,2025</v>
      </c>
      <c r="C331" s="85" t="s">
        <v>219</v>
      </c>
      <c r="D331" s="86">
        <f>2000*2650</f>
        <v>5300000</v>
      </c>
      <c r="F331" s="177"/>
    </row>
    <row r="332" spans="1:6" s="53" customFormat="1" x14ac:dyDescent="0.35">
      <c r="A332" s="231"/>
      <c r="B332" s="88"/>
      <c r="C332" s="89" t="s">
        <v>210</v>
      </c>
      <c r="D332" s="90">
        <f>319*2650</f>
        <v>845350</v>
      </c>
      <c r="F332" s="94"/>
    </row>
    <row r="333" spans="1:6" s="53" customFormat="1" x14ac:dyDescent="0.35">
      <c r="A333" s="231"/>
      <c r="B333" s="88" t="s">
        <v>109</v>
      </c>
      <c r="C333" s="89" t="s">
        <v>110</v>
      </c>
      <c r="D333" s="90">
        <v>1000000</v>
      </c>
      <c r="F333" s="94"/>
    </row>
    <row r="334" spans="1:6" s="53" customFormat="1" x14ac:dyDescent="0.35">
      <c r="A334" s="231"/>
      <c r="B334" s="88" t="s">
        <v>111</v>
      </c>
      <c r="C334" s="89" t="s">
        <v>112</v>
      </c>
      <c r="D334" s="90">
        <v>40000</v>
      </c>
      <c r="E334" s="225" t="s">
        <v>113</v>
      </c>
      <c r="F334" s="225"/>
    </row>
    <row r="335" spans="1:6" s="53" customFormat="1" x14ac:dyDescent="0.35">
      <c r="A335" s="231"/>
      <c r="B335" s="88" t="s">
        <v>114</v>
      </c>
      <c r="C335" s="89" t="s">
        <v>115</v>
      </c>
      <c r="D335" s="90">
        <f>250*120</f>
        <v>30000</v>
      </c>
      <c r="E335" s="91" t="s">
        <v>116</v>
      </c>
      <c r="F335" s="92">
        <f>4000*2630</f>
        <v>10520000</v>
      </c>
    </row>
    <row r="336" spans="1:6" s="53" customFormat="1" x14ac:dyDescent="0.35">
      <c r="A336" s="231"/>
      <c r="B336" s="88"/>
      <c r="C336" s="89" t="s">
        <v>117</v>
      </c>
      <c r="D336" s="90">
        <f>2000*120</f>
        <v>240000</v>
      </c>
      <c r="E336" s="93" t="s">
        <v>118</v>
      </c>
      <c r="F336" s="94">
        <f>(2400*2630)+(1600*2630)</f>
        <v>10520000</v>
      </c>
    </row>
    <row r="337" spans="1:7" s="53" customFormat="1" ht="15" thickBot="1" x14ac:dyDescent="0.4">
      <c r="A337" s="231"/>
      <c r="B337" s="88" t="s">
        <v>119</v>
      </c>
      <c r="C337" s="89" t="s">
        <v>120</v>
      </c>
      <c r="D337" s="95">
        <v>30000</v>
      </c>
      <c r="E337" s="96" t="s">
        <v>121</v>
      </c>
      <c r="F337" s="97">
        <f>F335-F336</f>
        <v>0</v>
      </c>
      <c r="G337" s="98">
        <f>F337/2630</f>
        <v>0</v>
      </c>
    </row>
    <row r="338" spans="1:7" s="53" customFormat="1" ht="15" thickTop="1" x14ac:dyDescent="0.35">
      <c r="A338" s="231"/>
      <c r="B338" s="88"/>
      <c r="C338" s="89" t="s">
        <v>122</v>
      </c>
      <c r="D338" s="90">
        <v>140000</v>
      </c>
      <c r="F338" s="94"/>
    </row>
    <row r="339" spans="1:7" s="53" customFormat="1" x14ac:dyDescent="0.35">
      <c r="A339" s="231"/>
      <c r="B339" s="88" t="s">
        <v>225</v>
      </c>
      <c r="C339" s="99" t="s">
        <v>123</v>
      </c>
      <c r="D339" s="90">
        <v>15000</v>
      </c>
      <c r="E339" s="91" t="s">
        <v>124</v>
      </c>
      <c r="F339" s="92"/>
    </row>
    <row r="340" spans="1:7" s="53" customFormat="1" x14ac:dyDescent="0.35">
      <c r="A340" s="231"/>
      <c r="B340" s="101"/>
      <c r="C340" s="99" t="s">
        <v>125</v>
      </c>
      <c r="D340" s="100">
        <v>10000</v>
      </c>
      <c r="E340" s="102"/>
      <c r="F340" s="103"/>
    </row>
    <row r="341" spans="1:7" s="53" customFormat="1" x14ac:dyDescent="0.35">
      <c r="A341" s="231"/>
      <c r="B341" s="101"/>
      <c r="C341" s="99" t="s">
        <v>126</v>
      </c>
      <c r="D341" s="100">
        <v>20000</v>
      </c>
      <c r="E341" s="102" t="s">
        <v>127</v>
      </c>
      <c r="F341" s="103"/>
    </row>
    <row r="342" spans="1:7" s="53" customFormat="1" x14ac:dyDescent="0.35">
      <c r="A342" s="231"/>
      <c r="B342" s="101"/>
      <c r="C342" s="89" t="s">
        <v>128</v>
      </c>
      <c r="D342" s="104">
        <f>300*120</f>
        <v>36000</v>
      </c>
      <c r="E342" s="102" t="s">
        <v>241</v>
      </c>
      <c r="F342" s="103"/>
    </row>
    <row r="343" spans="1:7" s="53" customFormat="1" ht="15" thickBot="1" x14ac:dyDescent="0.4">
      <c r="A343" s="231"/>
      <c r="B343" s="105"/>
      <c r="C343" s="106"/>
      <c r="D343" s="107"/>
      <c r="E343" s="53" t="s">
        <v>363</v>
      </c>
      <c r="F343" s="94"/>
    </row>
    <row r="344" spans="1:7" s="53" customFormat="1" ht="15" thickBot="1" x14ac:dyDescent="0.4">
      <c r="A344" s="223"/>
      <c r="B344" s="108"/>
      <c r="C344" s="109" t="s">
        <v>129</v>
      </c>
      <c r="D344" s="110">
        <f>SUM(D331:D343)</f>
        <v>7706350</v>
      </c>
      <c r="F344" s="94"/>
    </row>
    <row r="345" spans="1:7" s="53" customFormat="1" ht="15" thickTop="1" x14ac:dyDescent="0.35">
      <c r="A345" s="223"/>
      <c r="B345" s="226"/>
      <c r="C345" s="226"/>
      <c r="D345" s="226"/>
      <c r="F345" s="94"/>
    </row>
    <row r="346" spans="1:7" s="53" customFormat="1" x14ac:dyDescent="0.35">
      <c r="B346" s="87"/>
      <c r="C346" s="53" t="s">
        <v>130</v>
      </c>
      <c r="D346" s="111">
        <f>D328-D344</f>
        <v>2813650</v>
      </c>
      <c r="F346" s="94"/>
    </row>
    <row r="347" spans="1:7" s="53" customFormat="1" x14ac:dyDescent="0.35">
      <c r="B347" s="87"/>
      <c r="D347" s="111"/>
      <c r="F347" s="94"/>
    </row>
    <row r="348" spans="1:7" s="53" customFormat="1" x14ac:dyDescent="0.35">
      <c r="A348" s="112"/>
      <c r="B348" s="113"/>
      <c r="C348" s="112"/>
      <c r="D348" s="114"/>
      <c r="E348" s="112"/>
      <c r="F348" s="178"/>
    </row>
    <row r="350" spans="1:7" s="53" customFormat="1" ht="23.5" x14ac:dyDescent="0.55000000000000004">
      <c r="B350" s="227" t="s">
        <v>0</v>
      </c>
      <c r="C350" s="227"/>
      <c r="D350" s="227"/>
      <c r="E350" s="70"/>
      <c r="F350" s="176"/>
    </row>
    <row r="351" spans="1:7" s="53" customFormat="1" ht="20.5" x14ac:dyDescent="0.45">
      <c r="B351" s="71"/>
      <c r="C351" s="72" t="s">
        <v>234</v>
      </c>
      <c r="D351" s="73"/>
      <c r="F351" s="94"/>
    </row>
    <row r="352" spans="1:7" s="53" customFormat="1" ht="21" thickBot="1" x14ac:dyDescent="0.5">
      <c r="B352" s="71" t="s">
        <v>235</v>
      </c>
      <c r="C352" s="74" t="s">
        <v>103</v>
      </c>
      <c r="D352" s="73"/>
      <c r="F352" s="94"/>
    </row>
    <row r="353" spans="1:7" s="53" customFormat="1" ht="15" thickBot="1" x14ac:dyDescent="0.4">
      <c r="A353" s="75" t="s">
        <v>104</v>
      </c>
      <c r="B353" s="76" t="s">
        <v>81</v>
      </c>
      <c r="C353" s="76" t="s">
        <v>105</v>
      </c>
      <c r="D353" s="77" t="s">
        <v>84</v>
      </c>
      <c r="F353" s="94"/>
    </row>
    <row r="354" spans="1:7" s="53" customFormat="1" ht="14.5" customHeight="1" x14ac:dyDescent="0.35">
      <c r="A354" s="222" t="s">
        <v>86</v>
      </c>
      <c r="B354" s="78" t="s">
        <v>236</v>
      </c>
      <c r="C354" s="79" t="s">
        <v>237</v>
      </c>
      <c r="D354" s="80">
        <f>F361</f>
        <v>10320000</v>
      </c>
      <c r="F354" s="94"/>
    </row>
    <row r="355" spans="1:7" s="53" customFormat="1" ht="21" thickBot="1" x14ac:dyDescent="0.5">
      <c r="A355" s="223"/>
      <c r="B355" s="71"/>
      <c r="C355" s="71"/>
      <c r="D355" s="73"/>
      <c r="F355" s="94"/>
    </row>
    <row r="356" spans="1:7" s="53" customFormat="1" ht="15" thickBot="1" x14ac:dyDescent="0.4">
      <c r="A356" s="223"/>
      <c r="B356" s="81" t="s">
        <v>81</v>
      </c>
      <c r="C356" s="82" t="s">
        <v>107</v>
      </c>
      <c r="D356" s="83" t="s">
        <v>108</v>
      </c>
      <c r="F356" s="94"/>
    </row>
    <row r="357" spans="1:7" s="87" customFormat="1" x14ac:dyDescent="0.35">
      <c r="A357" s="231"/>
      <c r="B357" s="84" t="str">
        <f>B354</f>
        <v>18th January,2025</v>
      </c>
      <c r="C357" s="85" t="s">
        <v>158</v>
      </c>
      <c r="D357" s="86">
        <f>2000*2630</f>
        <v>5260000</v>
      </c>
      <c r="F357" s="177"/>
    </row>
    <row r="358" spans="1:7" s="53" customFormat="1" x14ac:dyDescent="0.35">
      <c r="A358" s="231"/>
      <c r="B358" s="88"/>
      <c r="C358" s="89" t="s">
        <v>188</v>
      </c>
      <c r="D358" s="90">
        <f>325*2650</f>
        <v>861250</v>
      </c>
      <c r="F358" s="94"/>
    </row>
    <row r="359" spans="1:7" s="53" customFormat="1" x14ac:dyDescent="0.35">
      <c r="A359" s="231"/>
      <c r="B359" s="88" t="s">
        <v>109</v>
      </c>
      <c r="C359" s="89" t="s">
        <v>110</v>
      </c>
      <c r="D359" s="90">
        <v>1000000</v>
      </c>
      <c r="F359" s="94"/>
    </row>
    <row r="360" spans="1:7" s="53" customFormat="1" x14ac:dyDescent="0.35">
      <c r="A360" s="231"/>
      <c r="B360" s="88" t="s">
        <v>111</v>
      </c>
      <c r="C360" s="89" t="s">
        <v>112</v>
      </c>
      <c r="D360" s="90">
        <v>40000</v>
      </c>
      <c r="E360" s="225" t="s">
        <v>113</v>
      </c>
      <c r="F360" s="225"/>
    </row>
    <row r="361" spans="1:7" s="53" customFormat="1" x14ac:dyDescent="0.35">
      <c r="A361" s="231"/>
      <c r="B361" s="88" t="s">
        <v>182</v>
      </c>
      <c r="C361" s="89" t="s">
        <v>115</v>
      </c>
      <c r="D361" s="90">
        <f>250*120</f>
        <v>30000</v>
      </c>
      <c r="E361" s="91" t="s">
        <v>116</v>
      </c>
      <c r="F361" s="92">
        <f>4300*2400</f>
        <v>10320000</v>
      </c>
    </row>
    <row r="362" spans="1:7" s="53" customFormat="1" x14ac:dyDescent="0.35">
      <c r="A362" s="231"/>
      <c r="B362" s="88"/>
      <c r="C362" s="89" t="s">
        <v>117</v>
      </c>
      <c r="D362" s="90">
        <f>2500*120</f>
        <v>300000</v>
      </c>
      <c r="E362" s="93" t="s">
        <v>118</v>
      </c>
      <c r="F362" s="94">
        <f>4300*2400</f>
        <v>10320000</v>
      </c>
    </row>
    <row r="363" spans="1:7" s="53" customFormat="1" ht="15" thickBot="1" x14ac:dyDescent="0.4">
      <c r="A363" s="231"/>
      <c r="B363" s="88" t="s">
        <v>119</v>
      </c>
      <c r="C363" s="89" t="s">
        <v>120</v>
      </c>
      <c r="D363" s="90">
        <v>30000</v>
      </c>
      <c r="E363" s="96" t="s">
        <v>121</v>
      </c>
      <c r="F363" s="97">
        <f>F361-F362</f>
        <v>0</v>
      </c>
      <c r="G363" s="98">
        <f>F363/2400</f>
        <v>0</v>
      </c>
    </row>
    <row r="364" spans="1:7" s="53" customFormat="1" ht="15" thickTop="1" x14ac:dyDescent="0.35">
      <c r="A364" s="231"/>
      <c r="B364" s="88"/>
      <c r="C364" s="89" t="s">
        <v>122</v>
      </c>
      <c r="D364" s="90">
        <v>140000</v>
      </c>
      <c r="F364" s="94"/>
    </row>
    <row r="365" spans="1:7" s="53" customFormat="1" x14ac:dyDescent="0.35">
      <c r="A365" s="231"/>
      <c r="B365" s="88" t="s">
        <v>231</v>
      </c>
      <c r="C365" s="99" t="s">
        <v>123</v>
      </c>
      <c r="D365" s="90">
        <v>15000</v>
      </c>
      <c r="E365" s="91" t="s">
        <v>124</v>
      </c>
      <c r="F365" s="92"/>
    </row>
    <row r="366" spans="1:7" s="53" customFormat="1" x14ac:dyDescent="0.35">
      <c r="A366" s="231"/>
      <c r="B366" s="101"/>
      <c r="C366" s="99" t="s">
        <v>125</v>
      </c>
      <c r="D366" s="100">
        <v>10000</v>
      </c>
      <c r="E366" s="102"/>
      <c r="F366" s="103"/>
    </row>
    <row r="367" spans="1:7" s="53" customFormat="1" x14ac:dyDescent="0.35">
      <c r="A367" s="231"/>
      <c r="B367" s="101"/>
      <c r="C367" s="99" t="s">
        <v>126</v>
      </c>
      <c r="D367" s="100">
        <v>30000</v>
      </c>
      <c r="E367" s="102" t="s">
        <v>127</v>
      </c>
      <c r="F367" s="103"/>
    </row>
    <row r="368" spans="1:7" s="53" customFormat="1" x14ac:dyDescent="0.35">
      <c r="A368" s="231"/>
      <c r="B368" s="101"/>
      <c r="C368" s="89" t="s">
        <v>128</v>
      </c>
      <c r="D368" s="104">
        <f>(100+111)*120</f>
        <v>25320</v>
      </c>
      <c r="E368" s="102" t="s">
        <v>328</v>
      </c>
      <c r="F368" s="103"/>
    </row>
    <row r="369" spans="1:6" s="53" customFormat="1" ht="15" thickBot="1" x14ac:dyDescent="0.4">
      <c r="A369" s="231"/>
      <c r="B369" s="105"/>
      <c r="C369" s="106"/>
      <c r="D369" s="107"/>
      <c r="F369" s="94"/>
    </row>
    <row r="370" spans="1:6" s="53" customFormat="1" ht="15" thickBot="1" x14ac:dyDescent="0.4">
      <c r="A370" s="223"/>
      <c r="B370" s="108"/>
      <c r="C370" s="109" t="s">
        <v>129</v>
      </c>
      <c r="D370" s="110">
        <f>SUM(D357:D369)</f>
        <v>7741570</v>
      </c>
      <c r="F370" s="94"/>
    </row>
    <row r="371" spans="1:6" s="53" customFormat="1" ht="15" thickTop="1" x14ac:dyDescent="0.35">
      <c r="A371" s="223"/>
      <c r="B371" s="226"/>
      <c r="C371" s="226"/>
      <c r="D371" s="226"/>
      <c r="F371" s="94"/>
    </row>
    <row r="372" spans="1:6" s="53" customFormat="1" x14ac:dyDescent="0.35">
      <c r="B372" s="87"/>
      <c r="C372" s="53" t="s">
        <v>130</v>
      </c>
      <c r="D372" s="111">
        <f>D354-D370</f>
        <v>2578430</v>
      </c>
      <c r="F372" s="94"/>
    </row>
    <row r="373" spans="1:6" s="53" customFormat="1" x14ac:dyDescent="0.35">
      <c r="B373" s="87"/>
      <c r="D373" s="111"/>
      <c r="F373" s="94"/>
    </row>
    <row r="374" spans="1:6" s="53" customFormat="1" x14ac:dyDescent="0.35">
      <c r="A374" s="112"/>
      <c r="B374" s="113"/>
      <c r="C374" s="112"/>
      <c r="D374" s="114"/>
      <c r="E374" s="112"/>
      <c r="F374" s="178"/>
    </row>
    <row r="377" spans="1:6" s="53" customFormat="1" ht="23.5" x14ac:dyDescent="0.55000000000000004">
      <c r="B377" s="227" t="s">
        <v>0</v>
      </c>
      <c r="C377" s="227"/>
      <c r="D377" s="227"/>
      <c r="E377" s="70"/>
      <c r="F377" s="176"/>
    </row>
    <row r="378" spans="1:6" s="53" customFormat="1" ht="20.5" x14ac:dyDescent="0.45">
      <c r="B378" s="71"/>
      <c r="C378" s="72" t="s">
        <v>238</v>
      </c>
      <c r="D378" s="73"/>
      <c r="F378" s="94"/>
    </row>
    <row r="379" spans="1:6" s="53" customFormat="1" ht="21" thickBot="1" x14ac:dyDescent="0.5">
      <c r="B379" s="71" t="s">
        <v>239</v>
      </c>
      <c r="C379" s="74" t="s">
        <v>103</v>
      </c>
      <c r="D379" s="73"/>
      <c r="F379" s="94"/>
    </row>
    <row r="380" spans="1:6" s="53" customFormat="1" ht="15" thickBot="1" x14ac:dyDescent="0.4">
      <c r="A380" s="75" t="s">
        <v>104</v>
      </c>
      <c r="B380" s="76" t="s">
        <v>81</v>
      </c>
      <c r="C380" s="76" t="s">
        <v>105</v>
      </c>
      <c r="D380" s="77" t="s">
        <v>84</v>
      </c>
      <c r="F380" s="94"/>
    </row>
    <row r="381" spans="1:6" s="53" customFormat="1" ht="14.5" customHeight="1" x14ac:dyDescent="0.35">
      <c r="A381" s="222" t="s">
        <v>86</v>
      </c>
      <c r="B381" s="78" t="s">
        <v>240</v>
      </c>
      <c r="C381" s="79" t="s">
        <v>237</v>
      </c>
      <c r="D381" s="80">
        <f>F388</f>
        <v>10320000</v>
      </c>
      <c r="F381" s="94"/>
    </row>
    <row r="382" spans="1:6" s="53" customFormat="1" ht="21" thickBot="1" x14ac:dyDescent="0.5">
      <c r="A382" s="223"/>
      <c r="B382" s="71"/>
      <c r="C382" s="71"/>
      <c r="D382" s="73"/>
      <c r="F382" s="94"/>
    </row>
    <row r="383" spans="1:6" s="53" customFormat="1" ht="15" thickBot="1" x14ac:dyDescent="0.4">
      <c r="A383" s="223"/>
      <c r="B383" s="81" t="s">
        <v>81</v>
      </c>
      <c r="C383" s="82" t="s">
        <v>107</v>
      </c>
      <c r="D383" s="83" t="s">
        <v>108</v>
      </c>
      <c r="F383" s="94"/>
    </row>
    <row r="384" spans="1:6" s="87" customFormat="1" x14ac:dyDescent="0.35">
      <c r="A384" s="231"/>
      <c r="B384" s="84" t="str">
        <f>B381</f>
        <v>21st January,2025</v>
      </c>
      <c r="C384" s="85" t="s">
        <v>158</v>
      </c>
      <c r="D384" s="86">
        <f>2000*2630</f>
        <v>5260000</v>
      </c>
      <c r="F384" s="177"/>
    </row>
    <row r="385" spans="1:7" s="53" customFormat="1" x14ac:dyDescent="0.35">
      <c r="A385" s="231"/>
      <c r="B385" s="88"/>
      <c r="C385" s="89" t="s">
        <v>188</v>
      </c>
      <c r="D385" s="90">
        <f>325*2650</f>
        <v>861250</v>
      </c>
      <c r="F385" s="94"/>
    </row>
    <row r="386" spans="1:7" s="53" customFormat="1" x14ac:dyDescent="0.35">
      <c r="A386" s="231"/>
      <c r="B386" s="88" t="s">
        <v>109</v>
      </c>
      <c r="C386" s="89" t="s">
        <v>110</v>
      </c>
      <c r="D386" s="90">
        <v>1000000</v>
      </c>
      <c r="F386" s="94"/>
    </row>
    <row r="387" spans="1:7" s="53" customFormat="1" x14ac:dyDescent="0.35">
      <c r="A387" s="231"/>
      <c r="B387" s="88" t="s">
        <v>111</v>
      </c>
      <c r="C387" s="89" t="s">
        <v>112</v>
      </c>
      <c r="D387" s="90">
        <v>40000</v>
      </c>
      <c r="E387" s="225" t="s">
        <v>113</v>
      </c>
      <c r="F387" s="225"/>
    </row>
    <row r="388" spans="1:7" s="53" customFormat="1" x14ac:dyDescent="0.35">
      <c r="A388" s="231"/>
      <c r="B388" s="88" t="s">
        <v>182</v>
      </c>
      <c r="C388" s="89" t="s">
        <v>115</v>
      </c>
      <c r="D388" s="90">
        <f>250*120</f>
        <v>30000</v>
      </c>
      <c r="E388" s="91" t="s">
        <v>116</v>
      </c>
      <c r="F388" s="92">
        <f>4300*2400</f>
        <v>10320000</v>
      </c>
    </row>
    <row r="389" spans="1:7" s="53" customFormat="1" x14ac:dyDescent="0.35">
      <c r="A389" s="231"/>
      <c r="B389" s="88"/>
      <c r="C389" s="89" t="s">
        <v>117</v>
      </c>
      <c r="D389" s="90">
        <f>2500*120</f>
        <v>300000</v>
      </c>
      <c r="E389" s="93" t="s">
        <v>118</v>
      </c>
      <c r="F389" s="94">
        <f>4300*2400</f>
        <v>10320000</v>
      </c>
    </row>
    <row r="390" spans="1:7" s="53" customFormat="1" ht="15" thickBot="1" x14ac:dyDescent="0.4">
      <c r="A390" s="231"/>
      <c r="B390" s="88" t="s">
        <v>119</v>
      </c>
      <c r="C390" s="89" t="s">
        <v>120</v>
      </c>
      <c r="D390" s="95">
        <v>30000</v>
      </c>
      <c r="E390" s="96" t="s">
        <v>121</v>
      </c>
      <c r="F390" s="97">
        <f>F388-F389</f>
        <v>0</v>
      </c>
      <c r="G390" s="98">
        <f>F390/2400</f>
        <v>0</v>
      </c>
    </row>
    <row r="391" spans="1:7" s="53" customFormat="1" ht="15" thickTop="1" x14ac:dyDescent="0.35">
      <c r="A391" s="231"/>
      <c r="B391" s="88"/>
      <c r="C391" s="89" t="s">
        <v>122</v>
      </c>
      <c r="D391" s="90">
        <v>140000</v>
      </c>
      <c r="F391" s="94"/>
    </row>
    <row r="392" spans="1:7" s="53" customFormat="1" x14ac:dyDescent="0.35">
      <c r="A392" s="231"/>
      <c r="B392" s="88" t="s">
        <v>233</v>
      </c>
      <c r="C392" s="99" t="s">
        <v>123</v>
      </c>
      <c r="D392" s="90">
        <v>15000</v>
      </c>
      <c r="E392" s="91" t="s">
        <v>124</v>
      </c>
      <c r="F392" s="92"/>
    </row>
    <row r="393" spans="1:7" s="53" customFormat="1" x14ac:dyDescent="0.35">
      <c r="A393" s="231"/>
      <c r="B393" s="101"/>
      <c r="C393" s="99" t="s">
        <v>125</v>
      </c>
      <c r="D393" s="100">
        <v>10000</v>
      </c>
      <c r="E393" s="102"/>
      <c r="F393" s="103"/>
    </row>
    <row r="394" spans="1:7" s="53" customFormat="1" x14ac:dyDescent="0.35">
      <c r="A394" s="231"/>
      <c r="B394" s="101"/>
      <c r="C394" s="99" t="s">
        <v>126</v>
      </c>
      <c r="D394" s="100">
        <v>30000</v>
      </c>
      <c r="E394" s="102" t="s">
        <v>127</v>
      </c>
      <c r="F394" s="103"/>
    </row>
    <row r="395" spans="1:7" s="53" customFormat="1" x14ac:dyDescent="0.35">
      <c r="A395" s="231"/>
      <c r="B395" s="101"/>
      <c r="C395" s="89" t="s">
        <v>128</v>
      </c>
      <c r="D395" s="104">
        <f>200*120</f>
        <v>24000</v>
      </c>
      <c r="E395" s="102" t="s">
        <v>328</v>
      </c>
      <c r="F395" s="103"/>
    </row>
    <row r="396" spans="1:7" s="53" customFormat="1" ht="15" thickBot="1" x14ac:dyDescent="0.4">
      <c r="A396" s="231"/>
      <c r="B396" s="105"/>
      <c r="C396" s="106"/>
      <c r="D396" s="107"/>
      <c r="F396" s="94"/>
    </row>
    <row r="397" spans="1:7" s="53" customFormat="1" ht="15" thickBot="1" x14ac:dyDescent="0.4">
      <c r="A397" s="223"/>
      <c r="B397" s="108"/>
      <c r="C397" s="109" t="s">
        <v>129</v>
      </c>
      <c r="D397" s="110">
        <f>SUM(D384:D396)</f>
        <v>7740250</v>
      </c>
      <c r="F397" s="94"/>
    </row>
    <row r="398" spans="1:7" s="53" customFormat="1" ht="15" thickTop="1" x14ac:dyDescent="0.35">
      <c r="A398" s="223"/>
      <c r="B398" s="226"/>
      <c r="C398" s="226"/>
      <c r="D398" s="226"/>
      <c r="F398" s="94"/>
    </row>
    <row r="399" spans="1:7" s="53" customFormat="1" x14ac:dyDescent="0.35">
      <c r="B399" s="87"/>
      <c r="C399" s="53" t="s">
        <v>130</v>
      </c>
      <c r="D399" s="111">
        <f>D381-D397</f>
        <v>2579750</v>
      </c>
      <c r="F399" s="94"/>
    </row>
    <row r="400" spans="1:7" s="53" customFormat="1" x14ac:dyDescent="0.35">
      <c r="B400" s="87"/>
      <c r="D400" s="111"/>
      <c r="F400" s="94"/>
    </row>
    <row r="401" spans="1:7" s="53" customFormat="1" x14ac:dyDescent="0.35">
      <c r="A401" s="112"/>
      <c r="B401" s="113"/>
      <c r="C401" s="112"/>
      <c r="D401" s="114"/>
      <c r="E401" s="112"/>
      <c r="F401" s="178"/>
    </row>
    <row r="403" spans="1:7" s="53" customFormat="1" ht="23.5" x14ac:dyDescent="0.55000000000000004">
      <c r="B403" s="227" t="s">
        <v>0</v>
      </c>
      <c r="C403" s="227"/>
      <c r="D403" s="227"/>
      <c r="E403" s="70"/>
      <c r="F403" s="176"/>
    </row>
    <row r="404" spans="1:7" s="53" customFormat="1" ht="20.5" x14ac:dyDescent="0.45">
      <c r="B404" s="71"/>
      <c r="C404" s="72" t="s">
        <v>257</v>
      </c>
      <c r="D404" s="73"/>
      <c r="F404" s="94"/>
    </row>
    <row r="405" spans="1:7" s="53" customFormat="1" ht="21" thickBot="1" x14ac:dyDescent="0.5">
      <c r="B405" s="71" t="s">
        <v>185</v>
      </c>
      <c r="C405" s="74" t="s">
        <v>103</v>
      </c>
      <c r="D405" s="73"/>
      <c r="F405" s="94"/>
    </row>
    <row r="406" spans="1:7" s="53" customFormat="1" ht="15" thickBot="1" x14ac:dyDescent="0.4">
      <c r="A406" s="75" t="s">
        <v>104</v>
      </c>
      <c r="B406" s="76" t="s">
        <v>81</v>
      </c>
      <c r="C406" s="76" t="s">
        <v>105</v>
      </c>
      <c r="D406" s="77" t="s">
        <v>84</v>
      </c>
      <c r="F406" s="94"/>
    </row>
    <row r="407" spans="1:7" s="53" customFormat="1" ht="14.5" customHeight="1" x14ac:dyDescent="0.35">
      <c r="A407" s="222" t="s">
        <v>87</v>
      </c>
      <c r="B407" s="78" t="s">
        <v>258</v>
      </c>
      <c r="C407" s="79" t="s">
        <v>106</v>
      </c>
      <c r="D407" s="80">
        <f>F414</f>
        <v>10520000</v>
      </c>
      <c r="F407" s="94"/>
    </row>
    <row r="408" spans="1:7" s="53" customFormat="1" ht="21" thickBot="1" x14ac:dyDescent="0.5">
      <c r="A408" s="223"/>
      <c r="B408" s="71"/>
      <c r="C408" s="71"/>
      <c r="D408" s="73"/>
      <c r="F408" s="94"/>
    </row>
    <row r="409" spans="1:7" s="53" customFormat="1" ht="15" thickBot="1" x14ac:dyDescent="0.4">
      <c r="A409" s="223"/>
      <c r="B409" s="81" t="s">
        <v>81</v>
      </c>
      <c r="C409" s="82" t="s">
        <v>107</v>
      </c>
      <c r="D409" s="83" t="s">
        <v>108</v>
      </c>
      <c r="F409" s="94"/>
    </row>
    <row r="410" spans="1:7" s="87" customFormat="1" x14ac:dyDescent="0.35">
      <c r="A410" s="231"/>
      <c r="B410" s="84" t="str">
        <f>B407</f>
        <v>06th February,2025</v>
      </c>
      <c r="C410" s="85" t="s">
        <v>219</v>
      </c>
      <c r="D410" s="86">
        <f>2000*2650</f>
        <v>5300000</v>
      </c>
      <c r="F410" s="177"/>
    </row>
    <row r="411" spans="1:7" s="53" customFormat="1" x14ac:dyDescent="0.35">
      <c r="A411" s="231"/>
      <c r="B411" s="88"/>
      <c r="C411" s="89" t="s">
        <v>210</v>
      </c>
      <c r="D411" s="90">
        <f>319*2650</f>
        <v>845350</v>
      </c>
      <c r="F411" s="94"/>
    </row>
    <row r="412" spans="1:7" s="53" customFormat="1" x14ac:dyDescent="0.35">
      <c r="A412" s="231"/>
      <c r="B412" s="88" t="s">
        <v>109</v>
      </c>
      <c r="C412" s="89" t="s">
        <v>110</v>
      </c>
      <c r="D412" s="90">
        <v>1000000</v>
      </c>
      <c r="F412" s="94"/>
    </row>
    <row r="413" spans="1:7" s="53" customFormat="1" x14ac:dyDescent="0.35">
      <c r="A413" s="231"/>
      <c r="B413" s="88" t="s">
        <v>111</v>
      </c>
      <c r="C413" s="89" t="s">
        <v>112</v>
      </c>
      <c r="D413" s="90">
        <v>40000</v>
      </c>
      <c r="E413" s="225" t="s">
        <v>113</v>
      </c>
      <c r="F413" s="225"/>
    </row>
    <row r="414" spans="1:7" s="53" customFormat="1" x14ac:dyDescent="0.35">
      <c r="A414" s="231"/>
      <c r="B414" s="88" t="s">
        <v>114</v>
      </c>
      <c r="C414" s="89" t="s">
        <v>115</v>
      </c>
      <c r="D414" s="90">
        <f>500*120</f>
        <v>60000</v>
      </c>
      <c r="E414" s="91" t="s">
        <v>116</v>
      </c>
      <c r="F414" s="92">
        <f>4000*2630</f>
        <v>10520000</v>
      </c>
    </row>
    <row r="415" spans="1:7" s="53" customFormat="1" x14ac:dyDescent="0.35">
      <c r="A415" s="231"/>
      <c r="B415" s="88"/>
      <c r="C415" s="89" t="s">
        <v>117</v>
      </c>
      <c r="D415" s="90">
        <f>2000*120</f>
        <v>240000</v>
      </c>
      <c r="E415" s="93" t="s">
        <v>118</v>
      </c>
      <c r="F415" s="94">
        <f>(2400*2630)+(1480*2630)</f>
        <v>10204400</v>
      </c>
    </row>
    <row r="416" spans="1:7" s="53" customFormat="1" ht="15" thickBot="1" x14ac:dyDescent="0.4">
      <c r="A416" s="231"/>
      <c r="B416" s="88" t="s">
        <v>119</v>
      </c>
      <c r="C416" s="89" t="s">
        <v>120</v>
      </c>
      <c r="D416" s="95">
        <v>30000</v>
      </c>
      <c r="E416" s="96" t="s">
        <v>121</v>
      </c>
      <c r="F416" s="97">
        <f>F414-F415</f>
        <v>315600</v>
      </c>
      <c r="G416" s="98">
        <f>F416/2630</f>
        <v>120</v>
      </c>
    </row>
    <row r="417" spans="1:6" s="53" customFormat="1" ht="15" thickTop="1" x14ac:dyDescent="0.35">
      <c r="A417" s="231"/>
      <c r="B417" s="88"/>
      <c r="C417" s="89" t="s">
        <v>122</v>
      </c>
      <c r="D417" s="90">
        <v>140000</v>
      </c>
      <c r="F417" s="94"/>
    </row>
    <row r="418" spans="1:6" s="53" customFormat="1" x14ac:dyDescent="0.35">
      <c r="A418" s="231"/>
      <c r="B418" s="88" t="s">
        <v>256</v>
      </c>
      <c r="C418" s="99" t="s">
        <v>123</v>
      </c>
      <c r="D418" s="100">
        <v>15000</v>
      </c>
      <c r="E418" s="91" t="s">
        <v>124</v>
      </c>
      <c r="F418" s="92"/>
    </row>
    <row r="419" spans="1:6" s="53" customFormat="1" x14ac:dyDescent="0.35">
      <c r="A419" s="231"/>
      <c r="B419" s="101"/>
      <c r="C419" s="99" t="s">
        <v>125</v>
      </c>
      <c r="D419" s="100">
        <v>10000</v>
      </c>
      <c r="E419" s="102"/>
      <c r="F419" s="103"/>
    </row>
    <row r="420" spans="1:6" s="53" customFormat="1" x14ac:dyDescent="0.35">
      <c r="A420" s="231"/>
      <c r="B420" s="101"/>
      <c r="C420" s="99" t="s">
        <v>126</v>
      </c>
      <c r="D420" s="100">
        <v>20000</v>
      </c>
      <c r="E420" s="102" t="s">
        <v>127</v>
      </c>
      <c r="F420" s="103"/>
    </row>
    <row r="421" spans="1:6" s="53" customFormat="1" x14ac:dyDescent="0.35">
      <c r="A421" s="231"/>
      <c r="B421" s="101"/>
      <c r="C421" s="89"/>
      <c r="D421" s="104"/>
      <c r="E421" s="102" t="s">
        <v>291</v>
      </c>
      <c r="F421" s="103"/>
    </row>
    <row r="422" spans="1:6" s="53" customFormat="1" ht="15" thickBot="1" x14ac:dyDescent="0.4">
      <c r="A422" s="231"/>
      <c r="B422" s="105"/>
      <c r="C422" s="106"/>
      <c r="D422" s="107"/>
      <c r="E422" s="53" t="s">
        <v>482</v>
      </c>
      <c r="F422" s="94"/>
    </row>
    <row r="423" spans="1:6" s="53" customFormat="1" ht="15" thickBot="1" x14ac:dyDescent="0.4">
      <c r="A423" s="223"/>
      <c r="B423" s="108"/>
      <c r="C423" s="109" t="s">
        <v>129</v>
      </c>
      <c r="D423" s="110">
        <f>SUM(D410:D422)</f>
        <v>7700350</v>
      </c>
      <c r="F423" s="94"/>
    </row>
    <row r="424" spans="1:6" s="53" customFormat="1" ht="15" thickTop="1" x14ac:dyDescent="0.35">
      <c r="A424" s="223"/>
      <c r="B424" s="226"/>
      <c r="C424" s="226"/>
      <c r="D424" s="226"/>
      <c r="F424" s="94"/>
    </row>
    <row r="425" spans="1:6" s="53" customFormat="1" x14ac:dyDescent="0.35">
      <c r="B425" s="87"/>
      <c r="C425" s="53" t="s">
        <v>130</v>
      </c>
      <c r="D425" s="111">
        <f>D407-D423</f>
        <v>2819650</v>
      </c>
      <c r="F425" s="94"/>
    </row>
    <row r="426" spans="1:6" s="53" customFormat="1" x14ac:dyDescent="0.35">
      <c r="B426" s="87"/>
      <c r="D426" s="111"/>
      <c r="F426" s="94"/>
    </row>
    <row r="427" spans="1:6" s="53" customFormat="1" x14ac:dyDescent="0.35">
      <c r="A427" s="112"/>
      <c r="B427" s="113"/>
      <c r="C427" s="112"/>
      <c r="D427" s="114"/>
      <c r="E427" s="112"/>
      <c r="F427" s="178"/>
    </row>
    <row r="430" spans="1:6" s="53" customFormat="1" ht="23.5" x14ac:dyDescent="0.55000000000000004">
      <c r="B430" s="227" t="s">
        <v>0</v>
      </c>
      <c r="C430" s="227"/>
      <c r="D430" s="227"/>
      <c r="E430" s="70"/>
      <c r="F430" s="176"/>
    </row>
    <row r="431" spans="1:6" s="53" customFormat="1" ht="20.5" x14ac:dyDescent="0.45">
      <c r="B431" s="71"/>
      <c r="C431" s="72" t="s">
        <v>271</v>
      </c>
      <c r="D431" s="73"/>
      <c r="F431" s="94"/>
    </row>
    <row r="432" spans="1:6" s="53" customFormat="1" ht="21" thickBot="1" x14ac:dyDescent="0.5">
      <c r="B432" s="71" t="s">
        <v>163</v>
      </c>
      <c r="C432" s="74" t="s">
        <v>103</v>
      </c>
      <c r="D432" s="73"/>
      <c r="F432" s="94"/>
    </row>
    <row r="433" spans="1:7" s="53" customFormat="1" ht="15" thickBot="1" x14ac:dyDescent="0.4">
      <c r="A433" s="75" t="s">
        <v>104</v>
      </c>
      <c r="B433" s="76" t="s">
        <v>81</v>
      </c>
      <c r="C433" s="76" t="s">
        <v>105</v>
      </c>
      <c r="D433" s="77" t="s">
        <v>84</v>
      </c>
      <c r="F433" s="94"/>
    </row>
    <row r="434" spans="1:7" s="53" customFormat="1" ht="14.5" customHeight="1" x14ac:dyDescent="0.35">
      <c r="A434" s="222" t="s">
        <v>87</v>
      </c>
      <c r="B434" s="78" t="s">
        <v>272</v>
      </c>
      <c r="C434" s="79" t="s">
        <v>237</v>
      </c>
      <c r="D434" s="80">
        <f>F441</f>
        <v>10000000</v>
      </c>
      <c r="F434" s="94"/>
    </row>
    <row r="435" spans="1:7" s="53" customFormat="1" ht="21" thickBot="1" x14ac:dyDescent="0.5">
      <c r="A435" s="223"/>
      <c r="B435" s="71"/>
      <c r="C435" s="71"/>
      <c r="D435" s="73"/>
      <c r="F435" s="94"/>
    </row>
    <row r="436" spans="1:7" s="53" customFormat="1" ht="15" thickBot="1" x14ac:dyDescent="0.4">
      <c r="A436" s="223"/>
      <c r="B436" s="81" t="s">
        <v>81</v>
      </c>
      <c r="C436" s="82" t="s">
        <v>107</v>
      </c>
      <c r="D436" s="83" t="s">
        <v>108</v>
      </c>
      <c r="F436" s="94"/>
    </row>
    <row r="437" spans="1:7" s="87" customFormat="1" x14ac:dyDescent="0.35">
      <c r="A437" s="223"/>
      <c r="B437" s="84" t="str">
        <f>B434</f>
        <v>09th February,2025</v>
      </c>
      <c r="C437" s="85" t="s">
        <v>158</v>
      </c>
      <c r="D437" s="86">
        <f>2000*2630</f>
        <v>5260000</v>
      </c>
      <c r="F437" s="177"/>
    </row>
    <row r="438" spans="1:7" s="53" customFormat="1" x14ac:dyDescent="0.35">
      <c r="A438" s="223"/>
      <c r="B438" s="88"/>
      <c r="C438" s="89" t="s">
        <v>188</v>
      </c>
      <c r="D438" s="90">
        <f>325*2650</f>
        <v>861250</v>
      </c>
      <c r="F438" s="94"/>
    </row>
    <row r="439" spans="1:7" s="53" customFormat="1" x14ac:dyDescent="0.35">
      <c r="A439" s="223"/>
      <c r="B439" s="88" t="s">
        <v>109</v>
      </c>
      <c r="C439" s="89" t="s">
        <v>110</v>
      </c>
      <c r="D439" s="90">
        <v>1000000</v>
      </c>
      <c r="F439" s="94"/>
    </row>
    <row r="440" spans="1:7" s="53" customFormat="1" x14ac:dyDescent="0.35">
      <c r="A440" s="223"/>
      <c r="B440" s="88" t="s">
        <v>111</v>
      </c>
      <c r="C440" s="89" t="s">
        <v>112</v>
      </c>
      <c r="D440" s="90">
        <v>40000</v>
      </c>
      <c r="E440" s="225" t="s">
        <v>113</v>
      </c>
      <c r="F440" s="225"/>
    </row>
    <row r="441" spans="1:7" s="53" customFormat="1" x14ac:dyDescent="0.35">
      <c r="A441" s="223"/>
      <c r="B441" s="88" t="s">
        <v>182</v>
      </c>
      <c r="C441" s="89" t="s">
        <v>115</v>
      </c>
      <c r="D441" s="90">
        <f>500*120</f>
        <v>60000</v>
      </c>
      <c r="E441" s="91" t="s">
        <v>116</v>
      </c>
      <c r="F441" s="92">
        <f>4000*2500</f>
        <v>10000000</v>
      </c>
    </row>
    <row r="442" spans="1:7" s="53" customFormat="1" x14ac:dyDescent="0.35">
      <c r="A442" s="223"/>
      <c r="B442" s="88"/>
      <c r="C442" s="89" t="s">
        <v>117</v>
      </c>
      <c r="D442" s="90">
        <f>3000*120</f>
        <v>360000</v>
      </c>
      <c r="E442" s="93" t="s">
        <v>118</v>
      </c>
      <c r="F442" s="94">
        <f>4000*2500</f>
        <v>10000000</v>
      </c>
    </row>
    <row r="443" spans="1:7" s="53" customFormat="1" ht="15" thickBot="1" x14ac:dyDescent="0.4">
      <c r="A443" s="223"/>
      <c r="B443" s="88" t="s">
        <v>119</v>
      </c>
      <c r="C443" s="89" t="s">
        <v>120</v>
      </c>
      <c r="D443" s="95">
        <v>30000</v>
      </c>
      <c r="E443" s="96" t="s">
        <v>121</v>
      </c>
      <c r="F443" s="97">
        <f>F441-F442</f>
        <v>0</v>
      </c>
      <c r="G443" s="98">
        <f>F443/2400</f>
        <v>0</v>
      </c>
    </row>
    <row r="444" spans="1:7" s="53" customFormat="1" ht="15" thickTop="1" x14ac:dyDescent="0.35">
      <c r="A444" s="223"/>
      <c r="B444" s="88"/>
      <c r="C444" s="89" t="s">
        <v>122</v>
      </c>
      <c r="D444" s="90">
        <v>140000</v>
      </c>
      <c r="F444" s="94"/>
    </row>
    <row r="445" spans="1:7" s="53" customFormat="1" x14ac:dyDescent="0.35">
      <c r="A445" s="223"/>
      <c r="B445" s="88" t="s">
        <v>270</v>
      </c>
      <c r="C445" s="99" t="s">
        <v>123</v>
      </c>
      <c r="D445" s="90">
        <v>15000</v>
      </c>
      <c r="E445" s="91" t="s">
        <v>124</v>
      </c>
      <c r="F445" s="92"/>
    </row>
    <row r="446" spans="1:7" s="53" customFormat="1" x14ac:dyDescent="0.35">
      <c r="A446" s="223"/>
      <c r="B446" s="101"/>
      <c r="C446" s="99" t="s">
        <v>125</v>
      </c>
      <c r="D446" s="100">
        <v>10000</v>
      </c>
      <c r="E446" s="102"/>
      <c r="F446" s="103"/>
    </row>
    <row r="447" spans="1:7" s="53" customFormat="1" x14ac:dyDescent="0.35">
      <c r="A447" s="223"/>
      <c r="B447" s="101"/>
      <c r="C447" s="99" t="s">
        <v>126</v>
      </c>
      <c r="D447" s="100">
        <v>40000</v>
      </c>
      <c r="E447" s="102" t="s">
        <v>127</v>
      </c>
      <c r="F447" s="103"/>
    </row>
    <row r="448" spans="1:7" s="53" customFormat="1" x14ac:dyDescent="0.35">
      <c r="A448" s="223"/>
      <c r="B448" s="101"/>
      <c r="C448" s="89" t="s">
        <v>265</v>
      </c>
      <c r="D448" s="104">
        <f>3420*125</f>
        <v>427500</v>
      </c>
      <c r="E448" s="102" t="s">
        <v>378</v>
      </c>
      <c r="F448" s="103"/>
    </row>
    <row r="449" spans="1:6" s="53" customFormat="1" ht="15" thickBot="1" x14ac:dyDescent="0.4">
      <c r="A449" s="223"/>
      <c r="B449" s="105"/>
      <c r="C449" s="106"/>
      <c r="D449" s="107"/>
      <c r="F449" s="94"/>
    </row>
    <row r="450" spans="1:6" s="53" customFormat="1" ht="15" thickBot="1" x14ac:dyDescent="0.4">
      <c r="A450" s="223"/>
      <c r="B450" s="108"/>
      <c r="C450" s="109" t="s">
        <v>129</v>
      </c>
      <c r="D450" s="110">
        <f>SUM(D437:D449)</f>
        <v>8243750</v>
      </c>
      <c r="F450" s="94"/>
    </row>
    <row r="451" spans="1:6" s="53" customFormat="1" ht="15.5" thickTop="1" thickBot="1" x14ac:dyDescent="0.4">
      <c r="A451" s="224"/>
      <c r="B451" s="226"/>
      <c r="C451" s="226"/>
      <c r="D451" s="226"/>
      <c r="F451" s="94"/>
    </row>
    <row r="452" spans="1:6" s="53" customFormat="1" x14ac:dyDescent="0.35">
      <c r="B452" s="87"/>
      <c r="C452" s="53" t="s">
        <v>130</v>
      </c>
      <c r="D452" s="111">
        <f>D434-D450</f>
        <v>1756250</v>
      </c>
      <c r="F452" s="94"/>
    </row>
    <row r="453" spans="1:6" s="53" customFormat="1" x14ac:dyDescent="0.35">
      <c r="B453" s="87"/>
      <c r="D453" s="111"/>
      <c r="F453" s="94"/>
    </row>
    <row r="454" spans="1:6" s="53" customFormat="1" x14ac:dyDescent="0.35">
      <c r="A454" s="112"/>
      <c r="B454" s="113"/>
      <c r="C454" s="112"/>
      <c r="D454" s="114"/>
      <c r="E454" s="112"/>
      <c r="F454" s="178"/>
    </row>
    <row r="456" spans="1:6" s="53" customFormat="1" ht="23.5" x14ac:dyDescent="0.55000000000000004">
      <c r="B456" s="227" t="s">
        <v>0</v>
      </c>
      <c r="C456" s="227"/>
      <c r="D456" s="227"/>
      <c r="E456" s="70"/>
      <c r="F456" s="176"/>
    </row>
    <row r="457" spans="1:6" s="53" customFormat="1" ht="20.5" x14ac:dyDescent="0.45">
      <c r="B457" s="71"/>
      <c r="C457" s="72" t="s">
        <v>274</v>
      </c>
      <c r="D457" s="73"/>
      <c r="F457" s="94"/>
    </row>
    <row r="458" spans="1:6" s="53" customFormat="1" ht="21" thickBot="1" x14ac:dyDescent="0.5">
      <c r="B458" s="71" t="s">
        <v>239</v>
      </c>
      <c r="C458" s="74" t="s">
        <v>103</v>
      </c>
      <c r="D458" s="73"/>
      <c r="F458" s="94"/>
    </row>
    <row r="459" spans="1:6" s="53" customFormat="1" ht="15" thickBot="1" x14ac:dyDescent="0.4">
      <c r="A459" s="75" t="s">
        <v>104</v>
      </c>
      <c r="B459" s="76" t="s">
        <v>81</v>
      </c>
      <c r="C459" s="76" t="s">
        <v>105</v>
      </c>
      <c r="D459" s="77" t="s">
        <v>84</v>
      </c>
      <c r="F459" s="94"/>
    </row>
    <row r="460" spans="1:6" s="53" customFormat="1" ht="14.5" customHeight="1" x14ac:dyDescent="0.35">
      <c r="A460" s="222" t="s">
        <v>87</v>
      </c>
      <c r="B460" s="78" t="s">
        <v>272</v>
      </c>
      <c r="C460" s="79" t="s">
        <v>106</v>
      </c>
      <c r="D460" s="80">
        <f>F467</f>
        <v>10520000</v>
      </c>
      <c r="F460" s="94"/>
    </row>
    <row r="461" spans="1:6" s="53" customFormat="1" ht="21" thickBot="1" x14ac:dyDescent="0.5">
      <c r="A461" s="223"/>
      <c r="B461" s="71"/>
      <c r="C461" s="71"/>
      <c r="D461" s="73"/>
      <c r="F461" s="94"/>
    </row>
    <row r="462" spans="1:6" s="53" customFormat="1" ht="15" thickBot="1" x14ac:dyDescent="0.4">
      <c r="A462" s="223"/>
      <c r="B462" s="81" t="s">
        <v>81</v>
      </c>
      <c r="C462" s="82" t="s">
        <v>107</v>
      </c>
      <c r="D462" s="83" t="s">
        <v>108</v>
      </c>
      <c r="F462" s="94"/>
    </row>
    <row r="463" spans="1:6" s="87" customFormat="1" x14ac:dyDescent="0.35">
      <c r="A463" s="223"/>
      <c r="B463" s="84" t="str">
        <f>B460</f>
        <v>09th February,2025</v>
      </c>
      <c r="C463" s="85" t="s">
        <v>204</v>
      </c>
      <c r="D463" s="86">
        <f>2000*2770</f>
        <v>5540000</v>
      </c>
      <c r="F463" s="177"/>
    </row>
    <row r="464" spans="1:6" s="53" customFormat="1" x14ac:dyDescent="0.35">
      <c r="A464" s="223"/>
      <c r="B464" s="88"/>
      <c r="C464" s="89" t="s">
        <v>210</v>
      </c>
      <c r="D464" s="90">
        <f>319*2650</f>
        <v>845350</v>
      </c>
      <c r="F464" s="94"/>
    </row>
    <row r="465" spans="1:7" s="53" customFormat="1" x14ac:dyDescent="0.35">
      <c r="A465" s="223"/>
      <c r="B465" s="88" t="s">
        <v>109</v>
      </c>
      <c r="C465" s="89" t="s">
        <v>110</v>
      </c>
      <c r="D465" s="90">
        <v>1000000</v>
      </c>
      <c r="F465" s="94"/>
    </row>
    <row r="466" spans="1:7" s="53" customFormat="1" x14ac:dyDescent="0.35">
      <c r="A466" s="223"/>
      <c r="B466" s="88" t="s">
        <v>111</v>
      </c>
      <c r="C466" s="89" t="s">
        <v>112</v>
      </c>
      <c r="D466" s="90">
        <v>40000</v>
      </c>
      <c r="E466" s="225" t="s">
        <v>113</v>
      </c>
      <c r="F466" s="225"/>
    </row>
    <row r="467" spans="1:7" s="53" customFormat="1" x14ac:dyDescent="0.35">
      <c r="A467" s="223"/>
      <c r="B467" s="88" t="s">
        <v>114</v>
      </c>
      <c r="C467" s="89" t="s">
        <v>115</v>
      </c>
      <c r="D467" s="90">
        <f>600*120</f>
        <v>72000</v>
      </c>
      <c r="E467" s="91" t="s">
        <v>116</v>
      </c>
      <c r="F467" s="92">
        <f>4000*2630</f>
        <v>10520000</v>
      </c>
    </row>
    <row r="468" spans="1:7" s="53" customFormat="1" x14ac:dyDescent="0.35">
      <c r="A468" s="223"/>
      <c r="B468" s="88"/>
      <c r="C468" s="89" t="s">
        <v>117</v>
      </c>
      <c r="D468" s="90">
        <f>2000*120</f>
        <v>240000</v>
      </c>
      <c r="E468" s="93" t="s">
        <v>118</v>
      </c>
      <c r="F468" s="94">
        <f>(2400*2630)+(1600*2630)</f>
        <v>10520000</v>
      </c>
    </row>
    <row r="469" spans="1:7" s="53" customFormat="1" ht="15" thickBot="1" x14ac:dyDescent="0.4">
      <c r="A469" s="223"/>
      <c r="B469" s="88" t="s">
        <v>119</v>
      </c>
      <c r="C469" s="89" t="s">
        <v>120</v>
      </c>
      <c r="D469" s="95">
        <v>30000</v>
      </c>
      <c r="E469" s="96" t="s">
        <v>121</v>
      </c>
      <c r="F469" s="97">
        <f>F467-F468</f>
        <v>0</v>
      </c>
      <c r="G469" s="98">
        <f>F469/2630</f>
        <v>0</v>
      </c>
    </row>
    <row r="470" spans="1:7" s="53" customFormat="1" ht="15" thickTop="1" x14ac:dyDescent="0.35">
      <c r="A470" s="223"/>
      <c r="B470" s="88"/>
      <c r="C470" s="89" t="s">
        <v>126</v>
      </c>
      <c r="D470" s="95">
        <v>40000</v>
      </c>
      <c r="F470" s="94"/>
    </row>
    <row r="471" spans="1:7" s="53" customFormat="1" x14ac:dyDescent="0.35">
      <c r="A471" s="223"/>
      <c r="B471" s="88" t="s">
        <v>273</v>
      </c>
      <c r="C471" s="99" t="s">
        <v>123</v>
      </c>
      <c r="D471" s="90">
        <v>15000</v>
      </c>
      <c r="E471" s="91" t="s">
        <v>124</v>
      </c>
      <c r="F471" s="92"/>
    </row>
    <row r="472" spans="1:7" s="53" customFormat="1" x14ac:dyDescent="0.35">
      <c r="A472" s="223"/>
      <c r="B472" s="101"/>
      <c r="C472" s="99" t="s">
        <v>125</v>
      </c>
      <c r="D472" s="100">
        <v>10000</v>
      </c>
      <c r="E472" s="102"/>
      <c r="F472" s="103"/>
    </row>
    <row r="473" spans="1:7" s="53" customFormat="1" x14ac:dyDescent="0.35">
      <c r="A473" s="223"/>
      <c r="B473" s="101"/>
      <c r="C473" s="89" t="s">
        <v>122</v>
      </c>
      <c r="D473" s="100">
        <v>75000</v>
      </c>
      <c r="E473" s="102" t="s">
        <v>127</v>
      </c>
      <c r="F473" s="103"/>
    </row>
    <row r="474" spans="1:7" s="53" customFormat="1" x14ac:dyDescent="0.35">
      <c r="A474" s="223"/>
      <c r="B474" s="101"/>
      <c r="C474" s="89"/>
      <c r="D474" s="90"/>
      <c r="E474" s="102" t="s">
        <v>292</v>
      </c>
      <c r="F474" s="103"/>
    </row>
    <row r="475" spans="1:7" s="53" customFormat="1" ht="15" thickBot="1" x14ac:dyDescent="0.4">
      <c r="A475" s="223"/>
      <c r="B475" s="105"/>
      <c r="C475" s="106"/>
      <c r="D475" s="107"/>
      <c r="E475" s="53" t="s">
        <v>478</v>
      </c>
      <c r="F475" s="94"/>
    </row>
    <row r="476" spans="1:7" s="53" customFormat="1" ht="15" thickBot="1" x14ac:dyDescent="0.4">
      <c r="A476" s="223"/>
      <c r="B476" s="108"/>
      <c r="C476" s="109" t="s">
        <v>129</v>
      </c>
      <c r="D476" s="110">
        <f>SUM(D463:D475)</f>
        <v>7907350</v>
      </c>
      <c r="F476" s="94"/>
    </row>
    <row r="477" spans="1:7" s="53" customFormat="1" ht="15.5" thickTop="1" thickBot="1" x14ac:dyDescent="0.4">
      <c r="A477" s="224"/>
      <c r="B477" s="226"/>
      <c r="C477" s="226"/>
      <c r="D477" s="226"/>
      <c r="F477" s="94"/>
    </row>
    <row r="478" spans="1:7" s="53" customFormat="1" x14ac:dyDescent="0.35">
      <c r="B478" s="87"/>
      <c r="C478" s="53" t="s">
        <v>130</v>
      </c>
      <c r="D478" s="111">
        <f>D460-D476</f>
        <v>2612650</v>
      </c>
      <c r="F478" s="94"/>
    </row>
    <row r="479" spans="1:7" s="53" customFormat="1" x14ac:dyDescent="0.35">
      <c r="B479" s="87"/>
      <c r="D479" s="111"/>
      <c r="F479" s="94"/>
    </row>
    <row r="480" spans="1:7" s="53" customFormat="1" x14ac:dyDescent="0.35">
      <c r="A480" s="112"/>
      <c r="B480" s="113"/>
      <c r="C480" s="112"/>
      <c r="D480" s="114"/>
      <c r="E480" s="112"/>
      <c r="F480" s="178"/>
    </row>
    <row r="482" spans="1:7" s="53" customFormat="1" ht="23.5" x14ac:dyDescent="0.55000000000000004">
      <c r="B482" s="227" t="s">
        <v>0</v>
      </c>
      <c r="C482" s="227"/>
      <c r="D482" s="227"/>
      <c r="E482" s="70"/>
      <c r="F482" s="176"/>
    </row>
    <row r="483" spans="1:7" s="53" customFormat="1" ht="20.5" x14ac:dyDescent="0.45">
      <c r="B483" s="71"/>
      <c r="C483" s="72" t="s">
        <v>276</v>
      </c>
      <c r="D483" s="73"/>
      <c r="F483" s="94"/>
    </row>
    <row r="484" spans="1:7" s="53" customFormat="1" ht="21" thickBot="1" x14ac:dyDescent="0.5">
      <c r="B484" s="71" t="s">
        <v>235</v>
      </c>
      <c r="C484" s="74" t="s">
        <v>103</v>
      </c>
      <c r="D484" s="73"/>
      <c r="F484" s="94"/>
    </row>
    <row r="485" spans="1:7" s="53" customFormat="1" ht="15" thickBot="1" x14ac:dyDescent="0.4">
      <c r="A485" s="75" t="s">
        <v>104</v>
      </c>
      <c r="B485" s="76" t="s">
        <v>81</v>
      </c>
      <c r="C485" s="76" t="s">
        <v>105</v>
      </c>
      <c r="D485" s="77" t="s">
        <v>84</v>
      </c>
      <c r="F485" s="94"/>
    </row>
    <row r="486" spans="1:7" s="53" customFormat="1" ht="14.5" customHeight="1" x14ac:dyDescent="0.35">
      <c r="A486" s="222" t="s">
        <v>87</v>
      </c>
      <c r="B486" s="78" t="s">
        <v>272</v>
      </c>
      <c r="C486" s="79" t="s">
        <v>106</v>
      </c>
      <c r="D486" s="80">
        <f>F493</f>
        <v>10520000</v>
      </c>
      <c r="F486" s="94"/>
    </row>
    <row r="487" spans="1:7" s="53" customFormat="1" ht="21" thickBot="1" x14ac:dyDescent="0.5">
      <c r="A487" s="223"/>
      <c r="B487" s="71"/>
      <c r="C487" s="71"/>
      <c r="D487" s="73"/>
      <c r="F487" s="94"/>
    </row>
    <row r="488" spans="1:7" s="53" customFormat="1" ht="15" thickBot="1" x14ac:dyDescent="0.4">
      <c r="A488" s="223"/>
      <c r="B488" s="81" t="s">
        <v>81</v>
      </c>
      <c r="C488" s="82" t="s">
        <v>107</v>
      </c>
      <c r="D488" s="83" t="s">
        <v>108</v>
      </c>
      <c r="F488" s="94"/>
    </row>
    <row r="489" spans="1:7" s="87" customFormat="1" x14ac:dyDescent="0.35">
      <c r="A489" s="223"/>
      <c r="B489" s="84" t="str">
        <f>B486</f>
        <v>09th February,2025</v>
      </c>
      <c r="C489" s="85" t="s">
        <v>219</v>
      </c>
      <c r="D489" s="86">
        <f>2000*2650</f>
        <v>5300000</v>
      </c>
      <c r="F489" s="177"/>
    </row>
    <row r="490" spans="1:7" s="53" customFormat="1" x14ac:dyDescent="0.35">
      <c r="A490" s="223"/>
      <c r="B490" s="88"/>
      <c r="C490" s="89" t="s">
        <v>210</v>
      </c>
      <c r="D490" s="90">
        <f>319*2650</f>
        <v>845350</v>
      </c>
      <c r="F490" s="94"/>
    </row>
    <row r="491" spans="1:7" s="53" customFormat="1" x14ac:dyDescent="0.35">
      <c r="A491" s="223"/>
      <c r="B491" s="88" t="s">
        <v>109</v>
      </c>
      <c r="C491" s="89" t="s">
        <v>110</v>
      </c>
      <c r="D491" s="90">
        <v>1000000</v>
      </c>
      <c r="F491" s="94"/>
    </row>
    <row r="492" spans="1:7" s="53" customFormat="1" x14ac:dyDescent="0.35">
      <c r="A492" s="223"/>
      <c r="B492" s="88" t="s">
        <v>111</v>
      </c>
      <c r="C492" s="89" t="s">
        <v>112</v>
      </c>
      <c r="D492" s="90">
        <v>40000</v>
      </c>
      <c r="E492" s="225" t="s">
        <v>113</v>
      </c>
      <c r="F492" s="225"/>
    </row>
    <row r="493" spans="1:7" s="53" customFormat="1" x14ac:dyDescent="0.35">
      <c r="A493" s="223"/>
      <c r="B493" s="88" t="s">
        <v>206</v>
      </c>
      <c r="C493" s="89" t="s">
        <v>115</v>
      </c>
      <c r="D493" s="90">
        <f>500*120</f>
        <v>60000</v>
      </c>
      <c r="E493" s="91" t="s">
        <v>116</v>
      </c>
      <c r="F493" s="92">
        <f>4000*2630</f>
        <v>10520000</v>
      </c>
    </row>
    <row r="494" spans="1:7" s="53" customFormat="1" x14ac:dyDescent="0.35">
      <c r="A494" s="223"/>
      <c r="B494" s="88"/>
      <c r="C494" s="89" t="s">
        <v>117</v>
      </c>
      <c r="D494" s="90">
        <f>2000*120</f>
        <v>240000</v>
      </c>
      <c r="E494" s="93" t="s">
        <v>118</v>
      </c>
      <c r="F494" s="94">
        <f>(2400*2630)+(1600*2630)</f>
        <v>10520000</v>
      </c>
    </row>
    <row r="495" spans="1:7" s="53" customFormat="1" ht="15" thickBot="1" x14ac:dyDescent="0.4">
      <c r="A495" s="223"/>
      <c r="B495" s="88" t="s">
        <v>119</v>
      </c>
      <c r="C495" s="89" t="s">
        <v>120</v>
      </c>
      <c r="D495" s="90">
        <v>30000</v>
      </c>
      <c r="E495" s="96" t="s">
        <v>121</v>
      </c>
      <c r="F495" s="97">
        <f>F493-F494</f>
        <v>0</v>
      </c>
      <c r="G495" s="98">
        <f>F495/2630</f>
        <v>0</v>
      </c>
    </row>
    <row r="496" spans="1:7" s="53" customFormat="1" ht="15" thickTop="1" x14ac:dyDescent="0.35">
      <c r="A496" s="223"/>
      <c r="B496" s="88"/>
      <c r="C496" s="89" t="s">
        <v>122</v>
      </c>
      <c r="D496" s="90">
        <v>140000</v>
      </c>
      <c r="F496" s="94"/>
    </row>
    <row r="497" spans="1:6" s="53" customFormat="1" x14ac:dyDescent="0.35">
      <c r="A497" s="223"/>
      <c r="B497" s="88" t="s">
        <v>275</v>
      </c>
      <c r="C497" s="99" t="s">
        <v>123</v>
      </c>
      <c r="D497" s="100">
        <v>15000</v>
      </c>
      <c r="E497" s="91" t="s">
        <v>124</v>
      </c>
      <c r="F497" s="92"/>
    </row>
    <row r="498" spans="1:6" s="53" customFormat="1" x14ac:dyDescent="0.35">
      <c r="A498" s="223"/>
      <c r="B498" s="101"/>
      <c r="C498" s="99" t="s">
        <v>126</v>
      </c>
      <c r="D498" s="100">
        <v>30000</v>
      </c>
      <c r="E498" s="102"/>
      <c r="F498" s="103"/>
    </row>
    <row r="499" spans="1:6" s="53" customFormat="1" x14ac:dyDescent="0.35">
      <c r="A499" s="223"/>
      <c r="B499" s="101"/>
      <c r="C499" s="89"/>
      <c r="D499" s="90"/>
      <c r="E499" s="102" t="s">
        <v>127</v>
      </c>
      <c r="F499" s="103"/>
    </row>
    <row r="500" spans="1:6" s="53" customFormat="1" x14ac:dyDescent="0.35">
      <c r="A500" s="223"/>
      <c r="B500" s="101"/>
      <c r="C500" s="89"/>
      <c r="D500" s="90"/>
      <c r="E500" s="102" t="s">
        <v>292</v>
      </c>
      <c r="F500" s="103"/>
    </row>
    <row r="501" spans="1:6" s="53" customFormat="1" ht="15" thickBot="1" x14ac:dyDescent="0.4">
      <c r="A501" s="223"/>
      <c r="B501" s="105"/>
      <c r="C501" s="106"/>
      <c r="D501" s="107"/>
      <c r="E501" s="53" t="s">
        <v>478</v>
      </c>
      <c r="F501" s="94"/>
    </row>
    <row r="502" spans="1:6" s="53" customFormat="1" ht="15" thickBot="1" x14ac:dyDescent="0.4">
      <c r="A502" s="223"/>
      <c r="B502" s="108"/>
      <c r="C502" s="109" t="s">
        <v>129</v>
      </c>
      <c r="D502" s="110">
        <f>SUM(D489:D501)</f>
        <v>7700350</v>
      </c>
      <c r="F502" s="94"/>
    </row>
    <row r="503" spans="1:6" s="53" customFormat="1" ht="15.5" thickTop="1" thickBot="1" x14ac:dyDescent="0.4">
      <c r="A503" s="224"/>
      <c r="B503" s="226"/>
      <c r="C503" s="226"/>
      <c r="D503" s="226"/>
      <c r="F503" s="94"/>
    </row>
    <row r="504" spans="1:6" s="53" customFormat="1" x14ac:dyDescent="0.35">
      <c r="B504" s="87"/>
      <c r="C504" s="53" t="s">
        <v>130</v>
      </c>
      <c r="D504" s="111">
        <f>D486-D502</f>
        <v>2819650</v>
      </c>
      <c r="F504" s="94"/>
    </row>
    <row r="505" spans="1:6" s="53" customFormat="1" x14ac:dyDescent="0.35">
      <c r="B505" s="87"/>
      <c r="D505" s="111"/>
      <c r="F505" s="94"/>
    </row>
    <row r="506" spans="1:6" s="53" customFormat="1" x14ac:dyDescent="0.35">
      <c r="A506" s="112"/>
      <c r="B506" s="113"/>
      <c r="C506" s="112"/>
      <c r="D506" s="114"/>
      <c r="E506" s="112"/>
      <c r="F506" s="178"/>
    </row>
    <row r="508" spans="1:6" s="53" customFormat="1" ht="23.5" x14ac:dyDescent="0.55000000000000004">
      <c r="B508" s="227" t="s">
        <v>0</v>
      </c>
      <c r="C508" s="227"/>
      <c r="D508" s="227"/>
      <c r="E508" s="70"/>
      <c r="F508" s="176"/>
    </row>
    <row r="509" spans="1:6" s="53" customFormat="1" ht="20.5" x14ac:dyDescent="0.45">
      <c r="B509" s="71"/>
      <c r="C509" s="72" t="s">
        <v>278</v>
      </c>
      <c r="D509" s="73"/>
      <c r="F509" s="94"/>
    </row>
    <row r="510" spans="1:6" s="53" customFormat="1" ht="21" thickBot="1" x14ac:dyDescent="0.5">
      <c r="B510" s="71" t="s">
        <v>156</v>
      </c>
      <c r="C510" s="74" t="s">
        <v>103</v>
      </c>
      <c r="D510" s="73"/>
      <c r="F510" s="94"/>
    </row>
    <row r="511" spans="1:6" s="53" customFormat="1" ht="15" thickBot="1" x14ac:dyDescent="0.4">
      <c r="A511" s="75" t="s">
        <v>104</v>
      </c>
      <c r="B511" s="76" t="s">
        <v>81</v>
      </c>
      <c r="C511" s="76" t="s">
        <v>105</v>
      </c>
      <c r="D511" s="77" t="s">
        <v>84</v>
      </c>
      <c r="F511" s="94"/>
    </row>
    <row r="512" spans="1:6" s="53" customFormat="1" ht="14.5" customHeight="1" x14ac:dyDescent="0.35">
      <c r="A512" s="222" t="s">
        <v>87</v>
      </c>
      <c r="B512" s="78" t="s">
        <v>279</v>
      </c>
      <c r="C512" s="79" t="s">
        <v>237</v>
      </c>
      <c r="D512" s="80">
        <f>F519</f>
        <v>10000000</v>
      </c>
      <c r="F512" s="94"/>
    </row>
    <row r="513" spans="1:7" s="53" customFormat="1" ht="21" thickBot="1" x14ac:dyDescent="0.5">
      <c r="A513" s="223"/>
      <c r="B513" s="71"/>
      <c r="C513" s="71"/>
      <c r="D513" s="73"/>
      <c r="F513" s="94"/>
    </row>
    <row r="514" spans="1:7" s="53" customFormat="1" ht="15" thickBot="1" x14ac:dyDescent="0.4">
      <c r="A514" s="223"/>
      <c r="B514" s="81" t="s">
        <v>81</v>
      </c>
      <c r="C514" s="82" t="s">
        <v>107</v>
      </c>
      <c r="D514" s="83" t="s">
        <v>108</v>
      </c>
      <c r="F514" s="94"/>
    </row>
    <row r="515" spans="1:7" s="87" customFormat="1" x14ac:dyDescent="0.35">
      <c r="A515" s="223"/>
      <c r="B515" s="84" t="str">
        <f>B512</f>
        <v>10th February,2025</v>
      </c>
      <c r="C515" s="85" t="s">
        <v>158</v>
      </c>
      <c r="D515" s="86">
        <f>2000*2630</f>
        <v>5260000</v>
      </c>
      <c r="F515" s="177"/>
    </row>
    <row r="516" spans="1:7" s="53" customFormat="1" x14ac:dyDescent="0.35">
      <c r="A516" s="223"/>
      <c r="B516" s="88"/>
      <c r="C516" s="89" t="s">
        <v>188</v>
      </c>
      <c r="D516" s="90">
        <f>325*2650</f>
        <v>861250</v>
      </c>
      <c r="F516" s="94"/>
    </row>
    <row r="517" spans="1:7" s="53" customFormat="1" x14ac:dyDescent="0.35">
      <c r="A517" s="223"/>
      <c r="B517" s="88" t="s">
        <v>109</v>
      </c>
      <c r="C517" s="89" t="s">
        <v>110</v>
      </c>
      <c r="D517" s="90">
        <v>1000000</v>
      </c>
      <c r="F517" s="94"/>
    </row>
    <row r="518" spans="1:7" s="53" customFormat="1" x14ac:dyDescent="0.35">
      <c r="A518" s="223"/>
      <c r="B518" s="88" t="s">
        <v>111</v>
      </c>
      <c r="C518" s="89" t="s">
        <v>112</v>
      </c>
      <c r="D518" s="90">
        <v>40000</v>
      </c>
      <c r="E518" s="225" t="s">
        <v>113</v>
      </c>
      <c r="F518" s="225"/>
    </row>
    <row r="519" spans="1:7" s="53" customFormat="1" x14ac:dyDescent="0.35">
      <c r="A519" s="223"/>
      <c r="B519" s="88" t="s">
        <v>182</v>
      </c>
      <c r="C519" s="89" t="s">
        <v>115</v>
      </c>
      <c r="D519" s="90">
        <f>600*120</f>
        <v>72000</v>
      </c>
      <c r="E519" s="91" t="s">
        <v>116</v>
      </c>
      <c r="F519" s="92">
        <f>4000*2500</f>
        <v>10000000</v>
      </c>
    </row>
    <row r="520" spans="1:7" s="53" customFormat="1" x14ac:dyDescent="0.35">
      <c r="A520" s="223"/>
      <c r="B520" s="88"/>
      <c r="C520" s="89" t="s">
        <v>117</v>
      </c>
      <c r="D520" s="90">
        <f>2500*120</f>
        <v>300000</v>
      </c>
      <c r="E520" s="93" t="s">
        <v>118</v>
      </c>
      <c r="F520" s="94">
        <f>(4000*2500)</f>
        <v>10000000</v>
      </c>
    </row>
    <row r="521" spans="1:7" s="53" customFormat="1" ht="15" thickBot="1" x14ac:dyDescent="0.4">
      <c r="A521" s="223"/>
      <c r="B521" s="88" t="s">
        <v>119</v>
      </c>
      <c r="C521" s="89" t="s">
        <v>120</v>
      </c>
      <c r="D521" s="95">
        <v>30000</v>
      </c>
      <c r="E521" s="96" t="s">
        <v>121</v>
      </c>
      <c r="F521" s="97">
        <f>F519-F520</f>
        <v>0</v>
      </c>
      <c r="G521" s="98">
        <f>F521/2500</f>
        <v>0</v>
      </c>
    </row>
    <row r="522" spans="1:7" s="53" customFormat="1" ht="15" thickTop="1" x14ac:dyDescent="0.35">
      <c r="A522" s="223"/>
      <c r="B522" s="88"/>
      <c r="C522" s="89" t="s">
        <v>122</v>
      </c>
      <c r="D522" s="90">
        <v>140000</v>
      </c>
      <c r="F522" s="94"/>
    </row>
    <row r="523" spans="1:7" s="53" customFormat="1" x14ac:dyDescent="0.35">
      <c r="A523" s="223"/>
      <c r="B523" s="88" t="s">
        <v>277</v>
      </c>
      <c r="C523" s="99" t="s">
        <v>123</v>
      </c>
      <c r="D523" s="90">
        <v>15000</v>
      </c>
      <c r="E523" s="91" t="s">
        <v>124</v>
      </c>
      <c r="F523" s="92"/>
    </row>
    <row r="524" spans="1:7" s="53" customFormat="1" x14ac:dyDescent="0.35">
      <c r="A524" s="223"/>
      <c r="B524" s="101"/>
      <c r="C524" s="99" t="s">
        <v>125</v>
      </c>
      <c r="D524" s="100">
        <v>10000</v>
      </c>
      <c r="E524" s="102"/>
      <c r="F524" s="103"/>
    </row>
    <row r="525" spans="1:7" s="53" customFormat="1" x14ac:dyDescent="0.35">
      <c r="A525" s="223"/>
      <c r="B525" s="101"/>
      <c r="C525" s="99" t="s">
        <v>126</v>
      </c>
      <c r="D525" s="100">
        <v>30000</v>
      </c>
      <c r="E525" s="102" t="s">
        <v>127</v>
      </c>
      <c r="F525" s="103"/>
    </row>
    <row r="526" spans="1:7" s="53" customFormat="1" x14ac:dyDescent="0.35">
      <c r="A526" s="223"/>
      <c r="B526" s="101"/>
      <c r="C526" s="89" t="s">
        <v>265</v>
      </c>
      <c r="D526" s="104">
        <f>1047*124</f>
        <v>129828</v>
      </c>
      <c r="E526" s="102" t="s">
        <v>520</v>
      </c>
      <c r="F526" s="103"/>
    </row>
    <row r="527" spans="1:7" s="53" customFormat="1" ht="15" thickBot="1" x14ac:dyDescent="0.4">
      <c r="A527" s="223"/>
      <c r="B527" s="105"/>
      <c r="C527" s="106"/>
      <c r="D527" s="107"/>
      <c r="F527" s="94"/>
    </row>
    <row r="528" spans="1:7" s="53" customFormat="1" ht="15" thickBot="1" x14ac:dyDescent="0.4">
      <c r="A528" s="223"/>
      <c r="B528" s="108"/>
      <c r="C528" s="109" t="s">
        <v>129</v>
      </c>
      <c r="D528" s="110">
        <f>SUM(D515:D527)</f>
        <v>7888078</v>
      </c>
      <c r="F528" s="94"/>
    </row>
    <row r="529" spans="1:6" s="53" customFormat="1" ht="15.5" thickTop="1" thickBot="1" x14ac:dyDescent="0.4">
      <c r="A529" s="224"/>
      <c r="B529" s="226"/>
      <c r="C529" s="226"/>
      <c r="D529" s="226"/>
      <c r="F529" s="94"/>
    </row>
    <row r="530" spans="1:6" s="53" customFormat="1" x14ac:dyDescent="0.35">
      <c r="B530" s="87"/>
      <c r="C530" s="53" t="s">
        <v>130</v>
      </c>
      <c r="D530" s="111">
        <f>D512-D528</f>
        <v>2111922</v>
      </c>
      <c r="F530" s="94"/>
    </row>
    <row r="531" spans="1:6" s="53" customFormat="1" x14ac:dyDescent="0.35">
      <c r="B531" s="87"/>
      <c r="D531" s="111"/>
      <c r="F531" s="94"/>
    </row>
    <row r="532" spans="1:6" s="53" customFormat="1" x14ac:dyDescent="0.35">
      <c r="A532" s="112"/>
      <c r="B532" s="113"/>
      <c r="C532" s="112"/>
      <c r="D532" s="114"/>
      <c r="E532" s="112"/>
      <c r="F532" s="178"/>
    </row>
    <row r="534" spans="1:6" s="53" customFormat="1" ht="23.5" x14ac:dyDescent="0.55000000000000004">
      <c r="B534" s="227" t="s">
        <v>0</v>
      </c>
      <c r="C534" s="227"/>
      <c r="D534" s="227"/>
      <c r="E534" s="70"/>
      <c r="F534" s="176"/>
    </row>
    <row r="535" spans="1:6" s="53" customFormat="1" ht="20.5" x14ac:dyDescent="0.45">
      <c r="B535" s="71"/>
      <c r="C535" s="72" t="s">
        <v>282</v>
      </c>
      <c r="D535" s="73"/>
      <c r="F535" s="94"/>
    </row>
    <row r="536" spans="1:6" s="53" customFormat="1" ht="21" thickBot="1" x14ac:dyDescent="0.5">
      <c r="B536" s="71" t="s">
        <v>167</v>
      </c>
      <c r="C536" s="74" t="s">
        <v>103</v>
      </c>
      <c r="D536" s="73"/>
      <c r="F536" s="94"/>
    </row>
    <row r="537" spans="1:6" s="53" customFormat="1" ht="15" thickBot="1" x14ac:dyDescent="0.4">
      <c r="A537" s="75" t="s">
        <v>104</v>
      </c>
      <c r="B537" s="76" t="s">
        <v>81</v>
      </c>
      <c r="C537" s="76" t="s">
        <v>105</v>
      </c>
      <c r="D537" s="77" t="s">
        <v>84</v>
      </c>
      <c r="F537" s="94"/>
    </row>
    <row r="538" spans="1:6" s="53" customFormat="1" ht="14.5" customHeight="1" x14ac:dyDescent="0.35">
      <c r="A538" s="222" t="s">
        <v>87</v>
      </c>
      <c r="B538" s="78" t="s">
        <v>279</v>
      </c>
      <c r="C538" s="79" t="s">
        <v>187</v>
      </c>
      <c r="D538" s="80">
        <f>F545</f>
        <v>10000000</v>
      </c>
      <c r="F538" s="94"/>
    </row>
    <row r="539" spans="1:6" s="53" customFormat="1" ht="21" thickBot="1" x14ac:dyDescent="0.5">
      <c r="A539" s="223"/>
      <c r="B539" s="71"/>
      <c r="C539" s="71"/>
      <c r="D539" s="73"/>
      <c r="F539" s="94"/>
    </row>
    <row r="540" spans="1:6" s="53" customFormat="1" ht="15" thickBot="1" x14ac:dyDescent="0.4">
      <c r="A540" s="223"/>
      <c r="B540" s="81" t="s">
        <v>81</v>
      </c>
      <c r="C540" s="82" t="s">
        <v>107</v>
      </c>
      <c r="D540" s="83" t="s">
        <v>108</v>
      </c>
      <c r="F540" s="94"/>
    </row>
    <row r="541" spans="1:6" s="87" customFormat="1" x14ac:dyDescent="0.35">
      <c r="A541" s="223"/>
      <c r="B541" s="84" t="str">
        <f>B538</f>
        <v>10th February,2025</v>
      </c>
      <c r="C541" s="85" t="s">
        <v>158</v>
      </c>
      <c r="D541" s="86">
        <f>2000*2630</f>
        <v>5260000</v>
      </c>
      <c r="F541" s="177"/>
    </row>
    <row r="542" spans="1:6" s="53" customFormat="1" x14ac:dyDescent="0.35">
      <c r="A542" s="223"/>
      <c r="B542" s="88"/>
      <c r="C542" s="89" t="s">
        <v>188</v>
      </c>
      <c r="D542" s="90">
        <f>325*2650</f>
        <v>861250</v>
      </c>
      <c r="F542" s="94"/>
    </row>
    <row r="543" spans="1:6" s="53" customFormat="1" x14ac:dyDescent="0.35">
      <c r="A543" s="223"/>
      <c r="B543" s="88" t="s">
        <v>109</v>
      </c>
      <c r="C543" s="89" t="s">
        <v>110</v>
      </c>
      <c r="D543" s="90">
        <v>1000000</v>
      </c>
      <c r="F543" s="94"/>
    </row>
    <row r="544" spans="1:6" s="53" customFormat="1" x14ac:dyDescent="0.35">
      <c r="A544" s="223"/>
      <c r="B544" s="88" t="s">
        <v>111</v>
      </c>
      <c r="C544" s="89" t="s">
        <v>112</v>
      </c>
      <c r="D544" s="90">
        <v>40000</v>
      </c>
      <c r="E544" s="225" t="s">
        <v>113</v>
      </c>
      <c r="F544" s="225"/>
    </row>
    <row r="545" spans="1:7" s="53" customFormat="1" x14ac:dyDescent="0.35">
      <c r="A545" s="223"/>
      <c r="B545" s="88" t="s">
        <v>182</v>
      </c>
      <c r="C545" s="89" t="s">
        <v>115</v>
      </c>
      <c r="D545" s="90">
        <f>800*120</f>
        <v>96000</v>
      </c>
      <c r="E545" s="91" t="s">
        <v>116</v>
      </c>
      <c r="F545" s="92">
        <f>4000*2500</f>
        <v>10000000</v>
      </c>
    </row>
    <row r="546" spans="1:7" s="53" customFormat="1" x14ac:dyDescent="0.35">
      <c r="A546" s="223"/>
      <c r="B546" s="88"/>
      <c r="C546" s="89" t="s">
        <v>117</v>
      </c>
      <c r="D546" s="90">
        <f>3000*120</f>
        <v>360000</v>
      </c>
      <c r="E546" s="93" t="s">
        <v>118</v>
      </c>
      <c r="F546" s="94">
        <f>4000*2500</f>
        <v>10000000</v>
      </c>
    </row>
    <row r="547" spans="1:7" s="53" customFormat="1" ht="15" thickBot="1" x14ac:dyDescent="0.4">
      <c r="A547" s="223"/>
      <c r="B547" s="88" t="s">
        <v>119</v>
      </c>
      <c r="C547" s="89" t="s">
        <v>120</v>
      </c>
      <c r="D547" s="95">
        <v>30000</v>
      </c>
      <c r="E547" s="96" t="s">
        <v>121</v>
      </c>
      <c r="F547" s="97">
        <f>F545-F546</f>
        <v>0</v>
      </c>
      <c r="G547" s="98">
        <f>F547/2500</f>
        <v>0</v>
      </c>
    </row>
    <row r="548" spans="1:7" s="53" customFormat="1" ht="15" thickTop="1" x14ac:dyDescent="0.35">
      <c r="A548" s="223"/>
      <c r="B548" s="88"/>
      <c r="C548" s="89" t="s">
        <v>122</v>
      </c>
      <c r="D548" s="90">
        <v>140000</v>
      </c>
      <c r="F548" s="94"/>
    </row>
    <row r="549" spans="1:7" s="53" customFormat="1" x14ac:dyDescent="0.35">
      <c r="A549" s="223"/>
      <c r="B549" s="88" t="s">
        <v>280</v>
      </c>
      <c r="C549" s="99" t="s">
        <v>123</v>
      </c>
      <c r="D549" s="90">
        <v>15000</v>
      </c>
      <c r="E549" s="91" t="s">
        <v>124</v>
      </c>
      <c r="F549" s="92"/>
    </row>
    <row r="550" spans="1:7" s="53" customFormat="1" x14ac:dyDescent="0.35">
      <c r="A550" s="223"/>
      <c r="B550" s="101"/>
      <c r="C550" s="99" t="s">
        <v>125</v>
      </c>
      <c r="D550" s="100">
        <v>10000</v>
      </c>
      <c r="E550" s="102"/>
      <c r="F550" s="103"/>
    </row>
    <row r="551" spans="1:7" s="53" customFormat="1" x14ac:dyDescent="0.35">
      <c r="A551" s="223"/>
      <c r="B551" s="101"/>
      <c r="C551" s="99" t="s">
        <v>126</v>
      </c>
      <c r="D551" s="100">
        <v>40000</v>
      </c>
      <c r="E551" s="102" t="s">
        <v>127</v>
      </c>
      <c r="F551" s="103"/>
    </row>
    <row r="552" spans="1:7" s="53" customFormat="1" x14ac:dyDescent="0.35">
      <c r="A552" s="223"/>
      <c r="B552" s="101"/>
      <c r="C552" s="89" t="s">
        <v>265</v>
      </c>
      <c r="D552" s="104">
        <f>(3420+454)*120</f>
        <v>464880</v>
      </c>
      <c r="E552" s="102" t="s">
        <v>377</v>
      </c>
      <c r="F552" s="103"/>
    </row>
    <row r="553" spans="1:7" s="53" customFormat="1" ht="15" thickBot="1" x14ac:dyDescent="0.4">
      <c r="A553" s="223"/>
      <c r="B553" s="105"/>
      <c r="C553" s="106"/>
      <c r="D553" s="107"/>
      <c r="F553" s="94"/>
    </row>
    <row r="554" spans="1:7" s="53" customFormat="1" ht="15" thickBot="1" x14ac:dyDescent="0.4">
      <c r="A554" s="223"/>
      <c r="B554" s="108"/>
      <c r="C554" s="109" t="s">
        <v>129</v>
      </c>
      <c r="D554" s="110">
        <f>SUM(D541:D553)</f>
        <v>8317130</v>
      </c>
      <c r="F554" s="94"/>
    </row>
    <row r="555" spans="1:7" s="53" customFormat="1" ht="15.5" thickTop="1" thickBot="1" x14ac:dyDescent="0.4">
      <c r="A555" s="224"/>
      <c r="B555" s="226"/>
      <c r="C555" s="226"/>
      <c r="D555" s="226"/>
      <c r="F555" s="94"/>
    </row>
    <row r="556" spans="1:7" s="53" customFormat="1" x14ac:dyDescent="0.35">
      <c r="B556" s="87"/>
      <c r="C556" s="53" t="s">
        <v>130</v>
      </c>
      <c r="D556" s="111">
        <f>D538-D554</f>
        <v>1682870</v>
      </c>
      <c r="F556" s="94"/>
    </row>
    <row r="557" spans="1:7" s="53" customFormat="1" x14ac:dyDescent="0.35">
      <c r="B557" s="87"/>
      <c r="D557" s="111"/>
      <c r="F557" s="94"/>
    </row>
    <row r="558" spans="1:7" s="53" customFormat="1" x14ac:dyDescent="0.35">
      <c r="A558" s="112"/>
      <c r="B558" s="113"/>
      <c r="C558" s="112"/>
      <c r="D558" s="114"/>
      <c r="E558" s="112"/>
      <c r="F558" s="178"/>
    </row>
    <row r="561" spans="1:7" s="53" customFormat="1" ht="23.5" x14ac:dyDescent="0.55000000000000004">
      <c r="B561" s="227" t="s">
        <v>0</v>
      </c>
      <c r="C561" s="227"/>
      <c r="D561" s="227"/>
      <c r="E561" s="70"/>
      <c r="F561" s="176"/>
    </row>
    <row r="562" spans="1:7" s="53" customFormat="1" ht="20.5" x14ac:dyDescent="0.45">
      <c r="B562" s="71"/>
      <c r="C562" s="72" t="s">
        <v>289</v>
      </c>
      <c r="D562" s="73"/>
      <c r="F562" s="94"/>
    </row>
    <row r="563" spans="1:7" s="53" customFormat="1" ht="21" thickBot="1" x14ac:dyDescent="0.5">
      <c r="B563" s="71" t="s">
        <v>102</v>
      </c>
      <c r="C563" s="74" t="s">
        <v>103</v>
      </c>
      <c r="D563" s="73"/>
      <c r="F563" s="94"/>
    </row>
    <row r="564" spans="1:7" s="53" customFormat="1" ht="15" thickBot="1" x14ac:dyDescent="0.4">
      <c r="A564" s="75" t="s">
        <v>104</v>
      </c>
      <c r="B564" s="76" t="s">
        <v>81</v>
      </c>
      <c r="C564" s="76" t="s">
        <v>105</v>
      </c>
      <c r="D564" s="77" t="s">
        <v>84</v>
      </c>
      <c r="F564" s="94"/>
    </row>
    <row r="565" spans="1:7" s="53" customFormat="1" ht="14.5" customHeight="1" x14ac:dyDescent="0.35">
      <c r="A565" s="222" t="s">
        <v>87</v>
      </c>
      <c r="B565" s="78" t="s">
        <v>290</v>
      </c>
      <c r="C565" s="79" t="s">
        <v>106</v>
      </c>
      <c r="D565" s="80">
        <f>F572</f>
        <v>10520000</v>
      </c>
      <c r="F565" s="94"/>
    </row>
    <row r="566" spans="1:7" s="53" customFormat="1" ht="21" thickBot="1" x14ac:dyDescent="0.5">
      <c r="A566" s="223"/>
      <c r="B566" s="71"/>
      <c r="C566" s="71"/>
      <c r="D566" s="73"/>
      <c r="F566" s="94"/>
    </row>
    <row r="567" spans="1:7" s="53" customFormat="1" ht="15" thickBot="1" x14ac:dyDescent="0.4">
      <c r="A567" s="223"/>
      <c r="B567" s="81" t="s">
        <v>81</v>
      </c>
      <c r="C567" s="82" t="s">
        <v>107</v>
      </c>
      <c r="D567" s="83" t="s">
        <v>108</v>
      </c>
      <c r="F567" s="94"/>
    </row>
    <row r="568" spans="1:7" s="87" customFormat="1" x14ac:dyDescent="0.35">
      <c r="A568" s="223"/>
      <c r="B568" s="84" t="str">
        <f>B565</f>
        <v>13th February,2025</v>
      </c>
      <c r="C568" s="85" t="s">
        <v>318</v>
      </c>
      <c r="D568" s="86">
        <f>2000*2700</f>
        <v>5400000</v>
      </c>
      <c r="F568" s="177"/>
    </row>
    <row r="569" spans="1:7" s="53" customFormat="1" x14ac:dyDescent="0.35">
      <c r="A569" s="223"/>
      <c r="B569" s="88"/>
      <c r="C569" s="89" t="s">
        <v>159</v>
      </c>
      <c r="D569" s="90">
        <f>299*2650</f>
        <v>792350</v>
      </c>
      <c r="F569" s="94"/>
    </row>
    <row r="570" spans="1:7" s="53" customFormat="1" x14ac:dyDescent="0.35">
      <c r="A570" s="223"/>
      <c r="B570" s="88" t="s">
        <v>109</v>
      </c>
      <c r="C570" s="89" t="s">
        <v>110</v>
      </c>
      <c r="D570" s="90">
        <v>1000000</v>
      </c>
      <c r="F570" s="94"/>
    </row>
    <row r="571" spans="1:7" s="53" customFormat="1" x14ac:dyDescent="0.35">
      <c r="A571" s="223"/>
      <c r="B571" s="88" t="s">
        <v>111</v>
      </c>
      <c r="C571" s="89" t="s">
        <v>112</v>
      </c>
      <c r="D571" s="90">
        <v>40000</v>
      </c>
      <c r="E571" s="225" t="s">
        <v>113</v>
      </c>
      <c r="F571" s="225"/>
    </row>
    <row r="572" spans="1:7" s="53" customFormat="1" x14ac:dyDescent="0.35">
      <c r="A572" s="223"/>
      <c r="B572" s="88" t="s">
        <v>114</v>
      </c>
      <c r="C572" s="89" t="s">
        <v>115</v>
      </c>
      <c r="D572" s="90">
        <f>500*120</f>
        <v>60000</v>
      </c>
      <c r="E572" s="91" t="s">
        <v>116</v>
      </c>
      <c r="F572" s="92">
        <f>4000*2630</f>
        <v>10520000</v>
      </c>
    </row>
    <row r="573" spans="1:7" s="53" customFormat="1" x14ac:dyDescent="0.35">
      <c r="A573" s="223"/>
      <c r="B573" s="88"/>
      <c r="C573" s="89" t="s">
        <v>117</v>
      </c>
      <c r="D573" s="90">
        <f>1500*120</f>
        <v>180000</v>
      </c>
      <c r="E573" s="93" t="s">
        <v>118</v>
      </c>
      <c r="F573" s="94">
        <f>(2400*2630)+(1600*2630)</f>
        <v>10520000</v>
      </c>
    </row>
    <row r="574" spans="1:7" s="53" customFormat="1" ht="15" thickBot="1" x14ac:dyDescent="0.4">
      <c r="A574" s="223"/>
      <c r="B574" s="88" t="s">
        <v>119</v>
      </c>
      <c r="C574" s="89" t="s">
        <v>120</v>
      </c>
      <c r="D574" s="95">
        <v>30000</v>
      </c>
      <c r="E574" s="96" t="s">
        <v>121</v>
      </c>
      <c r="F574" s="97">
        <f>F572-F573</f>
        <v>0</v>
      </c>
      <c r="G574" s="98">
        <f>F574/2630</f>
        <v>0</v>
      </c>
    </row>
    <row r="575" spans="1:7" s="53" customFormat="1" ht="15" thickTop="1" x14ac:dyDescent="0.35">
      <c r="A575" s="223"/>
      <c r="B575" s="88"/>
      <c r="C575" s="89" t="s">
        <v>126</v>
      </c>
      <c r="D575" s="95">
        <v>30000</v>
      </c>
      <c r="F575" s="94"/>
    </row>
    <row r="576" spans="1:7" s="53" customFormat="1" x14ac:dyDescent="0.35">
      <c r="A576" s="223"/>
      <c r="B576" s="88" t="s">
        <v>288</v>
      </c>
      <c r="C576" s="99" t="s">
        <v>123</v>
      </c>
      <c r="D576" s="90">
        <v>15000</v>
      </c>
      <c r="E576" s="91" t="s">
        <v>124</v>
      </c>
      <c r="F576" s="92"/>
    </row>
    <row r="577" spans="1:6" s="53" customFormat="1" x14ac:dyDescent="0.35">
      <c r="A577" s="223"/>
      <c r="B577" s="101"/>
      <c r="C577" s="99" t="s">
        <v>125</v>
      </c>
      <c r="D577" s="100">
        <v>10000</v>
      </c>
      <c r="E577" s="102"/>
      <c r="F577" s="103"/>
    </row>
    <row r="578" spans="1:6" s="53" customFormat="1" x14ac:dyDescent="0.35">
      <c r="A578" s="223"/>
      <c r="B578" s="101"/>
      <c r="C578" s="89" t="s">
        <v>122</v>
      </c>
      <c r="D578" s="100">
        <v>140000</v>
      </c>
      <c r="E578" s="102" t="s">
        <v>127</v>
      </c>
      <c r="F578" s="103"/>
    </row>
    <row r="579" spans="1:6" s="53" customFormat="1" x14ac:dyDescent="0.35">
      <c r="A579" s="223"/>
      <c r="B579" s="101"/>
      <c r="C579" s="89"/>
      <c r="D579" s="90"/>
      <c r="E579" s="102" t="s">
        <v>314</v>
      </c>
      <c r="F579" s="103"/>
    </row>
    <row r="580" spans="1:6" s="53" customFormat="1" ht="15" thickBot="1" x14ac:dyDescent="0.4">
      <c r="A580" s="223"/>
      <c r="B580" s="105"/>
      <c r="C580" s="106"/>
      <c r="D580" s="107"/>
      <c r="E580" s="53" t="s">
        <v>522</v>
      </c>
      <c r="F580" s="94"/>
    </row>
    <row r="581" spans="1:6" s="53" customFormat="1" ht="15" thickBot="1" x14ac:dyDescent="0.4">
      <c r="A581" s="223"/>
      <c r="B581" s="108"/>
      <c r="C581" s="109" t="s">
        <v>129</v>
      </c>
      <c r="D581" s="110">
        <f>SUM(D568:D580)</f>
        <v>7697350</v>
      </c>
      <c r="F581" s="94"/>
    </row>
    <row r="582" spans="1:6" s="53" customFormat="1" ht="15.5" thickTop="1" thickBot="1" x14ac:dyDescent="0.4">
      <c r="A582" s="224"/>
      <c r="B582" s="226"/>
      <c r="C582" s="226"/>
      <c r="D582" s="226"/>
      <c r="F582" s="94"/>
    </row>
    <row r="583" spans="1:6" s="53" customFormat="1" x14ac:dyDescent="0.35">
      <c r="B583" s="87"/>
      <c r="C583" s="53" t="s">
        <v>130</v>
      </c>
      <c r="D583" s="111">
        <f>D565-D581</f>
        <v>2822650</v>
      </c>
      <c r="F583" s="94"/>
    </row>
    <row r="584" spans="1:6" s="53" customFormat="1" x14ac:dyDescent="0.35">
      <c r="B584" s="87"/>
      <c r="D584" s="111"/>
      <c r="F584" s="94"/>
    </row>
    <row r="585" spans="1:6" s="53" customFormat="1" x14ac:dyDescent="0.35">
      <c r="A585" s="112"/>
      <c r="B585" s="113"/>
      <c r="C585" s="112"/>
      <c r="D585" s="114"/>
      <c r="E585" s="112"/>
      <c r="F585" s="178"/>
    </row>
    <row r="588" spans="1:6" s="53" customFormat="1" ht="23.5" x14ac:dyDescent="0.55000000000000004">
      <c r="B588" s="227" t="s">
        <v>0</v>
      </c>
      <c r="C588" s="227"/>
      <c r="D588" s="227"/>
      <c r="E588" s="70"/>
      <c r="F588" s="176"/>
    </row>
    <row r="589" spans="1:6" s="53" customFormat="1" ht="20.5" x14ac:dyDescent="0.45">
      <c r="B589" s="71"/>
      <c r="C589" s="72" t="s">
        <v>295</v>
      </c>
      <c r="D589" s="73"/>
      <c r="F589" s="94"/>
    </row>
    <row r="590" spans="1:6" s="53" customFormat="1" ht="21" thickBot="1" x14ac:dyDescent="0.5">
      <c r="B590" s="71" t="s">
        <v>296</v>
      </c>
      <c r="C590" s="74" t="s">
        <v>103</v>
      </c>
      <c r="D590" s="73"/>
      <c r="F590" s="94"/>
    </row>
    <row r="591" spans="1:6" s="53" customFormat="1" ht="15" thickBot="1" x14ac:dyDescent="0.4">
      <c r="A591" s="75" t="s">
        <v>104</v>
      </c>
      <c r="B591" s="76" t="s">
        <v>81</v>
      </c>
      <c r="C591" s="76" t="s">
        <v>105</v>
      </c>
      <c r="D591" s="77" t="s">
        <v>84</v>
      </c>
      <c r="F591" s="94"/>
    </row>
    <row r="592" spans="1:6" s="53" customFormat="1" ht="14.5" customHeight="1" x14ac:dyDescent="0.35">
      <c r="A592" s="222" t="s">
        <v>87</v>
      </c>
      <c r="B592" s="78" t="s">
        <v>290</v>
      </c>
      <c r="C592" s="79" t="s">
        <v>106</v>
      </c>
      <c r="D592" s="80">
        <f>F599</f>
        <v>10520000</v>
      </c>
      <c r="F592" s="94"/>
    </row>
    <row r="593" spans="1:7" s="53" customFormat="1" ht="21" thickBot="1" x14ac:dyDescent="0.5">
      <c r="A593" s="223"/>
      <c r="B593" s="71"/>
      <c r="C593" s="71"/>
      <c r="D593" s="73"/>
      <c r="F593" s="94"/>
    </row>
    <row r="594" spans="1:7" s="53" customFormat="1" ht="15" thickBot="1" x14ac:dyDescent="0.4">
      <c r="A594" s="223"/>
      <c r="B594" s="81" t="s">
        <v>81</v>
      </c>
      <c r="C594" s="82" t="s">
        <v>107</v>
      </c>
      <c r="D594" s="83" t="s">
        <v>108</v>
      </c>
      <c r="F594" s="94"/>
    </row>
    <row r="595" spans="1:7" s="87" customFormat="1" x14ac:dyDescent="0.35">
      <c r="A595" s="223"/>
      <c r="B595" s="84" t="str">
        <f>B592</f>
        <v>13th February,2025</v>
      </c>
      <c r="C595" s="85" t="s">
        <v>318</v>
      </c>
      <c r="D595" s="86">
        <f>2000*2700</f>
        <v>5400000</v>
      </c>
      <c r="F595" s="177"/>
    </row>
    <row r="596" spans="1:7" s="53" customFormat="1" x14ac:dyDescent="0.35">
      <c r="A596" s="223"/>
      <c r="B596" s="88"/>
      <c r="C596" s="89" t="s">
        <v>159</v>
      </c>
      <c r="D596" s="90">
        <f>299*2650</f>
        <v>792350</v>
      </c>
      <c r="F596" s="94"/>
    </row>
    <row r="597" spans="1:7" s="53" customFormat="1" x14ac:dyDescent="0.35">
      <c r="A597" s="223"/>
      <c r="B597" s="88" t="s">
        <v>109</v>
      </c>
      <c r="C597" s="89" t="s">
        <v>110</v>
      </c>
      <c r="D597" s="90">
        <v>1000000</v>
      </c>
      <c r="F597" s="94"/>
    </row>
    <row r="598" spans="1:7" s="53" customFormat="1" x14ac:dyDescent="0.35">
      <c r="A598" s="223"/>
      <c r="B598" s="88" t="s">
        <v>111</v>
      </c>
      <c r="C598" s="89" t="s">
        <v>112</v>
      </c>
      <c r="D598" s="90">
        <v>40000</v>
      </c>
      <c r="E598" s="225" t="s">
        <v>113</v>
      </c>
      <c r="F598" s="225"/>
    </row>
    <row r="599" spans="1:7" s="53" customFormat="1" x14ac:dyDescent="0.35">
      <c r="A599" s="223"/>
      <c r="B599" s="88" t="s">
        <v>114</v>
      </c>
      <c r="C599" s="89" t="s">
        <v>115</v>
      </c>
      <c r="D599" s="90">
        <f>400*120</f>
        <v>48000</v>
      </c>
      <c r="E599" s="91" t="s">
        <v>116</v>
      </c>
      <c r="F599" s="92">
        <f>4000*2630</f>
        <v>10520000</v>
      </c>
    </row>
    <row r="600" spans="1:7" s="53" customFormat="1" x14ac:dyDescent="0.35">
      <c r="A600" s="223"/>
      <c r="B600" s="88"/>
      <c r="C600" s="89" t="s">
        <v>117</v>
      </c>
      <c r="D600" s="90">
        <f>1500*120</f>
        <v>180000</v>
      </c>
      <c r="E600" s="93" t="s">
        <v>118</v>
      </c>
      <c r="F600" s="94">
        <f>(2400*2630)+(1600*2630)</f>
        <v>10520000</v>
      </c>
    </row>
    <row r="601" spans="1:7" s="53" customFormat="1" ht="15" thickBot="1" x14ac:dyDescent="0.4">
      <c r="A601" s="223"/>
      <c r="B601" s="88" t="s">
        <v>119</v>
      </c>
      <c r="C601" s="89" t="s">
        <v>120</v>
      </c>
      <c r="D601" s="95">
        <v>30000</v>
      </c>
      <c r="E601" s="96" t="s">
        <v>121</v>
      </c>
      <c r="F601" s="97">
        <f>F599-F600</f>
        <v>0</v>
      </c>
      <c r="G601" s="98">
        <f>F601/2630</f>
        <v>0</v>
      </c>
    </row>
    <row r="602" spans="1:7" s="53" customFormat="1" ht="15" thickTop="1" x14ac:dyDescent="0.35">
      <c r="A602" s="223"/>
      <c r="B602" s="88"/>
      <c r="C602" s="89" t="s">
        <v>126</v>
      </c>
      <c r="D602" s="95">
        <v>30000</v>
      </c>
      <c r="F602" s="94"/>
    </row>
    <row r="603" spans="1:7" s="53" customFormat="1" x14ac:dyDescent="0.35">
      <c r="A603" s="223"/>
      <c r="B603" s="88" t="s">
        <v>288</v>
      </c>
      <c r="C603" s="99" t="s">
        <v>123</v>
      </c>
      <c r="D603" s="90">
        <v>15000</v>
      </c>
      <c r="E603" s="91" t="s">
        <v>124</v>
      </c>
      <c r="F603" s="92"/>
    </row>
    <row r="604" spans="1:7" s="53" customFormat="1" x14ac:dyDescent="0.35">
      <c r="A604" s="223"/>
      <c r="B604" s="101"/>
      <c r="C604" s="99" t="s">
        <v>125</v>
      </c>
      <c r="D604" s="100">
        <v>10000</v>
      </c>
      <c r="E604" s="102"/>
      <c r="F604" s="103"/>
    </row>
    <row r="605" spans="1:7" s="53" customFormat="1" x14ac:dyDescent="0.35">
      <c r="A605" s="223"/>
      <c r="B605" s="101"/>
      <c r="C605" s="89" t="s">
        <v>122</v>
      </c>
      <c r="D605" s="100">
        <v>0</v>
      </c>
      <c r="E605" s="102" t="s">
        <v>127</v>
      </c>
      <c r="F605" s="103"/>
    </row>
    <row r="606" spans="1:7" s="53" customFormat="1" x14ac:dyDescent="0.35">
      <c r="A606" s="223"/>
      <c r="B606" s="101"/>
      <c r="C606" s="89"/>
      <c r="D606" s="90"/>
      <c r="E606" s="102" t="s">
        <v>316</v>
      </c>
      <c r="F606" s="103"/>
    </row>
    <row r="607" spans="1:7" s="53" customFormat="1" ht="15" thickBot="1" x14ac:dyDescent="0.4">
      <c r="A607" s="223"/>
      <c r="B607" s="105"/>
      <c r="C607" s="106"/>
      <c r="D607" s="107"/>
      <c r="E607" s="53" t="s">
        <v>478</v>
      </c>
      <c r="F607" s="94"/>
    </row>
    <row r="608" spans="1:7" s="53" customFormat="1" ht="15" thickBot="1" x14ac:dyDescent="0.4">
      <c r="A608" s="223"/>
      <c r="B608" s="108"/>
      <c r="C608" s="109" t="s">
        <v>129</v>
      </c>
      <c r="D608" s="110">
        <f>SUM(D595:D607)</f>
        <v>7545350</v>
      </c>
      <c r="F608" s="94"/>
    </row>
    <row r="609" spans="1:6" s="53" customFormat="1" ht="15.5" thickTop="1" thickBot="1" x14ac:dyDescent="0.4">
      <c r="A609" s="224"/>
      <c r="B609" s="226"/>
      <c r="C609" s="226"/>
      <c r="D609" s="226"/>
      <c r="F609" s="94"/>
    </row>
    <row r="610" spans="1:6" s="53" customFormat="1" x14ac:dyDescent="0.35">
      <c r="B610" s="87"/>
      <c r="C610" s="53" t="s">
        <v>130</v>
      </c>
      <c r="D610" s="111">
        <f>D592-D608</f>
        <v>2974650</v>
      </c>
      <c r="F610" s="94"/>
    </row>
    <row r="611" spans="1:6" s="53" customFormat="1" x14ac:dyDescent="0.35">
      <c r="B611" s="87"/>
      <c r="D611" s="111"/>
      <c r="F611" s="94"/>
    </row>
    <row r="612" spans="1:6" s="53" customFormat="1" x14ac:dyDescent="0.35">
      <c r="A612" s="112"/>
      <c r="B612" s="113"/>
      <c r="C612" s="112"/>
      <c r="D612" s="114"/>
      <c r="E612" s="112"/>
      <c r="F612" s="178"/>
    </row>
    <row r="614" spans="1:6" s="53" customFormat="1" ht="23.5" x14ac:dyDescent="0.55000000000000004">
      <c r="B614" s="227" t="s">
        <v>0</v>
      </c>
      <c r="C614" s="227"/>
      <c r="D614" s="227"/>
      <c r="E614" s="70"/>
      <c r="F614" s="176"/>
    </row>
    <row r="615" spans="1:6" s="53" customFormat="1" ht="20.5" x14ac:dyDescent="0.45">
      <c r="B615" s="71"/>
      <c r="C615" s="72" t="s">
        <v>302</v>
      </c>
      <c r="D615" s="73"/>
      <c r="F615" s="94"/>
    </row>
    <row r="616" spans="1:6" s="53" customFormat="1" ht="21" thickBot="1" x14ac:dyDescent="0.5">
      <c r="B616" s="71" t="s">
        <v>227</v>
      </c>
      <c r="C616" s="74" t="s">
        <v>103</v>
      </c>
      <c r="D616" s="73"/>
      <c r="F616" s="94"/>
    </row>
    <row r="617" spans="1:6" s="53" customFormat="1" ht="15" thickBot="1" x14ac:dyDescent="0.4">
      <c r="A617" s="75" t="s">
        <v>104</v>
      </c>
      <c r="B617" s="76" t="s">
        <v>81</v>
      </c>
      <c r="C617" s="76" t="s">
        <v>105</v>
      </c>
      <c r="D617" s="77" t="s">
        <v>84</v>
      </c>
      <c r="F617" s="94"/>
    </row>
    <row r="618" spans="1:6" s="53" customFormat="1" ht="14.5" customHeight="1" x14ac:dyDescent="0.35">
      <c r="A618" s="222" t="s">
        <v>87</v>
      </c>
      <c r="B618" s="78" t="s">
        <v>303</v>
      </c>
      <c r="C618" s="79" t="s">
        <v>106</v>
      </c>
      <c r="D618" s="80">
        <f>F625</f>
        <v>12887000</v>
      </c>
      <c r="F618" s="94"/>
    </row>
    <row r="619" spans="1:6" s="53" customFormat="1" ht="21" thickBot="1" x14ac:dyDescent="0.5">
      <c r="A619" s="223"/>
      <c r="B619" s="71"/>
      <c r="C619" s="71"/>
      <c r="D619" s="73"/>
      <c r="F619" s="94"/>
    </row>
    <row r="620" spans="1:6" s="53" customFormat="1" ht="15" thickBot="1" x14ac:dyDescent="0.4">
      <c r="A620" s="223"/>
      <c r="B620" s="81" t="s">
        <v>81</v>
      </c>
      <c r="C620" s="82" t="s">
        <v>107</v>
      </c>
      <c r="D620" s="83" t="s">
        <v>108</v>
      </c>
      <c r="F620" s="94"/>
    </row>
    <row r="621" spans="1:6" s="87" customFormat="1" x14ac:dyDescent="0.35">
      <c r="A621" s="223"/>
      <c r="B621" s="84" t="str">
        <f>B618</f>
        <v>16th February,2025</v>
      </c>
      <c r="C621" s="85" t="s">
        <v>318</v>
      </c>
      <c r="D621" s="86">
        <f>2000*2700</f>
        <v>5400000</v>
      </c>
      <c r="F621" s="177"/>
    </row>
    <row r="622" spans="1:6" s="53" customFormat="1" x14ac:dyDescent="0.35">
      <c r="A622" s="223"/>
      <c r="B622" s="88"/>
      <c r="C622" s="89" t="s">
        <v>159</v>
      </c>
      <c r="D622" s="90">
        <f>299*2650</f>
        <v>792350</v>
      </c>
      <c r="F622" s="94"/>
    </row>
    <row r="623" spans="1:6" s="53" customFormat="1" x14ac:dyDescent="0.35">
      <c r="A623" s="223"/>
      <c r="B623" s="88" t="s">
        <v>109</v>
      </c>
      <c r="C623" s="89" t="s">
        <v>110</v>
      </c>
      <c r="D623" s="90">
        <v>1000000</v>
      </c>
      <c r="F623" s="94"/>
    </row>
    <row r="624" spans="1:6" s="53" customFormat="1" x14ac:dyDescent="0.35">
      <c r="A624" s="223"/>
      <c r="B624" s="88" t="s">
        <v>111</v>
      </c>
      <c r="C624" s="89" t="s">
        <v>112</v>
      </c>
      <c r="D624" s="90">
        <v>40000</v>
      </c>
      <c r="E624" s="225" t="s">
        <v>113</v>
      </c>
      <c r="F624" s="225"/>
    </row>
    <row r="625" spans="1:7" s="53" customFormat="1" x14ac:dyDescent="0.35">
      <c r="A625" s="223"/>
      <c r="B625" s="88" t="s">
        <v>114</v>
      </c>
      <c r="C625" s="89" t="s">
        <v>115</v>
      </c>
      <c r="D625" s="90">
        <f>250*120</f>
        <v>30000</v>
      </c>
      <c r="E625" s="91" t="s">
        <v>116</v>
      </c>
      <c r="F625" s="92">
        <f>(4000*2630)+(900*2630)</f>
        <v>12887000</v>
      </c>
    </row>
    <row r="626" spans="1:7" s="53" customFormat="1" x14ac:dyDescent="0.35">
      <c r="A626" s="223"/>
      <c r="B626" s="88"/>
      <c r="C626" s="89" t="s">
        <v>117</v>
      </c>
      <c r="D626" s="90">
        <f>1500*120</f>
        <v>180000</v>
      </c>
      <c r="E626" s="93" t="s">
        <v>118</v>
      </c>
      <c r="F626" s="94">
        <f>(2400*2630)+(1600*2630)+(900*2630)</f>
        <v>12887000</v>
      </c>
    </row>
    <row r="627" spans="1:7" s="53" customFormat="1" ht="15" thickBot="1" x14ac:dyDescent="0.4">
      <c r="A627" s="223"/>
      <c r="B627" s="88" t="s">
        <v>119</v>
      </c>
      <c r="C627" s="89" t="s">
        <v>120</v>
      </c>
      <c r="D627" s="95">
        <v>30000</v>
      </c>
      <c r="E627" s="96" t="s">
        <v>121</v>
      </c>
      <c r="F627" s="97">
        <f>F625-F626</f>
        <v>0</v>
      </c>
      <c r="G627" s="98">
        <f>F627/2630</f>
        <v>0</v>
      </c>
    </row>
    <row r="628" spans="1:7" s="53" customFormat="1" ht="15" thickTop="1" x14ac:dyDescent="0.35">
      <c r="A628" s="223"/>
      <c r="B628" s="88"/>
      <c r="C628" s="89" t="s">
        <v>126</v>
      </c>
      <c r="D628" s="95">
        <v>40000</v>
      </c>
      <c r="F628" s="94"/>
    </row>
    <row r="629" spans="1:7" s="53" customFormat="1" x14ac:dyDescent="0.35">
      <c r="A629" s="223"/>
      <c r="B629" s="88" t="s">
        <v>301</v>
      </c>
      <c r="C629" s="99" t="s">
        <v>123</v>
      </c>
      <c r="D629" s="90">
        <v>15000</v>
      </c>
      <c r="E629" s="91" t="s">
        <v>124</v>
      </c>
      <c r="F629" s="92"/>
    </row>
    <row r="630" spans="1:7" s="53" customFormat="1" x14ac:dyDescent="0.35">
      <c r="A630" s="223"/>
      <c r="B630" s="101"/>
      <c r="C630" s="99" t="s">
        <v>125</v>
      </c>
      <c r="D630" s="100">
        <v>10000</v>
      </c>
      <c r="E630" s="102"/>
      <c r="F630" s="103"/>
    </row>
    <row r="631" spans="1:7" s="53" customFormat="1" x14ac:dyDescent="0.35">
      <c r="A631" s="223"/>
      <c r="B631" s="101"/>
      <c r="C631" s="89" t="s">
        <v>128</v>
      </c>
      <c r="D631" s="100">
        <f>200*123</f>
        <v>24600</v>
      </c>
      <c r="E631" s="102" t="s">
        <v>127</v>
      </c>
      <c r="F631" s="103"/>
    </row>
    <row r="632" spans="1:7" s="53" customFormat="1" x14ac:dyDescent="0.35">
      <c r="A632" s="223"/>
      <c r="B632" s="101"/>
      <c r="C632" s="89" t="s">
        <v>122</v>
      </c>
      <c r="D632" s="90">
        <v>140000</v>
      </c>
      <c r="E632" s="102" t="s">
        <v>316</v>
      </c>
      <c r="F632" s="103"/>
    </row>
    <row r="633" spans="1:7" s="53" customFormat="1" ht="15" thickBot="1" x14ac:dyDescent="0.4">
      <c r="A633" s="223"/>
      <c r="B633" s="105"/>
      <c r="C633" s="106"/>
      <c r="D633" s="107"/>
      <c r="E633" s="53" t="s">
        <v>588</v>
      </c>
      <c r="F633" s="94"/>
    </row>
    <row r="634" spans="1:7" s="53" customFormat="1" ht="15" thickBot="1" x14ac:dyDescent="0.4">
      <c r="A634" s="223"/>
      <c r="B634" s="108"/>
      <c r="C634" s="109" t="s">
        <v>129</v>
      </c>
      <c r="D634" s="110">
        <f>SUM(D621:D633)</f>
        <v>7701950</v>
      </c>
      <c r="E634" s="53" t="s">
        <v>696</v>
      </c>
      <c r="F634" s="94"/>
    </row>
    <row r="635" spans="1:7" s="53" customFormat="1" ht="15.5" thickTop="1" thickBot="1" x14ac:dyDescent="0.4">
      <c r="A635" s="224"/>
      <c r="B635" s="226"/>
      <c r="C635" s="226"/>
      <c r="D635" s="226"/>
      <c r="F635" s="94"/>
    </row>
    <row r="636" spans="1:7" s="53" customFormat="1" x14ac:dyDescent="0.35">
      <c r="B636" s="87"/>
      <c r="C636" s="53" t="s">
        <v>130</v>
      </c>
      <c r="D636" s="111">
        <f>D618-D634</f>
        <v>5185050</v>
      </c>
      <c r="F636" s="94"/>
    </row>
    <row r="637" spans="1:7" s="53" customFormat="1" x14ac:dyDescent="0.35">
      <c r="B637" s="87"/>
      <c r="D637" s="111"/>
      <c r="F637" s="94"/>
    </row>
    <row r="638" spans="1:7" s="53" customFormat="1" x14ac:dyDescent="0.35">
      <c r="A638" s="112"/>
      <c r="B638" s="113"/>
      <c r="C638" s="112"/>
      <c r="D638" s="114"/>
      <c r="E638" s="112"/>
      <c r="F638" s="178"/>
    </row>
    <row r="641" spans="1:7" s="53" customFormat="1" ht="23.5" x14ac:dyDescent="0.55000000000000004">
      <c r="B641" s="227" t="s">
        <v>0</v>
      </c>
      <c r="C641" s="227"/>
      <c r="D641" s="227"/>
      <c r="E641" s="70"/>
      <c r="F641" s="176"/>
    </row>
    <row r="642" spans="1:7" s="53" customFormat="1" ht="20.5" x14ac:dyDescent="0.45">
      <c r="B642" s="71"/>
      <c r="C642" s="72" t="s">
        <v>305</v>
      </c>
      <c r="D642" s="73"/>
      <c r="F642" s="94"/>
    </row>
    <row r="643" spans="1:7" s="53" customFormat="1" ht="21" thickBot="1" x14ac:dyDescent="0.5">
      <c r="B643" s="71" t="s">
        <v>208</v>
      </c>
      <c r="C643" s="74" t="s">
        <v>103</v>
      </c>
      <c r="D643" s="73"/>
      <c r="F643" s="94"/>
    </row>
    <row r="644" spans="1:7" s="53" customFormat="1" ht="15" thickBot="1" x14ac:dyDescent="0.4">
      <c r="A644" s="75" t="s">
        <v>104</v>
      </c>
      <c r="B644" s="76" t="s">
        <v>81</v>
      </c>
      <c r="C644" s="76" t="s">
        <v>105</v>
      </c>
      <c r="D644" s="77" t="s">
        <v>84</v>
      </c>
      <c r="F644" s="94"/>
    </row>
    <row r="645" spans="1:7" s="53" customFormat="1" ht="14.5" customHeight="1" x14ac:dyDescent="0.35">
      <c r="A645" s="222" t="s">
        <v>87</v>
      </c>
      <c r="B645" s="78" t="s">
        <v>306</v>
      </c>
      <c r="C645" s="79" t="s">
        <v>106</v>
      </c>
      <c r="D645" s="80">
        <f>F652</f>
        <v>12624000</v>
      </c>
      <c r="F645" s="94"/>
    </row>
    <row r="646" spans="1:7" s="53" customFormat="1" ht="21" thickBot="1" x14ac:dyDescent="0.5">
      <c r="A646" s="223"/>
      <c r="B646" s="71"/>
      <c r="C646" s="71"/>
      <c r="D646" s="73"/>
      <c r="F646" s="94"/>
    </row>
    <row r="647" spans="1:7" s="53" customFormat="1" ht="15" thickBot="1" x14ac:dyDescent="0.4">
      <c r="A647" s="223"/>
      <c r="B647" s="81" t="s">
        <v>81</v>
      </c>
      <c r="C647" s="82" t="s">
        <v>107</v>
      </c>
      <c r="D647" s="83" t="s">
        <v>108</v>
      </c>
      <c r="F647" s="94"/>
    </row>
    <row r="648" spans="1:7" s="87" customFormat="1" x14ac:dyDescent="0.35">
      <c r="A648" s="223"/>
      <c r="B648" s="84" t="str">
        <f>B645</f>
        <v>17th February,2025</v>
      </c>
      <c r="C648" s="85" t="s">
        <v>318</v>
      </c>
      <c r="D648" s="86">
        <f>2000*2700</f>
        <v>5400000</v>
      </c>
      <c r="F648" s="177"/>
    </row>
    <row r="649" spans="1:7" s="53" customFormat="1" x14ac:dyDescent="0.35">
      <c r="A649" s="223"/>
      <c r="B649" s="88"/>
      <c r="C649" s="89" t="s">
        <v>159</v>
      </c>
      <c r="D649" s="90">
        <f>299*2650</f>
        <v>792350</v>
      </c>
      <c r="F649" s="94"/>
    </row>
    <row r="650" spans="1:7" s="53" customFormat="1" x14ac:dyDescent="0.35">
      <c r="A650" s="223"/>
      <c r="B650" s="88" t="s">
        <v>109</v>
      </c>
      <c r="C650" s="89" t="s">
        <v>110</v>
      </c>
      <c r="D650" s="90">
        <v>1000000</v>
      </c>
      <c r="F650" s="94"/>
    </row>
    <row r="651" spans="1:7" s="53" customFormat="1" x14ac:dyDescent="0.35">
      <c r="A651" s="223"/>
      <c r="B651" s="88" t="s">
        <v>111</v>
      </c>
      <c r="C651" s="89" t="s">
        <v>112</v>
      </c>
      <c r="D651" s="90">
        <v>40000</v>
      </c>
      <c r="E651" s="225" t="s">
        <v>113</v>
      </c>
      <c r="F651" s="225"/>
    </row>
    <row r="652" spans="1:7" s="53" customFormat="1" x14ac:dyDescent="0.35">
      <c r="A652" s="223"/>
      <c r="B652" s="88" t="s">
        <v>114</v>
      </c>
      <c r="C652" s="89" t="s">
        <v>115</v>
      </c>
      <c r="D652" s="90">
        <f>250*120</f>
        <v>30000</v>
      </c>
      <c r="E652" s="91" t="s">
        <v>116</v>
      </c>
      <c r="F652" s="92">
        <f>(4000*2630)+(800*2630)</f>
        <v>12624000</v>
      </c>
    </row>
    <row r="653" spans="1:7" s="53" customFormat="1" x14ac:dyDescent="0.35">
      <c r="A653" s="223"/>
      <c r="B653" s="88"/>
      <c r="C653" s="89" t="s">
        <v>117</v>
      </c>
      <c r="D653" s="90">
        <f>1500*120</f>
        <v>180000</v>
      </c>
      <c r="E653" s="93" t="s">
        <v>118</v>
      </c>
      <c r="F653" s="94">
        <f>(2400*2630)+(1600*2630)+(800*2630)</f>
        <v>12624000</v>
      </c>
    </row>
    <row r="654" spans="1:7" s="53" customFormat="1" ht="15" thickBot="1" x14ac:dyDescent="0.4">
      <c r="A654" s="223"/>
      <c r="B654" s="88" t="s">
        <v>119</v>
      </c>
      <c r="C654" s="89" t="s">
        <v>120</v>
      </c>
      <c r="D654" s="95">
        <v>30000</v>
      </c>
      <c r="E654" s="96" t="s">
        <v>121</v>
      </c>
      <c r="F654" s="97">
        <f>F652-F653</f>
        <v>0</v>
      </c>
      <c r="G654" s="98">
        <f>F654/2630</f>
        <v>0</v>
      </c>
    </row>
    <row r="655" spans="1:7" s="53" customFormat="1" ht="15" thickTop="1" x14ac:dyDescent="0.35">
      <c r="A655" s="223"/>
      <c r="B655" s="88"/>
      <c r="C655" s="89" t="s">
        <v>126</v>
      </c>
      <c r="D655" s="95">
        <v>40000</v>
      </c>
      <c r="F655" s="94"/>
    </row>
    <row r="656" spans="1:7" s="53" customFormat="1" x14ac:dyDescent="0.35">
      <c r="A656" s="223"/>
      <c r="B656" s="88" t="s">
        <v>304</v>
      </c>
      <c r="C656" s="99" t="s">
        <v>123</v>
      </c>
      <c r="D656" s="90">
        <v>15000</v>
      </c>
      <c r="E656" s="91" t="s">
        <v>124</v>
      </c>
      <c r="F656" s="92"/>
    </row>
    <row r="657" spans="1:6" s="53" customFormat="1" x14ac:dyDescent="0.35">
      <c r="A657" s="223"/>
      <c r="B657" s="101"/>
      <c r="C657" s="99" t="s">
        <v>125</v>
      </c>
      <c r="D657" s="100">
        <v>10000</v>
      </c>
      <c r="E657" s="102"/>
      <c r="F657" s="103"/>
    </row>
    <row r="658" spans="1:6" s="53" customFormat="1" x14ac:dyDescent="0.35">
      <c r="A658" s="223"/>
      <c r="B658" s="101"/>
      <c r="C658" s="89" t="s">
        <v>128</v>
      </c>
      <c r="D658" s="100">
        <f>300*123</f>
        <v>36900</v>
      </c>
      <c r="E658" s="102" t="s">
        <v>127</v>
      </c>
      <c r="F658" s="103"/>
    </row>
    <row r="659" spans="1:6" s="53" customFormat="1" x14ac:dyDescent="0.35">
      <c r="A659" s="223"/>
      <c r="B659" s="101"/>
      <c r="C659" s="89" t="s">
        <v>122</v>
      </c>
      <c r="D659" s="90">
        <v>140000</v>
      </c>
      <c r="E659" s="102" t="s">
        <v>316</v>
      </c>
      <c r="F659" s="103"/>
    </row>
    <row r="660" spans="1:6" s="53" customFormat="1" ht="15" thickBot="1" x14ac:dyDescent="0.4">
      <c r="A660" s="223"/>
      <c r="B660" s="105"/>
      <c r="C660" s="106" t="s">
        <v>423</v>
      </c>
      <c r="D660" s="107">
        <v>4023000</v>
      </c>
      <c r="E660" s="53" t="s">
        <v>588</v>
      </c>
      <c r="F660" s="94"/>
    </row>
    <row r="661" spans="1:6" s="53" customFormat="1" ht="15" thickBot="1" x14ac:dyDescent="0.4">
      <c r="A661" s="223"/>
      <c r="B661" s="108"/>
      <c r="C661" s="109" t="s">
        <v>129</v>
      </c>
      <c r="D661" s="110">
        <f>SUM(D648:D660)</f>
        <v>11737250</v>
      </c>
      <c r="E661" s="53" t="s">
        <v>696</v>
      </c>
      <c r="F661" s="94"/>
    </row>
    <row r="662" spans="1:6" s="53" customFormat="1" ht="15.5" thickTop="1" thickBot="1" x14ac:dyDescent="0.4">
      <c r="A662" s="224"/>
      <c r="B662" s="226"/>
      <c r="C662" s="226"/>
      <c r="D662" s="226"/>
      <c r="F662" s="94"/>
    </row>
    <row r="663" spans="1:6" s="53" customFormat="1" x14ac:dyDescent="0.35">
      <c r="B663" s="87"/>
      <c r="C663" s="53" t="s">
        <v>130</v>
      </c>
      <c r="D663" s="111">
        <f>D645-D661</f>
        <v>886750</v>
      </c>
      <c r="F663" s="94"/>
    </row>
    <row r="664" spans="1:6" s="53" customFormat="1" x14ac:dyDescent="0.35">
      <c r="B664" s="87"/>
      <c r="D664" s="111"/>
      <c r="F664" s="94"/>
    </row>
    <row r="665" spans="1:6" s="53" customFormat="1" x14ac:dyDescent="0.35">
      <c r="A665" s="112"/>
      <c r="B665" s="113"/>
      <c r="C665" s="112"/>
      <c r="D665" s="114"/>
      <c r="E665" s="112"/>
      <c r="F665" s="178"/>
    </row>
    <row r="667" spans="1:6" s="53" customFormat="1" ht="23.5" x14ac:dyDescent="0.55000000000000004">
      <c r="B667" s="227" t="s">
        <v>0</v>
      </c>
      <c r="C667" s="227"/>
      <c r="D667" s="227"/>
      <c r="E667" s="70"/>
      <c r="F667" s="176"/>
    </row>
    <row r="668" spans="1:6" s="53" customFormat="1" ht="20.5" x14ac:dyDescent="0.45">
      <c r="B668" s="71"/>
      <c r="C668" s="72" t="s">
        <v>308</v>
      </c>
      <c r="D668" s="73"/>
      <c r="F668" s="94"/>
    </row>
    <row r="669" spans="1:6" s="53" customFormat="1" ht="21" thickBot="1" x14ac:dyDescent="0.5">
      <c r="B669" s="71" t="s">
        <v>173</v>
      </c>
      <c r="C669" s="74" t="s">
        <v>103</v>
      </c>
      <c r="D669" s="73"/>
      <c r="F669" s="94"/>
    </row>
    <row r="670" spans="1:6" s="53" customFormat="1" ht="15" thickBot="1" x14ac:dyDescent="0.4">
      <c r="A670" s="75" t="s">
        <v>104</v>
      </c>
      <c r="B670" s="76" t="s">
        <v>81</v>
      </c>
      <c r="C670" s="76" t="s">
        <v>105</v>
      </c>
      <c r="D670" s="77" t="s">
        <v>84</v>
      </c>
      <c r="F670" s="94"/>
    </row>
    <row r="671" spans="1:6" s="53" customFormat="1" ht="14.5" customHeight="1" x14ac:dyDescent="0.35">
      <c r="A671" s="222" t="s">
        <v>87</v>
      </c>
      <c r="B671" s="78" t="s">
        <v>306</v>
      </c>
      <c r="C671" s="79" t="s">
        <v>106</v>
      </c>
      <c r="D671" s="80">
        <f>F678</f>
        <v>11309000</v>
      </c>
      <c r="F671" s="94"/>
    </row>
    <row r="672" spans="1:6" s="53" customFormat="1" ht="21" thickBot="1" x14ac:dyDescent="0.5">
      <c r="A672" s="223"/>
      <c r="B672" s="71"/>
      <c r="C672" s="71"/>
      <c r="D672" s="73"/>
      <c r="F672" s="94"/>
    </row>
    <row r="673" spans="1:7" s="53" customFormat="1" ht="15" thickBot="1" x14ac:dyDescent="0.4">
      <c r="A673" s="223"/>
      <c r="B673" s="81" t="s">
        <v>81</v>
      </c>
      <c r="C673" s="82" t="s">
        <v>107</v>
      </c>
      <c r="D673" s="83" t="s">
        <v>108</v>
      </c>
      <c r="F673" s="94"/>
    </row>
    <row r="674" spans="1:7" s="87" customFormat="1" x14ac:dyDescent="0.35">
      <c r="A674" s="223"/>
      <c r="B674" s="84" t="str">
        <f>B671</f>
        <v>17th February,2025</v>
      </c>
      <c r="C674" s="85" t="s">
        <v>318</v>
      </c>
      <c r="D674" s="86">
        <f>2000*2700</f>
        <v>5400000</v>
      </c>
      <c r="F674" s="177"/>
    </row>
    <row r="675" spans="1:7" s="53" customFormat="1" x14ac:dyDescent="0.35">
      <c r="A675" s="223"/>
      <c r="B675" s="88"/>
      <c r="C675" s="89" t="s">
        <v>159</v>
      </c>
      <c r="D675" s="90">
        <f>299*2650</f>
        <v>792350</v>
      </c>
      <c r="F675" s="94"/>
    </row>
    <row r="676" spans="1:7" s="53" customFormat="1" x14ac:dyDescent="0.35">
      <c r="A676" s="223"/>
      <c r="B676" s="88" t="s">
        <v>109</v>
      </c>
      <c r="C676" s="89" t="s">
        <v>110</v>
      </c>
      <c r="D676" s="90">
        <v>1000000</v>
      </c>
      <c r="F676" s="94"/>
    </row>
    <row r="677" spans="1:7" s="53" customFormat="1" x14ac:dyDescent="0.35">
      <c r="A677" s="223"/>
      <c r="B677" s="88" t="s">
        <v>111</v>
      </c>
      <c r="C677" s="89" t="s">
        <v>112</v>
      </c>
      <c r="D677" s="90">
        <v>40000</v>
      </c>
      <c r="E677" s="225" t="s">
        <v>113</v>
      </c>
      <c r="F677" s="225"/>
    </row>
    <row r="678" spans="1:7" s="53" customFormat="1" x14ac:dyDescent="0.35">
      <c r="A678" s="223"/>
      <c r="B678" s="88" t="s">
        <v>114</v>
      </c>
      <c r="C678" s="89" t="s">
        <v>115</v>
      </c>
      <c r="D678" s="90">
        <f>450*120</f>
        <v>54000</v>
      </c>
      <c r="E678" s="91" t="s">
        <v>116</v>
      </c>
      <c r="F678" s="92">
        <f>(4000*2630)+(300*2630)</f>
        <v>11309000</v>
      </c>
    </row>
    <row r="679" spans="1:7" s="53" customFormat="1" x14ac:dyDescent="0.35">
      <c r="A679" s="223"/>
      <c r="B679" s="88"/>
      <c r="C679" s="89" t="s">
        <v>117</v>
      </c>
      <c r="D679" s="90">
        <f>1500*120</f>
        <v>180000</v>
      </c>
      <c r="E679" s="93" t="s">
        <v>118</v>
      </c>
      <c r="F679" s="94">
        <f>(2400*2630)+(1600*2630)+(300*2630)</f>
        <v>11309000</v>
      </c>
    </row>
    <row r="680" spans="1:7" s="53" customFormat="1" ht="15" thickBot="1" x14ac:dyDescent="0.4">
      <c r="A680" s="223"/>
      <c r="B680" s="88" t="s">
        <v>119</v>
      </c>
      <c r="C680" s="89" t="s">
        <v>120</v>
      </c>
      <c r="D680" s="95">
        <v>30000</v>
      </c>
      <c r="E680" s="96" t="s">
        <v>121</v>
      </c>
      <c r="F680" s="97">
        <f>F678-F679</f>
        <v>0</v>
      </c>
      <c r="G680" s="98">
        <f>F680/2630</f>
        <v>0</v>
      </c>
    </row>
    <row r="681" spans="1:7" s="53" customFormat="1" ht="15" thickTop="1" x14ac:dyDescent="0.35">
      <c r="A681" s="223"/>
      <c r="B681" s="88"/>
      <c r="C681" s="89" t="s">
        <v>126</v>
      </c>
      <c r="D681" s="95">
        <v>20000</v>
      </c>
      <c r="F681" s="94"/>
    </row>
    <row r="682" spans="1:7" s="53" customFormat="1" x14ac:dyDescent="0.35">
      <c r="A682" s="223"/>
      <c r="B682" s="88" t="s">
        <v>307</v>
      </c>
      <c r="C682" s="99" t="s">
        <v>123</v>
      </c>
      <c r="D682" s="90">
        <v>15000</v>
      </c>
      <c r="E682" s="91" t="s">
        <v>124</v>
      </c>
      <c r="F682" s="92"/>
    </row>
    <row r="683" spans="1:7" s="53" customFormat="1" x14ac:dyDescent="0.35">
      <c r="A683" s="223"/>
      <c r="B683" s="101"/>
      <c r="C683" s="99" t="s">
        <v>125</v>
      </c>
      <c r="D683" s="100">
        <v>10000</v>
      </c>
      <c r="E683" s="102"/>
      <c r="F683" s="103"/>
    </row>
    <row r="684" spans="1:7" s="53" customFormat="1" x14ac:dyDescent="0.35">
      <c r="A684" s="223"/>
      <c r="B684" s="101"/>
      <c r="C684" s="89" t="s">
        <v>122</v>
      </c>
      <c r="D684" s="90">
        <v>140000</v>
      </c>
      <c r="E684" s="102" t="s">
        <v>127</v>
      </c>
      <c r="F684" s="103"/>
    </row>
    <row r="685" spans="1:7" s="53" customFormat="1" x14ac:dyDescent="0.35">
      <c r="A685" s="223"/>
      <c r="B685" s="101"/>
      <c r="C685" s="89"/>
      <c r="D685" s="90"/>
      <c r="E685" s="102" t="s">
        <v>317</v>
      </c>
      <c r="F685" s="103"/>
    </row>
    <row r="686" spans="1:7" s="53" customFormat="1" ht="15" thickBot="1" x14ac:dyDescent="0.4">
      <c r="A686" s="223"/>
      <c r="B686" s="105"/>
      <c r="C686" s="106"/>
      <c r="D686" s="107"/>
      <c r="E686" s="53" t="s">
        <v>588</v>
      </c>
      <c r="F686" s="94"/>
    </row>
    <row r="687" spans="1:7" s="53" customFormat="1" ht="15" thickBot="1" x14ac:dyDescent="0.4">
      <c r="A687" s="223"/>
      <c r="B687" s="108"/>
      <c r="C687" s="109" t="s">
        <v>129</v>
      </c>
      <c r="D687" s="110">
        <f>SUM(D674:D686)</f>
        <v>7681350</v>
      </c>
      <c r="E687" s="53" t="s">
        <v>696</v>
      </c>
      <c r="F687" s="94"/>
    </row>
    <row r="688" spans="1:7" s="53" customFormat="1" ht="15.5" thickTop="1" thickBot="1" x14ac:dyDescent="0.4">
      <c r="A688" s="224"/>
      <c r="B688" s="226"/>
      <c r="C688" s="226"/>
      <c r="D688" s="226"/>
      <c r="F688" s="94"/>
    </row>
    <row r="689" spans="1:6" s="53" customFormat="1" x14ac:dyDescent="0.35">
      <c r="B689" s="87"/>
      <c r="C689" s="53" t="s">
        <v>130</v>
      </c>
      <c r="D689" s="111">
        <f>D671-D687</f>
        <v>3627650</v>
      </c>
      <c r="F689" s="94"/>
    </row>
    <row r="690" spans="1:6" s="53" customFormat="1" x14ac:dyDescent="0.35">
      <c r="B690" s="87"/>
      <c r="D690" s="111"/>
      <c r="F690" s="94"/>
    </row>
    <row r="691" spans="1:6" s="53" customFormat="1" x14ac:dyDescent="0.35">
      <c r="A691" s="112"/>
      <c r="B691" s="113"/>
      <c r="C691" s="112"/>
      <c r="D691" s="114"/>
      <c r="E691" s="112"/>
      <c r="F691" s="178"/>
    </row>
    <row r="694" spans="1:6" s="53" customFormat="1" ht="23.5" x14ac:dyDescent="0.55000000000000004">
      <c r="B694" s="227" t="s">
        <v>0</v>
      </c>
      <c r="C694" s="227"/>
      <c r="D694" s="227"/>
      <c r="E694" s="70"/>
      <c r="F694" s="176"/>
    </row>
    <row r="695" spans="1:6" s="53" customFormat="1" ht="20.5" x14ac:dyDescent="0.45">
      <c r="B695" s="71"/>
      <c r="C695" s="72" t="s">
        <v>312</v>
      </c>
      <c r="D695" s="73"/>
      <c r="F695" s="94"/>
    </row>
    <row r="696" spans="1:6" s="53" customFormat="1" ht="21" thickBot="1" x14ac:dyDescent="0.5">
      <c r="B696" s="71" t="s">
        <v>178</v>
      </c>
      <c r="C696" s="74" t="s">
        <v>103</v>
      </c>
      <c r="D696" s="73"/>
      <c r="F696" s="94"/>
    </row>
    <row r="697" spans="1:6" s="53" customFormat="1" ht="15" thickBot="1" x14ac:dyDescent="0.4">
      <c r="A697" s="75" t="s">
        <v>104</v>
      </c>
      <c r="B697" s="76" t="s">
        <v>81</v>
      </c>
      <c r="C697" s="76" t="s">
        <v>105</v>
      </c>
      <c r="D697" s="77" t="s">
        <v>84</v>
      </c>
      <c r="F697" s="94"/>
    </row>
    <row r="698" spans="1:6" s="53" customFormat="1" ht="14.5" customHeight="1" x14ac:dyDescent="0.35">
      <c r="A698" s="222" t="s">
        <v>87</v>
      </c>
      <c r="B698" s="78" t="s">
        <v>306</v>
      </c>
      <c r="C698" s="79" t="s">
        <v>106</v>
      </c>
      <c r="D698" s="80">
        <f>F705</f>
        <v>10520000</v>
      </c>
      <c r="F698" s="94"/>
    </row>
    <row r="699" spans="1:6" s="53" customFormat="1" ht="21" thickBot="1" x14ac:dyDescent="0.5">
      <c r="A699" s="223"/>
      <c r="B699" s="71"/>
      <c r="C699" s="71"/>
      <c r="D699" s="73"/>
      <c r="F699" s="94"/>
    </row>
    <row r="700" spans="1:6" s="53" customFormat="1" ht="15" thickBot="1" x14ac:dyDescent="0.4">
      <c r="A700" s="223"/>
      <c r="B700" s="81" t="s">
        <v>81</v>
      </c>
      <c r="C700" s="82" t="s">
        <v>107</v>
      </c>
      <c r="D700" s="83" t="s">
        <v>108</v>
      </c>
      <c r="F700" s="94"/>
    </row>
    <row r="701" spans="1:6" s="87" customFormat="1" x14ac:dyDescent="0.35">
      <c r="A701" s="223"/>
      <c r="B701" s="84" t="str">
        <f>B698</f>
        <v>17th February,2025</v>
      </c>
      <c r="C701" s="85" t="s">
        <v>318</v>
      </c>
      <c r="D701" s="86">
        <f>2000*2700</f>
        <v>5400000</v>
      </c>
      <c r="F701" s="177"/>
    </row>
    <row r="702" spans="1:6" s="53" customFormat="1" x14ac:dyDescent="0.35">
      <c r="A702" s="223"/>
      <c r="B702" s="88"/>
      <c r="C702" s="89" t="s">
        <v>159</v>
      </c>
      <c r="D702" s="90">
        <f>299*2650</f>
        <v>792350</v>
      </c>
      <c r="F702" s="94"/>
    </row>
    <row r="703" spans="1:6" s="53" customFormat="1" x14ac:dyDescent="0.35">
      <c r="A703" s="223"/>
      <c r="B703" s="88" t="s">
        <v>109</v>
      </c>
      <c r="C703" s="89" t="s">
        <v>110</v>
      </c>
      <c r="D703" s="90">
        <v>1000000</v>
      </c>
      <c r="F703" s="94"/>
    </row>
    <row r="704" spans="1:6" s="53" customFormat="1" x14ac:dyDescent="0.35">
      <c r="A704" s="223"/>
      <c r="B704" s="88" t="s">
        <v>111</v>
      </c>
      <c r="C704" s="89" t="s">
        <v>112</v>
      </c>
      <c r="D704" s="90">
        <v>40000</v>
      </c>
      <c r="E704" s="225" t="s">
        <v>113</v>
      </c>
      <c r="F704" s="225"/>
    </row>
    <row r="705" spans="1:7" s="53" customFormat="1" x14ac:dyDescent="0.35">
      <c r="A705" s="223"/>
      <c r="B705" s="88" t="s">
        <v>114</v>
      </c>
      <c r="C705" s="89" t="s">
        <v>115</v>
      </c>
      <c r="D705" s="90">
        <f>500*120</f>
        <v>60000</v>
      </c>
      <c r="E705" s="91" t="s">
        <v>116</v>
      </c>
      <c r="F705" s="92">
        <f>4000*2630</f>
        <v>10520000</v>
      </c>
    </row>
    <row r="706" spans="1:7" s="53" customFormat="1" x14ac:dyDescent="0.35">
      <c r="A706" s="223"/>
      <c r="B706" s="88"/>
      <c r="C706" s="89" t="s">
        <v>117</v>
      </c>
      <c r="D706" s="90">
        <f>1500*120</f>
        <v>180000</v>
      </c>
      <c r="E706" s="93" t="s">
        <v>118</v>
      </c>
      <c r="F706" s="94">
        <f>(2400*2630)+(1600*2630)</f>
        <v>10520000</v>
      </c>
    </row>
    <row r="707" spans="1:7" s="53" customFormat="1" ht="15" thickBot="1" x14ac:dyDescent="0.4">
      <c r="A707" s="223"/>
      <c r="B707" s="88" t="s">
        <v>119</v>
      </c>
      <c r="C707" s="89" t="s">
        <v>120</v>
      </c>
      <c r="D707" s="95">
        <v>30000</v>
      </c>
      <c r="E707" s="96" t="s">
        <v>121</v>
      </c>
      <c r="F707" s="97">
        <f>F705-F706</f>
        <v>0</v>
      </c>
      <c r="G707" s="98">
        <f>F707/2630</f>
        <v>0</v>
      </c>
    </row>
    <row r="708" spans="1:7" s="53" customFormat="1" ht="15" thickTop="1" x14ac:dyDescent="0.35">
      <c r="A708" s="223"/>
      <c r="B708" s="88"/>
      <c r="C708" s="89" t="s">
        <v>126</v>
      </c>
      <c r="D708" s="95">
        <v>30000</v>
      </c>
      <c r="F708" s="94"/>
    </row>
    <row r="709" spans="1:7" s="53" customFormat="1" x14ac:dyDescent="0.35">
      <c r="A709" s="223"/>
      <c r="B709" s="88" t="s">
        <v>309</v>
      </c>
      <c r="C709" s="99" t="s">
        <v>123</v>
      </c>
      <c r="D709" s="90">
        <v>15000</v>
      </c>
      <c r="E709" s="91" t="s">
        <v>124</v>
      </c>
      <c r="F709" s="92"/>
    </row>
    <row r="710" spans="1:7" s="53" customFormat="1" x14ac:dyDescent="0.35">
      <c r="A710" s="223"/>
      <c r="B710" s="101"/>
      <c r="C710" s="99" t="s">
        <v>125</v>
      </c>
      <c r="D710" s="100">
        <v>10000</v>
      </c>
      <c r="E710" s="102"/>
      <c r="F710" s="103"/>
    </row>
    <row r="711" spans="1:7" s="53" customFormat="1" x14ac:dyDescent="0.35">
      <c r="A711" s="223"/>
      <c r="B711" s="101"/>
      <c r="C711" s="89" t="s">
        <v>122</v>
      </c>
      <c r="D711" s="90">
        <v>140000</v>
      </c>
      <c r="E711" s="102" t="s">
        <v>127</v>
      </c>
      <c r="F711" s="103"/>
    </row>
    <row r="712" spans="1:7" s="53" customFormat="1" x14ac:dyDescent="0.35">
      <c r="A712" s="223"/>
      <c r="B712" s="101"/>
      <c r="C712" s="89"/>
      <c r="D712" s="90"/>
      <c r="E712" s="102" t="s">
        <v>317</v>
      </c>
      <c r="F712" s="103"/>
    </row>
    <row r="713" spans="1:7" s="53" customFormat="1" ht="15" thickBot="1" x14ac:dyDescent="0.4">
      <c r="A713" s="223"/>
      <c r="B713" s="105"/>
      <c r="C713" s="106"/>
      <c r="D713" s="107"/>
      <c r="E713" s="53" t="s">
        <v>478</v>
      </c>
      <c r="F713" s="94"/>
    </row>
    <row r="714" spans="1:7" s="53" customFormat="1" ht="15" thickBot="1" x14ac:dyDescent="0.4">
      <c r="A714" s="223"/>
      <c r="B714" s="108"/>
      <c r="C714" s="109" t="s">
        <v>129</v>
      </c>
      <c r="D714" s="110">
        <f>SUM(D701:D713)</f>
        <v>7697350</v>
      </c>
      <c r="F714" s="94"/>
    </row>
    <row r="715" spans="1:7" s="53" customFormat="1" ht="15.5" thickTop="1" thickBot="1" x14ac:dyDescent="0.4">
      <c r="A715" s="224"/>
      <c r="B715" s="226"/>
      <c r="C715" s="226"/>
      <c r="D715" s="226"/>
      <c r="F715" s="94"/>
    </row>
    <row r="716" spans="1:7" s="53" customFormat="1" x14ac:dyDescent="0.35">
      <c r="B716" s="87"/>
      <c r="C716" s="53" t="s">
        <v>130</v>
      </c>
      <c r="D716" s="111">
        <f>D698-D714</f>
        <v>2822650</v>
      </c>
      <c r="F716" s="94"/>
    </row>
    <row r="717" spans="1:7" s="53" customFormat="1" x14ac:dyDescent="0.35">
      <c r="B717" s="87"/>
      <c r="D717" s="111"/>
      <c r="F717" s="94"/>
    </row>
    <row r="718" spans="1:7" s="53" customFormat="1" x14ac:dyDescent="0.35">
      <c r="A718" s="112"/>
      <c r="B718" s="113"/>
      <c r="C718" s="112"/>
      <c r="D718" s="114"/>
      <c r="E718" s="112"/>
      <c r="F718" s="178"/>
    </row>
    <row r="720" spans="1:7" s="53" customFormat="1" ht="23.5" x14ac:dyDescent="0.55000000000000004">
      <c r="B720" s="227" t="s">
        <v>0</v>
      </c>
      <c r="C720" s="227"/>
      <c r="D720" s="227"/>
      <c r="E720" s="70"/>
      <c r="F720" s="176"/>
    </row>
    <row r="721" spans="1:7" s="53" customFormat="1" ht="20.5" x14ac:dyDescent="0.45">
      <c r="B721" s="71"/>
      <c r="C721" s="72" t="s">
        <v>313</v>
      </c>
      <c r="D721" s="73"/>
      <c r="F721" s="94"/>
    </row>
    <row r="722" spans="1:7" s="53" customFormat="1" ht="21" thickBot="1" x14ac:dyDescent="0.5">
      <c r="B722" s="71" t="s">
        <v>193</v>
      </c>
      <c r="C722" s="74" t="s">
        <v>103</v>
      </c>
      <c r="D722" s="73"/>
      <c r="F722" s="94"/>
    </row>
    <row r="723" spans="1:7" s="53" customFormat="1" ht="15" thickBot="1" x14ac:dyDescent="0.4">
      <c r="A723" s="75" t="s">
        <v>104</v>
      </c>
      <c r="B723" s="76" t="s">
        <v>81</v>
      </c>
      <c r="C723" s="76" t="s">
        <v>105</v>
      </c>
      <c r="D723" s="77" t="s">
        <v>84</v>
      </c>
      <c r="F723" s="94"/>
    </row>
    <row r="724" spans="1:7" s="53" customFormat="1" ht="14.5" customHeight="1" x14ac:dyDescent="0.35">
      <c r="A724" s="222" t="s">
        <v>87</v>
      </c>
      <c r="B724" s="78" t="s">
        <v>306</v>
      </c>
      <c r="C724" s="79" t="s">
        <v>106</v>
      </c>
      <c r="D724" s="80">
        <f>F731</f>
        <v>10520000</v>
      </c>
      <c r="F724" s="94"/>
    </row>
    <row r="725" spans="1:7" s="53" customFormat="1" ht="21" thickBot="1" x14ac:dyDescent="0.5">
      <c r="A725" s="223"/>
      <c r="B725" s="71"/>
      <c r="C725" s="71"/>
      <c r="D725" s="73"/>
      <c r="F725" s="94"/>
    </row>
    <row r="726" spans="1:7" s="53" customFormat="1" ht="15" thickBot="1" x14ac:dyDescent="0.4">
      <c r="A726" s="223"/>
      <c r="B726" s="81" t="s">
        <v>81</v>
      </c>
      <c r="C726" s="82" t="s">
        <v>107</v>
      </c>
      <c r="D726" s="83" t="s">
        <v>108</v>
      </c>
      <c r="F726" s="94"/>
    </row>
    <row r="727" spans="1:7" s="87" customFormat="1" x14ac:dyDescent="0.35">
      <c r="A727" s="223"/>
      <c r="B727" s="84" t="str">
        <f>B724</f>
        <v>17th February,2025</v>
      </c>
      <c r="C727" s="85" t="s">
        <v>318</v>
      </c>
      <c r="D727" s="86">
        <f>2000*2700</f>
        <v>5400000</v>
      </c>
      <c r="F727" s="177"/>
    </row>
    <row r="728" spans="1:7" s="53" customFormat="1" x14ac:dyDescent="0.35">
      <c r="A728" s="223"/>
      <c r="B728" s="88"/>
      <c r="C728" s="89" t="s">
        <v>159</v>
      </c>
      <c r="D728" s="90">
        <f>299*2650</f>
        <v>792350</v>
      </c>
      <c r="F728" s="94"/>
    </row>
    <row r="729" spans="1:7" s="53" customFormat="1" x14ac:dyDescent="0.35">
      <c r="A729" s="223"/>
      <c r="B729" s="88" t="s">
        <v>109</v>
      </c>
      <c r="C729" s="89" t="s">
        <v>110</v>
      </c>
      <c r="D729" s="90">
        <v>1000000</v>
      </c>
      <c r="F729" s="94"/>
    </row>
    <row r="730" spans="1:7" s="53" customFormat="1" x14ac:dyDescent="0.35">
      <c r="A730" s="223"/>
      <c r="B730" s="88" t="s">
        <v>111</v>
      </c>
      <c r="C730" s="89" t="s">
        <v>112</v>
      </c>
      <c r="D730" s="90">
        <v>40000</v>
      </c>
      <c r="E730" s="225" t="s">
        <v>113</v>
      </c>
      <c r="F730" s="225"/>
    </row>
    <row r="731" spans="1:7" s="53" customFormat="1" x14ac:dyDescent="0.35">
      <c r="A731" s="223"/>
      <c r="B731" s="88" t="s">
        <v>114</v>
      </c>
      <c r="C731" s="89" t="s">
        <v>115</v>
      </c>
      <c r="D731" s="90">
        <f>500*120</f>
        <v>60000</v>
      </c>
      <c r="E731" s="91" t="s">
        <v>116</v>
      </c>
      <c r="F731" s="92">
        <f>4000*2630</f>
        <v>10520000</v>
      </c>
    </row>
    <row r="732" spans="1:7" s="53" customFormat="1" x14ac:dyDescent="0.35">
      <c r="A732" s="223"/>
      <c r="B732" s="88"/>
      <c r="C732" s="89" t="s">
        <v>117</v>
      </c>
      <c r="D732" s="90">
        <f>1500*120</f>
        <v>180000</v>
      </c>
      <c r="E732" s="93" t="s">
        <v>118</v>
      </c>
      <c r="F732" s="94">
        <f>(2400*2630)+(1600*2630)</f>
        <v>10520000</v>
      </c>
    </row>
    <row r="733" spans="1:7" s="53" customFormat="1" ht="15" thickBot="1" x14ac:dyDescent="0.4">
      <c r="A733" s="223"/>
      <c r="B733" s="88" t="s">
        <v>119</v>
      </c>
      <c r="C733" s="89" t="s">
        <v>120</v>
      </c>
      <c r="D733" s="95">
        <v>30000</v>
      </c>
      <c r="E733" s="96" t="s">
        <v>121</v>
      </c>
      <c r="F733" s="97">
        <f>F731-F732</f>
        <v>0</v>
      </c>
      <c r="G733" s="98">
        <f>F733/2630</f>
        <v>0</v>
      </c>
    </row>
    <row r="734" spans="1:7" s="53" customFormat="1" ht="15" thickTop="1" x14ac:dyDescent="0.35">
      <c r="A734" s="223"/>
      <c r="B734" s="88"/>
      <c r="C734" s="89" t="s">
        <v>126</v>
      </c>
      <c r="D734" s="95">
        <v>20000</v>
      </c>
      <c r="F734" s="94"/>
    </row>
    <row r="735" spans="1:7" s="53" customFormat="1" x14ac:dyDescent="0.35">
      <c r="A735" s="223"/>
      <c r="B735" s="88" t="s">
        <v>311</v>
      </c>
      <c r="C735" s="99" t="s">
        <v>123</v>
      </c>
      <c r="D735" s="90">
        <v>15000</v>
      </c>
      <c r="E735" s="91" t="s">
        <v>124</v>
      </c>
      <c r="F735" s="92"/>
    </row>
    <row r="736" spans="1:7" s="53" customFormat="1" x14ac:dyDescent="0.35">
      <c r="A736" s="223"/>
      <c r="B736" s="101"/>
      <c r="C736" s="99" t="s">
        <v>125</v>
      </c>
      <c r="D736" s="100">
        <v>10000</v>
      </c>
      <c r="E736" s="102"/>
      <c r="F736" s="103"/>
    </row>
    <row r="737" spans="1:6" s="53" customFormat="1" x14ac:dyDescent="0.35">
      <c r="A737" s="223"/>
      <c r="B737" s="101"/>
      <c r="C737" s="89" t="s">
        <v>122</v>
      </c>
      <c r="D737" s="100">
        <v>140000</v>
      </c>
      <c r="E737" s="102" t="s">
        <v>127</v>
      </c>
      <c r="F737" s="103"/>
    </row>
    <row r="738" spans="1:6" s="53" customFormat="1" x14ac:dyDescent="0.35">
      <c r="A738" s="223"/>
      <c r="B738" s="101"/>
      <c r="C738" s="89"/>
      <c r="D738" s="90"/>
      <c r="E738" s="102" t="s">
        <v>317</v>
      </c>
      <c r="F738" s="103"/>
    </row>
    <row r="739" spans="1:6" s="53" customFormat="1" ht="15" thickBot="1" x14ac:dyDescent="0.4">
      <c r="A739" s="223"/>
      <c r="B739" s="105"/>
      <c r="C739" s="106"/>
      <c r="D739" s="107"/>
      <c r="E739" s="53" t="s">
        <v>522</v>
      </c>
      <c r="F739" s="94"/>
    </row>
    <row r="740" spans="1:6" s="53" customFormat="1" ht="15" thickBot="1" x14ac:dyDescent="0.4">
      <c r="A740" s="223"/>
      <c r="B740" s="108"/>
      <c r="C740" s="109" t="s">
        <v>129</v>
      </c>
      <c r="D740" s="110">
        <f>SUM(D727:D739)</f>
        <v>7687350</v>
      </c>
      <c r="F740" s="94"/>
    </row>
    <row r="741" spans="1:6" s="53" customFormat="1" ht="15.5" thickTop="1" thickBot="1" x14ac:dyDescent="0.4">
      <c r="A741" s="224"/>
      <c r="B741" s="226"/>
      <c r="C741" s="226"/>
      <c r="D741" s="226"/>
      <c r="F741" s="94"/>
    </row>
    <row r="742" spans="1:6" s="53" customFormat="1" x14ac:dyDescent="0.35">
      <c r="B742" s="87"/>
      <c r="C742" s="53" t="s">
        <v>130</v>
      </c>
      <c r="D742" s="111">
        <f>D724-D740</f>
        <v>2832650</v>
      </c>
      <c r="F742" s="94"/>
    </row>
    <row r="743" spans="1:6" s="53" customFormat="1" x14ac:dyDescent="0.35">
      <c r="B743" s="87"/>
      <c r="D743" s="111"/>
      <c r="F743" s="94"/>
    </row>
    <row r="744" spans="1:6" s="53" customFormat="1" x14ac:dyDescent="0.35">
      <c r="A744" s="112"/>
      <c r="B744" s="113"/>
      <c r="C744" s="112"/>
      <c r="D744" s="114"/>
      <c r="E744" s="112"/>
      <c r="F744" s="178"/>
    </row>
    <row r="746" spans="1:6" s="53" customFormat="1" ht="23.5" x14ac:dyDescent="0.55000000000000004">
      <c r="B746" s="227" t="s">
        <v>0</v>
      </c>
      <c r="C746" s="227"/>
      <c r="D746" s="227"/>
      <c r="E746" s="70"/>
      <c r="F746" s="176"/>
    </row>
    <row r="747" spans="1:6" s="53" customFormat="1" ht="20.5" x14ac:dyDescent="0.45">
      <c r="B747" s="71"/>
      <c r="C747" s="72" t="s">
        <v>322</v>
      </c>
      <c r="D747" s="73"/>
      <c r="F747" s="94"/>
    </row>
    <row r="748" spans="1:6" s="53" customFormat="1" ht="21" thickBot="1" x14ac:dyDescent="0.5">
      <c r="B748" s="71" t="s">
        <v>222</v>
      </c>
      <c r="C748" s="74" t="s">
        <v>103</v>
      </c>
      <c r="D748" s="73"/>
      <c r="F748" s="94"/>
    </row>
    <row r="749" spans="1:6" s="53" customFormat="1" ht="15" thickBot="1" x14ac:dyDescent="0.4">
      <c r="A749" s="75" t="s">
        <v>104</v>
      </c>
      <c r="B749" s="76" t="s">
        <v>81</v>
      </c>
      <c r="C749" s="76" t="s">
        <v>105</v>
      </c>
      <c r="D749" s="77" t="s">
        <v>84</v>
      </c>
      <c r="F749" s="94"/>
    </row>
    <row r="750" spans="1:6" s="53" customFormat="1" ht="14.5" customHeight="1" x14ac:dyDescent="0.35">
      <c r="A750" s="222" t="s">
        <v>87</v>
      </c>
      <c r="B750" s="78" t="s">
        <v>323</v>
      </c>
      <c r="C750" s="79" t="s">
        <v>106</v>
      </c>
      <c r="D750" s="80">
        <f>F757</f>
        <v>10783000</v>
      </c>
      <c r="F750" s="94"/>
    </row>
    <row r="751" spans="1:6" s="53" customFormat="1" ht="21" thickBot="1" x14ac:dyDescent="0.5">
      <c r="A751" s="223"/>
      <c r="B751" s="71"/>
      <c r="C751" s="71"/>
      <c r="D751" s="73"/>
      <c r="F751" s="94"/>
    </row>
    <row r="752" spans="1:6" s="53" customFormat="1" ht="15" thickBot="1" x14ac:dyDescent="0.4">
      <c r="A752" s="223"/>
      <c r="B752" s="81" t="s">
        <v>81</v>
      </c>
      <c r="C752" s="82" t="s">
        <v>107</v>
      </c>
      <c r="D752" s="83" t="s">
        <v>108</v>
      </c>
      <c r="F752" s="94"/>
    </row>
    <row r="753" spans="1:7" s="87" customFormat="1" x14ac:dyDescent="0.35">
      <c r="A753" s="223"/>
      <c r="B753" s="84" t="str">
        <f>B750</f>
        <v>22nd February,2025</v>
      </c>
      <c r="C753" s="85" t="s">
        <v>318</v>
      </c>
      <c r="D753" s="86">
        <f>2000*2700</f>
        <v>5400000</v>
      </c>
      <c r="F753" s="177"/>
    </row>
    <row r="754" spans="1:7" s="53" customFormat="1" x14ac:dyDescent="0.35">
      <c r="A754" s="223"/>
      <c r="B754" s="88"/>
      <c r="C754" s="89" t="s">
        <v>210</v>
      </c>
      <c r="D754" s="90">
        <f>319*2650</f>
        <v>845350</v>
      </c>
      <c r="F754" s="94"/>
    </row>
    <row r="755" spans="1:7" s="53" customFormat="1" x14ac:dyDescent="0.35">
      <c r="A755" s="223"/>
      <c r="B755" s="88" t="s">
        <v>109</v>
      </c>
      <c r="C755" s="89" t="s">
        <v>110</v>
      </c>
      <c r="D755" s="90">
        <v>1000000</v>
      </c>
      <c r="F755" s="94"/>
    </row>
    <row r="756" spans="1:7" s="53" customFormat="1" x14ac:dyDescent="0.35">
      <c r="A756" s="223"/>
      <c r="B756" s="88" t="s">
        <v>111</v>
      </c>
      <c r="C756" s="89" t="s">
        <v>112</v>
      </c>
      <c r="D756" s="90">
        <v>40000</v>
      </c>
      <c r="E756" s="225" t="s">
        <v>113</v>
      </c>
      <c r="F756" s="225"/>
    </row>
    <row r="757" spans="1:7" s="53" customFormat="1" x14ac:dyDescent="0.35">
      <c r="A757" s="223"/>
      <c r="B757" s="88" t="s">
        <v>206</v>
      </c>
      <c r="C757" s="89" t="s">
        <v>115</v>
      </c>
      <c r="D757" s="90">
        <f>550*120</f>
        <v>66000</v>
      </c>
      <c r="E757" s="91" t="s">
        <v>116</v>
      </c>
      <c r="F757" s="92">
        <f>4100*2630</f>
        <v>10783000</v>
      </c>
    </row>
    <row r="758" spans="1:7" s="53" customFormat="1" x14ac:dyDescent="0.35">
      <c r="A758" s="223"/>
      <c r="B758" s="88"/>
      <c r="C758" s="89" t="s">
        <v>117</v>
      </c>
      <c r="D758" s="90">
        <f>2000*120</f>
        <v>240000</v>
      </c>
      <c r="E758" s="93" t="s">
        <v>118</v>
      </c>
      <c r="F758" s="94">
        <f>(2460*2630)+(1640*2630)</f>
        <v>10783000</v>
      </c>
    </row>
    <row r="759" spans="1:7" s="53" customFormat="1" ht="15" thickBot="1" x14ac:dyDescent="0.4">
      <c r="A759" s="223"/>
      <c r="B759" s="88" t="s">
        <v>119</v>
      </c>
      <c r="C759" s="89" t="s">
        <v>120</v>
      </c>
      <c r="D759" s="90">
        <v>30000</v>
      </c>
      <c r="E759" s="96" t="s">
        <v>121</v>
      </c>
      <c r="F759" s="97">
        <f>F757-F758</f>
        <v>0</v>
      </c>
      <c r="G759" s="98">
        <f>F759/2630</f>
        <v>0</v>
      </c>
    </row>
    <row r="760" spans="1:7" s="53" customFormat="1" ht="15" thickTop="1" x14ac:dyDescent="0.35">
      <c r="A760" s="223"/>
      <c r="B760" s="88"/>
      <c r="C760" s="89" t="s">
        <v>128</v>
      </c>
      <c r="D760" s="90">
        <f>100*125</f>
        <v>12500</v>
      </c>
      <c r="F760" s="94"/>
    </row>
    <row r="761" spans="1:7" s="53" customFormat="1" x14ac:dyDescent="0.35">
      <c r="A761" s="223"/>
      <c r="B761" s="88" t="s">
        <v>213</v>
      </c>
      <c r="C761" s="99" t="s">
        <v>123</v>
      </c>
      <c r="D761" s="100">
        <v>15000</v>
      </c>
      <c r="E761" s="91" t="s">
        <v>124</v>
      </c>
      <c r="F761" s="92"/>
    </row>
    <row r="762" spans="1:7" s="53" customFormat="1" x14ac:dyDescent="0.35">
      <c r="A762" s="223"/>
      <c r="B762" s="101"/>
      <c r="C762" s="99" t="s">
        <v>126</v>
      </c>
      <c r="D762" s="100">
        <v>20000</v>
      </c>
      <c r="E762" s="102"/>
      <c r="F762" s="103"/>
    </row>
    <row r="763" spans="1:7" s="53" customFormat="1" x14ac:dyDescent="0.35">
      <c r="A763" s="223"/>
      <c r="B763" s="101"/>
      <c r="C763" s="89"/>
      <c r="D763" s="90"/>
      <c r="E763" s="102" t="s">
        <v>127</v>
      </c>
      <c r="F763" s="103"/>
    </row>
    <row r="764" spans="1:7" s="53" customFormat="1" x14ac:dyDescent="0.35">
      <c r="A764" s="223"/>
      <c r="B764" s="101"/>
      <c r="C764" s="89"/>
      <c r="D764" s="90"/>
      <c r="E764" s="102" t="s">
        <v>348</v>
      </c>
      <c r="F764" s="103"/>
    </row>
    <row r="765" spans="1:7" s="53" customFormat="1" ht="15" thickBot="1" x14ac:dyDescent="0.4">
      <c r="A765" s="223"/>
      <c r="B765" s="105"/>
      <c r="C765" s="106"/>
      <c r="D765" s="107"/>
      <c r="E765" s="53" t="s">
        <v>482</v>
      </c>
      <c r="F765" s="94"/>
    </row>
    <row r="766" spans="1:7" s="53" customFormat="1" ht="15" thickBot="1" x14ac:dyDescent="0.4">
      <c r="A766" s="223"/>
      <c r="B766" s="108"/>
      <c r="C766" s="109" t="s">
        <v>129</v>
      </c>
      <c r="D766" s="110">
        <f>SUM(D753:D765)</f>
        <v>7668850</v>
      </c>
      <c r="F766" s="94"/>
    </row>
    <row r="767" spans="1:7" s="53" customFormat="1" ht="15.5" thickTop="1" thickBot="1" x14ac:dyDescent="0.4">
      <c r="A767" s="224"/>
      <c r="B767" s="226"/>
      <c r="C767" s="226"/>
      <c r="D767" s="226"/>
      <c r="F767" s="94"/>
    </row>
    <row r="768" spans="1:7" s="53" customFormat="1" x14ac:dyDescent="0.35">
      <c r="B768" s="87"/>
      <c r="C768" s="53" t="s">
        <v>130</v>
      </c>
      <c r="D768" s="111">
        <f>D750-D766</f>
        <v>3114150</v>
      </c>
      <c r="F768" s="94"/>
    </row>
    <row r="769" spans="1:6" s="53" customFormat="1" x14ac:dyDescent="0.35">
      <c r="B769" s="87"/>
      <c r="D769" s="111"/>
      <c r="F769" s="94"/>
    </row>
    <row r="770" spans="1:6" s="53" customFormat="1" x14ac:dyDescent="0.35">
      <c r="A770" s="112"/>
      <c r="B770" s="113"/>
      <c r="C770" s="112"/>
      <c r="D770" s="114"/>
      <c r="E770" s="112"/>
      <c r="F770" s="178"/>
    </row>
    <row r="772" spans="1:6" s="53" customFormat="1" ht="23.5" x14ac:dyDescent="0.55000000000000004">
      <c r="B772" s="227" t="s">
        <v>0</v>
      </c>
      <c r="C772" s="227"/>
      <c r="D772" s="227"/>
      <c r="E772" s="70"/>
      <c r="F772" s="176"/>
    </row>
    <row r="773" spans="1:6" s="53" customFormat="1" ht="20.5" x14ac:dyDescent="0.45">
      <c r="B773" s="71"/>
      <c r="C773" s="72" t="s">
        <v>324</v>
      </c>
      <c r="D773" s="73"/>
      <c r="F773" s="94"/>
    </row>
    <row r="774" spans="1:6" s="53" customFormat="1" ht="21" thickBot="1" x14ac:dyDescent="0.5">
      <c r="B774" s="71" t="s">
        <v>218</v>
      </c>
      <c r="C774" s="74" t="s">
        <v>103</v>
      </c>
      <c r="D774" s="73"/>
      <c r="F774" s="94"/>
    </row>
    <row r="775" spans="1:6" s="53" customFormat="1" ht="15" thickBot="1" x14ac:dyDescent="0.4">
      <c r="A775" s="75" t="s">
        <v>104</v>
      </c>
      <c r="B775" s="76" t="s">
        <v>81</v>
      </c>
      <c r="C775" s="76" t="s">
        <v>105</v>
      </c>
      <c r="D775" s="77" t="s">
        <v>84</v>
      </c>
      <c r="F775" s="94"/>
    </row>
    <row r="776" spans="1:6" s="53" customFormat="1" ht="14.5" customHeight="1" x14ac:dyDescent="0.35">
      <c r="A776" s="222" t="s">
        <v>87</v>
      </c>
      <c r="B776" s="78" t="s">
        <v>325</v>
      </c>
      <c r="C776" s="79" t="s">
        <v>106</v>
      </c>
      <c r="D776" s="80">
        <f>F783</f>
        <v>10783000</v>
      </c>
      <c r="F776" s="94"/>
    </row>
    <row r="777" spans="1:6" s="53" customFormat="1" ht="21" thickBot="1" x14ac:dyDescent="0.5">
      <c r="A777" s="223"/>
      <c r="B777" s="71"/>
      <c r="C777" s="71"/>
      <c r="D777" s="73"/>
      <c r="F777" s="94"/>
    </row>
    <row r="778" spans="1:6" s="53" customFormat="1" ht="15" thickBot="1" x14ac:dyDescent="0.4">
      <c r="A778" s="223"/>
      <c r="B778" s="81" t="s">
        <v>81</v>
      </c>
      <c r="C778" s="82" t="s">
        <v>107</v>
      </c>
      <c r="D778" s="83" t="s">
        <v>108</v>
      </c>
      <c r="F778" s="94"/>
    </row>
    <row r="779" spans="1:6" s="87" customFormat="1" x14ac:dyDescent="0.35">
      <c r="A779" s="223"/>
      <c r="B779" s="84" t="str">
        <f>B776</f>
        <v>24th February,2025</v>
      </c>
      <c r="C779" s="85" t="s">
        <v>318</v>
      </c>
      <c r="D779" s="86">
        <f>2000*2700</f>
        <v>5400000</v>
      </c>
      <c r="F779" s="177"/>
    </row>
    <row r="780" spans="1:6" s="53" customFormat="1" x14ac:dyDescent="0.35">
      <c r="A780" s="223"/>
      <c r="B780" s="88"/>
      <c r="C780" s="89" t="s">
        <v>210</v>
      </c>
      <c r="D780" s="90">
        <f>319*2650</f>
        <v>845350</v>
      </c>
      <c r="F780" s="94"/>
    </row>
    <row r="781" spans="1:6" s="53" customFormat="1" x14ac:dyDescent="0.35">
      <c r="A781" s="223"/>
      <c r="B781" s="88" t="s">
        <v>109</v>
      </c>
      <c r="C781" s="89" t="s">
        <v>110</v>
      </c>
      <c r="D781" s="90">
        <v>1000000</v>
      </c>
      <c r="F781" s="94"/>
    </row>
    <row r="782" spans="1:6" s="53" customFormat="1" x14ac:dyDescent="0.35">
      <c r="A782" s="223"/>
      <c r="B782" s="88" t="s">
        <v>111</v>
      </c>
      <c r="C782" s="89" t="s">
        <v>112</v>
      </c>
      <c r="D782" s="90">
        <v>40000</v>
      </c>
      <c r="E782" s="225" t="s">
        <v>113</v>
      </c>
      <c r="F782" s="225"/>
    </row>
    <row r="783" spans="1:6" s="53" customFormat="1" x14ac:dyDescent="0.35">
      <c r="A783" s="223"/>
      <c r="B783" s="88" t="s">
        <v>206</v>
      </c>
      <c r="C783" s="89" t="s">
        <v>115</v>
      </c>
      <c r="D783" s="90">
        <f>550*120</f>
        <v>66000</v>
      </c>
      <c r="E783" s="91" t="s">
        <v>116</v>
      </c>
      <c r="F783" s="92">
        <f>4100*2630</f>
        <v>10783000</v>
      </c>
    </row>
    <row r="784" spans="1:6" s="53" customFormat="1" x14ac:dyDescent="0.35">
      <c r="A784" s="223"/>
      <c r="B784" s="88"/>
      <c r="C784" s="89" t="s">
        <v>117</v>
      </c>
      <c r="D784" s="90">
        <f>2000*120</f>
        <v>240000</v>
      </c>
      <c r="E784" s="93" t="s">
        <v>118</v>
      </c>
      <c r="F784" s="94">
        <f>(2460*2630)+(1640*2630)</f>
        <v>10783000</v>
      </c>
    </row>
    <row r="785" spans="1:7" s="53" customFormat="1" ht="15" thickBot="1" x14ac:dyDescent="0.4">
      <c r="A785" s="223"/>
      <c r="B785" s="88" t="s">
        <v>119</v>
      </c>
      <c r="C785" s="89" t="s">
        <v>120</v>
      </c>
      <c r="D785" s="90">
        <v>30000</v>
      </c>
      <c r="E785" s="96" t="s">
        <v>121</v>
      </c>
      <c r="F785" s="97">
        <f>F783-F784</f>
        <v>0</v>
      </c>
      <c r="G785" s="98">
        <f>F785/2630</f>
        <v>0</v>
      </c>
    </row>
    <row r="786" spans="1:7" s="53" customFormat="1" ht="15" thickTop="1" x14ac:dyDescent="0.35">
      <c r="A786" s="223"/>
      <c r="B786" s="88"/>
      <c r="C786" s="89" t="s">
        <v>128</v>
      </c>
      <c r="D786" s="90">
        <f>100*125</f>
        <v>12500</v>
      </c>
      <c r="F786" s="94"/>
    </row>
    <row r="787" spans="1:7" s="53" customFormat="1" x14ac:dyDescent="0.35">
      <c r="A787" s="223"/>
      <c r="B787" s="88" t="s">
        <v>213</v>
      </c>
      <c r="C787" s="99" t="s">
        <v>123</v>
      </c>
      <c r="D787" s="100">
        <v>15000</v>
      </c>
      <c r="E787" s="91" t="s">
        <v>124</v>
      </c>
      <c r="F787" s="92"/>
    </row>
    <row r="788" spans="1:7" s="53" customFormat="1" x14ac:dyDescent="0.35">
      <c r="A788" s="223"/>
      <c r="B788" s="101"/>
      <c r="C788" s="99" t="s">
        <v>126</v>
      </c>
      <c r="D788" s="100">
        <v>20000</v>
      </c>
      <c r="E788" s="102"/>
      <c r="F788" s="103"/>
    </row>
    <row r="789" spans="1:7" s="53" customFormat="1" x14ac:dyDescent="0.35">
      <c r="A789" s="223"/>
      <c r="B789" s="101"/>
      <c r="C789" s="89"/>
      <c r="D789" s="90"/>
      <c r="E789" s="102" t="s">
        <v>127</v>
      </c>
      <c r="F789" s="103"/>
    </row>
    <row r="790" spans="1:7" s="53" customFormat="1" x14ac:dyDescent="0.35">
      <c r="A790" s="223"/>
      <c r="B790" s="101"/>
      <c r="C790" s="89"/>
      <c r="D790" s="90"/>
      <c r="E790" s="102" t="s">
        <v>348</v>
      </c>
      <c r="F790" s="103"/>
    </row>
    <row r="791" spans="1:7" s="53" customFormat="1" ht="15" thickBot="1" x14ac:dyDescent="0.4">
      <c r="A791" s="223"/>
      <c r="B791" s="105"/>
      <c r="C791" s="106"/>
      <c r="D791" s="107"/>
      <c r="E791" s="53" t="s">
        <v>482</v>
      </c>
      <c r="F791" s="94"/>
    </row>
    <row r="792" spans="1:7" s="53" customFormat="1" ht="15" thickBot="1" x14ac:dyDescent="0.4">
      <c r="A792" s="223"/>
      <c r="B792" s="108"/>
      <c r="C792" s="109" t="s">
        <v>129</v>
      </c>
      <c r="D792" s="110">
        <f>SUM(D779:D791)</f>
        <v>7668850</v>
      </c>
      <c r="F792" s="94"/>
    </row>
    <row r="793" spans="1:7" s="53" customFormat="1" ht="15.5" thickTop="1" thickBot="1" x14ac:dyDescent="0.4">
      <c r="A793" s="224"/>
      <c r="B793" s="226"/>
      <c r="C793" s="226"/>
      <c r="D793" s="226"/>
      <c r="F793" s="94"/>
    </row>
    <row r="794" spans="1:7" s="53" customFormat="1" x14ac:dyDescent="0.35">
      <c r="B794" s="87"/>
      <c r="C794" s="53" t="s">
        <v>130</v>
      </c>
      <c r="D794" s="111">
        <f>D776-D792</f>
        <v>3114150</v>
      </c>
      <c r="F794" s="94"/>
    </row>
    <row r="795" spans="1:7" s="53" customFormat="1" x14ac:dyDescent="0.35">
      <c r="B795" s="87"/>
      <c r="D795" s="111"/>
      <c r="F795" s="94"/>
    </row>
    <row r="796" spans="1:7" s="53" customFormat="1" x14ac:dyDescent="0.35">
      <c r="A796" s="112"/>
      <c r="B796" s="113"/>
      <c r="C796" s="112"/>
      <c r="D796" s="114"/>
      <c r="E796" s="112"/>
      <c r="F796" s="178"/>
    </row>
    <row r="799" spans="1:7" s="53" customFormat="1" ht="23.5" x14ac:dyDescent="0.55000000000000004">
      <c r="B799" s="227" t="s">
        <v>0</v>
      </c>
      <c r="C799" s="227"/>
      <c r="D799" s="227"/>
      <c r="E799" s="70"/>
      <c r="F799" s="176"/>
    </row>
    <row r="800" spans="1:7" s="53" customFormat="1" ht="20.5" x14ac:dyDescent="0.45">
      <c r="B800" s="71"/>
      <c r="C800" s="72" t="s">
        <v>333</v>
      </c>
      <c r="D800" s="73"/>
      <c r="F800" s="94"/>
    </row>
    <row r="801" spans="1:7" s="53" customFormat="1" ht="21" thickBot="1" x14ac:dyDescent="0.5">
      <c r="B801" s="71" t="s">
        <v>334</v>
      </c>
      <c r="C801" s="74" t="s">
        <v>103</v>
      </c>
      <c r="D801" s="73"/>
      <c r="F801" s="94"/>
    </row>
    <row r="802" spans="1:7" s="53" customFormat="1" ht="15" thickBot="1" x14ac:dyDescent="0.4">
      <c r="A802" s="75" t="s">
        <v>104</v>
      </c>
      <c r="B802" s="76" t="s">
        <v>81</v>
      </c>
      <c r="C802" s="76" t="s">
        <v>105</v>
      </c>
      <c r="D802" s="77" t="s">
        <v>84</v>
      </c>
      <c r="F802" s="94"/>
    </row>
    <row r="803" spans="1:7" s="53" customFormat="1" ht="14.5" customHeight="1" x14ac:dyDescent="0.35">
      <c r="A803" s="222" t="s">
        <v>87</v>
      </c>
      <c r="B803" s="78" t="s">
        <v>335</v>
      </c>
      <c r="C803" s="79" t="s">
        <v>187</v>
      </c>
      <c r="D803" s="80">
        <f>F810</f>
        <v>10000000</v>
      </c>
      <c r="F803" s="94"/>
    </row>
    <row r="804" spans="1:7" s="53" customFormat="1" ht="21" thickBot="1" x14ac:dyDescent="0.5">
      <c r="A804" s="223"/>
      <c r="B804" s="71"/>
      <c r="C804" s="71"/>
      <c r="D804" s="73"/>
      <c r="F804" s="94"/>
    </row>
    <row r="805" spans="1:7" s="53" customFormat="1" ht="15" thickBot="1" x14ac:dyDescent="0.4">
      <c r="A805" s="223"/>
      <c r="B805" s="81" t="s">
        <v>81</v>
      </c>
      <c r="C805" s="82" t="s">
        <v>107</v>
      </c>
      <c r="D805" s="83" t="s">
        <v>108</v>
      </c>
      <c r="F805" s="94"/>
    </row>
    <row r="806" spans="1:7" s="87" customFormat="1" x14ac:dyDescent="0.35">
      <c r="A806" s="223"/>
      <c r="B806" s="84" t="str">
        <f>B803</f>
        <v>26th February,2025</v>
      </c>
      <c r="C806" s="85" t="s">
        <v>318</v>
      </c>
      <c r="D806" s="86">
        <f>2000*2700</f>
        <v>5400000</v>
      </c>
      <c r="F806" s="177"/>
    </row>
    <row r="807" spans="1:7" s="53" customFormat="1" x14ac:dyDescent="0.35">
      <c r="A807" s="223"/>
      <c r="B807" s="88"/>
      <c r="C807" s="89" t="s">
        <v>188</v>
      </c>
      <c r="D807" s="90">
        <f>325*2650</f>
        <v>861250</v>
      </c>
      <c r="F807" s="94"/>
    </row>
    <row r="808" spans="1:7" s="53" customFormat="1" x14ac:dyDescent="0.35">
      <c r="A808" s="223"/>
      <c r="B808" s="88" t="s">
        <v>109</v>
      </c>
      <c r="C808" s="89" t="s">
        <v>110</v>
      </c>
      <c r="D808" s="90">
        <v>1000000</v>
      </c>
      <c r="F808" s="94"/>
    </row>
    <row r="809" spans="1:7" s="53" customFormat="1" x14ac:dyDescent="0.35">
      <c r="A809" s="223"/>
      <c r="B809" s="88" t="s">
        <v>111</v>
      </c>
      <c r="C809" s="89" t="s">
        <v>112</v>
      </c>
      <c r="D809" s="90">
        <v>40000</v>
      </c>
      <c r="E809" s="225" t="s">
        <v>113</v>
      </c>
      <c r="F809" s="225"/>
    </row>
    <row r="810" spans="1:7" s="53" customFormat="1" x14ac:dyDescent="0.35">
      <c r="A810" s="223"/>
      <c r="B810" s="88" t="s">
        <v>182</v>
      </c>
      <c r="C810" s="89" t="s">
        <v>115</v>
      </c>
      <c r="D810" s="90">
        <f>450*120</f>
        <v>54000</v>
      </c>
      <c r="E810" s="91" t="s">
        <v>116</v>
      </c>
      <c r="F810" s="92">
        <f>4000*2500</f>
        <v>10000000</v>
      </c>
    </row>
    <row r="811" spans="1:7" s="53" customFormat="1" x14ac:dyDescent="0.35">
      <c r="A811" s="223"/>
      <c r="B811" s="88"/>
      <c r="C811" s="89" t="s">
        <v>117</v>
      </c>
      <c r="D811" s="90">
        <f>2500*120</f>
        <v>300000</v>
      </c>
      <c r="E811" s="93" t="s">
        <v>118</v>
      </c>
      <c r="F811" s="94">
        <f>(4000*2500)</f>
        <v>10000000</v>
      </c>
    </row>
    <row r="812" spans="1:7" s="53" customFormat="1" ht="15" thickBot="1" x14ac:dyDescent="0.4">
      <c r="A812" s="223"/>
      <c r="B812" s="88" t="s">
        <v>119</v>
      </c>
      <c r="C812" s="89" t="s">
        <v>120</v>
      </c>
      <c r="D812" s="95">
        <v>30000</v>
      </c>
      <c r="E812" s="96" t="s">
        <v>121</v>
      </c>
      <c r="F812" s="97">
        <f>F810-F811</f>
        <v>0</v>
      </c>
      <c r="G812" s="98">
        <f>F812/2500</f>
        <v>0</v>
      </c>
    </row>
    <row r="813" spans="1:7" s="53" customFormat="1" ht="15" thickTop="1" x14ac:dyDescent="0.35">
      <c r="A813" s="223"/>
      <c r="B813" s="88"/>
      <c r="C813" s="89" t="s">
        <v>122</v>
      </c>
      <c r="D813" s="90">
        <v>140000</v>
      </c>
      <c r="F813" s="94"/>
    </row>
    <row r="814" spans="1:7" s="53" customFormat="1" x14ac:dyDescent="0.35">
      <c r="A814" s="223"/>
      <c r="B814" s="88" t="s">
        <v>332</v>
      </c>
      <c r="C814" s="99" t="s">
        <v>123</v>
      </c>
      <c r="D814" s="90">
        <v>15000</v>
      </c>
      <c r="E814" s="91" t="s">
        <v>124</v>
      </c>
      <c r="F814" s="92"/>
    </row>
    <row r="815" spans="1:7" s="53" customFormat="1" x14ac:dyDescent="0.35">
      <c r="A815" s="223"/>
      <c r="B815" s="101"/>
      <c r="C815" s="99" t="s">
        <v>125</v>
      </c>
      <c r="D815" s="100">
        <v>10000</v>
      </c>
      <c r="E815" s="102"/>
      <c r="F815" s="103"/>
    </row>
    <row r="816" spans="1:7" s="53" customFormat="1" x14ac:dyDescent="0.35">
      <c r="A816" s="223"/>
      <c r="B816" s="101"/>
      <c r="C816" s="99" t="s">
        <v>126</v>
      </c>
      <c r="D816" s="100">
        <v>20000</v>
      </c>
      <c r="E816" s="102" t="s">
        <v>127</v>
      </c>
      <c r="F816" s="103"/>
    </row>
    <row r="817" spans="1:6" s="53" customFormat="1" x14ac:dyDescent="0.35">
      <c r="A817" s="223"/>
      <c r="B817" s="101"/>
      <c r="C817" s="89" t="s">
        <v>265</v>
      </c>
      <c r="D817" s="104">
        <f>1057*126</f>
        <v>133182</v>
      </c>
      <c r="E817" s="102" t="s">
        <v>584</v>
      </c>
      <c r="F817" s="103"/>
    </row>
    <row r="818" spans="1:6" s="53" customFormat="1" ht="15" thickBot="1" x14ac:dyDescent="0.4">
      <c r="A818" s="223"/>
      <c r="B818" s="105"/>
      <c r="C818" s="106"/>
      <c r="D818" s="107"/>
      <c r="F818" s="94"/>
    </row>
    <row r="819" spans="1:6" s="53" customFormat="1" ht="15" thickBot="1" x14ac:dyDescent="0.4">
      <c r="A819" s="223"/>
      <c r="B819" s="108"/>
      <c r="C819" s="109" t="s">
        <v>129</v>
      </c>
      <c r="D819" s="110">
        <f>SUM(D806:D818)</f>
        <v>8003432</v>
      </c>
      <c r="F819" s="94"/>
    </row>
    <row r="820" spans="1:6" s="53" customFormat="1" ht="15.5" thickTop="1" thickBot="1" x14ac:dyDescent="0.4">
      <c r="A820" s="224"/>
      <c r="B820" s="226"/>
      <c r="C820" s="226"/>
      <c r="D820" s="226"/>
      <c r="F820" s="94"/>
    </row>
    <row r="821" spans="1:6" s="53" customFormat="1" x14ac:dyDescent="0.35">
      <c r="B821" s="87"/>
      <c r="C821" s="53" t="s">
        <v>130</v>
      </c>
      <c r="D821" s="111">
        <f>D803-D819</f>
        <v>1996568</v>
      </c>
      <c r="F821" s="94"/>
    </row>
    <row r="822" spans="1:6" s="53" customFormat="1" x14ac:dyDescent="0.35">
      <c r="B822" s="87"/>
      <c r="D822" s="111"/>
      <c r="F822" s="94"/>
    </row>
    <row r="823" spans="1:6" s="53" customFormat="1" x14ac:dyDescent="0.35">
      <c r="A823" s="112"/>
      <c r="B823" s="113"/>
      <c r="C823" s="112"/>
      <c r="D823" s="114"/>
      <c r="E823" s="112"/>
      <c r="F823" s="178"/>
    </row>
    <row r="826" spans="1:6" s="53" customFormat="1" ht="23.5" x14ac:dyDescent="0.55000000000000004">
      <c r="B826" s="227" t="s">
        <v>0</v>
      </c>
      <c r="C826" s="227"/>
      <c r="D826" s="227"/>
      <c r="E826" s="70"/>
      <c r="F826" s="176"/>
    </row>
    <row r="827" spans="1:6" s="53" customFormat="1" ht="20.5" x14ac:dyDescent="0.45">
      <c r="B827" s="71"/>
      <c r="C827" s="72" t="s">
        <v>452</v>
      </c>
      <c r="D827" s="73"/>
      <c r="F827" s="94"/>
    </row>
    <row r="828" spans="1:6" s="53" customFormat="1" ht="21" thickBot="1" x14ac:dyDescent="0.5">
      <c r="B828" s="71" t="s">
        <v>338</v>
      </c>
      <c r="C828" s="74" t="s">
        <v>103</v>
      </c>
      <c r="D828" s="73"/>
      <c r="F828" s="94"/>
    </row>
    <row r="829" spans="1:6" s="53" customFormat="1" ht="15" thickBot="1" x14ac:dyDescent="0.4">
      <c r="A829" s="75" t="s">
        <v>104</v>
      </c>
      <c r="B829" s="76" t="s">
        <v>81</v>
      </c>
      <c r="C829" s="76" t="s">
        <v>105</v>
      </c>
      <c r="D829" s="77" t="s">
        <v>84</v>
      </c>
      <c r="F829" s="94"/>
    </row>
    <row r="830" spans="1:6" s="53" customFormat="1" ht="14.5" customHeight="1" x14ac:dyDescent="0.35">
      <c r="A830" s="222" t="s">
        <v>87</v>
      </c>
      <c r="B830" s="78" t="s">
        <v>339</v>
      </c>
      <c r="C830" s="79" t="s">
        <v>237</v>
      </c>
      <c r="D830" s="80">
        <f>F837</f>
        <v>10000000</v>
      </c>
      <c r="F830" s="94"/>
    </row>
    <row r="831" spans="1:6" s="53" customFormat="1" ht="21" thickBot="1" x14ac:dyDescent="0.5">
      <c r="A831" s="223"/>
      <c r="B831" s="71"/>
      <c r="C831" s="71"/>
      <c r="D831" s="73"/>
      <c r="F831" s="94"/>
    </row>
    <row r="832" spans="1:6" s="53" customFormat="1" ht="15" thickBot="1" x14ac:dyDescent="0.4">
      <c r="A832" s="223"/>
      <c r="B832" s="81" t="s">
        <v>81</v>
      </c>
      <c r="C832" s="82" t="s">
        <v>107</v>
      </c>
      <c r="D832" s="83" t="s">
        <v>108</v>
      </c>
      <c r="F832" s="94"/>
    </row>
    <row r="833" spans="1:7" s="87" customFormat="1" x14ac:dyDescent="0.35">
      <c r="A833" s="223"/>
      <c r="B833" s="84" t="str">
        <f>B830</f>
        <v>27th February,2025</v>
      </c>
      <c r="C833" s="85" t="s">
        <v>318</v>
      </c>
      <c r="D833" s="86">
        <f>2000*2700</f>
        <v>5400000</v>
      </c>
      <c r="F833" s="177"/>
    </row>
    <row r="834" spans="1:7" s="53" customFormat="1" x14ac:dyDescent="0.35">
      <c r="A834" s="223"/>
      <c r="B834" s="88"/>
      <c r="C834" s="89" t="s">
        <v>188</v>
      </c>
      <c r="D834" s="90">
        <f>325*2650</f>
        <v>861250</v>
      </c>
      <c r="F834" s="94"/>
    </row>
    <row r="835" spans="1:7" s="53" customFormat="1" x14ac:dyDescent="0.35">
      <c r="A835" s="223"/>
      <c r="B835" s="88" t="s">
        <v>109</v>
      </c>
      <c r="C835" s="89" t="s">
        <v>110</v>
      </c>
      <c r="D835" s="90">
        <v>1000000</v>
      </c>
      <c r="F835" s="94"/>
    </row>
    <row r="836" spans="1:7" s="53" customFormat="1" x14ac:dyDescent="0.35">
      <c r="A836" s="223"/>
      <c r="B836" s="88" t="s">
        <v>111</v>
      </c>
      <c r="C836" s="89" t="s">
        <v>112</v>
      </c>
      <c r="D836" s="90">
        <v>40000</v>
      </c>
      <c r="E836" s="225" t="s">
        <v>113</v>
      </c>
      <c r="F836" s="225"/>
    </row>
    <row r="837" spans="1:7" s="53" customFormat="1" x14ac:dyDescent="0.35">
      <c r="A837" s="223"/>
      <c r="B837" s="88" t="s">
        <v>206</v>
      </c>
      <c r="C837" s="89" t="s">
        <v>115</v>
      </c>
      <c r="D837" s="90">
        <f>500*120</f>
        <v>60000</v>
      </c>
      <c r="E837" s="91" t="s">
        <v>116</v>
      </c>
      <c r="F837" s="92">
        <f>4000*2500</f>
        <v>10000000</v>
      </c>
    </row>
    <row r="838" spans="1:7" s="53" customFormat="1" x14ac:dyDescent="0.35">
      <c r="A838" s="223"/>
      <c r="B838" s="88"/>
      <c r="C838" s="89" t="s">
        <v>117</v>
      </c>
      <c r="D838" s="90">
        <f>2000*120</f>
        <v>240000</v>
      </c>
      <c r="E838" s="93" t="s">
        <v>118</v>
      </c>
      <c r="F838" s="94">
        <f>(4000*2500)</f>
        <v>10000000</v>
      </c>
    </row>
    <row r="839" spans="1:7" s="53" customFormat="1" ht="15" thickBot="1" x14ac:dyDescent="0.4">
      <c r="A839" s="223"/>
      <c r="B839" s="88" t="s">
        <v>119</v>
      </c>
      <c r="C839" s="89" t="s">
        <v>120</v>
      </c>
      <c r="D839" s="95">
        <v>30000</v>
      </c>
      <c r="E839" s="96" t="s">
        <v>121</v>
      </c>
      <c r="F839" s="97">
        <f>F837-F838</f>
        <v>0</v>
      </c>
      <c r="G839" s="98">
        <f>F839/2500</f>
        <v>0</v>
      </c>
    </row>
    <row r="840" spans="1:7" s="53" customFormat="1" ht="15" thickTop="1" x14ac:dyDescent="0.35">
      <c r="A840" s="223"/>
      <c r="B840" s="88"/>
      <c r="C840" s="89" t="s">
        <v>122</v>
      </c>
      <c r="D840" s="90">
        <v>140000</v>
      </c>
      <c r="F840" s="94"/>
    </row>
    <row r="841" spans="1:7" s="53" customFormat="1" x14ac:dyDescent="0.35">
      <c r="A841" s="223"/>
      <c r="B841" s="88" t="s">
        <v>337</v>
      </c>
      <c r="C841" s="99" t="s">
        <v>123</v>
      </c>
      <c r="D841" s="90">
        <v>15000</v>
      </c>
      <c r="E841" s="91" t="s">
        <v>124</v>
      </c>
      <c r="F841" s="92"/>
    </row>
    <row r="842" spans="1:7" s="53" customFormat="1" x14ac:dyDescent="0.35">
      <c r="A842" s="223"/>
      <c r="B842" s="101"/>
      <c r="C842" s="99" t="s">
        <v>125</v>
      </c>
      <c r="D842" s="100">
        <v>10000</v>
      </c>
      <c r="E842" s="102"/>
      <c r="F842" s="103"/>
    </row>
    <row r="843" spans="1:7" s="53" customFormat="1" x14ac:dyDescent="0.35">
      <c r="A843" s="223"/>
      <c r="B843" s="101"/>
      <c r="C843" s="99" t="s">
        <v>126</v>
      </c>
      <c r="D843" s="100">
        <v>40000</v>
      </c>
      <c r="E843" s="102" t="s">
        <v>127</v>
      </c>
      <c r="F843" s="103"/>
    </row>
    <row r="844" spans="1:7" s="53" customFormat="1" x14ac:dyDescent="0.35">
      <c r="A844" s="223"/>
      <c r="B844" s="101"/>
      <c r="C844" s="89"/>
      <c r="D844" s="104"/>
      <c r="E844" s="102" t="s">
        <v>520</v>
      </c>
      <c r="F844" s="103"/>
    </row>
    <row r="845" spans="1:7" s="53" customFormat="1" ht="15" thickBot="1" x14ac:dyDescent="0.4">
      <c r="A845" s="223"/>
      <c r="B845" s="105"/>
      <c r="C845" s="106"/>
      <c r="D845" s="107"/>
      <c r="F845" s="94"/>
    </row>
    <row r="846" spans="1:7" s="53" customFormat="1" ht="15" thickBot="1" x14ac:dyDescent="0.4">
      <c r="A846" s="223"/>
      <c r="B846" s="108"/>
      <c r="C846" s="109" t="s">
        <v>129</v>
      </c>
      <c r="D846" s="110">
        <f>SUM(D833:D845)</f>
        <v>7836250</v>
      </c>
      <c r="F846" s="94"/>
    </row>
    <row r="847" spans="1:7" s="53" customFormat="1" ht="15.5" thickTop="1" thickBot="1" x14ac:dyDescent="0.4">
      <c r="A847" s="224"/>
      <c r="B847" s="226"/>
      <c r="C847" s="226"/>
      <c r="D847" s="226"/>
      <c r="F847" s="94"/>
    </row>
    <row r="848" spans="1:7" s="53" customFormat="1" x14ac:dyDescent="0.35">
      <c r="B848" s="87"/>
      <c r="C848" s="53" t="s">
        <v>130</v>
      </c>
      <c r="D848" s="111">
        <f>D830-D846</f>
        <v>2163750</v>
      </c>
      <c r="F848" s="94"/>
    </row>
    <row r="849" spans="1:6" s="53" customFormat="1" x14ac:dyDescent="0.35">
      <c r="B849" s="87"/>
      <c r="D849" s="111"/>
      <c r="F849" s="94"/>
    </row>
    <row r="850" spans="1:6" s="53" customFormat="1" x14ac:dyDescent="0.35">
      <c r="A850" s="112"/>
      <c r="B850" s="113"/>
      <c r="C850" s="112"/>
      <c r="D850" s="114"/>
      <c r="E850" s="112"/>
      <c r="F850" s="178"/>
    </row>
    <row r="853" spans="1:6" s="53" customFormat="1" ht="23.5" x14ac:dyDescent="0.55000000000000004">
      <c r="B853" s="227" t="s">
        <v>0</v>
      </c>
      <c r="C853" s="227"/>
      <c r="D853" s="227"/>
      <c r="E853" s="70"/>
      <c r="F853" s="176"/>
    </row>
    <row r="854" spans="1:6" s="53" customFormat="1" ht="20.5" x14ac:dyDescent="0.45">
      <c r="B854" s="71"/>
      <c r="C854" s="72" t="s">
        <v>356</v>
      </c>
      <c r="D854" s="73"/>
      <c r="F854" s="94"/>
    </row>
    <row r="855" spans="1:6" s="53" customFormat="1" ht="21" thickBot="1" x14ac:dyDescent="0.5">
      <c r="B855" s="71" t="s">
        <v>239</v>
      </c>
      <c r="C855" s="74" t="s">
        <v>103</v>
      </c>
      <c r="D855" s="73"/>
      <c r="F855" s="94"/>
    </row>
    <row r="856" spans="1:6" s="53" customFormat="1" ht="15" thickBot="1" x14ac:dyDescent="0.4">
      <c r="A856" s="75" t="s">
        <v>104</v>
      </c>
      <c r="B856" s="76" t="s">
        <v>81</v>
      </c>
      <c r="C856" s="76" t="s">
        <v>105</v>
      </c>
      <c r="D856" s="77" t="s">
        <v>84</v>
      </c>
      <c r="F856" s="94"/>
    </row>
    <row r="857" spans="1:6" s="53" customFormat="1" ht="14.5" customHeight="1" x14ac:dyDescent="0.35">
      <c r="A857" s="222" t="s">
        <v>88</v>
      </c>
      <c r="B857" s="78" t="s">
        <v>357</v>
      </c>
      <c r="C857" s="79" t="s">
        <v>106</v>
      </c>
      <c r="D857" s="80">
        <f>F864</f>
        <v>10520000</v>
      </c>
      <c r="F857" s="94"/>
    </row>
    <row r="858" spans="1:6" s="53" customFormat="1" ht="21" thickBot="1" x14ac:dyDescent="0.5">
      <c r="A858" s="223"/>
      <c r="B858" s="71"/>
      <c r="C858" s="71"/>
      <c r="D858" s="73"/>
      <c r="F858" s="94"/>
    </row>
    <row r="859" spans="1:6" s="53" customFormat="1" ht="15" thickBot="1" x14ac:dyDescent="0.4">
      <c r="A859" s="223"/>
      <c r="B859" s="81" t="s">
        <v>81</v>
      </c>
      <c r="C859" s="82" t="s">
        <v>107</v>
      </c>
      <c r="D859" s="83" t="s">
        <v>108</v>
      </c>
      <c r="F859" s="94"/>
    </row>
    <row r="860" spans="1:6" s="87" customFormat="1" x14ac:dyDescent="0.35">
      <c r="A860" s="223"/>
      <c r="B860" s="84" t="str">
        <f>B857</f>
        <v>06th March,2025</v>
      </c>
      <c r="C860" s="85" t="s">
        <v>318</v>
      </c>
      <c r="D860" s="86">
        <f>2000*2700</f>
        <v>5400000</v>
      </c>
      <c r="F860" s="177"/>
    </row>
    <row r="861" spans="1:6" s="53" customFormat="1" x14ac:dyDescent="0.35">
      <c r="A861" s="223"/>
      <c r="B861" s="88"/>
      <c r="C861" s="89" t="s">
        <v>210</v>
      </c>
      <c r="D861" s="90">
        <f>319*2650</f>
        <v>845350</v>
      </c>
      <c r="F861" s="94"/>
    </row>
    <row r="862" spans="1:6" s="53" customFormat="1" x14ac:dyDescent="0.35">
      <c r="A862" s="223"/>
      <c r="B862" s="88" t="s">
        <v>109</v>
      </c>
      <c r="C862" s="89" t="s">
        <v>110</v>
      </c>
      <c r="D862" s="90">
        <v>1000000</v>
      </c>
      <c r="F862" s="94"/>
    </row>
    <row r="863" spans="1:6" s="53" customFormat="1" x14ac:dyDescent="0.35">
      <c r="A863" s="223"/>
      <c r="B863" s="88" t="s">
        <v>111</v>
      </c>
      <c r="C863" s="89" t="s">
        <v>112</v>
      </c>
      <c r="D863" s="90">
        <v>40000</v>
      </c>
      <c r="E863" s="225" t="s">
        <v>113</v>
      </c>
      <c r="F863" s="225"/>
    </row>
    <row r="864" spans="1:6" s="53" customFormat="1" x14ac:dyDescent="0.35">
      <c r="A864" s="223"/>
      <c r="B864" s="88" t="s">
        <v>206</v>
      </c>
      <c r="C864" s="89" t="s">
        <v>115</v>
      </c>
      <c r="D864" s="90">
        <f>450*120</f>
        <v>54000</v>
      </c>
      <c r="E864" s="91" t="s">
        <v>116</v>
      </c>
      <c r="F864" s="92">
        <f>4000*2630</f>
        <v>10520000</v>
      </c>
    </row>
    <row r="865" spans="1:7" s="53" customFormat="1" x14ac:dyDescent="0.35">
      <c r="A865" s="223"/>
      <c r="B865" s="88"/>
      <c r="C865" s="89" t="s">
        <v>117</v>
      </c>
      <c r="D865" s="90">
        <f>2500*120</f>
        <v>300000</v>
      </c>
      <c r="E865" s="93" t="s">
        <v>118</v>
      </c>
      <c r="F865" s="94">
        <f>(2400*2630)+(1600*2630)</f>
        <v>10520000</v>
      </c>
    </row>
    <row r="866" spans="1:7" s="53" customFormat="1" ht="15" thickBot="1" x14ac:dyDescent="0.4">
      <c r="A866" s="223"/>
      <c r="B866" s="88" t="s">
        <v>119</v>
      </c>
      <c r="C866" s="89" t="s">
        <v>120</v>
      </c>
      <c r="D866" s="90">
        <v>30000</v>
      </c>
      <c r="E866" s="96" t="s">
        <v>121</v>
      </c>
      <c r="F866" s="97">
        <f>F864-F865</f>
        <v>0</v>
      </c>
      <c r="G866" s="98">
        <f>F866/2630</f>
        <v>0</v>
      </c>
    </row>
    <row r="867" spans="1:7" s="53" customFormat="1" ht="15" thickTop="1" x14ac:dyDescent="0.35">
      <c r="A867" s="223"/>
      <c r="B867" s="88"/>
      <c r="C867" s="89" t="s">
        <v>265</v>
      </c>
      <c r="D867" s="90">
        <f>215*128</f>
        <v>27520</v>
      </c>
      <c r="F867" s="94"/>
    </row>
    <row r="868" spans="1:7" s="53" customFormat="1" x14ac:dyDescent="0.35">
      <c r="A868" s="223"/>
      <c r="B868" s="88" t="s">
        <v>355</v>
      </c>
      <c r="C868" s="99" t="s">
        <v>123</v>
      </c>
      <c r="D868" s="100">
        <v>15000</v>
      </c>
      <c r="E868" s="91" t="s">
        <v>124</v>
      </c>
      <c r="F868" s="92"/>
    </row>
    <row r="869" spans="1:7" s="53" customFormat="1" x14ac:dyDescent="0.35">
      <c r="A869" s="223"/>
      <c r="B869" s="101"/>
      <c r="C869" s="99" t="s">
        <v>126</v>
      </c>
      <c r="D869" s="100">
        <v>35000</v>
      </c>
      <c r="E869" s="102"/>
      <c r="F869" s="103"/>
    </row>
    <row r="870" spans="1:7" s="53" customFormat="1" x14ac:dyDescent="0.35">
      <c r="A870" s="223"/>
      <c r="B870" s="101"/>
      <c r="C870" s="89" t="s">
        <v>122</v>
      </c>
      <c r="D870" s="90">
        <v>0</v>
      </c>
      <c r="E870" s="102" t="s">
        <v>127</v>
      </c>
      <c r="F870" s="103"/>
    </row>
    <row r="871" spans="1:7" s="53" customFormat="1" x14ac:dyDescent="0.35">
      <c r="A871" s="223"/>
      <c r="B871" s="101"/>
      <c r="C871" s="89"/>
      <c r="D871" s="90"/>
      <c r="E871" s="102" t="s">
        <v>427</v>
      </c>
      <c r="F871" s="103"/>
    </row>
    <row r="872" spans="1:7" s="53" customFormat="1" ht="15" thickBot="1" x14ac:dyDescent="0.4">
      <c r="A872" s="223"/>
      <c r="B872" s="105"/>
      <c r="C872" s="106"/>
      <c r="D872" s="107"/>
      <c r="E872" s="53" t="s">
        <v>587</v>
      </c>
      <c r="F872" s="94"/>
    </row>
    <row r="873" spans="1:7" s="53" customFormat="1" ht="15" thickBot="1" x14ac:dyDescent="0.4">
      <c r="A873" s="223"/>
      <c r="B873" s="108"/>
      <c r="C873" s="109" t="s">
        <v>129</v>
      </c>
      <c r="D873" s="110">
        <f>SUM(D860:D872)</f>
        <v>7746870</v>
      </c>
      <c r="F873" s="94"/>
    </row>
    <row r="874" spans="1:7" s="53" customFormat="1" ht="15.5" thickTop="1" thickBot="1" x14ac:dyDescent="0.4">
      <c r="A874" s="224"/>
      <c r="B874" s="226"/>
      <c r="C874" s="226"/>
      <c r="D874" s="226"/>
      <c r="F874" s="94"/>
    </row>
    <row r="875" spans="1:7" s="53" customFormat="1" x14ac:dyDescent="0.35">
      <c r="B875" s="87"/>
      <c r="C875" s="53" t="s">
        <v>130</v>
      </c>
      <c r="D875" s="111">
        <f>D857-D873</f>
        <v>2773130</v>
      </c>
      <c r="F875" s="94"/>
    </row>
    <row r="876" spans="1:7" s="53" customFormat="1" x14ac:dyDescent="0.35">
      <c r="B876" s="87"/>
      <c r="D876" s="111"/>
      <c r="F876" s="94"/>
    </row>
    <row r="877" spans="1:7" s="53" customFormat="1" x14ac:dyDescent="0.35">
      <c r="A877" s="112"/>
      <c r="B877" s="113"/>
      <c r="C877" s="112"/>
      <c r="D877" s="114"/>
      <c r="E877" s="112"/>
      <c r="F877" s="178"/>
    </row>
    <row r="880" spans="1:7" s="53" customFormat="1" ht="23.5" x14ac:dyDescent="0.55000000000000004">
      <c r="B880" s="227" t="s">
        <v>0</v>
      </c>
      <c r="C880" s="227"/>
      <c r="D880" s="227"/>
      <c r="E880" s="70"/>
      <c r="F880" s="176"/>
    </row>
    <row r="881" spans="1:7" s="53" customFormat="1" ht="20.5" x14ac:dyDescent="0.45">
      <c r="B881" s="71"/>
      <c r="C881" s="72" t="s">
        <v>359</v>
      </c>
      <c r="D881" s="73"/>
      <c r="F881" s="94"/>
    </row>
    <row r="882" spans="1:7" s="53" customFormat="1" ht="21" thickBot="1" x14ac:dyDescent="0.5">
      <c r="B882" s="71" t="s">
        <v>163</v>
      </c>
      <c r="C882" s="74" t="s">
        <v>103</v>
      </c>
      <c r="D882" s="73"/>
      <c r="F882" s="94"/>
    </row>
    <row r="883" spans="1:7" s="53" customFormat="1" ht="15" thickBot="1" x14ac:dyDescent="0.4">
      <c r="A883" s="75" t="s">
        <v>104</v>
      </c>
      <c r="B883" s="76" t="s">
        <v>81</v>
      </c>
      <c r="C883" s="76" t="s">
        <v>105</v>
      </c>
      <c r="D883" s="77" t="s">
        <v>84</v>
      </c>
      <c r="F883" s="94"/>
    </row>
    <row r="884" spans="1:7" s="53" customFormat="1" ht="14.5" customHeight="1" x14ac:dyDescent="0.35">
      <c r="A884" s="222" t="s">
        <v>88</v>
      </c>
      <c r="B884" s="78" t="s">
        <v>357</v>
      </c>
      <c r="C884" s="79" t="s">
        <v>106</v>
      </c>
      <c r="D884" s="80">
        <f>F891</f>
        <v>10520000</v>
      </c>
      <c r="F884" s="94"/>
    </row>
    <row r="885" spans="1:7" s="53" customFormat="1" ht="21" thickBot="1" x14ac:dyDescent="0.5">
      <c r="A885" s="223"/>
      <c r="B885" s="71"/>
      <c r="C885" s="71"/>
      <c r="D885" s="73"/>
      <c r="F885" s="94"/>
    </row>
    <row r="886" spans="1:7" s="53" customFormat="1" ht="15" thickBot="1" x14ac:dyDescent="0.4">
      <c r="A886" s="223"/>
      <c r="B886" s="81" t="s">
        <v>81</v>
      </c>
      <c r="C886" s="82" t="s">
        <v>107</v>
      </c>
      <c r="D886" s="83" t="s">
        <v>108</v>
      </c>
      <c r="F886" s="94"/>
    </row>
    <row r="887" spans="1:7" s="87" customFormat="1" x14ac:dyDescent="0.35">
      <c r="A887" s="223"/>
      <c r="B887" s="84" t="str">
        <f>B884</f>
        <v>06th March,2025</v>
      </c>
      <c r="C887" s="85" t="s">
        <v>318</v>
      </c>
      <c r="D887" s="86">
        <f>2000*2700</f>
        <v>5400000</v>
      </c>
      <c r="F887" s="177"/>
    </row>
    <row r="888" spans="1:7" s="53" customFormat="1" x14ac:dyDescent="0.35">
      <c r="A888" s="223"/>
      <c r="B888" s="88"/>
      <c r="C888" s="89" t="s">
        <v>210</v>
      </c>
      <c r="D888" s="90">
        <f>319*2650</f>
        <v>845350</v>
      </c>
      <c r="F888" s="94"/>
    </row>
    <row r="889" spans="1:7" s="53" customFormat="1" x14ac:dyDescent="0.35">
      <c r="A889" s="223"/>
      <c r="B889" s="88" t="s">
        <v>109</v>
      </c>
      <c r="C889" s="89" t="s">
        <v>110</v>
      </c>
      <c r="D889" s="90">
        <v>1000000</v>
      </c>
      <c r="F889" s="94"/>
    </row>
    <row r="890" spans="1:7" s="53" customFormat="1" x14ac:dyDescent="0.35">
      <c r="A890" s="223"/>
      <c r="B890" s="88" t="s">
        <v>111</v>
      </c>
      <c r="C890" s="89" t="s">
        <v>112</v>
      </c>
      <c r="D890" s="90">
        <v>40000</v>
      </c>
      <c r="E890" s="225" t="s">
        <v>113</v>
      </c>
      <c r="F890" s="225"/>
    </row>
    <row r="891" spans="1:7" s="53" customFormat="1" x14ac:dyDescent="0.35">
      <c r="A891" s="223"/>
      <c r="B891" s="88" t="s">
        <v>206</v>
      </c>
      <c r="C891" s="89" t="s">
        <v>115</v>
      </c>
      <c r="D891" s="90">
        <f>450*120</f>
        <v>54000</v>
      </c>
      <c r="E891" s="91" t="s">
        <v>116</v>
      </c>
      <c r="F891" s="92">
        <f>4000*2630</f>
        <v>10520000</v>
      </c>
    </row>
    <row r="892" spans="1:7" s="53" customFormat="1" x14ac:dyDescent="0.35">
      <c r="A892" s="223"/>
      <c r="B892" s="88"/>
      <c r="C892" s="89" t="s">
        <v>117</v>
      </c>
      <c r="D892" s="90">
        <f>2500*120</f>
        <v>300000</v>
      </c>
      <c r="E892" s="93" t="s">
        <v>118</v>
      </c>
      <c r="F892" s="94">
        <f>(2400*2630)+(1600*2630)</f>
        <v>10520000</v>
      </c>
    </row>
    <row r="893" spans="1:7" s="53" customFormat="1" ht="15" thickBot="1" x14ac:dyDescent="0.4">
      <c r="A893" s="223"/>
      <c r="B893" s="88" t="s">
        <v>119</v>
      </c>
      <c r="C893" s="89" t="s">
        <v>120</v>
      </c>
      <c r="D893" s="90">
        <v>30000</v>
      </c>
      <c r="E893" s="96" t="s">
        <v>121</v>
      </c>
      <c r="F893" s="97">
        <f>F891-F892</f>
        <v>0</v>
      </c>
      <c r="G893" s="98">
        <f>F893/2630</f>
        <v>0</v>
      </c>
    </row>
    <row r="894" spans="1:7" s="53" customFormat="1" ht="15" thickTop="1" x14ac:dyDescent="0.35">
      <c r="A894" s="223"/>
      <c r="B894" s="88"/>
      <c r="C894" s="89" t="s">
        <v>265</v>
      </c>
      <c r="D894" s="90">
        <f>215*128</f>
        <v>27520</v>
      </c>
      <c r="F894" s="94"/>
    </row>
    <row r="895" spans="1:7" s="53" customFormat="1" x14ac:dyDescent="0.35">
      <c r="A895" s="223"/>
      <c r="B895" s="88" t="s">
        <v>358</v>
      </c>
      <c r="C895" s="99" t="s">
        <v>123</v>
      </c>
      <c r="D895" s="100">
        <v>15000</v>
      </c>
      <c r="E895" s="91" t="s">
        <v>124</v>
      </c>
      <c r="F895" s="92"/>
    </row>
    <row r="896" spans="1:7" s="53" customFormat="1" x14ac:dyDescent="0.35">
      <c r="A896" s="223"/>
      <c r="B896" s="101"/>
      <c r="C896" s="99" t="s">
        <v>126</v>
      </c>
      <c r="D896" s="100">
        <v>35000</v>
      </c>
      <c r="E896" s="102"/>
      <c r="F896" s="103"/>
    </row>
    <row r="897" spans="1:6" s="53" customFormat="1" x14ac:dyDescent="0.35">
      <c r="A897" s="223"/>
      <c r="B897" s="101"/>
      <c r="C897" s="89" t="s">
        <v>122</v>
      </c>
      <c r="D897" s="90">
        <v>75000</v>
      </c>
      <c r="E897" s="102" t="s">
        <v>127</v>
      </c>
      <c r="F897" s="103"/>
    </row>
    <row r="898" spans="1:6" s="53" customFormat="1" x14ac:dyDescent="0.35">
      <c r="A898" s="223"/>
      <c r="B898" s="101"/>
      <c r="C898" s="89"/>
      <c r="D898" s="90"/>
      <c r="E898" s="102" t="s">
        <v>427</v>
      </c>
      <c r="F898" s="103"/>
    </row>
    <row r="899" spans="1:6" s="53" customFormat="1" ht="15" thickBot="1" x14ac:dyDescent="0.4">
      <c r="A899" s="223"/>
      <c r="B899" s="105"/>
      <c r="C899" s="106"/>
      <c r="D899" s="107"/>
      <c r="E899" s="53" t="s">
        <v>484</v>
      </c>
      <c r="F899" s="94"/>
    </row>
    <row r="900" spans="1:6" s="53" customFormat="1" ht="15" thickBot="1" x14ac:dyDescent="0.4">
      <c r="A900" s="223"/>
      <c r="B900" s="108"/>
      <c r="C900" s="109" t="s">
        <v>129</v>
      </c>
      <c r="D900" s="110">
        <f>SUM(D887:D899)</f>
        <v>7821870</v>
      </c>
      <c r="F900" s="94"/>
    </row>
    <row r="901" spans="1:6" s="53" customFormat="1" ht="15.5" thickTop="1" thickBot="1" x14ac:dyDescent="0.4">
      <c r="A901" s="224"/>
      <c r="B901" s="226"/>
      <c r="C901" s="226"/>
      <c r="D901" s="226"/>
      <c r="F901" s="94"/>
    </row>
    <row r="902" spans="1:6" s="53" customFormat="1" x14ac:dyDescent="0.35">
      <c r="B902" s="87"/>
      <c r="C902" s="53" t="s">
        <v>130</v>
      </c>
      <c r="D902" s="111">
        <f>D884-D900</f>
        <v>2698130</v>
      </c>
      <c r="F902" s="94"/>
    </row>
    <row r="903" spans="1:6" s="53" customFormat="1" x14ac:dyDescent="0.35">
      <c r="B903" s="87"/>
      <c r="D903" s="111"/>
      <c r="F903" s="94"/>
    </row>
    <row r="904" spans="1:6" s="53" customFormat="1" x14ac:dyDescent="0.35">
      <c r="A904" s="112"/>
      <c r="B904" s="113"/>
      <c r="C904" s="112"/>
      <c r="D904" s="114"/>
      <c r="E904" s="112"/>
      <c r="F904" s="178"/>
    </row>
    <row r="907" spans="1:6" s="53" customFormat="1" ht="23.5" x14ac:dyDescent="0.55000000000000004">
      <c r="B907" s="227" t="s">
        <v>0</v>
      </c>
      <c r="C907" s="227"/>
      <c r="D907" s="227"/>
      <c r="E907" s="70"/>
      <c r="F907" s="176"/>
    </row>
    <row r="908" spans="1:6" s="53" customFormat="1" ht="20.5" x14ac:dyDescent="0.45">
      <c r="B908" s="71"/>
      <c r="C908" s="72" t="s">
        <v>361</v>
      </c>
      <c r="D908" s="73"/>
      <c r="F908" s="94"/>
    </row>
    <row r="909" spans="1:6" s="53" customFormat="1" ht="21" thickBot="1" x14ac:dyDescent="0.5">
      <c r="B909" s="71" t="s">
        <v>167</v>
      </c>
      <c r="C909" s="74" t="s">
        <v>103</v>
      </c>
      <c r="D909" s="73"/>
      <c r="F909" s="94"/>
    </row>
    <row r="910" spans="1:6" s="53" customFormat="1" ht="15" thickBot="1" x14ac:dyDescent="0.4">
      <c r="A910" s="75" t="s">
        <v>104</v>
      </c>
      <c r="B910" s="76" t="s">
        <v>81</v>
      </c>
      <c r="C910" s="76" t="s">
        <v>105</v>
      </c>
      <c r="D910" s="77" t="s">
        <v>84</v>
      </c>
      <c r="F910" s="94"/>
    </row>
    <row r="911" spans="1:6" s="53" customFormat="1" ht="14.5" customHeight="1" x14ac:dyDescent="0.35">
      <c r="A911" s="222" t="s">
        <v>88</v>
      </c>
      <c r="B911" s="78" t="s">
        <v>357</v>
      </c>
      <c r="C911" s="79" t="s">
        <v>106</v>
      </c>
      <c r="D911" s="80">
        <f>F918</f>
        <v>15254000</v>
      </c>
      <c r="F911" s="94"/>
    </row>
    <row r="912" spans="1:6" s="53" customFormat="1" ht="21" thickBot="1" x14ac:dyDescent="0.5">
      <c r="A912" s="223"/>
      <c r="B912" s="71"/>
      <c r="C912" s="71"/>
      <c r="D912" s="73"/>
      <c r="F912" s="94"/>
    </row>
    <row r="913" spans="1:7" s="53" customFormat="1" ht="15" thickBot="1" x14ac:dyDescent="0.4">
      <c r="A913" s="223"/>
      <c r="B913" s="81" t="s">
        <v>81</v>
      </c>
      <c r="C913" s="82" t="s">
        <v>107</v>
      </c>
      <c r="D913" s="83" t="s">
        <v>108</v>
      </c>
      <c r="F913" s="94"/>
    </row>
    <row r="914" spans="1:7" s="87" customFormat="1" x14ac:dyDescent="0.35">
      <c r="A914" s="223"/>
      <c r="B914" s="84" t="str">
        <f>B911</f>
        <v>06th March,2025</v>
      </c>
      <c r="C914" s="85" t="s">
        <v>318</v>
      </c>
      <c r="D914" s="86">
        <f>2000*2700</f>
        <v>5400000</v>
      </c>
      <c r="F914" s="177"/>
    </row>
    <row r="915" spans="1:7" s="53" customFormat="1" x14ac:dyDescent="0.35">
      <c r="A915" s="223"/>
      <c r="B915" s="88"/>
      <c r="C915" s="89" t="s">
        <v>159</v>
      </c>
      <c r="D915" s="90">
        <f>299*2650</f>
        <v>792350</v>
      </c>
      <c r="F915" s="94"/>
    </row>
    <row r="916" spans="1:7" s="53" customFormat="1" x14ac:dyDescent="0.35">
      <c r="A916" s="223"/>
      <c r="B916" s="88" t="s">
        <v>109</v>
      </c>
      <c r="C916" s="89" t="s">
        <v>110</v>
      </c>
      <c r="D916" s="90">
        <v>1000000</v>
      </c>
      <c r="F916" s="94"/>
    </row>
    <row r="917" spans="1:7" s="53" customFormat="1" x14ac:dyDescent="0.35">
      <c r="A917" s="223"/>
      <c r="B917" s="88" t="s">
        <v>111</v>
      </c>
      <c r="C917" s="89" t="s">
        <v>112</v>
      </c>
      <c r="D917" s="90">
        <v>40000</v>
      </c>
      <c r="E917" s="225" t="s">
        <v>113</v>
      </c>
      <c r="F917" s="225"/>
    </row>
    <row r="918" spans="1:7" s="53" customFormat="1" x14ac:dyDescent="0.35">
      <c r="A918" s="223"/>
      <c r="B918" s="88" t="s">
        <v>114</v>
      </c>
      <c r="C918" s="89" t="s">
        <v>115</v>
      </c>
      <c r="D918" s="90">
        <f>850*120</f>
        <v>102000</v>
      </c>
      <c r="E918" s="91" t="s">
        <v>116</v>
      </c>
      <c r="F918" s="92">
        <f>(4000*2630)+(1800*2630)</f>
        <v>15254000</v>
      </c>
    </row>
    <row r="919" spans="1:7" s="53" customFormat="1" x14ac:dyDescent="0.35">
      <c r="A919" s="223"/>
      <c r="B919" s="88"/>
      <c r="C919" s="89" t="s">
        <v>117</v>
      </c>
      <c r="D919" s="90">
        <f>1500*120</f>
        <v>180000</v>
      </c>
      <c r="E919" s="93" t="s">
        <v>118</v>
      </c>
      <c r="F919" s="94">
        <f>(2400*2630)+(1800*2630)+(1600*2630)</f>
        <v>15254000</v>
      </c>
    </row>
    <row r="920" spans="1:7" s="53" customFormat="1" ht="15" thickBot="1" x14ac:dyDescent="0.4">
      <c r="A920" s="223"/>
      <c r="B920" s="88" t="s">
        <v>119</v>
      </c>
      <c r="C920" s="89" t="s">
        <v>120</v>
      </c>
      <c r="D920" s="95">
        <v>30000</v>
      </c>
      <c r="E920" s="96" t="s">
        <v>121</v>
      </c>
      <c r="F920" s="97">
        <f>F918-F919</f>
        <v>0</v>
      </c>
      <c r="G920" s="98">
        <f>F920/2630</f>
        <v>0</v>
      </c>
    </row>
    <row r="921" spans="1:7" s="53" customFormat="1" ht="15" thickTop="1" x14ac:dyDescent="0.35">
      <c r="A921" s="223"/>
      <c r="B921" s="88"/>
      <c r="C921" s="89" t="s">
        <v>126</v>
      </c>
      <c r="D921" s="95">
        <v>40000</v>
      </c>
      <c r="F921" s="94"/>
    </row>
    <row r="922" spans="1:7" s="53" customFormat="1" x14ac:dyDescent="0.35">
      <c r="A922" s="223"/>
      <c r="B922" s="88" t="s">
        <v>360</v>
      </c>
      <c r="C922" s="99" t="s">
        <v>123</v>
      </c>
      <c r="D922" s="90">
        <v>15000</v>
      </c>
      <c r="E922" s="91" t="s">
        <v>124</v>
      </c>
      <c r="F922" s="92"/>
    </row>
    <row r="923" spans="1:7" s="53" customFormat="1" x14ac:dyDescent="0.35">
      <c r="A923" s="223"/>
      <c r="B923" s="101"/>
      <c r="C923" s="99" t="s">
        <v>125</v>
      </c>
      <c r="D923" s="100">
        <v>10000</v>
      </c>
      <c r="E923" s="102"/>
      <c r="F923" s="103"/>
    </row>
    <row r="924" spans="1:7" s="53" customFormat="1" x14ac:dyDescent="0.35">
      <c r="A924" s="223"/>
      <c r="B924" s="101"/>
      <c r="C924" s="89" t="s">
        <v>122</v>
      </c>
      <c r="D924" s="100">
        <v>140000</v>
      </c>
      <c r="E924" s="102" t="s">
        <v>127</v>
      </c>
      <c r="F924" s="103"/>
    </row>
    <row r="925" spans="1:7" s="53" customFormat="1" x14ac:dyDescent="0.35">
      <c r="A925" s="223"/>
      <c r="B925" s="101"/>
      <c r="C925" s="89"/>
      <c r="D925" s="90"/>
      <c r="E925" s="102" t="s">
        <v>427</v>
      </c>
      <c r="F925" s="103"/>
    </row>
    <row r="926" spans="1:7" s="53" customFormat="1" ht="15" thickBot="1" x14ac:dyDescent="0.4">
      <c r="A926" s="223"/>
      <c r="B926" s="105"/>
      <c r="C926" s="106"/>
      <c r="D926" s="107"/>
      <c r="E926" s="53" t="s">
        <v>834</v>
      </c>
      <c r="F926" s="94"/>
    </row>
    <row r="927" spans="1:7" s="53" customFormat="1" ht="15" thickBot="1" x14ac:dyDescent="0.4">
      <c r="A927" s="223"/>
      <c r="B927" s="108"/>
      <c r="C927" s="109" t="s">
        <v>129</v>
      </c>
      <c r="D927" s="110">
        <f>SUM(D914:D926)</f>
        <v>7749350</v>
      </c>
      <c r="F927" s="94"/>
    </row>
    <row r="928" spans="1:7" s="53" customFormat="1" ht="15.5" thickTop="1" thickBot="1" x14ac:dyDescent="0.4">
      <c r="A928" s="224"/>
      <c r="B928" s="226"/>
      <c r="C928" s="226"/>
      <c r="D928" s="226"/>
      <c r="F928" s="94"/>
    </row>
    <row r="929" spans="1:6" s="53" customFormat="1" x14ac:dyDescent="0.35">
      <c r="B929" s="87"/>
      <c r="C929" s="53" t="s">
        <v>130</v>
      </c>
      <c r="D929" s="111">
        <f>D911-D927</f>
        <v>7504650</v>
      </c>
      <c r="F929" s="94"/>
    </row>
    <row r="930" spans="1:6" s="53" customFormat="1" x14ac:dyDescent="0.35">
      <c r="B930" s="87"/>
      <c r="D930" s="111"/>
      <c r="F930" s="94"/>
    </row>
    <row r="931" spans="1:6" s="53" customFormat="1" x14ac:dyDescent="0.35">
      <c r="A931" s="112"/>
      <c r="B931" s="113"/>
      <c r="C931" s="112"/>
      <c r="D931" s="114"/>
      <c r="E931" s="112"/>
      <c r="F931" s="178"/>
    </row>
    <row r="934" spans="1:6" s="53" customFormat="1" ht="23.5" x14ac:dyDescent="0.55000000000000004">
      <c r="B934" s="227" t="s">
        <v>0</v>
      </c>
      <c r="C934" s="227"/>
      <c r="D934" s="227"/>
      <c r="E934" s="70"/>
      <c r="F934" s="176"/>
    </row>
    <row r="935" spans="1:6" s="53" customFormat="1" ht="20.5" x14ac:dyDescent="0.45">
      <c r="B935" s="71"/>
      <c r="C935" s="72" t="s">
        <v>371</v>
      </c>
      <c r="D935" s="73"/>
      <c r="F935" s="94"/>
    </row>
    <row r="936" spans="1:6" s="53" customFormat="1" ht="21" thickBot="1" x14ac:dyDescent="0.5">
      <c r="B936" s="71" t="s">
        <v>235</v>
      </c>
      <c r="C936" s="74" t="s">
        <v>103</v>
      </c>
      <c r="D936" s="73"/>
      <c r="F936" s="94"/>
    </row>
    <row r="937" spans="1:6" s="53" customFormat="1" ht="15" thickBot="1" x14ac:dyDescent="0.4">
      <c r="A937" s="75" t="s">
        <v>104</v>
      </c>
      <c r="B937" s="76" t="s">
        <v>81</v>
      </c>
      <c r="C937" s="76" t="s">
        <v>105</v>
      </c>
      <c r="D937" s="77" t="s">
        <v>84</v>
      </c>
      <c r="F937" s="94"/>
    </row>
    <row r="938" spans="1:6" s="53" customFormat="1" ht="14.5" customHeight="1" x14ac:dyDescent="0.35">
      <c r="A938" s="222" t="s">
        <v>88</v>
      </c>
      <c r="B938" s="78" t="s">
        <v>372</v>
      </c>
      <c r="C938" s="79" t="s">
        <v>106</v>
      </c>
      <c r="D938" s="80">
        <f>F945</f>
        <v>10783000</v>
      </c>
      <c r="F938" s="94"/>
    </row>
    <row r="939" spans="1:6" s="53" customFormat="1" ht="21" thickBot="1" x14ac:dyDescent="0.5">
      <c r="A939" s="223"/>
      <c r="B939" s="71"/>
      <c r="C939" s="71"/>
      <c r="D939" s="73"/>
      <c r="F939" s="94"/>
    </row>
    <row r="940" spans="1:6" s="53" customFormat="1" ht="15" thickBot="1" x14ac:dyDescent="0.4">
      <c r="A940" s="223"/>
      <c r="B940" s="81" t="s">
        <v>81</v>
      </c>
      <c r="C940" s="82" t="s">
        <v>107</v>
      </c>
      <c r="D940" s="83" t="s">
        <v>108</v>
      </c>
      <c r="F940" s="94"/>
    </row>
    <row r="941" spans="1:6" s="87" customFormat="1" x14ac:dyDescent="0.35">
      <c r="A941" s="223"/>
      <c r="B941" s="84" t="str">
        <f>B938</f>
        <v>15th March,2025</v>
      </c>
      <c r="C941" s="85" t="s">
        <v>373</v>
      </c>
      <c r="D941" s="86">
        <f>2000*2880</f>
        <v>5760000</v>
      </c>
      <c r="F941" s="177"/>
    </row>
    <row r="942" spans="1:6" s="53" customFormat="1" x14ac:dyDescent="0.35">
      <c r="A942" s="223"/>
      <c r="B942" s="88"/>
      <c r="C942" s="89" t="s">
        <v>159</v>
      </c>
      <c r="D942" s="90">
        <f>299*2650</f>
        <v>792350</v>
      </c>
      <c r="F942" s="94"/>
    </row>
    <row r="943" spans="1:6" s="53" customFormat="1" x14ac:dyDescent="0.35">
      <c r="A943" s="223"/>
      <c r="B943" s="88" t="s">
        <v>109</v>
      </c>
      <c r="C943" s="89" t="s">
        <v>110</v>
      </c>
      <c r="D943" s="90">
        <v>1000000</v>
      </c>
      <c r="F943" s="94"/>
    </row>
    <row r="944" spans="1:6" s="53" customFormat="1" x14ac:dyDescent="0.35">
      <c r="A944" s="223"/>
      <c r="B944" s="88" t="s">
        <v>111</v>
      </c>
      <c r="C944" s="89" t="s">
        <v>112</v>
      </c>
      <c r="D944" s="90">
        <v>40000</v>
      </c>
      <c r="E944" s="225" t="s">
        <v>113</v>
      </c>
      <c r="F944" s="225"/>
    </row>
    <row r="945" spans="1:7" s="53" customFormat="1" x14ac:dyDescent="0.35">
      <c r="A945" s="223"/>
      <c r="B945" s="88" t="s">
        <v>114</v>
      </c>
      <c r="C945" s="89" t="s">
        <v>115</v>
      </c>
      <c r="D945" s="90">
        <f>500*121</f>
        <v>60500</v>
      </c>
      <c r="E945" s="91" t="s">
        <v>116</v>
      </c>
      <c r="F945" s="92">
        <f>4100*2630</f>
        <v>10783000</v>
      </c>
    </row>
    <row r="946" spans="1:7" s="53" customFormat="1" x14ac:dyDescent="0.35">
      <c r="A946" s="223"/>
      <c r="B946" s="88"/>
      <c r="C946" s="89" t="s">
        <v>117</v>
      </c>
      <c r="D946" s="90">
        <f>1500*121</f>
        <v>181500</v>
      </c>
      <c r="E946" s="93" t="s">
        <v>118</v>
      </c>
      <c r="F946" s="94">
        <f>(2460*2630)+(1640*2630)</f>
        <v>10783000</v>
      </c>
    </row>
    <row r="947" spans="1:7" s="53" customFormat="1" ht="15" thickBot="1" x14ac:dyDescent="0.4">
      <c r="A947" s="223"/>
      <c r="B947" s="88" t="s">
        <v>119</v>
      </c>
      <c r="C947" s="89" t="s">
        <v>120</v>
      </c>
      <c r="D947" s="95">
        <v>30000</v>
      </c>
      <c r="E947" s="96" t="s">
        <v>121</v>
      </c>
      <c r="F947" s="97">
        <f>F945-F946</f>
        <v>0</v>
      </c>
      <c r="G947" s="98">
        <f>F947/2630</f>
        <v>0</v>
      </c>
    </row>
    <row r="948" spans="1:7" s="53" customFormat="1" ht="15" thickTop="1" x14ac:dyDescent="0.35">
      <c r="A948" s="223"/>
      <c r="B948" s="88"/>
      <c r="C948" s="89" t="s">
        <v>126</v>
      </c>
      <c r="D948" s="95">
        <v>30000</v>
      </c>
      <c r="F948" s="94"/>
    </row>
    <row r="949" spans="1:7" s="53" customFormat="1" x14ac:dyDescent="0.35">
      <c r="A949" s="223"/>
      <c r="B949" s="88" t="s">
        <v>370</v>
      </c>
      <c r="C949" s="99" t="s">
        <v>123</v>
      </c>
      <c r="D949" s="90">
        <v>15000</v>
      </c>
      <c r="E949" s="91" t="s">
        <v>124</v>
      </c>
      <c r="F949" s="92"/>
    </row>
    <row r="950" spans="1:7" s="53" customFormat="1" x14ac:dyDescent="0.35">
      <c r="A950" s="223"/>
      <c r="B950" s="101"/>
      <c r="C950" s="99" t="s">
        <v>125</v>
      </c>
      <c r="D950" s="100">
        <v>10000</v>
      </c>
      <c r="E950" s="102"/>
      <c r="F950" s="103"/>
    </row>
    <row r="951" spans="1:7" s="53" customFormat="1" x14ac:dyDescent="0.35">
      <c r="A951" s="223"/>
      <c r="B951" s="101"/>
      <c r="C951" s="89" t="s">
        <v>122</v>
      </c>
      <c r="D951" s="100">
        <v>140000</v>
      </c>
      <c r="E951" s="102" t="s">
        <v>127</v>
      </c>
      <c r="F951" s="103"/>
    </row>
    <row r="952" spans="1:7" s="53" customFormat="1" x14ac:dyDescent="0.35">
      <c r="A952" s="223"/>
      <c r="B952" s="101"/>
      <c r="C952" s="89"/>
      <c r="D952" s="90"/>
      <c r="E952" s="102" t="s">
        <v>428</v>
      </c>
      <c r="F952" s="103"/>
    </row>
    <row r="953" spans="1:7" s="53" customFormat="1" ht="15" thickBot="1" x14ac:dyDescent="0.4">
      <c r="A953" s="223"/>
      <c r="B953" s="105"/>
      <c r="C953" s="106"/>
      <c r="D953" s="107"/>
      <c r="E953" s="53" t="s">
        <v>588</v>
      </c>
      <c r="F953" s="94"/>
    </row>
    <row r="954" spans="1:7" s="53" customFormat="1" ht="15" thickBot="1" x14ac:dyDescent="0.4">
      <c r="A954" s="223"/>
      <c r="B954" s="108"/>
      <c r="C954" s="109" t="s">
        <v>129</v>
      </c>
      <c r="D954" s="110">
        <f>SUM(D941:D953)</f>
        <v>8059350</v>
      </c>
      <c r="F954" s="94"/>
    </row>
    <row r="955" spans="1:7" s="53" customFormat="1" ht="15.5" thickTop="1" thickBot="1" x14ac:dyDescent="0.4">
      <c r="A955" s="224"/>
      <c r="B955" s="226"/>
      <c r="C955" s="226"/>
      <c r="D955" s="226"/>
      <c r="F955" s="94"/>
    </row>
    <row r="956" spans="1:7" s="53" customFormat="1" x14ac:dyDescent="0.35">
      <c r="B956" s="87"/>
      <c r="C956" s="53" t="s">
        <v>130</v>
      </c>
      <c r="D956" s="111">
        <f>D938-D954</f>
        <v>2723650</v>
      </c>
      <c r="F956" s="94"/>
    </row>
    <row r="957" spans="1:7" s="53" customFormat="1" x14ac:dyDescent="0.35">
      <c r="B957" s="87"/>
      <c r="D957" s="111"/>
      <c r="F957" s="94"/>
    </row>
    <row r="958" spans="1:7" s="53" customFormat="1" x14ac:dyDescent="0.35">
      <c r="A958" s="112"/>
      <c r="B958" s="113"/>
      <c r="C958" s="112"/>
      <c r="D958" s="114"/>
      <c r="E958" s="112"/>
      <c r="F958" s="178"/>
    </row>
    <row r="961" spans="1:7" s="53" customFormat="1" ht="23.5" x14ac:dyDescent="0.55000000000000004">
      <c r="B961" s="227" t="s">
        <v>0</v>
      </c>
      <c r="C961" s="227"/>
      <c r="D961" s="227"/>
      <c r="E961" s="70"/>
      <c r="F961" s="176"/>
    </row>
    <row r="962" spans="1:7" s="53" customFormat="1" ht="20.5" x14ac:dyDescent="0.45">
      <c r="B962" s="71"/>
      <c r="C962" s="72" t="s">
        <v>385</v>
      </c>
      <c r="D962" s="73"/>
      <c r="F962" s="94"/>
    </row>
    <row r="963" spans="1:7" s="53" customFormat="1" ht="21" thickBot="1" x14ac:dyDescent="0.5">
      <c r="B963" s="71" t="s">
        <v>185</v>
      </c>
      <c r="C963" s="74" t="s">
        <v>103</v>
      </c>
      <c r="D963" s="73"/>
      <c r="F963" s="94"/>
    </row>
    <row r="964" spans="1:7" s="53" customFormat="1" ht="15" thickBot="1" x14ac:dyDescent="0.4">
      <c r="A964" s="75" t="s">
        <v>104</v>
      </c>
      <c r="B964" s="76" t="s">
        <v>81</v>
      </c>
      <c r="C964" s="76" t="s">
        <v>105</v>
      </c>
      <c r="D964" s="77" t="s">
        <v>84</v>
      </c>
      <c r="F964" s="94"/>
    </row>
    <row r="965" spans="1:7" s="53" customFormat="1" ht="14.5" customHeight="1" x14ac:dyDescent="0.35">
      <c r="A965" s="222" t="s">
        <v>88</v>
      </c>
      <c r="B965" s="78" t="s">
        <v>386</v>
      </c>
      <c r="C965" s="79" t="s">
        <v>106</v>
      </c>
      <c r="D965" s="80">
        <f>F972</f>
        <v>11835000</v>
      </c>
      <c r="F965" s="94"/>
    </row>
    <row r="966" spans="1:7" s="53" customFormat="1" ht="21" thickBot="1" x14ac:dyDescent="0.5">
      <c r="A966" s="223"/>
      <c r="B966" s="71"/>
      <c r="C966" s="71"/>
      <c r="D966" s="73"/>
      <c r="F966" s="94"/>
    </row>
    <row r="967" spans="1:7" s="53" customFormat="1" ht="15" thickBot="1" x14ac:dyDescent="0.4">
      <c r="A967" s="223"/>
      <c r="B967" s="81" t="s">
        <v>81</v>
      </c>
      <c r="C967" s="82" t="s">
        <v>107</v>
      </c>
      <c r="D967" s="83" t="s">
        <v>108</v>
      </c>
      <c r="F967" s="94"/>
    </row>
    <row r="968" spans="1:7" s="87" customFormat="1" x14ac:dyDescent="0.35">
      <c r="A968" s="223"/>
      <c r="B968" s="84" t="str">
        <f>B965</f>
        <v>20th March,2025</v>
      </c>
      <c r="C968" s="85" t="s">
        <v>387</v>
      </c>
      <c r="D968" s="86">
        <f>2100*2880</f>
        <v>6048000</v>
      </c>
      <c r="F968" s="177"/>
    </row>
    <row r="969" spans="1:7" s="53" customFormat="1" x14ac:dyDescent="0.35">
      <c r="A969" s="223"/>
      <c r="B969" s="88"/>
      <c r="C969" s="89" t="s">
        <v>388</v>
      </c>
      <c r="D969" s="90">
        <f>356*2650</f>
        <v>943400</v>
      </c>
      <c r="F969" s="94"/>
    </row>
    <row r="970" spans="1:7" s="53" customFormat="1" x14ac:dyDescent="0.35">
      <c r="A970" s="223"/>
      <c r="B970" s="88" t="s">
        <v>109</v>
      </c>
      <c r="C970" s="89" t="s">
        <v>110</v>
      </c>
      <c r="D970" s="90">
        <v>1000000</v>
      </c>
      <c r="F970" s="94"/>
    </row>
    <row r="971" spans="1:7" s="53" customFormat="1" x14ac:dyDescent="0.35">
      <c r="A971" s="223"/>
      <c r="B971" s="88" t="s">
        <v>111</v>
      </c>
      <c r="C971" s="89" t="s">
        <v>112</v>
      </c>
      <c r="D971" s="90">
        <v>40000</v>
      </c>
      <c r="E971" s="225" t="s">
        <v>113</v>
      </c>
      <c r="F971" s="225"/>
    </row>
    <row r="972" spans="1:7" s="53" customFormat="1" x14ac:dyDescent="0.35">
      <c r="A972" s="223"/>
      <c r="B972" s="88" t="s">
        <v>383</v>
      </c>
      <c r="C972" s="89" t="s">
        <v>115</v>
      </c>
      <c r="D972" s="90">
        <f>250*128</f>
        <v>32000</v>
      </c>
      <c r="E972" s="91" t="s">
        <v>116</v>
      </c>
      <c r="F972" s="92">
        <f>4500*2630</f>
        <v>11835000</v>
      </c>
    </row>
    <row r="973" spans="1:7" s="53" customFormat="1" x14ac:dyDescent="0.35">
      <c r="A973" s="223"/>
      <c r="B973" s="88"/>
      <c r="C973" s="89" t="s">
        <v>117</v>
      </c>
      <c r="D973" s="90">
        <f>5600*128</f>
        <v>716800</v>
      </c>
      <c r="E973" s="93" t="s">
        <v>118</v>
      </c>
      <c r="F973" s="94">
        <f>(2700*2630)+(1800*2630)</f>
        <v>11835000</v>
      </c>
    </row>
    <row r="974" spans="1:7" s="53" customFormat="1" ht="15" thickBot="1" x14ac:dyDescent="0.4">
      <c r="A974" s="223"/>
      <c r="B974" s="88" t="s">
        <v>119</v>
      </c>
      <c r="C974" s="89" t="s">
        <v>120</v>
      </c>
      <c r="D974" s="95">
        <v>30000</v>
      </c>
      <c r="E974" s="96" t="s">
        <v>121</v>
      </c>
      <c r="F974" s="97">
        <f>F972-F973</f>
        <v>0</v>
      </c>
      <c r="G974" s="98">
        <f>F974/2630</f>
        <v>0</v>
      </c>
    </row>
    <row r="975" spans="1:7" s="53" customFormat="1" ht="15" thickTop="1" x14ac:dyDescent="0.35">
      <c r="A975" s="223"/>
      <c r="B975" s="88"/>
      <c r="C975" s="99" t="s">
        <v>123</v>
      </c>
      <c r="D975" s="100">
        <v>15000</v>
      </c>
      <c r="F975" s="94"/>
    </row>
    <row r="976" spans="1:7" s="53" customFormat="1" x14ac:dyDescent="0.35">
      <c r="A976" s="223"/>
      <c r="B976" s="88" t="s">
        <v>384</v>
      </c>
      <c r="C976" s="99" t="s">
        <v>126</v>
      </c>
      <c r="D976" s="100">
        <v>35000</v>
      </c>
      <c r="E976" s="91" t="s">
        <v>124</v>
      </c>
      <c r="F976" s="92"/>
    </row>
    <row r="977" spans="1:6" s="53" customFormat="1" x14ac:dyDescent="0.35">
      <c r="A977" s="223"/>
      <c r="B977" s="101"/>
      <c r="C977" s="89" t="s">
        <v>122</v>
      </c>
      <c r="D977" s="100">
        <v>75000</v>
      </c>
      <c r="E977" s="102"/>
      <c r="F977" s="103"/>
    </row>
    <row r="978" spans="1:6" s="53" customFormat="1" x14ac:dyDescent="0.35">
      <c r="A978" s="223"/>
      <c r="B978" s="101"/>
      <c r="C978" s="99" t="s">
        <v>315</v>
      </c>
      <c r="D978" s="100">
        <f>200*123</f>
        <v>24600</v>
      </c>
      <c r="E978" s="102" t="s">
        <v>127</v>
      </c>
      <c r="F978" s="103"/>
    </row>
    <row r="979" spans="1:6" s="53" customFormat="1" x14ac:dyDescent="0.35">
      <c r="A979" s="223"/>
      <c r="B979" s="101"/>
      <c r="C979" s="89" t="s">
        <v>495</v>
      </c>
      <c r="D979" s="90">
        <v>20000</v>
      </c>
      <c r="E979" s="102" t="s">
        <v>428</v>
      </c>
      <c r="F979" s="103"/>
    </row>
    <row r="980" spans="1:6" s="53" customFormat="1" ht="15" thickBot="1" x14ac:dyDescent="0.4">
      <c r="A980" s="223"/>
      <c r="B980" s="105"/>
      <c r="C980" s="106"/>
      <c r="D980" s="107"/>
      <c r="E980" s="53" t="s">
        <v>586</v>
      </c>
      <c r="F980" s="94"/>
    </row>
    <row r="981" spans="1:6" s="53" customFormat="1" ht="15" thickBot="1" x14ac:dyDescent="0.4">
      <c r="A981" s="223"/>
      <c r="B981" s="108"/>
      <c r="C981" s="109" t="s">
        <v>129</v>
      </c>
      <c r="D981" s="110">
        <f>SUM(D968:D980)</f>
        <v>8979800</v>
      </c>
      <c r="F981" s="94"/>
    </row>
    <row r="982" spans="1:6" s="53" customFormat="1" ht="15.5" thickTop="1" thickBot="1" x14ac:dyDescent="0.4">
      <c r="A982" s="224"/>
      <c r="B982" s="226"/>
      <c r="C982" s="226"/>
      <c r="D982" s="226"/>
      <c r="F982" s="94"/>
    </row>
    <row r="983" spans="1:6" s="53" customFormat="1" x14ac:dyDescent="0.35">
      <c r="B983" s="87"/>
      <c r="C983" s="53" t="s">
        <v>130</v>
      </c>
      <c r="D983" s="111">
        <f>D965-D981</f>
        <v>2855200</v>
      </c>
      <c r="F983" s="94"/>
    </row>
    <row r="984" spans="1:6" s="53" customFormat="1" x14ac:dyDescent="0.35">
      <c r="B984" s="87"/>
      <c r="D984" s="111"/>
      <c r="F984" s="94"/>
    </row>
    <row r="985" spans="1:6" s="53" customFormat="1" x14ac:dyDescent="0.35">
      <c r="A985" s="112"/>
      <c r="B985" s="113"/>
      <c r="C985" s="112"/>
      <c r="D985" s="114"/>
      <c r="E985" s="112"/>
      <c r="F985" s="178"/>
    </row>
    <row r="988" spans="1:6" s="53" customFormat="1" ht="23.5" x14ac:dyDescent="0.55000000000000004">
      <c r="B988" s="227" t="s">
        <v>0</v>
      </c>
      <c r="C988" s="227"/>
      <c r="D988" s="227"/>
      <c r="E988" s="70"/>
      <c r="F988" s="176"/>
    </row>
    <row r="989" spans="1:6" s="53" customFormat="1" ht="20.5" x14ac:dyDescent="0.45">
      <c r="B989" s="71"/>
      <c r="C989" s="72" t="s">
        <v>391</v>
      </c>
      <c r="D989" s="73"/>
      <c r="F989" s="94"/>
    </row>
    <row r="990" spans="1:6" s="53" customFormat="1" ht="21" thickBot="1" x14ac:dyDescent="0.5">
      <c r="B990" s="71" t="s">
        <v>178</v>
      </c>
      <c r="C990" s="74" t="s">
        <v>103</v>
      </c>
      <c r="D990" s="73"/>
      <c r="F990" s="94"/>
    </row>
    <row r="991" spans="1:6" s="53" customFormat="1" ht="15" thickBot="1" x14ac:dyDescent="0.4">
      <c r="A991" s="75" t="s">
        <v>104</v>
      </c>
      <c r="B991" s="76" t="s">
        <v>81</v>
      </c>
      <c r="C991" s="76" t="s">
        <v>105</v>
      </c>
      <c r="D991" s="77" t="s">
        <v>84</v>
      </c>
      <c r="F991" s="94"/>
    </row>
    <row r="992" spans="1:6" s="53" customFormat="1" ht="14.5" customHeight="1" x14ac:dyDescent="0.35">
      <c r="A992" s="222" t="s">
        <v>88</v>
      </c>
      <c r="B992" s="78" t="s">
        <v>386</v>
      </c>
      <c r="C992" s="79" t="s">
        <v>106</v>
      </c>
      <c r="D992" s="80">
        <f>F999</f>
        <v>11835000</v>
      </c>
      <c r="F992" s="94"/>
    </row>
    <row r="993" spans="1:7" s="53" customFormat="1" ht="21" thickBot="1" x14ac:dyDescent="0.5">
      <c r="A993" s="223"/>
      <c r="B993" s="71"/>
      <c r="C993" s="71"/>
      <c r="D993" s="73"/>
      <c r="F993" s="94"/>
    </row>
    <row r="994" spans="1:7" s="53" customFormat="1" ht="15" thickBot="1" x14ac:dyDescent="0.4">
      <c r="A994" s="223"/>
      <c r="B994" s="81" t="s">
        <v>81</v>
      </c>
      <c r="C994" s="82" t="s">
        <v>107</v>
      </c>
      <c r="D994" s="83" t="s">
        <v>108</v>
      </c>
      <c r="F994" s="94"/>
    </row>
    <row r="995" spans="1:7" s="87" customFormat="1" x14ac:dyDescent="0.35">
      <c r="A995" s="223"/>
      <c r="B995" s="84" t="str">
        <f>B992</f>
        <v>20th March,2025</v>
      </c>
      <c r="C995" s="85" t="s">
        <v>387</v>
      </c>
      <c r="D995" s="86">
        <f>2100*2880</f>
        <v>6048000</v>
      </c>
      <c r="F995" s="177"/>
    </row>
    <row r="996" spans="1:7" s="53" customFormat="1" x14ac:dyDescent="0.35">
      <c r="A996" s="223"/>
      <c r="B996" s="88"/>
      <c r="C996" s="89" t="s">
        <v>388</v>
      </c>
      <c r="D996" s="90">
        <f>356*2650</f>
        <v>943400</v>
      </c>
      <c r="F996" s="94"/>
    </row>
    <row r="997" spans="1:7" s="53" customFormat="1" x14ac:dyDescent="0.35">
      <c r="A997" s="223"/>
      <c r="B997" s="88" t="s">
        <v>109</v>
      </c>
      <c r="C997" s="89" t="s">
        <v>110</v>
      </c>
      <c r="D997" s="90">
        <v>1000000</v>
      </c>
      <c r="F997" s="94"/>
    </row>
    <row r="998" spans="1:7" s="53" customFormat="1" x14ac:dyDescent="0.35">
      <c r="A998" s="223"/>
      <c r="B998" s="88" t="s">
        <v>111</v>
      </c>
      <c r="C998" s="89" t="s">
        <v>112</v>
      </c>
      <c r="D998" s="90">
        <v>40000</v>
      </c>
      <c r="E998" s="225" t="s">
        <v>113</v>
      </c>
      <c r="F998" s="225"/>
    </row>
    <row r="999" spans="1:7" s="53" customFormat="1" x14ac:dyDescent="0.35">
      <c r="A999" s="223"/>
      <c r="B999" s="88" t="s">
        <v>383</v>
      </c>
      <c r="C999" s="89" t="s">
        <v>115</v>
      </c>
      <c r="D999" s="90">
        <f>250*128</f>
        <v>32000</v>
      </c>
      <c r="E999" s="91" t="s">
        <v>116</v>
      </c>
      <c r="F999" s="92">
        <f>4500*2630</f>
        <v>11835000</v>
      </c>
    </row>
    <row r="1000" spans="1:7" s="53" customFormat="1" x14ac:dyDescent="0.35">
      <c r="A1000" s="223"/>
      <c r="B1000" s="88"/>
      <c r="C1000" s="89" t="s">
        <v>117</v>
      </c>
      <c r="D1000" s="90">
        <f>5600*128</f>
        <v>716800</v>
      </c>
      <c r="E1000" s="93" t="s">
        <v>118</v>
      </c>
      <c r="F1000" s="94">
        <f>(2700*2630)+(1800*2630)</f>
        <v>11835000</v>
      </c>
    </row>
    <row r="1001" spans="1:7" s="53" customFormat="1" ht="15" thickBot="1" x14ac:dyDescent="0.4">
      <c r="A1001" s="223"/>
      <c r="B1001" s="88" t="s">
        <v>119</v>
      </c>
      <c r="C1001" s="89" t="s">
        <v>120</v>
      </c>
      <c r="D1001" s="95">
        <v>30000</v>
      </c>
      <c r="E1001" s="96" t="s">
        <v>121</v>
      </c>
      <c r="F1001" s="97">
        <f>F999-F1000</f>
        <v>0</v>
      </c>
      <c r="G1001" s="98">
        <f>F1001/2630</f>
        <v>0</v>
      </c>
    </row>
    <row r="1002" spans="1:7" s="53" customFormat="1" ht="15" thickTop="1" x14ac:dyDescent="0.35">
      <c r="A1002" s="223"/>
      <c r="B1002" s="88"/>
      <c r="C1002" s="99" t="s">
        <v>123</v>
      </c>
      <c r="D1002" s="100">
        <v>15000</v>
      </c>
      <c r="F1002" s="94"/>
    </row>
    <row r="1003" spans="1:7" s="53" customFormat="1" x14ac:dyDescent="0.35">
      <c r="A1003" s="223"/>
      <c r="B1003" s="88" t="s">
        <v>390</v>
      </c>
      <c r="C1003" s="99" t="s">
        <v>126</v>
      </c>
      <c r="D1003" s="100">
        <v>35000</v>
      </c>
      <c r="E1003" s="91" t="s">
        <v>124</v>
      </c>
      <c r="F1003" s="92"/>
    </row>
    <row r="1004" spans="1:7" s="53" customFormat="1" x14ac:dyDescent="0.35">
      <c r="A1004" s="223"/>
      <c r="B1004" s="101"/>
      <c r="C1004" s="89" t="s">
        <v>122</v>
      </c>
      <c r="D1004" s="100">
        <v>75000</v>
      </c>
      <c r="E1004" s="102"/>
      <c r="F1004" s="103"/>
    </row>
    <row r="1005" spans="1:7" s="53" customFormat="1" x14ac:dyDescent="0.35">
      <c r="A1005" s="223"/>
      <c r="B1005" s="101"/>
      <c r="C1005" s="99" t="s">
        <v>315</v>
      </c>
      <c r="D1005" s="100">
        <f>100*126</f>
        <v>12600</v>
      </c>
      <c r="E1005" s="102" t="s">
        <v>127</v>
      </c>
      <c r="F1005" s="103"/>
    </row>
    <row r="1006" spans="1:7" s="53" customFormat="1" x14ac:dyDescent="0.35">
      <c r="A1006" s="223"/>
      <c r="B1006" s="101"/>
      <c r="C1006" s="89"/>
      <c r="D1006" s="90"/>
      <c r="E1006" s="102" t="s">
        <v>430</v>
      </c>
      <c r="F1006" s="103"/>
    </row>
    <row r="1007" spans="1:7" s="53" customFormat="1" ht="15" thickBot="1" x14ac:dyDescent="0.4">
      <c r="A1007" s="223"/>
      <c r="B1007" s="105"/>
      <c r="C1007" s="106"/>
      <c r="D1007" s="107"/>
      <c r="E1007" s="53" t="s">
        <v>587</v>
      </c>
      <c r="F1007" s="94"/>
    </row>
    <row r="1008" spans="1:7" s="53" customFormat="1" ht="15" thickBot="1" x14ac:dyDescent="0.4">
      <c r="A1008" s="223"/>
      <c r="B1008" s="108"/>
      <c r="C1008" s="109" t="s">
        <v>129</v>
      </c>
      <c r="D1008" s="110">
        <f>SUM(D995:D1007)</f>
        <v>8947800</v>
      </c>
      <c r="F1008" s="94"/>
    </row>
    <row r="1009" spans="1:6" s="53" customFormat="1" ht="15.5" thickTop="1" thickBot="1" x14ac:dyDescent="0.4">
      <c r="A1009" s="224"/>
      <c r="B1009" s="226"/>
      <c r="C1009" s="226"/>
      <c r="D1009" s="226"/>
      <c r="F1009" s="94"/>
    </row>
    <row r="1010" spans="1:6" s="53" customFormat="1" x14ac:dyDescent="0.35">
      <c r="B1010" s="87"/>
      <c r="C1010" s="53" t="s">
        <v>130</v>
      </c>
      <c r="D1010" s="111">
        <f>D992-D1008</f>
        <v>2887200</v>
      </c>
      <c r="F1010" s="94"/>
    </row>
    <row r="1011" spans="1:6" s="53" customFormat="1" x14ac:dyDescent="0.35">
      <c r="B1011" s="87"/>
      <c r="D1011" s="111"/>
      <c r="F1011" s="94"/>
    </row>
    <row r="1012" spans="1:6" s="53" customFormat="1" x14ac:dyDescent="0.35">
      <c r="A1012" s="112"/>
      <c r="B1012" s="113"/>
      <c r="C1012" s="112"/>
      <c r="D1012" s="114"/>
      <c r="E1012" s="112"/>
      <c r="F1012" s="178"/>
    </row>
    <row r="1014" spans="1:6" s="53" customFormat="1" ht="23.5" x14ac:dyDescent="0.55000000000000004">
      <c r="B1014" s="227" t="s">
        <v>0</v>
      </c>
      <c r="C1014" s="227"/>
      <c r="D1014" s="227"/>
      <c r="E1014" s="70"/>
      <c r="F1014" s="176"/>
    </row>
    <row r="1015" spans="1:6" s="53" customFormat="1" ht="20.5" x14ac:dyDescent="0.45">
      <c r="B1015" s="71"/>
      <c r="C1015" s="72" t="s">
        <v>395</v>
      </c>
      <c r="D1015" s="73"/>
      <c r="F1015" s="94"/>
    </row>
    <row r="1016" spans="1:6" s="53" customFormat="1" ht="21" thickBot="1" x14ac:dyDescent="0.5">
      <c r="B1016" s="71" t="s">
        <v>396</v>
      </c>
      <c r="C1016" s="74" t="s">
        <v>103</v>
      </c>
      <c r="D1016" s="73"/>
      <c r="F1016" s="94"/>
    </row>
    <row r="1017" spans="1:6" s="53" customFormat="1" ht="15" thickBot="1" x14ac:dyDescent="0.4">
      <c r="A1017" s="75" t="s">
        <v>104</v>
      </c>
      <c r="B1017" s="76" t="s">
        <v>81</v>
      </c>
      <c r="C1017" s="76" t="s">
        <v>105</v>
      </c>
      <c r="D1017" s="77" t="s">
        <v>84</v>
      </c>
      <c r="F1017" s="94"/>
    </row>
    <row r="1018" spans="1:6" s="53" customFormat="1" ht="14.5" customHeight="1" x14ac:dyDescent="0.35">
      <c r="A1018" s="222" t="s">
        <v>88</v>
      </c>
      <c r="B1018" s="78" t="s">
        <v>386</v>
      </c>
      <c r="C1018" s="79" t="s">
        <v>106</v>
      </c>
      <c r="D1018" s="80">
        <f>F1025</f>
        <v>11835000</v>
      </c>
      <c r="F1018" s="94"/>
    </row>
    <row r="1019" spans="1:6" s="53" customFormat="1" ht="21" thickBot="1" x14ac:dyDescent="0.5">
      <c r="A1019" s="223"/>
      <c r="B1019" s="71"/>
      <c r="C1019" s="71"/>
      <c r="D1019" s="73"/>
      <c r="F1019" s="94"/>
    </row>
    <row r="1020" spans="1:6" s="53" customFormat="1" ht="15" thickBot="1" x14ac:dyDescent="0.4">
      <c r="A1020" s="223"/>
      <c r="B1020" s="81" t="s">
        <v>81</v>
      </c>
      <c r="C1020" s="82" t="s">
        <v>107</v>
      </c>
      <c r="D1020" s="83" t="s">
        <v>108</v>
      </c>
      <c r="F1020" s="94"/>
    </row>
    <row r="1021" spans="1:6" s="87" customFormat="1" x14ac:dyDescent="0.35">
      <c r="A1021" s="223"/>
      <c r="B1021" s="84" t="str">
        <f>B1018</f>
        <v>20th March,2025</v>
      </c>
      <c r="C1021" s="85" t="s">
        <v>387</v>
      </c>
      <c r="D1021" s="86">
        <f>2100*2880</f>
        <v>6048000</v>
      </c>
      <c r="F1021" s="177"/>
    </row>
    <row r="1022" spans="1:6" s="53" customFormat="1" x14ac:dyDescent="0.35">
      <c r="A1022" s="223"/>
      <c r="B1022" s="88"/>
      <c r="C1022" s="89" t="s">
        <v>388</v>
      </c>
      <c r="D1022" s="90">
        <f>356*2650</f>
        <v>943400</v>
      </c>
      <c r="F1022" s="94"/>
    </row>
    <row r="1023" spans="1:6" s="53" customFormat="1" x14ac:dyDescent="0.35">
      <c r="A1023" s="223"/>
      <c r="B1023" s="88" t="s">
        <v>109</v>
      </c>
      <c r="C1023" s="89" t="s">
        <v>110</v>
      </c>
      <c r="D1023" s="90">
        <v>1000000</v>
      </c>
      <c r="F1023" s="94"/>
    </row>
    <row r="1024" spans="1:6" s="53" customFormat="1" x14ac:dyDescent="0.35">
      <c r="A1024" s="223"/>
      <c r="B1024" s="88" t="s">
        <v>111</v>
      </c>
      <c r="C1024" s="89" t="s">
        <v>112</v>
      </c>
      <c r="D1024" s="90">
        <v>40000</v>
      </c>
      <c r="E1024" s="225" t="s">
        <v>113</v>
      </c>
      <c r="F1024" s="225"/>
    </row>
    <row r="1025" spans="1:7" s="53" customFormat="1" x14ac:dyDescent="0.35">
      <c r="A1025" s="223"/>
      <c r="B1025" s="88" t="s">
        <v>383</v>
      </c>
      <c r="C1025" s="89" t="s">
        <v>115</v>
      </c>
      <c r="D1025" s="90">
        <f>250*128</f>
        <v>32000</v>
      </c>
      <c r="E1025" s="91" t="s">
        <v>116</v>
      </c>
      <c r="F1025" s="92">
        <f>4500*2630</f>
        <v>11835000</v>
      </c>
    </row>
    <row r="1026" spans="1:7" s="53" customFormat="1" x14ac:dyDescent="0.35">
      <c r="A1026" s="223"/>
      <c r="B1026" s="88"/>
      <c r="C1026" s="89" t="s">
        <v>117</v>
      </c>
      <c r="D1026" s="90">
        <f>5600*128</f>
        <v>716800</v>
      </c>
      <c r="E1026" s="93" t="s">
        <v>118</v>
      </c>
      <c r="F1026" s="94">
        <f>(2700*2630)+(1800*2630)</f>
        <v>11835000</v>
      </c>
    </row>
    <row r="1027" spans="1:7" s="53" customFormat="1" ht="15" thickBot="1" x14ac:dyDescent="0.4">
      <c r="A1027" s="223"/>
      <c r="B1027" s="88" t="s">
        <v>119</v>
      </c>
      <c r="C1027" s="89" t="s">
        <v>120</v>
      </c>
      <c r="D1027" s="95">
        <v>30000</v>
      </c>
      <c r="E1027" s="96" t="s">
        <v>121</v>
      </c>
      <c r="F1027" s="97">
        <f>F1025-F1026</f>
        <v>0</v>
      </c>
      <c r="G1027" s="98">
        <f>F1027/2630</f>
        <v>0</v>
      </c>
    </row>
    <row r="1028" spans="1:7" s="53" customFormat="1" ht="15" thickTop="1" x14ac:dyDescent="0.35">
      <c r="A1028" s="223"/>
      <c r="B1028" s="88"/>
      <c r="C1028" s="99" t="s">
        <v>123</v>
      </c>
      <c r="D1028" s="100">
        <v>15000</v>
      </c>
      <c r="F1028" s="94"/>
    </row>
    <row r="1029" spans="1:7" s="53" customFormat="1" x14ac:dyDescent="0.35">
      <c r="A1029" s="223"/>
      <c r="B1029" s="88" t="s">
        <v>394</v>
      </c>
      <c r="C1029" s="99" t="s">
        <v>126</v>
      </c>
      <c r="D1029" s="100">
        <v>35000</v>
      </c>
      <c r="E1029" s="91" t="s">
        <v>124</v>
      </c>
      <c r="F1029" s="92"/>
    </row>
    <row r="1030" spans="1:7" s="53" customFormat="1" x14ac:dyDescent="0.35">
      <c r="A1030" s="223"/>
      <c r="B1030" s="101"/>
      <c r="C1030" s="89" t="s">
        <v>122</v>
      </c>
      <c r="D1030" s="100">
        <v>75000</v>
      </c>
      <c r="E1030" s="102"/>
      <c r="F1030" s="103"/>
    </row>
    <row r="1031" spans="1:7" s="53" customFormat="1" x14ac:dyDescent="0.35">
      <c r="A1031" s="223"/>
      <c r="B1031" s="101"/>
      <c r="C1031" s="99" t="s">
        <v>315</v>
      </c>
      <c r="D1031" s="100">
        <f>200*123</f>
        <v>24600</v>
      </c>
      <c r="E1031" s="102" t="s">
        <v>127</v>
      </c>
      <c r="F1031" s="103"/>
    </row>
    <row r="1032" spans="1:7" s="53" customFormat="1" x14ac:dyDescent="0.35">
      <c r="A1032" s="223"/>
      <c r="B1032" s="101"/>
      <c r="C1032" s="89" t="s">
        <v>495</v>
      </c>
      <c r="D1032" s="90">
        <v>20000</v>
      </c>
      <c r="E1032" s="102" t="s">
        <v>430</v>
      </c>
      <c r="F1032" s="103"/>
    </row>
    <row r="1033" spans="1:7" s="53" customFormat="1" ht="15" thickBot="1" x14ac:dyDescent="0.4">
      <c r="A1033" s="223"/>
      <c r="B1033" s="105"/>
      <c r="C1033" s="106"/>
      <c r="D1033" s="107"/>
      <c r="E1033" s="53" t="s">
        <v>587</v>
      </c>
      <c r="F1033" s="94"/>
    </row>
    <row r="1034" spans="1:7" s="53" customFormat="1" ht="15" thickBot="1" x14ac:dyDescent="0.4">
      <c r="A1034" s="223"/>
      <c r="B1034" s="108"/>
      <c r="C1034" s="109" t="s">
        <v>129</v>
      </c>
      <c r="D1034" s="110">
        <f>SUM(D1021:D1033)</f>
        <v>8979800</v>
      </c>
      <c r="F1034" s="94"/>
    </row>
    <row r="1035" spans="1:7" s="53" customFormat="1" ht="15.5" thickTop="1" thickBot="1" x14ac:dyDescent="0.4">
      <c r="A1035" s="224"/>
      <c r="B1035" s="226"/>
      <c r="C1035" s="226"/>
      <c r="D1035" s="226"/>
      <c r="F1035" s="94"/>
    </row>
    <row r="1036" spans="1:7" s="53" customFormat="1" x14ac:dyDescent="0.35">
      <c r="B1036" s="87"/>
      <c r="C1036" s="53" t="s">
        <v>130</v>
      </c>
      <c r="D1036" s="111">
        <f>D1018-D1034</f>
        <v>2855200</v>
      </c>
      <c r="F1036" s="94"/>
    </row>
    <row r="1037" spans="1:7" s="53" customFormat="1" x14ac:dyDescent="0.35">
      <c r="B1037" s="87"/>
      <c r="D1037" s="111"/>
      <c r="F1037" s="94"/>
    </row>
    <row r="1038" spans="1:7" s="53" customFormat="1" x14ac:dyDescent="0.35">
      <c r="A1038" s="112"/>
      <c r="B1038" s="113"/>
      <c r="C1038" s="112"/>
      <c r="D1038" s="114"/>
      <c r="E1038" s="112"/>
      <c r="F1038" s="178"/>
    </row>
    <row r="1040" spans="1:7" s="53" customFormat="1" ht="23.5" x14ac:dyDescent="0.55000000000000004">
      <c r="B1040" s="227" t="s">
        <v>0</v>
      </c>
      <c r="C1040" s="227"/>
      <c r="D1040" s="227"/>
      <c r="E1040" s="70"/>
      <c r="F1040" s="176"/>
    </row>
    <row r="1041" spans="1:7" s="53" customFormat="1" ht="20.5" x14ac:dyDescent="0.45">
      <c r="B1041" s="71"/>
      <c r="C1041" s="72" t="s">
        <v>400</v>
      </c>
      <c r="D1041" s="73"/>
      <c r="F1041" s="94"/>
    </row>
    <row r="1042" spans="1:7" s="53" customFormat="1" ht="21" thickBot="1" x14ac:dyDescent="0.5">
      <c r="B1042" s="71" t="s">
        <v>401</v>
      </c>
      <c r="C1042" s="74" t="s">
        <v>103</v>
      </c>
      <c r="D1042" s="73"/>
      <c r="F1042" s="94"/>
    </row>
    <row r="1043" spans="1:7" s="53" customFormat="1" ht="15" thickBot="1" x14ac:dyDescent="0.4">
      <c r="A1043" s="75" t="s">
        <v>104</v>
      </c>
      <c r="B1043" s="76" t="s">
        <v>81</v>
      </c>
      <c r="C1043" s="76" t="s">
        <v>105</v>
      </c>
      <c r="D1043" s="77" t="s">
        <v>84</v>
      </c>
      <c r="F1043" s="94"/>
    </row>
    <row r="1044" spans="1:7" s="53" customFormat="1" ht="14.5" customHeight="1" x14ac:dyDescent="0.35">
      <c r="A1044" s="222" t="s">
        <v>88</v>
      </c>
      <c r="B1044" s="78" t="s">
        <v>386</v>
      </c>
      <c r="C1044" s="79" t="s">
        <v>106</v>
      </c>
      <c r="D1044" s="80">
        <f>F1051</f>
        <v>11835000</v>
      </c>
      <c r="F1044" s="94"/>
    </row>
    <row r="1045" spans="1:7" s="53" customFormat="1" ht="21" thickBot="1" x14ac:dyDescent="0.5">
      <c r="A1045" s="223"/>
      <c r="B1045" s="71"/>
      <c r="C1045" s="71"/>
      <c r="D1045" s="73"/>
      <c r="F1045" s="94"/>
    </row>
    <row r="1046" spans="1:7" s="53" customFormat="1" ht="15" thickBot="1" x14ac:dyDescent="0.4">
      <c r="A1046" s="223"/>
      <c r="B1046" s="81" t="s">
        <v>81</v>
      </c>
      <c r="C1046" s="82" t="s">
        <v>107</v>
      </c>
      <c r="D1046" s="83" t="s">
        <v>108</v>
      </c>
      <c r="F1046" s="94"/>
    </row>
    <row r="1047" spans="1:7" s="87" customFormat="1" x14ac:dyDescent="0.35">
      <c r="A1047" s="223"/>
      <c r="B1047" s="84" t="str">
        <f>B1044</f>
        <v>20th March,2025</v>
      </c>
      <c r="C1047" s="85" t="s">
        <v>387</v>
      </c>
      <c r="D1047" s="86">
        <f>2100*2880</f>
        <v>6048000</v>
      </c>
      <c r="F1047" s="177"/>
    </row>
    <row r="1048" spans="1:7" s="53" customFormat="1" x14ac:dyDescent="0.35">
      <c r="A1048" s="223"/>
      <c r="B1048" s="88"/>
      <c r="C1048" s="89" t="s">
        <v>388</v>
      </c>
      <c r="D1048" s="90">
        <f>356*2650</f>
        <v>943400</v>
      </c>
      <c r="F1048" s="94"/>
    </row>
    <row r="1049" spans="1:7" s="53" customFormat="1" x14ac:dyDescent="0.35">
      <c r="A1049" s="223"/>
      <c r="B1049" s="88" t="s">
        <v>109</v>
      </c>
      <c r="C1049" s="89" t="s">
        <v>110</v>
      </c>
      <c r="D1049" s="90">
        <v>1000000</v>
      </c>
      <c r="F1049" s="94"/>
    </row>
    <row r="1050" spans="1:7" s="53" customFormat="1" x14ac:dyDescent="0.35">
      <c r="A1050" s="223"/>
      <c r="B1050" s="88" t="s">
        <v>111</v>
      </c>
      <c r="C1050" s="89" t="s">
        <v>112</v>
      </c>
      <c r="D1050" s="90">
        <v>40000</v>
      </c>
      <c r="E1050" s="225" t="s">
        <v>113</v>
      </c>
      <c r="F1050" s="225"/>
    </row>
    <row r="1051" spans="1:7" s="53" customFormat="1" x14ac:dyDescent="0.35">
      <c r="A1051" s="223"/>
      <c r="B1051" s="88" t="s">
        <v>383</v>
      </c>
      <c r="C1051" s="89" t="s">
        <v>115</v>
      </c>
      <c r="D1051" s="90">
        <f>250*128</f>
        <v>32000</v>
      </c>
      <c r="E1051" s="91" t="s">
        <v>116</v>
      </c>
      <c r="F1051" s="92">
        <f>4500*2630</f>
        <v>11835000</v>
      </c>
    </row>
    <row r="1052" spans="1:7" s="53" customFormat="1" x14ac:dyDescent="0.35">
      <c r="A1052" s="223"/>
      <c r="B1052" s="88"/>
      <c r="C1052" s="89" t="s">
        <v>117</v>
      </c>
      <c r="D1052" s="90">
        <f>5600*128</f>
        <v>716800</v>
      </c>
      <c r="E1052" s="93" t="s">
        <v>118</v>
      </c>
      <c r="F1052" s="94">
        <f>(2700*2630)+(1800*2630)</f>
        <v>11835000</v>
      </c>
    </row>
    <row r="1053" spans="1:7" s="53" customFormat="1" ht="15" thickBot="1" x14ac:dyDescent="0.4">
      <c r="A1053" s="223"/>
      <c r="B1053" s="88" t="s">
        <v>119</v>
      </c>
      <c r="C1053" s="89" t="s">
        <v>120</v>
      </c>
      <c r="D1053" s="95">
        <v>30000</v>
      </c>
      <c r="E1053" s="96" t="s">
        <v>121</v>
      </c>
      <c r="F1053" s="97">
        <f>F1051-F1052</f>
        <v>0</v>
      </c>
      <c r="G1053" s="98">
        <f>F1053/2630</f>
        <v>0</v>
      </c>
    </row>
    <row r="1054" spans="1:7" s="53" customFormat="1" ht="15" thickTop="1" x14ac:dyDescent="0.35">
      <c r="A1054" s="223"/>
      <c r="B1054" s="88"/>
      <c r="C1054" s="99" t="s">
        <v>123</v>
      </c>
      <c r="D1054" s="100">
        <v>15000</v>
      </c>
      <c r="F1054" s="94"/>
    </row>
    <row r="1055" spans="1:7" s="53" customFormat="1" x14ac:dyDescent="0.35">
      <c r="A1055" s="223"/>
      <c r="B1055" s="88" t="s">
        <v>399</v>
      </c>
      <c r="C1055" s="99" t="s">
        <v>126</v>
      </c>
      <c r="D1055" s="100">
        <v>30000</v>
      </c>
      <c r="E1055" s="91" t="s">
        <v>124</v>
      </c>
      <c r="F1055" s="92"/>
    </row>
    <row r="1056" spans="1:7" s="53" customFormat="1" x14ac:dyDescent="0.35">
      <c r="A1056" s="223"/>
      <c r="B1056" s="101"/>
      <c r="C1056" s="89" t="s">
        <v>122</v>
      </c>
      <c r="D1056" s="100">
        <v>75000</v>
      </c>
      <c r="E1056" s="102"/>
      <c r="F1056" s="103"/>
    </row>
    <row r="1057" spans="1:6" s="53" customFormat="1" x14ac:dyDescent="0.35">
      <c r="A1057" s="223"/>
      <c r="B1057" s="101"/>
      <c r="C1057" s="99" t="s">
        <v>315</v>
      </c>
      <c r="D1057" s="100">
        <f>100*160</f>
        <v>16000</v>
      </c>
      <c r="E1057" s="102" t="s">
        <v>127</v>
      </c>
      <c r="F1057" s="103"/>
    </row>
    <row r="1058" spans="1:6" s="53" customFormat="1" x14ac:dyDescent="0.35">
      <c r="A1058" s="223"/>
      <c r="B1058" s="101"/>
      <c r="C1058" s="89"/>
      <c r="D1058" s="90"/>
      <c r="E1058" s="102" t="s">
        <v>430</v>
      </c>
      <c r="F1058" s="103"/>
    </row>
    <row r="1059" spans="1:6" s="53" customFormat="1" ht="15" thickBot="1" x14ac:dyDescent="0.4">
      <c r="A1059" s="223"/>
      <c r="B1059" s="105"/>
      <c r="C1059" s="106"/>
      <c r="D1059" s="107"/>
      <c r="E1059" s="53" t="s">
        <v>587</v>
      </c>
      <c r="F1059" s="94"/>
    </row>
    <row r="1060" spans="1:6" s="53" customFormat="1" ht="15" thickBot="1" x14ac:dyDescent="0.4">
      <c r="A1060" s="223"/>
      <c r="B1060" s="108"/>
      <c r="C1060" s="109" t="s">
        <v>129</v>
      </c>
      <c r="D1060" s="110">
        <f>SUM(D1047:D1059)</f>
        <v>8946200</v>
      </c>
      <c r="F1060" s="94"/>
    </row>
    <row r="1061" spans="1:6" s="53" customFormat="1" ht="15.5" thickTop="1" thickBot="1" x14ac:dyDescent="0.4">
      <c r="A1061" s="224"/>
      <c r="B1061" s="226"/>
      <c r="C1061" s="226"/>
      <c r="D1061" s="226"/>
      <c r="F1061" s="94"/>
    </row>
    <row r="1062" spans="1:6" s="53" customFormat="1" x14ac:dyDescent="0.35">
      <c r="B1062" s="87"/>
      <c r="C1062" s="53" t="s">
        <v>130</v>
      </c>
      <c r="D1062" s="111">
        <f>D1044-D1060</f>
        <v>2888800</v>
      </c>
      <c r="F1062" s="94"/>
    </row>
    <row r="1063" spans="1:6" s="53" customFormat="1" x14ac:dyDescent="0.35">
      <c r="B1063" s="87"/>
      <c r="D1063" s="111"/>
      <c r="F1063" s="94"/>
    </row>
    <row r="1064" spans="1:6" s="53" customFormat="1" x14ac:dyDescent="0.35">
      <c r="A1064" s="112"/>
      <c r="B1064" s="113"/>
      <c r="C1064" s="112"/>
      <c r="D1064" s="114"/>
      <c r="E1064" s="112"/>
      <c r="F1064" s="178"/>
    </row>
    <row r="1067" spans="1:6" s="53" customFormat="1" ht="23.5" x14ac:dyDescent="0.55000000000000004">
      <c r="B1067" s="227" t="s">
        <v>0</v>
      </c>
      <c r="C1067" s="227"/>
      <c r="D1067" s="227"/>
      <c r="E1067" s="70"/>
      <c r="F1067" s="176"/>
    </row>
    <row r="1068" spans="1:6" s="53" customFormat="1" ht="20.5" x14ac:dyDescent="0.45">
      <c r="B1068" s="71"/>
      <c r="C1068" s="72" t="s">
        <v>404</v>
      </c>
      <c r="D1068" s="73"/>
      <c r="F1068" s="94"/>
    </row>
    <row r="1069" spans="1:6" s="53" customFormat="1" ht="21" thickBot="1" x14ac:dyDescent="0.5">
      <c r="B1069" s="71" t="s">
        <v>218</v>
      </c>
      <c r="C1069" s="74" t="s">
        <v>103</v>
      </c>
      <c r="D1069" s="73"/>
      <c r="F1069" s="94"/>
    </row>
    <row r="1070" spans="1:6" s="53" customFormat="1" ht="15" thickBot="1" x14ac:dyDescent="0.4">
      <c r="A1070" s="75" t="s">
        <v>104</v>
      </c>
      <c r="B1070" s="76" t="s">
        <v>81</v>
      </c>
      <c r="C1070" s="76" t="s">
        <v>105</v>
      </c>
      <c r="D1070" s="77" t="s">
        <v>84</v>
      </c>
      <c r="F1070" s="94"/>
    </row>
    <row r="1071" spans="1:6" s="53" customFormat="1" ht="14.5" customHeight="1" x14ac:dyDescent="0.35">
      <c r="A1071" s="222" t="s">
        <v>88</v>
      </c>
      <c r="B1071" s="78" t="s">
        <v>405</v>
      </c>
      <c r="C1071" s="79" t="s">
        <v>187</v>
      </c>
      <c r="D1071" s="80">
        <f>F1078</f>
        <v>10865000</v>
      </c>
      <c r="F1071" s="94"/>
    </row>
    <row r="1072" spans="1:6" s="53" customFormat="1" ht="21" thickBot="1" x14ac:dyDescent="0.5">
      <c r="A1072" s="223"/>
      <c r="B1072" s="71"/>
      <c r="C1072" s="71"/>
      <c r="D1072" s="73"/>
      <c r="F1072" s="94"/>
    </row>
    <row r="1073" spans="1:7" s="53" customFormat="1" ht="15" thickBot="1" x14ac:dyDescent="0.4">
      <c r="A1073" s="223"/>
      <c r="B1073" s="81" t="s">
        <v>81</v>
      </c>
      <c r="C1073" s="82" t="s">
        <v>107</v>
      </c>
      <c r="D1073" s="83" t="s">
        <v>108</v>
      </c>
      <c r="F1073" s="94"/>
    </row>
    <row r="1074" spans="1:7" s="87" customFormat="1" x14ac:dyDescent="0.35">
      <c r="A1074" s="223"/>
      <c r="B1074" s="84" t="str">
        <f>B1071</f>
        <v>22nd March,2025</v>
      </c>
      <c r="C1074" s="85" t="s">
        <v>373</v>
      </c>
      <c r="D1074" s="86">
        <f>2000*2880</f>
        <v>5760000</v>
      </c>
      <c r="F1074" s="177"/>
    </row>
    <row r="1075" spans="1:7" s="53" customFormat="1" x14ac:dyDescent="0.35">
      <c r="A1075" s="223"/>
      <c r="B1075" s="88"/>
      <c r="C1075" s="89" t="s">
        <v>188</v>
      </c>
      <c r="D1075" s="90">
        <f>325*2650</f>
        <v>861250</v>
      </c>
      <c r="F1075" s="94"/>
    </row>
    <row r="1076" spans="1:7" s="53" customFormat="1" x14ac:dyDescent="0.35">
      <c r="A1076" s="223"/>
      <c r="B1076" s="88" t="s">
        <v>109</v>
      </c>
      <c r="C1076" s="89" t="s">
        <v>110</v>
      </c>
      <c r="D1076" s="90">
        <v>1000000</v>
      </c>
      <c r="F1076" s="94"/>
    </row>
    <row r="1077" spans="1:7" s="53" customFormat="1" x14ac:dyDescent="0.35">
      <c r="A1077" s="223"/>
      <c r="B1077" s="88" t="s">
        <v>111</v>
      </c>
      <c r="C1077" s="89" t="s">
        <v>112</v>
      </c>
      <c r="D1077" s="90">
        <v>40000</v>
      </c>
      <c r="E1077" s="225" t="s">
        <v>113</v>
      </c>
      <c r="F1077" s="225"/>
    </row>
    <row r="1078" spans="1:7" s="53" customFormat="1" x14ac:dyDescent="0.35">
      <c r="A1078" s="223"/>
      <c r="B1078" s="88" t="s">
        <v>182</v>
      </c>
      <c r="C1078" s="89" t="s">
        <v>115</v>
      </c>
      <c r="D1078" s="90">
        <f>450*120</f>
        <v>54000</v>
      </c>
      <c r="E1078" s="91" t="s">
        <v>116</v>
      </c>
      <c r="F1078" s="92">
        <f>4100*2650</f>
        <v>10865000</v>
      </c>
    </row>
    <row r="1079" spans="1:7" s="53" customFormat="1" x14ac:dyDescent="0.35">
      <c r="A1079" s="223"/>
      <c r="B1079" s="88"/>
      <c r="C1079" s="89" t="s">
        <v>117</v>
      </c>
      <c r="D1079" s="90">
        <f>2500*120</f>
        <v>300000</v>
      </c>
      <c r="E1079" s="93" t="s">
        <v>118</v>
      </c>
      <c r="F1079" s="103">
        <f>4100*2650</f>
        <v>10865000</v>
      </c>
    </row>
    <row r="1080" spans="1:7" s="53" customFormat="1" ht="15" thickBot="1" x14ac:dyDescent="0.4">
      <c r="A1080" s="223"/>
      <c r="B1080" s="88" t="s">
        <v>119</v>
      </c>
      <c r="C1080" s="89" t="s">
        <v>120</v>
      </c>
      <c r="D1080" s="95">
        <v>30000</v>
      </c>
      <c r="E1080" s="96" t="s">
        <v>121</v>
      </c>
      <c r="F1080" s="97">
        <f>F1078-F1079</f>
        <v>0</v>
      </c>
      <c r="G1080" s="98">
        <f>F1080/2650</f>
        <v>0</v>
      </c>
    </row>
    <row r="1081" spans="1:7" s="53" customFormat="1" ht="15" thickTop="1" x14ac:dyDescent="0.35">
      <c r="A1081" s="223"/>
      <c r="B1081" s="88"/>
      <c r="C1081" s="89" t="s">
        <v>122</v>
      </c>
      <c r="D1081" s="90">
        <v>140000</v>
      </c>
      <c r="F1081" s="94"/>
    </row>
    <row r="1082" spans="1:7" s="53" customFormat="1" x14ac:dyDescent="0.35">
      <c r="A1082" s="223"/>
      <c r="B1082" s="88" t="s">
        <v>403</v>
      </c>
      <c r="C1082" s="99" t="s">
        <v>123</v>
      </c>
      <c r="D1082" s="90">
        <v>15000</v>
      </c>
      <c r="E1082" s="91" t="s">
        <v>124</v>
      </c>
      <c r="F1082" s="92"/>
    </row>
    <row r="1083" spans="1:7" s="53" customFormat="1" x14ac:dyDescent="0.35">
      <c r="A1083" s="223"/>
      <c r="B1083" s="101"/>
      <c r="C1083" s="99" t="s">
        <v>125</v>
      </c>
      <c r="D1083" s="100">
        <v>10000</v>
      </c>
      <c r="E1083" s="102"/>
      <c r="F1083" s="103"/>
    </row>
    <row r="1084" spans="1:7" s="53" customFormat="1" x14ac:dyDescent="0.35">
      <c r="A1084" s="223"/>
      <c r="B1084" s="101"/>
      <c r="C1084" s="99" t="s">
        <v>126</v>
      </c>
      <c r="D1084" s="100">
        <v>30000</v>
      </c>
      <c r="E1084" s="102" t="s">
        <v>127</v>
      </c>
      <c r="F1084" s="103"/>
    </row>
    <row r="1085" spans="1:7" s="53" customFormat="1" x14ac:dyDescent="0.35">
      <c r="A1085" s="223"/>
      <c r="B1085" s="101"/>
      <c r="C1085" s="89" t="s">
        <v>265</v>
      </c>
      <c r="D1085" s="104">
        <f>1056*124</f>
        <v>130944</v>
      </c>
      <c r="E1085" s="102" t="s">
        <v>657</v>
      </c>
      <c r="F1085" s="103"/>
    </row>
    <row r="1086" spans="1:7" s="53" customFormat="1" ht="15" thickBot="1" x14ac:dyDescent="0.4">
      <c r="A1086" s="223"/>
      <c r="B1086" s="105"/>
      <c r="C1086" s="106"/>
      <c r="D1086" s="107"/>
      <c r="F1086" s="94"/>
    </row>
    <row r="1087" spans="1:7" s="53" customFormat="1" ht="15" thickBot="1" x14ac:dyDescent="0.4">
      <c r="A1087" s="223"/>
      <c r="B1087" s="108"/>
      <c r="C1087" s="109" t="s">
        <v>129</v>
      </c>
      <c r="D1087" s="110">
        <f>SUM(D1074:D1086)</f>
        <v>8371194</v>
      </c>
      <c r="F1087" s="94"/>
    </row>
    <row r="1088" spans="1:7" s="53" customFormat="1" ht="15.5" thickTop="1" thickBot="1" x14ac:dyDescent="0.4">
      <c r="A1088" s="224"/>
      <c r="B1088" s="226"/>
      <c r="C1088" s="226"/>
      <c r="D1088" s="226"/>
      <c r="F1088" s="94"/>
    </row>
    <row r="1089" spans="1:6" s="53" customFormat="1" x14ac:dyDescent="0.35">
      <c r="B1089" s="87"/>
      <c r="C1089" s="53" t="s">
        <v>130</v>
      </c>
      <c r="D1089" s="111">
        <f>D1071-D1087</f>
        <v>2493806</v>
      </c>
      <c r="F1089" s="94"/>
    </row>
    <row r="1090" spans="1:6" s="53" customFormat="1" x14ac:dyDescent="0.35">
      <c r="B1090" s="87"/>
      <c r="D1090" s="111"/>
      <c r="F1090" s="94"/>
    </row>
    <row r="1091" spans="1:6" s="53" customFormat="1" x14ac:dyDescent="0.35">
      <c r="A1091" s="112"/>
      <c r="B1091" s="113"/>
      <c r="C1091" s="112"/>
      <c r="D1091" s="114"/>
      <c r="E1091" s="112"/>
      <c r="F1091" s="178"/>
    </row>
    <row r="1094" spans="1:6" s="53" customFormat="1" ht="23.5" x14ac:dyDescent="0.55000000000000004">
      <c r="B1094" s="227" t="s">
        <v>0</v>
      </c>
      <c r="C1094" s="227"/>
      <c r="D1094" s="227"/>
      <c r="E1094" s="70"/>
      <c r="F1094" s="176"/>
    </row>
    <row r="1095" spans="1:6" s="53" customFormat="1" ht="20.5" x14ac:dyDescent="0.45">
      <c r="B1095" s="71"/>
      <c r="C1095" s="72" t="s">
        <v>408</v>
      </c>
      <c r="D1095" s="73"/>
      <c r="F1095" s="94"/>
    </row>
    <row r="1096" spans="1:6" s="53" customFormat="1" ht="21" thickBot="1" x14ac:dyDescent="0.5">
      <c r="B1096" s="71" t="s">
        <v>102</v>
      </c>
      <c r="C1096" s="74" t="s">
        <v>103</v>
      </c>
      <c r="D1096" s="73"/>
      <c r="F1096" s="94"/>
    </row>
    <row r="1097" spans="1:6" s="53" customFormat="1" ht="15" thickBot="1" x14ac:dyDescent="0.4">
      <c r="A1097" s="75" t="s">
        <v>104</v>
      </c>
      <c r="B1097" s="76" t="s">
        <v>81</v>
      </c>
      <c r="C1097" s="76" t="s">
        <v>105</v>
      </c>
      <c r="D1097" s="77" t="s">
        <v>84</v>
      </c>
      <c r="F1097" s="94"/>
    </row>
    <row r="1098" spans="1:6" s="53" customFormat="1" ht="14.5" customHeight="1" x14ac:dyDescent="0.35">
      <c r="A1098" s="222" t="s">
        <v>88</v>
      </c>
      <c r="B1098" s="78" t="s">
        <v>405</v>
      </c>
      <c r="C1098" s="79" t="s">
        <v>187</v>
      </c>
      <c r="D1098" s="80">
        <f>F1105</f>
        <v>10865000</v>
      </c>
      <c r="F1098" s="94"/>
    </row>
    <row r="1099" spans="1:6" s="53" customFormat="1" ht="21" thickBot="1" x14ac:dyDescent="0.5">
      <c r="A1099" s="223"/>
      <c r="B1099" s="71"/>
      <c r="C1099" s="71"/>
      <c r="D1099" s="73"/>
      <c r="F1099" s="94"/>
    </row>
    <row r="1100" spans="1:6" s="53" customFormat="1" ht="15" thickBot="1" x14ac:dyDescent="0.4">
      <c r="A1100" s="223"/>
      <c r="B1100" s="81" t="s">
        <v>81</v>
      </c>
      <c r="C1100" s="82" t="s">
        <v>107</v>
      </c>
      <c r="D1100" s="83" t="s">
        <v>108</v>
      </c>
      <c r="F1100" s="94"/>
    </row>
    <row r="1101" spans="1:6" s="87" customFormat="1" x14ac:dyDescent="0.35">
      <c r="A1101" s="223"/>
      <c r="B1101" s="84" t="str">
        <f>B1098</f>
        <v>22nd March,2025</v>
      </c>
      <c r="C1101" s="85" t="s">
        <v>373</v>
      </c>
      <c r="D1101" s="86">
        <f>2000*2880</f>
        <v>5760000</v>
      </c>
      <c r="F1101" s="177"/>
    </row>
    <row r="1102" spans="1:6" s="53" customFormat="1" x14ac:dyDescent="0.35">
      <c r="A1102" s="223"/>
      <c r="B1102" s="88"/>
      <c r="C1102" s="89" t="s">
        <v>188</v>
      </c>
      <c r="D1102" s="90">
        <f>325*2650</f>
        <v>861250</v>
      </c>
      <c r="F1102" s="94"/>
    </row>
    <row r="1103" spans="1:6" s="53" customFormat="1" x14ac:dyDescent="0.35">
      <c r="A1103" s="223"/>
      <c r="B1103" s="88" t="s">
        <v>109</v>
      </c>
      <c r="C1103" s="89" t="s">
        <v>110</v>
      </c>
      <c r="D1103" s="90">
        <v>1000000</v>
      </c>
      <c r="F1103" s="94"/>
    </row>
    <row r="1104" spans="1:6" s="53" customFormat="1" x14ac:dyDescent="0.35">
      <c r="A1104" s="223"/>
      <c r="B1104" s="88" t="s">
        <v>111</v>
      </c>
      <c r="C1104" s="89" t="s">
        <v>112</v>
      </c>
      <c r="D1104" s="90">
        <v>40000</v>
      </c>
      <c r="E1104" s="225" t="s">
        <v>113</v>
      </c>
      <c r="F1104" s="225"/>
    </row>
    <row r="1105" spans="1:7" s="53" customFormat="1" x14ac:dyDescent="0.35">
      <c r="A1105" s="223"/>
      <c r="B1105" s="88" t="s">
        <v>182</v>
      </c>
      <c r="C1105" s="89" t="s">
        <v>115</v>
      </c>
      <c r="D1105" s="90">
        <f>500*120</f>
        <v>60000</v>
      </c>
      <c r="E1105" s="91" t="s">
        <v>116</v>
      </c>
      <c r="F1105" s="92">
        <f>4100*2650</f>
        <v>10865000</v>
      </c>
    </row>
    <row r="1106" spans="1:7" s="53" customFormat="1" x14ac:dyDescent="0.35">
      <c r="A1106" s="223"/>
      <c r="B1106" s="88"/>
      <c r="C1106" s="89" t="s">
        <v>117</v>
      </c>
      <c r="D1106" s="90">
        <f>3500*120</f>
        <v>420000</v>
      </c>
      <c r="E1106" s="93" t="s">
        <v>118</v>
      </c>
      <c r="F1106" s="103">
        <f>4100*2650</f>
        <v>10865000</v>
      </c>
    </row>
    <row r="1107" spans="1:7" s="53" customFormat="1" ht="15" thickBot="1" x14ac:dyDescent="0.4">
      <c r="A1107" s="223"/>
      <c r="B1107" s="88" t="s">
        <v>119</v>
      </c>
      <c r="C1107" s="89" t="s">
        <v>120</v>
      </c>
      <c r="D1107" s="95">
        <v>30000</v>
      </c>
      <c r="E1107" s="96" t="s">
        <v>121</v>
      </c>
      <c r="F1107" s="97">
        <f>F1105-F1106</f>
        <v>0</v>
      </c>
      <c r="G1107" s="98">
        <f>F1107/2650</f>
        <v>0</v>
      </c>
    </row>
    <row r="1108" spans="1:7" s="53" customFormat="1" ht="15" thickTop="1" x14ac:dyDescent="0.35">
      <c r="A1108" s="223"/>
      <c r="B1108" s="88"/>
      <c r="C1108" s="89" t="s">
        <v>122</v>
      </c>
      <c r="D1108" s="90">
        <v>140000</v>
      </c>
      <c r="F1108" s="94"/>
    </row>
    <row r="1109" spans="1:7" s="53" customFormat="1" x14ac:dyDescent="0.35">
      <c r="A1109" s="223"/>
      <c r="B1109" s="88" t="s">
        <v>406</v>
      </c>
      <c r="C1109" s="99" t="s">
        <v>123</v>
      </c>
      <c r="D1109" s="90">
        <v>15000</v>
      </c>
      <c r="E1109" s="91" t="s">
        <v>124</v>
      </c>
      <c r="F1109" s="92"/>
    </row>
    <row r="1110" spans="1:7" s="53" customFormat="1" x14ac:dyDescent="0.35">
      <c r="A1110" s="223"/>
      <c r="B1110" s="101"/>
      <c r="C1110" s="99" t="s">
        <v>125</v>
      </c>
      <c r="D1110" s="100">
        <v>10000</v>
      </c>
      <c r="E1110" s="102"/>
      <c r="F1110" s="103"/>
    </row>
    <row r="1111" spans="1:7" s="53" customFormat="1" x14ac:dyDescent="0.35">
      <c r="A1111" s="223"/>
      <c r="B1111" s="101"/>
      <c r="C1111" s="99" t="s">
        <v>126</v>
      </c>
      <c r="D1111" s="100">
        <v>300000</v>
      </c>
      <c r="E1111" s="102" t="s">
        <v>127</v>
      </c>
      <c r="F1111" s="103"/>
    </row>
    <row r="1112" spans="1:7" s="53" customFormat="1" x14ac:dyDescent="0.35">
      <c r="A1112" s="223"/>
      <c r="B1112" s="101"/>
      <c r="C1112" s="89" t="s">
        <v>265</v>
      </c>
      <c r="D1112" s="104">
        <f>3611*123</f>
        <v>444153</v>
      </c>
      <c r="E1112" s="102" t="s">
        <v>658</v>
      </c>
      <c r="F1112" s="103"/>
    </row>
    <row r="1113" spans="1:7" s="53" customFormat="1" ht="15" thickBot="1" x14ac:dyDescent="0.4">
      <c r="A1113" s="223"/>
      <c r="B1113" s="105"/>
      <c r="C1113" s="106"/>
      <c r="D1113" s="107"/>
      <c r="F1113" s="94"/>
    </row>
    <row r="1114" spans="1:7" s="53" customFormat="1" ht="15" thickBot="1" x14ac:dyDescent="0.4">
      <c r="A1114" s="223"/>
      <c r="B1114" s="108"/>
      <c r="C1114" s="109" t="s">
        <v>129</v>
      </c>
      <c r="D1114" s="110">
        <f>SUM(D1101:D1113)</f>
        <v>9080403</v>
      </c>
      <c r="F1114" s="94"/>
    </row>
    <row r="1115" spans="1:7" s="53" customFormat="1" ht="15.5" thickTop="1" thickBot="1" x14ac:dyDescent="0.4">
      <c r="A1115" s="224"/>
      <c r="B1115" s="226"/>
      <c r="C1115" s="226"/>
      <c r="D1115" s="226"/>
      <c r="F1115" s="94"/>
    </row>
    <row r="1116" spans="1:7" s="53" customFormat="1" x14ac:dyDescent="0.35">
      <c r="B1116" s="87"/>
      <c r="C1116" s="53" t="s">
        <v>130</v>
      </c>
      <c r="D1116" s="111">
        <f>D1098-D1114</f>
        <v>1784597</v>
      </c>
      <c r="F1116" s="94"/>
    </row>
    <row r="1117" spans="1:7" s="53" customFormat="1" x14ac:dyDescent="0.35">
      <c r="B1117" s="87"/>
      <c r="D1117" s="111"/>
      <c r="F1117" s="94"/>
    </row>
    <row r="1118" spans="1:7" s="53" customFormat="1" x14ac:dyDescent="0.35">
      <c r="A1118" s="112"/>
      <c r="B1118" s="113"/>
      <c r="C1118" s="112"/>
      <c r="D1118" s="114"/>
      <c r="E1118" s="112"/>
      <c r="F1118" s="178"/>
    </row>
    <row r="1120" spans="1:7" s="53" customFormat="1" ht="23.5" x14ac:dyDescent="0.55000000000000004">
      <c r="B1120" s="227" t="s">
        <v>0</v>
      </c>
      <c r="C1120" s="227"/>
      <c r="D1120" s="227"/>
      <c r="E1120" s="70"/>
      <c r="F1120" s="176"/>
    </row>
    <row r="1121" spans="1:7" s="53" customFormat="1" ht="20.5" x14ac:dyDescent="0.45">
      <c r="B1121" s="71"/>
      <c r="C1121" s="72" t="s">
        <v>411</v>
      </c>
      <c r="D1121" s="73"/>
      <c r="F1121" s="94"/>
    </row>
    <row r="1122" spans="1:7" s="53" customFormat="1" ht="21" thickBot="1" x14ac:dyDescent="0.5">
      <c r="B1122" s="71" t="s">
        <v>334</v>
      </c>
      <c r="C1122" s="74" t="s">
        <v>103</v>
      </c>
      <c r="D1122" s="73"/>
      <c r="F1122" s="94"/>
    </row>
    <row r="1123" spans="1:7" s="53" customFormat="1" ht="15" thickBot="1" x14ac:dyDescent="0.4">
      <c r="A1123" s="75" t="s">
        <v>104</v>
      </c>
      <c r="B1123" s="76" t="s">
        <v>81</v>
      </c>
      <c r="C1123" s="76" t="s">
        <v>105</v>
      </c>
      <c r="D1123" s="77" t="s">
        <v>84</v>
      </c>
      <c r="F1123" s="94"/>
    </row>
    <row r="1124" spans="1:7" s="53" customFormat="1" ht="14.5" customHeight="1" x14ac:dyDescent="0.35">
      <c r="A1124" s="222" t="s">
        <v>88</v>
      </c>
      <c r="B1124" s="78" t="s">
        <v>405</v>
      </c>
      <c r="C1124" s="79" t="s">
        <v>187</v>
      </c>
      <c r="D1124" s="80">
        <f>F1131</f>
        <v>10865000</v>
      </c>
      <c r="F1124" s="94"/>
    </row>
    <row r="1125" spans="1:7" s="53" customFormat="1" ht="21" thickBot="1" x14ac:dyDescent="0.5">
      <c r="A1125" s="223"/>
      <c r="B1125" s="71"/>
      <c r="C1125" s="71"/>
      <c r="D1125" s="73"/>
      <c r="F1125" s="94"/>
    </row>
    <row r="1126" spans="1:7" s="53" customFormat="1" ht="15" thickBot="1" x14ac:dyDescent="0.4">
      <c r="A1126" s="223"/>
      <c r="B1126" s="81" t="s">
        <v>81</v>
      </c>
      <c r="C1126" s="82" t="s">
        <v>107</v>
      </c>
      <c r="D1126" s="83" t="s">
        <v>108</v>
      </c>
      <c r="F1126" s="94"/>
    </row>
    <row r="1127" spans="1:7" s="87" customFormat="1" x14ac:dyDescent="0.35">
      <c r="A1127" s="223"/>
      <c r="B1127" s="84" t="str">
        <f>B1124</f>
        <v>22nd March,2025</v>
      </c>
      <c r="C1127" s="85" t="s">
        <v>373</v>
      </c>
      <c r="D1127" s="86">
        <f>2000*2880</f>
        <v>5760000</v>
      </c>
      <c r="F1127" s="177"/>
    </row>
    <row r="1128" spans="1:7" s="53" customFormat="1" x14ac:dyDescent="0.35">
      <c r="A1128" s="223"/>
      <c r="B1128" s="88"/>
      <c r="C1128" s="89" t="s">
        <v>188</v>
      </c>
      <c r="D1128" s="90">
        <f>325*2650</f>
        <v>861250</v>
      </c>
      <c r="F1128" s="94"/>
    </row>
    <row r="1129" spans="1:7" s="53" customFormat="1" x14ac:dyDescent="0.35">
      <c r="A1129" s="223"/>
      <c r="B1129" s="88" t="s">
        <v>109</v>
      </c>
      <c r="C1129" s="89" t="s">
        <v>110</v>
      </c>
      <c r="D1129" s="90">
        <v>1000000</v>
      </c>
      <c r="F1129" s="94"/>
    </row>
    <row r="1130" spans="1:7" s="53" customFormat="1" x14ac:dyDescent="0.35">
      <c r="A1130" s="223"/>
      <c r="B1130" s="88" t="s">
        <v>111</v>
      </c>
      <c r="C1130" s="89" t="s">
        <v>112</v>
      </c>
      <c r="D1130" s="90">
        <v>40000</v>
      </c>
      <c r="E1130" s="225" t="s">
        <v>113</v>
      </c>
      <c r="F1130" s="225"/>
    </row>
    <row r="1131" spans="1:7" s="53" customFormat="1" x14ac:dyDescent="0.35">
      <c r="A1131" s="223"/>
      <c r="B1131" s="88" t="s">
        <v>182</v>
      </c>
      <c r="C1131" s="89" t="s">
        <v>115</v>
      </c>
      <c r="D1131" s="90">
        <f>250*120</f>
        <v>30000</v>
      </c>
      <c r="E1131" s="91" t="s">
        <v>116</v>
      </c>
      <c r="F1131" s="92">
        <f>4100*2650</f>
        <v>10865000</v>
      </c>
    </row>
    <row r="1132" spans="1:7" s="53" customFormat="1" x14ac:dyDescent="0.35">
      <c r="A1132" s="223"/>
      <c r="B1132" s="88"/>
      <c r="C1132" s="89" t="s">
        <v>117</v>
      </c>
      <c r="D1132" s="90">
        <f>3450*120</f>
        <v>414000</v>
      </c>
      <c r="E1132" s="93" t="s">
        <v>118</v>
      </c>
      <c r="F1132" s="103">
        <f>4100*2650</f>
        <v>10865000</v>
      </c>
    </row>
    <row r="1133" spans="1:7" s="53" customFormat="1" ht="15" thickBot="1" x14ac:dyDescent="0.4">
      <c r="A1133" s="223"/>
      <c r="B1133" s="88" t="s">
        <v>119</v>
      </c>
      <c r="C1133" s="89" t="s">
        <v>120</v>
      </c>
      <c r="D1133" s="95">
        <v>30000</v>
      </c>
      <c r="E1133" s="96" t="s">
        <v>121</v>
      </c>
      <c r="F1133" s="97">
        <f>F1131-F1132</f>
        <v>0</v>
      </c>
      <c r="G1133" s="98">
        <f>F1133/2650</f>
        <v>0</v>
      </c>
    </row>
    <row r="1134" spans="1:7" s="53" customFormat="1" ht="15" thickTop="1" x14ac:dyDescent="0.35">
      <c r="A1134" s="223"/>
      <c r="B1134" s="88"/>
      <c r="C1134" s="89" t="s">
        <v>122</v>
      </c>
      <c r="D1134" s="90">
        <v>140000</v>
      </c>
      <c r="F1134" s="94"/>
    </row>
    <row r="1135" spans="1:7" s="53" customFormat="1" x14ac:dyDescent="0.35">
      <c r="A1135" s="223"/>
      <c r="B1135" s="88" t="s">
        <v>410</v>
      </c>
      <c r="C1135" s="99" t="s">
        <v>123</v>
      </c>
      <c r="D1135" s="90">
        <v>15000</v>
      </c>
      <c r="E1135" s="91" t="s">
        <v>124</v>
      </c>
      <c r="F1135" s="92"/>
    </row>
    <row r="1136" spans="1:7" s="53" customFormat="1" x14ac:dyDescent="0.35">
      <c r="A1136" s="223"/>
      <c r="B1136" s="101"/>
      <c r="C1136" s="99" t="s">
        <v>125</v>
      </c>
      <c r="D1136" s="100">
        <v>10000</v>
      </c>
      <c r="E1136" s="102"/>
      <c r="F1136" s="103"/>
    </row>
    <row r="1137" spans="1:6" s="53" customFormat="1" x14ac:dyDescent="0.35">
      <c r="A1137" s="223"/>
      <c r="B1137" s="101"/>
      <c r="C1137" s="99" t="s">
        <v>126</v>
      </c>
      <c r="D1137" s="100">
        <v>30000</v>
      </c>
      <c r="E1137" s="102" t="s">
        <v>127</v>
      </c>
      <c r="F1137" s="103"/>
    </row>
    <row r="1138" spans="1:6" s="53" customFormat="1" x14ac:dyDescent="0.35">
      <c r="A1138" s="223"/>
      <c r="B1138" s="101"/>
      <c r="C1138" s="89" t="s">
        <v>265</v>
      </c>
      <c r="D1138" s="104">
        <f>3380*123</f>
        <v>415740</v>
      </c>
      <c r="E1138" s="102" t="s">
        <v>658</v>
      </c>
      <c r="F1138" s="103"/>
    </row>
    <row r="1139" spans="1:6" s="53" customFormat="1" ht="15" thickBot="1" x14ac:dyDescent="0.4">
      <c r="A1139" s="223"/>
      <c r="B1139" s="105"/>
      <c r="C1139" s="106"/>
      <c r="D1139" s="107"/>
      <c r="F1139" s="94"/>
    </row>
    <row r="1140" spans="1:6" s="53" customFormat="1" ht="15" thickBot="1" x14ac:dyDescent="0.4">
      <c r="A1140" s="223"/>
      <c r="B1140" s="108"/>
      <c r="C1140" s="109" t="s">
        <v>129</v>
      </c>
      <c r="D1140" s="110">
        <f>SUM(D1127:D1139)</f>
        <v>8745990</v>
      </c>
      <c r="F1140" s="94"/>
    </row>
    <row r="1141" spans="1:6" s="53" customFormat="1" ht="15.5" thickTop="1" thickBot="1" x14ac:dyDescent="0.4">
      <c r="A1141" s="224"/>
      <c r="B1141" s="226"/>
      <c r="C1141" s="226"/>
      <c r="D1141" s="226"/>
      <c r="F1141" s="94"/>
    </row>
    <row r="1142" spans="1:6" s="53" customFormat="1" x14ac:dyDescent="0.35">
      <c r="B1142" s="87"/>
      <c r="C1142" s="53" t="s">
        <v>130</v>
      </c>
      <c r="D1142" s="111">
        <f>D1124-D1140</f>
        <v>2119010</v>
      </c>
      <c r="F1142" s="94"/>
    </row>
    <row r="1143" spans="1:6" s="53" customFormat="1" x14ac:dyDescent="0.35">
      <c r="B1143" s="87"/>
      <c r="D1143" s="111"/>
      <c r="F1143" s="94"/>
    </row>
    <row r="1144" spans="1:6" s="53" customFormat="1" x14ac:dyDescent="0.35">
      <c r="A1144" s="112"/>
      <c r="B1144" s="113"/>
      <c r="C1144" s="112"/>
      <c r="D1144" s="114"/>
      <c r="E1144" s="112"/>
      <c r="F1144" s="178"/>
    </row>
    <row r="1146" spans="1:6" s="53" customFormat="1" ht="23.5" x14ac:dyDescent="0.55000000000000004">
      <c r="B1146" s="227" t="s">
        <v>0</v>
      </c>
      <c r="C1146" s="227"/>
      <c r="D1146" s="227"/>
      <c r="E1146" s="70"/>
      <c r="F1146" s="176"/>
    </row>
    <row r="1147" spans="1:6" s="53" customFormat="1" ht="20.5" x14ac:dyDescent="0.45">
      <c r="B1147" s="71"/>
      <c r="C1147" s="72" t="s">
        <v>416</v>
      </c>
      <c r="D1147" s="73"/>
      <c r="F1147" s="94"/>
    </row>
    <row r="1148" spans="1:6" s="53" customFormat="1" ht="21" thickBot="1" x14ac:dyDescent="0.5">
      <c r="B1148" s="71" t="s">
        <v>156</v>
      </c>
      <c r="C1148" s="74" t="s">
        <v>103</v>
      </c>
      <c r="D1148" s="73"/>
      <c r="F1148" s="94"/>
    </row>
    <row r="1149" spans="1:6" s="53" customFormat="1" ht="15" thickBot="1" x14ac:dyDescent="0.4">
      <c r="A1149" s="75" t="s">
        <v>104</v>
      </c>
      <c r="B1149" s="76" t="s">
        <v>81</v>
      </c>
      <c r="C1149" s="76" t="s">
        <v>105</v>
      </c>
      <c r="D1149" s="77" t="s">
        <v>84</v>
      </c>
      <c r="F1149" s="94"/>
    </row>
    <row r="1150" spans="1:6" s="53" customFormat="1" ht="14.5" customHeight="1" x14ac:dyDescent="0.35">
      <c r="A1150" s="222" t="s">
        <v>88</v>
      </c>
      <c r="B1150" s="78" t="s">
        <v>417</v>
      </c>
      <c r="C1150" s="79" t="s">
        <v>106</v>
      </c>
      <c r="D1150" s="80">
        <f>F1157</f>
        <v>11835000</v>
      </c>
      <c r="F1150" s="94"/>
    </row>
    <row r="1151" spans="1:6" s="53" customFormat="1" ht="21" thickBot="1" x14ac:dyDescent="0.5">
      <c r="A1151" s="223"/>
      <c r="B1151" s="71"/>
      <c r="C1151" s="71"/>
      <c r="D1151" s="73"/>
      <c r="F1151" s="94"/>
    </row>
    <row r="1152" spans="1:6" s="53" customFormat="1" ht="15" thickBot="1" x14ac:dyDescent="0.4">
      <c r="A1152" s="223"/>
      <c r="B1152" s="81" t="s">
        <v>81</v>
      </c>
      <c r="C1152" s="82" t="s">
        <v>107</v>
      </c>
      <c r="D1152" s="83" t="s">
        <v>108</v>
      </c>
      <c r="F1152" s="94"/>
    </row>
    <row r="1153" spans="1:7" s="87" customFormat="1" x14ac:dyDescent="0.35">
      <c r="A1153" s="223"/>
      <c r="B1153" s="84" t="str">
        <f>B1150</f>
        <v>25th March,2025</v>
      </c>
      <c r="C1153" s="85" t="s">
        <v>387</v>
      </c>
      <c r="D1153" s="86">
        <f>2100*2880</f>
        <v>6048000</v>
      </c>
      <c r="F1153" s="177"/>
    </row>
    <row r="1154" spans="1:7" s="53" customFormat="1" x14ac:dyDescent="0.35">
      <c r="A1154" s="223"/>
      <c r="B1154" s="88"/>
      <c r="C1154" s="89" t="s">
        <v>388</v>
      </c>
      <c r="D1154" s="90">
        <f>356*2650</f>
        <v>943400</v>
      </c>
      <c r="F1154" s="94"/>
    </row>
    <row r="1155" spans="1:7" s="53" customFormat="1" x14ac:dyDescent="0.35">
      <c r="A1155" s="223"/>
      <c r="B1155" s="88" t="s">
        <v>109</v>
      </c>
      <c r="C1155" s="89" t="s">
        <v>110</v>
      </c>
      <c r="D1155" s="90">
        <v>1000000</v>
      </c>
      <c r="F1155" s="94"/>
    </row>
    <row r="1156" spans="1:7" s="53" customFormat="1" x14ac:dyDescent="0.35">
      <c r="A1156" s="223"/>
      <c r="B1156" s="88" t="s">
        <v>111</v>
      </c>
      <c r="C1156" s="89" t="s">
        <v>112</v>
      </c>
      <c r="D1156" s="90">
        <v>40000</v>
      </c>
      <c r="E1156" s="225" t="s">
        <v>113</v>
      </c>
      <c r="F1156" s="225"/>
    </row>
    <row r="1157" spans="1:7" s="53" customFormat="1" x14ac:dyDescent="0.35">
      <c r="A1157" s="223"/>
      <c r="B1157" s="88" t="s">
        <v>415</v>
      </c>
      <c r="C1157" s="89" t="s">
        <v>115</v>
      </c>
      <c r="D1157" s="90">
        <f>770*128</f>
        <v>98560</v>
      </c>
      <c r="E1157" s="91" t="s">
        <v>116</v>
      </c>
      <c r="F1157" s="92">
        <f>4500*2630</f>
        <v>11835000</v>
      </c>
    </row>
    <row r="1158" spans="1:7" s="53" customFormat="1" x14ac:dyDescent="0.35">
      <c r="A1158" s="223"/>
      <c r="B1158" s="88"/>
      <c r="C1158" s="89" t="s">
        <v>117</v>
      </c>
      <c r="D1158" s="90">
        <f>2500*128</f>
        <v>320000</v>
      </c>
      <c r="E1158" s="93" t="s">
        <v>118</v>
      </c>
      <c r="F1158" s="94">
        <f>(2700*2630)+(1800*2630)</f>
        <v>11835000</v>
      </c>
    </row>
    <row r="1159" spans="1:7" s="53" customFormat="1" ht="15" thickBot="1" x14ac:dyDescent="0.4">
      <c r="A1159" s="223"/>
      <c r="B1159" s="88" t="s">
        <v>119</v>
      </c>
      <c r="C1159" s="89" t="s">
        <v>120</v>
      </c>
      <c r="D1159" s="95">
        <v>30000</v>
      </c>
      <c r="E1159" s="96" t="s">
        <v>121</v>
      </c>
      <c r="F1159" s="97">
        <f>F1157-F1158</f>
        <v>0</v>
      </c>
      <c r="G1159" s="98">
        <f>F1159/2630</f>
        <v>0</v>
      </c>
    </row>
    <row r="1160" spans="1:7" s="53" customFormat="1" ht="15" thickTop="1" x14ac:dyDescent="0.35">
      <c r="A1160" s="223"/>
      <c r="B1160" s="88"/>
      <c r="C1160" s="99" t="s">
        <v>123</v>
      </c>
      <c r="D1160" s="100">
        <v>15000</v>
      </c>
      <c r="F1160" s="94"/>
    </row>
    <row r="1161" spans="1:7" s="53" customFormat="1" x14ac:dyDescent="0.35">
      <c r="A1161" s="223"/>
      <c r="B1161" s="88" t="s">
        <v>213</v>
      </c>
      <c r="C1161" s="99" t="s">
        <v>126</v>
      </c>
      <c r="D1161" s="100">
        <v>40000</v>
      </c>
      <c r="E1161" s="91" t="s">
        <v>124</v>
      </c>
      <c r="F1161" s="92"/>
    </row>
    <row r="1162" spans="1:7" s="53" customFormat="1" x14ac:dyDescent="0.35">
      <c r="A1162" s="223"/>
      <c r="B1162" s="101"/>
      <c r="C1162" s="99" t="s">
        <v>524</v>
      </c>
      <c r="D1162" s="100">
        <f>300*2630</f>
        <v>789000</v>
      </c>
      <c r="E1162" s="102"/>
      <c r="F1162" s="103"/>
    </row>
    <row r="1163" spans="1:7" s="53" customFormat="1" x14ac:dyDescent="0.35">
      <c r="A1163" s="223"/>
      <c r="B1163" s="101"/>
      <c r="C1163" s="99"/>
      <c r="D1163" s="100">
        <v>0</v>
      </c>
      <c r="E1163" s="102" t="s">
        <v>127</v>
      </c>
      <c r="F1163" s="103"/>
    </row>
    <row r="1164" spans="1:7" s="53" customFormat="1" x14ac:dyDescent="0.35">
      <c r="A1164" s="223"/>
      <c r="B1164" s="101"/>
      <c r="C1164" s="89"/>
      <c r="D1164" s="90"/>
      <c r="E1164" s="102" t="s">
        <v>441</v>
      </c>
      <c r="F1164" s="103"/>
    </row>
    <row r="1165" spans="1:7" s="53" customFormat="1" ht="15" thickBot="1" x14ac:dyDescent="0.4">
      <c r="A1165" s="223"/>
      <c r="B1165" s="105"/>
      <c r="C1165" s="106"/>
      <c r="D1165" s="107"/>
      <c r="E1165" s="53" t="s">
        <v>586</v>
      </c>
      <c r="F1165" s="94"/>
    </row>
    <row r="1166" spans="1:7" s="53" customFormat="1" ht="15" thickBot="1" x14ac:dyDescent="0.4">
      <c r="A1166" s="223"/>
      <c r="B1166" s="108"/>
      <c r="C1166" s="109" t="s">
        <v>129</v>
      </c>
      <c r="D1166" s="110">
        <f>SUM(D1153:D1165)</f>
        <v>9323960</v>
      </c>
      <c r="F1166" s="94"/>
    </row>
    <row r="1167" spans="1:7" s="53" customFormat="1" ht="15.5" thickTop="1" thickBot="1" x14ac:dyDescent="0.4">
      <c r="A1167" s="224"/>
      <c r="B1167" s="226"/>
      <c r="C1167" s="226"/>
      <c r="D1167" s="226"/>
      <c r="F1167" s="94"/>
    </row>
    <row r="1168" spans="1:7" s="53" customFormat="1" x14ac:dyDescent="0.35">
      <c r="B1168" s="87"/>
      <c r="C1168" s="53" t="s">
        <v>130</v>
      </c>
      <c r="D1168" s="111">
        <f>D1150-D1166</f>
        <v>2511040</v>
      </c>
      <c r="F1168" s="94"/>
    </row>
    <row r="1169" spans="1:6" s="53" customFormat="1" x14ac:dyDescent="0.35">
      <c r="B1169" s="87"/>
      <c r="D1169" s="111"/>
      <c r="F1169" s="94"/>
    </row>
    <row r="1170" spans="1:6" s="53" customFormat="1" x14ac:dyDescent="0.35">
      <c r="A1170" s="112"/>
      <c r="B1170" s="113"/>
      <c r="C1170" s="112"/>
      <c r="D1170" s="114"/>
      <c r="E1170" s="112"/>
      <c r="F1170" s="178"/>
    </row>
    <row r="1172" spans="1:6" s="53" customFormat="1" ht="23.5" x14ac:dyDescent="0.55000000000000004">
      <c r="B1172" s="227" t="s">
        <v>0</v>
      </c>
      <c r="C1172" s="227"/>
      <c r="D1172" s="227"/>
      <c r="E1172" s="70"/>
      <c r="F1172" s="176"/>
    </row>
    <row r="1173" spans="1:6" s="53" customFormat="1" ht="20.5" x14ac:dyDescent="0.45">
      <c r="B1173" s="71"/>
      <c r="C1173" s="72" t="s">
        <v>418</v>
      </c>
      <c r="D1173" s="73"/>
      <c r="F1173" s="94"/>
    </row>
    <row r="1174" spans="1:6" s="53" customFormat="1" ht="21" thickBot="1" x14ac:dyDescent="0.5">
      <c r="B1174" s="71" t="s">
        <v>419</v>
      </c>
      <c r="C1174" s="74" t="s">
        <v>103</v>
      </c>
      <c r="D1174" s="73"/>
      <c r="F1174" s="94"/>
    </row>
    <row r="1175" spans="1:6" s="53" customFormat="1" ht="15" thickBot="1" x14ac:dyDescent="0.4">
      <c r="A1175" s="75" t="s">
        <v>104</v>
      </c>
      <c r="B1175" s="76" t="s">
        <v>81</v>
      </c>
      <c r="C1175" s="76" t="s">
        <v>105</v>
      </c>
      <c r="D1175" s="77" t="s">
        <v>84</v>
      </c>
      <c r="F1175" s="94"/>
    </row>
    <row r="1176" spans="1:6" s="53" customFormat="1" ht="14.5" customHeight="1" x14ac:dyDescent="0.35">
      <c r="A1176" s="222" t="s">
        <v>88</v>
      </c>
      <c r="B1176" s="78" t="s">
        <v>417</v>
      </c>
      <c r="C1176" s="79" t="s">
        <v>106</v>
      </c>
      <c r="D1176" s="80">
        <f>F1183</f>
        <v>11835000</v>
      </c>
      <c r="F1176" s="94"/>
    </row>
    <row r="1177" spans="1:6" s="53" customFormat="1" ht="21" thickBot="1" x14ac:dyDescent="0.5">
      <c r="A1177" s="223"/>
      <c r="B1177" s="71"/>
      <c r="C1177" s="71"/>
      <c r="D1177" s="73"/>
      <c r="F1177" s="94"/>
    </row>
    <row r="1178" spans="1:6" s="53" customFormat="1" ht="15" thickBot="1" x14ac:dyDescent="0.4">
      <c r="A1178" s="223"/>
      <c r="B1178" s="81" t="s">
        <v>81</v>
      </c>
      <c r="C1178" s="82" t="s">
        <v>107</v>
      </c>
      <c r="D1178" s="83" t="s">
        <v>108</v>
      </c>
      <c r="F1178" s="94"/>
    </row>
    <row r="1179" spans="1:6" s="87" customFormat="1" x14ac:dyDescent="0.35">
      <c r="A1179" s="223"/>
      <c r="B1179" s="84" t="str">
        <f>B1176</f>
        <v>25th March,2025</v>
      </c>
      <c r="C1179" s="85" t="s">
        <v>387</v>
      </c>
      <c r="D1179" s="86">
        <f>2100*2880</f>
        <v>6048000</v>
      </c>
      <c r="F1179" s="177"/>
    </row>
    <row r="1180" spans="1:6" s="53" customFormat="1" x14ac:dyDescent="0.35">
      <c r="A1180" s="223"/>
      <c r="B1180" s="88"/>
      <c r="C1180" s="89" t="s">
        <v>388</v>
      </c>
      <c r="D1180" s="90">
        <f>356*2650</f>
        <v>943400</v>
      </c>
      <c r="F1180" s="94"/>
    </row>
    <row r="1181" spans="1:6" s="53" customFormat="1" x14ac:dyDescent="0.35">
      <c r="A1181" s="223"/>
      <c r="B1181" s="88" t="s">
        <v>109</v>
      </c>
      <c r="C1181" s="89" t="s">
        <v>110</v>
      </c>
      <c r="D1181" s="90">
        <v>1000000</v>
      </c>
      <c r="F1181" s="94"/>
    </row>
    <row r="1182" spans="1:6" s="53" customFormat="1" x14ac:dyDescent="0.35">
      <c r="A1182" s="223"/>
      <c r="B1182" s="88" t="s">
        <v>111</v>
      </c>
      <c r="C1182" s="89" t="s">
        <v>112</v>
      </c>
      <c r="D1182" s="90">
        <v>40000</v>
      </c>
      <c r="E1182" s="225" t="s">
        <v>113</v>
      </c>
      <c r="F1182" s="225"/>
    </row>
    <row r="1183" spans="1:6" s="53" customFormat="1" x14ac:dyDescent="0.35">
      <c r="A1183" s="223"/>
      <c r="B1183" s="88" t="s">
        <v>415</v>
      </c>
      <c r="C1183" s="89" t="s">
        <v>115</v>
      </c>
      <c r="D1183" s="90">
        <f>770*128</f>
        <v>98560</v>
      </c>
      <c r="E1183" s="91" t="s">
        <v>116</v>
      </c>
      <c r="F1183" s="92">
        <f>4500*2630</f>
        <v>11835000</v>
      </c>
    </row>
    <row r="1184" spans="1:6" s="53" customFormat="1" x14ac:dyDescent="0.35">
      <c r="A1184" s="223"/>
      <c r="B1184" s="88"/>
      <c r="C1184" s="89" t="s">
        <v>117</v>
      </c>
      <c r="D1184" s="90">
        <f>2500*128</f>
        <v>320000</v>
      </c>
      <c r="E1184" s="93" t="s">
        <v>118</v>
      </c>
      <c r="F1184" s="94">
        <f>(2700*2630)+(1800*2630)</f>
        <v>11835000</v>
      </c>
    </row>
    <row r="1185" spans="1:7" s="53" customFormat="1" ht="15" thickBot="1" x14ac:dyDescent="0.4">
      <c r="A1185" s="223"/>
      <c r="B1185" s="88" t="s">
        <v>119</v>
      </c>
      <c r="C1185" s="89" t="s">
        <v>120</v>
      </c>
      <c r="D1185" s="95">
        <v>30000</v>
      </c>
      <c r="E1185" s="96" t="s">
        <v>121</v>
      </c>
      <c r="F1185" s="97">
        <f>F1183-F1184</f>
        <v>0</v>
      </c>
      <c r="G1185" s="98">
        <f>F1185/2630</f>
        <v>0</v>
      </c>
    </row>
    <row r="1186" spans="1:7" s="53" customFormat="1" ht="15" thickTop="1" x14ac:dyDescent="0.35">
      <c r="A1186" s="223"/>
      <c r="B1186" s="88"/>
      <c r="C1186" s="99" t="s">
        <v>123</v>
      </c>
      <c r="D1186" s="100">
        <v>15000</v>
      </c>
      <c r="F1186" s="94"/>
    </row>
    <row r="1187" spans="1:7" s="53" customFormat="1" x14ac:dyDescent="0.35">
      <c r="A1187" s="223"/>
      <c r="B1187" s="88" t="s">
        <v>213</v>
      </c>
      <c r="C1187" s="99" t="s">
        <v>126</v>
      </c>
      <c r="D1187" s="100">
        <v>40000</v>
      </c>
      <c r="E1187" s="91" t="s">
        <v>124</v>
      </c>
      <c r="F1187" s="92"/>
    </row>
    <row r="1188" spans="1:7" s="53" customFormat="1" x14ac:dyDescent="0.35">
      <c r="A1188" s="223"/>
      <c r="B1188" s="101"/>
      <c r="C1188" s="99" t="s">
        <v>524</v>
      </c>
      <c r="D1188" s="100">
        <f>300*2630</f>
        <v>789000</v>
      </c>
      <c r="E1188" s="102"/>
      <c r="F1188" s="103"/>
    </row>
    <row r="1189" spans="1:7" s="53" customFormat="1" x14ac:dyDescent="0.35">
      <c r="A1189" s="223"/>
      <c r="B1189" s="101"/>
      <c r="C1189" s="99"/>
      <c r="D1189" s="100">
        <v>0</v>
      </c>
      <c r="E1189" s="102" t="s">
        <v>127</v>
      </c>
      <c r="F1189" s="103"/>
    </row>
    <row r="1190" spans="1:7" s="53" customFormat="1" x14ac:dyDescent="0.35">
      <c r="A1190" s="223"/>
      <c r="B1190" s="101"/>
      <c r="C1190" s="89"/>
      <c r="D1190" s="90"/>
      <c r="E1190" s="102" t="s">
        <v>441</v>
      </c>
      <c r="F1190" s="103"/>
    </row>
    <row r="1191" spans="1:7" s="53" customFormat="1" ht="15" thickBot="1" x14ac:dyDescent="0.4">
      <c r="A1191" s="223"/>
      <c r="B1191" s="105"/>
      <c r="C1191" s="106"/>
      <c r="D1191" s="107"/>
      <c r="E1191" s="53" t="s">
        <v>586</v>
      </c>
      <c r="F1191" s="94"/>
    </row>
    <row r="1192" spans="1:7" s="53" customFormat="1" ht="15" thickBot="1" x14ac:dyDescent="0.4">
      <c r="A1192" s="223"/>
      <c r="B1192" s="108"/>
      <c r="C1192" s="109" t="s">
        <v>129</v>
      </c>
      <c r="D1192" s="110">
        <f>SUM(D1179:D1191)</f>
        <v>9323960</v>
      </c>
      <c r="F1192" s="94"/>
    </row>
    <row r="1193" spans="1:7" s="53" customFormat="1" ht="15.5" thickTop="1" thickBot="1" x14ac:dyDescent="0.4">
      <c r="A1193" s="224"/>
      <c r="B1193" s="226"/>
      <c r="C1193" s="226"/>
      <c r="D1193" s="226"/>
      <c r="F1193" s="94"/>
    </row>
    <row r="1194" spans="1:7" s="53" customFormat="1" x14ac:dyDescent="0.35">
      <c r="B1194" s="87"/>
      <c r="C1194" s="53" t="s">
        <v>130</v>
      </c>
      <c r="D1194" s="111">
        <f>D1176-D1192</f>
        <v>2511040</v>
      </c>
      <c r="F1194" s="94"/>
    </row>
    <row r="1195" spans="1:7" s="53" customFormat="1" x14ac:dyDescent="0.35">
      <c r="B1195" s="87"/>
      <c r="D1195" s="111"/>
      <c r="F1195" s="94"/>
    </row>
    <row r="1196" spans="1:7" s="53" customFormat="1" x14ac:dyDescent="0.35">
      <c r="A1196" s="112"/>
      <c r="B1196" s="113"/>
      <c r="C1196" s="112"/>
      <c r="D1196" s="114"/>
      <c r="E1196" s="112"/>
      <c r="F1196" s="178"/>
    </row>
    <row r="1198" spans="1:7" s="53" customFormat="1" ht="23.5" x14ac:dyDescent="0.55000000000000004">
      <c r="B1198" s="227" t="s">
        <v>0</v>
      </c>
      <c r="C1198" s="227"/>
      <c r="D1198" s="227"/>
      <c r="E1198" s="70"/>
      <c r="F1198" s="176"/>
    </row>
    <row r="1199" spans="1:7" s="53" customFormat="1" ht="20.5" x14ac:dyDescent="0.45">
      <c r="B1199" s="71"/>
      <c r="C1199" s="72" t="s">
        <v>420</v>
      </c>
      <c r="D1199" s="73"/>
      <c r="F1199" s="94"/>
    </row>
    <row r="1200" spans="1:7" s="53" customFormat="1" ht="21" thickBot="1" x14ac:dyDescent="0.5">
      <c r="B1200" s="71" t="s">
        <v>193</v>
      </c>
      <c r="C1200" s="74" t="s">
        <v>103</v>
      </c>
      <c r="D1200" s="73"/>
      <c r="F1200" s="94"/>
    </row>
    <row r="1201" spans="1:7" s="53" customFormat="1" ht="15" thickBot="1" x14ac:dyDescent="0.4">
      <c r="A1201" s="75" t="s">
        <v>104</v>
      </c>
      <c r="B1201" s="76" t="s">
        <v>81</v>
      </c>
      <c r="C1201" s="76" t="s">
        <v>105</v>
      </c>
      <c r="D1201" s="77" t="s">
        <v>84</v>
      </c>
      <c r="F1201" s="94"/>
    </row>
    <row r="1202" spans="1:7" s="53" customFormat="1" ht="14.5" customHeight="1" x14ac:dyDescent="0.35">
      <c r="A1202" s="222" t="s">
        <v>88</v>
      </c>
      <c r="B1202" s="78" t="s">
        <v>417</v>
      </c>
      <c r="C1202" s="79" t="s">
        <v>106</v>
      </c>
      <c r="D1202" s="80">
        <f>F1209</f>
        <v>11835000</v>
      </c>
      <c r="F1202" s="94"/>
    </row>
    <row r="1203" spans="1:7" s="53" customFormat="1" ht="21" thickBot="1" x14ac:dyDescent="0.5">
      <c r="A1203" s="223"/>
      <c r="B1203" s="71"/>
      <c r="C1203" s="71"/>
      <c r="D1203" s="73"/>
      <c r="F1203" s="94"/>
    </row>
    <row r="1204" spans="1:7" s="53" customFormat="1" ht="15" thickBot="1" x14ac:dyDescent="0.4">
      <c r="A1204" s="223"/>
      <c r="B1204" s="81" t="s">
        <v>81</v>
      </c>
      <c r="C1204" s="82" t="s">
        <v>107</v>
      </c>
      <c r="D1204" s="83" t="s">
        <v>108</v>
      </c>
      <c r="F1204" s="94"/>
    </row>
    <row r="1205" spans="1:7" s="87" customFormat="1" x14ac:dyDescent="0.35">
      <c r="A1205" s="223"/>
      <c r="B1205" s="84" t="str">
        <f>B1202</f>
        <v>25th March,2025</v>
      </c>
      <c r="C1205" s="85" t="s">
        <v>387</v>
      </c>
      <c r="D1205" s="86">
        <f>2100*2880</f>
        <v>6048000</v>
      </c>
      <c r="F1205" s="177"/>
    </row>
    <row r="1206" spans="1:7" s="53" customFormat="1" x14ac:dyDescent="0.35">
      <c r="A1206" s="223"/>
      <c r="B1206" s="88"/>
      <c r="C1206" s="89" t="s">
        <v>388</v>
      </c>
      <c r="D1206" s="90">
        <f>356*2650</f>
        <v>943400</v>
      </c>
      <c r="F1206" s="94"/>
    </row>
    <row r="1207" spans="1:7" s="53" customFormat="1" x14ac:dyDescent="0.35">
      <c r="A1207" s="223"/>
      <c r="B1207" s="88" t="s">
        <v>109</v>
      </c>
      <c r="C1207" s="89" t="s">
        <v>110</v>
      </c>
      <c r="D1207" s="90">
        <v>1000000</v>
      </c>
      <c r="F1207" s="94"/>
    </row>
    <row r="1208" spans="1:7" s="53" customFormat="1" x14ac:dyDescent="0.35">
      <c r="A1208" s="223"/>
      <c r="B1208" s="88" t="s">
        <v>111</v>
      </c>
      <c r="C1208" s="89" t="s">
        <v>112</v>
      </c>
      <c r="D1208" s="90">
        <v>40000</v>
      </c>
      <c r="E1208" s="225" t="s">
        <v>113</v>
      </c>
      <c r="F1208" s="225"/>
    </row>
    <row r="1209" spans="1:7" s="53" customFormat="1" x14ac:dyDescent="0.35">
      <c r="A1209" s="223"/>
      <c r="B1209" s="88" t="s">
        <v>415</v>
      </c>
      <c r="C1209" s="89" t="s">
        <v>115</v>
      </c>
      <c r="D1209" s="90">
        <f>800*128</f>
        <v>102400</v>
      </c>
      <c r="E1209" s="91" t="s">
        <v>116</v>
      </c>
      <c r="F1209" s="92">
        <f>4500*2630</f>
        <v>11835000</v>
      </c>
    </row>
    <row r="1210" spans="1:7" s="53" customFormat="1" x14ac:dyDescent="0.35">
      <c r="A1210" s="223"/>
      <c r="B1210" s="88"/>
      <c r="C1210" s="89" t="s">
        <v>117</v>
      </c>
      <c r="D1210" s="90">
        <f>2500*128</f>
        <v>320000</v>
      </c>
      <c r="E1210" s="93" t="s">
        <v>118</v>
      </c>
      <c r="F1210" s="94">
        <f>(2700*2630)+(1800*2630)</f>
        <v>11835000</v>
      </c>
    </row>
    <row r="1211" spans="1:7" s="53" customFormat="1" ht="15" thickBot="1" x14ac:dyDescent="0.4">
      <c r="A1211" s="223"/>
      <c r="B1211" s="88" t="s">
        <v>119</v>
      </c>
      <c r="C1211" s="89" t="s">
        <v>120</v>
      </c>
      <c r="D1211" s="95">
        <v>30000</v>
      </c>
      <c r="E1211" s="96" t="s">
        <v>121</v>
      </c>
      <c r="F1211" s="97">
        <f>F1209-F1210</f>
        <v>0</v>
      </c>
      <c r="G1211" s="98">
        <f>F1211/2630</f>
        <v>0</v>
      </c>
    </row>
    <row r="1212" spans="1:7" s="53" customFormat="1" ht="15" thickTop="1" x14ac:dyDescent="0.35">
      <c r="A1212" s="223"/>
      <c r="B1212" s="88"/>
      <c r="C1212" s="99" t="s">
        <v>123</v>
      </c>
      <c r="D1212" s="100">
        <v>15000</v>
      </c>
      <c r="F1212" s="94"/>
    </row>
    <row r="1213" spans="1:7" s="53" customFormat="1" x14ac:dyDescent="0.35">
      <c r="A1213" s="223"/>
      <c r="B1213" s="88" t="s">
        <v>213</v>
      </c>
      <c r="C1213" s="99" t="s">
        <v>126</v>
      </c>
      <c r="D1213" s="100">
        <v>40000</v>
      </c>
      <c r="E1213" s="91" t="s">
        <v>124</v>
      </c>
      <c r="F1213" s="92"/>
    </row>
    <row r="1214" spans="1:7" s="53" customFormat="1" x14ac:dyDescent="0.35">
      <c r="A1214" s="223"/>
      <c r="B1214" s="101"/>
      <c r="C1214" s="99" t="s">
        <v>524</v>
      </c>
      <c r="D1214" s="100">
        <f>300*2630</f>
        <v>789000</v>
      </c>
      <c r="E1214" s="102"/>
      <c r="F1214" s="103"/>
    </row>
    <row r="1215" spans="1:7" s="53" customFormat="1" x14ac:dyDescent="0.35">
      <c r="A1215" s="223"/>
      <c r="B1215" s="101"/>
      <c r="C1215" s="99"/>
      <c r="D1215" s="100">
        <v>0</v>
      </c>
      <c r="E1215" s="102" t="s">
        <v>127</v>
      </c>
      <c r="F1215" s="103"/>
    </row>
    <row r="1216" spans="1:7" s="53" customFormat="1" x14ac:dyDescent="0.35">
      <c r="A1216" s="223"/>
      <c r="B1216" s="101"/>
      <c r="C1216" s="89"/>
      <c r="D1216" s="90"/>
      <c r="E1216" s="102" t="s">
        <v>441</v>
      </c>
      <c r="F1216" s="103"/>
    </row>
    <row r="1217" spans="1:6" s="53" customFormat="1" ht="15" thickBot="1" x14ac:dyDescent="0.4">
      <c r="A1217" s="223"/>
      <c r="B1217" s="105"/>
      <c r="C1217" s="106"/>
      <c r="D1217" s="107"/>
      <c r="E1217" s="53" t="s">
        <v>586</v>
      </c>
      <c r="F1217" s="94"/>
    </row>
    <row r="1218" spans="1:6" s="53" customFormat="1" ht="15" thickBot="1" x14ac:dyDescent="0.4">
      <c r="A1218" s="223"/>
      <c r="B1218" s="108"/>
      <c r="C1218" s="109" t="s">
        <v>129</v>
      </c>
      <c r="D1218" s="110">
        <f>SUM(D1205:D1217)</f>
        <v>9327800</v>
      </c>
      <c r="F1218" s="94"/>
    </row>
    <row r="1219" spans="1:6" s="53" customFormat="1" ht="15.5" thickTop="1" thickBot="1" x14ac:dyDescent="0.4">
      <c r="A1219" s="224"/>
      <c r="B1219" s="229"/>
      <c r="C1219" s="230"/>
      <c r="D1219" s="230"/>
      <c r="F1219" s="94"/>
    </row>
    <row r="1220" spans="1:6" s="53" customFormat="1" x14ac:dyDescent="0.35">
      <c r="B1220" s="87"/>
      <c r="C1220" s="53" t="s">
        <v>130</v>
      </c>
      <c r="D1220" s="111">
        <f>D1202-D1218</f>
        <v>2507200</v>
      </c>
      <c r="F1220" s="94"/>
    </row>
    <row r="1221" spans="1:6" s="53" customFormat="1" x14ac:dyDescent="0.35">
      <c r="B1221" s="87"/>
      <c r="D1221" s="111"/>
      <c r="F1221" s="94"/>
    </row>
    <row r="1222" spans="1:6" s="53" customFormat="1" x14ac:dyDescent="0.35">
      <c r="A1222" s="112"/>
      <c r="B1222" s="113"/>
      <c r="C1222" s="112"/>
      <c r="D1222" s="114"/>
      <c r="E1222" s="112"/>
      <c r="F1222" s="178"/>
    </row>
    <row r="1225" spans="1:6" s="53" customFormat="1" ht="23.5" x14ac:dyDescent="0.55000000000000004">
      <c r="B1225" s="227" t="s">
        <v>0</v>
      </c>
      <c r="C1225" s="227"/>
      <c r="D1225" s="227"/>
      <c r="E1225" s="70"/>
      <c r="F1225" s="176"/>
    </row>
    <row r="1226" spans="1:6" s="53" customFormat="1" ht="20.5" x14ac:dyDescent="0.45">
      <c r="B1226" s="71"/>
      <c r="C1226" s="72" t="s">
        <v>435</v>
      </c>
      <c r="D1226" s="73"/>
      <c r="F1226" s="94"/>
    </row>
    <row r="1227" spans="1:6" s="53" customFormat="1" ht="21" thickBot="1" x14ac:dyDescent="0.5">
      <c r="B1227" s="71" t="s">
        <v>227</v>
      </c>
      <c r="C1227" s="74" t="s">
        <v>103</v>
      </c>
      <c r="D1227" s="73"/>
      <c r="F1227" s="94"/>
    </row>
    <row r="1228" spans="1:6" s="53" customFormat="1" ht="15" thickBot="1" x14ac:dyDescent="0.4">
      <c r="A1228" s="75" t="s">
        <v>104</v>
      </c>
      <c r="B1228" s="76" t="s">
        <v>81</v>
      </c>
      <c r="C1228" s="76" t="s">
        <v>105</v>
      </c>
      <c r="D1228" s="77" t="s">
        <v>84</v>
      </c>
      <c r="F1228" s="94"/>
    </row>
    <row r="1229" spans="1:6" s="53" customFormat="1" ht="14.5" customHeight="1" x14ac:dyDescent="0.35">
      <c r="A1229" s="222" t="s">
        <v>88</v>
      </c>
      <c r="B1229" s="78" t="s">
        <v>434</v>
      </c>
      <c r="C1229" s="79" t="s">
        <v>106</v>
      </c>
      <c r="D1229" s="80">
        <f>F1236</f>
        <v>10783000</v>
      </c>
      <c r="F1229" s="94"/>
    </row>
    <row r="1230" spans="1:6" s="53" customFormat="1" ht="21" thickBot="1" x14ac:dyDescent="0.5">
      <c r="A1230" s="223"/>
      <c r="B1230" s="71"/>
      <c r="C1230" s="71"/>
      <c r="D1230" s="73"/>
      <c r="F1230" s="94"/>
    </row>
    <row r="1231" spans="1:6" s="53" customFormat="1" ht="15" thickBot="1" x14ac:dyDescent="0.4">
      <c r="A1231" s="223"/>
      <c r="B1231" s="81" t="s">
        <v>81</v>
      </c>
      <c r="C1231" s="82" t="s">
        <v>107</v>
      </c>
      <c r="D1231" s="83" t="s">
        <v>108</v>
      </c>
      <c r="F1231" s="94"/>
    </row>
    <row r="1232" spans="1:6" s="87" customFormat="1" x14ac:dyDescent="0.35">
      <c r="A1232" s="223"/>
      <c r="B1232" s="84" t="str">
        <f>B1229</f>
        <v>30th March,2025</v>
      </c>
      <c r="C1232" s="85" t="s">
        <v>467</v>
      </c>
      <c r="D1232" s="86">
        <f>2000*2900</f>
        <v>5800000</v>
      </c>
      <c r="F1232" s="177"/>
    </row>
    <row r="1233" spans="1:7" s="53" customFormat="1" x14ac:dyDescent="0.35">
      <c r="A1233" s="223"/>
      <c r="B1233" s="88"/>
      <c r="C1233" s="89" t="s">
        <v>188</v>
      </c>
      <c r="D1233" s="90">
        <f>325*2650</f>
        <v>861250</v>
      </c>
      <c r="F1233" s="94"/>
    </row>
    <row r="1234" spans="1:7" s="53" customFormat="1" x14ac:dyDescent="0.35">
      <c r="A1234" s="223"/>
      <c r="B1234" s="88" t="s">
        <v>109</v>
      </c>
      <c r="C1234" s="89" t="s">
        <v>110</v>
      </c>
      <c r="D1234" s="90">
        <v>1000000</v>
      </c>
      <c r="F1234" s="94"/>
    </row>
    <row r="1235" spans="1:7" s="53" customFormat="1" x14ac:dyDescent="0.35">
      <c r="A1235" s="223"/>
      <c r="B1235" s="88" t="s">
        <v>111</v>
      </c>
      <c r="C1235" s="89" t="s">
        <v>112</v>
      </c>
      <c r="D1235" s="90">
        <v>40000</v>
      </c>
      <c r="E1235" s="225" t="s">
        <v>113</v>
      </c>
      <c r="F1235" s="225"/>
    </row>
    <row r="1236" spans="1:7" s="53" customFormat="1" x14ac:dyDescent="0.35">
      <c r="A1236" s="223"/>
      <c r="B1236" s="88" t="s">
        <v>182</v>
      </c>
      <c r="C1236" s="89" t="s">
        <v>115</v>
      </c>
      <c r="D1236" s="90">
        <f>350*120</f>
        <v>42000</v>
      </c>
      <c r="E1236" s="91" t="s">
        <v>116</v>
      </c>
      <c r="F1236" s="92">
        <f>4100*2630</f>
        <v>10783000</v>
      </c>
    </row>
    <row r="1237" spans="1:7" s="53" customFormat="1" x14ac:dyDescent="0.35">
      <c r="A1237" s="223"/>
      <c r="B1237" s="88"/>
      <c r="C1237" s="89" t="s">
        <v>117</v>
      </c>
      <c r="D1237" s="90">
        <f>2500*120</f>
        <v>300000</v>
      </c>
      <c r="E1237" s="93" t="s">
        <v>118</v>
      </c>
      <c r="F1237" s="94">
        <f>(2460*2630)+(1640*2630)</f>
        <v>10783000</v>
      </c>
    </row>
    <row r="1238" spans="1:7" s="53" customFormat="1" ht="15" thickBot="1" x14ac:dyDescent="0.4">
      <c r="A1238" s="223"/>
      <c r="B1238" s="88" t="s">
        <v>119</v>
      </c>
      <c r="C1238" s="89" t="s">
        <v>120</v>
      </c>
      <c r="D1238" s="95">
        <v>30000</v>
      </c>
      <c r="E1238" s="96" t="s">
        <v>121</v>
      </c>
      <c r="F1238" s="97">
        <f>F1236-F1237</f>
        <v>0</v>
      </c>
      <c r="G1238" s="98">
        <f>F1238/2630</f>
        <v>0</v>
      </c>
    </row>
    <row r="1239" spans="1:7" s="53" customFormat="1" ht="15" thickTop="1" x14ac:dyDescent="0.35">
      <c r="A1239" s="223"/>
      <c r="B1239" s="88"/>
      <c r="C1239" s="89" t="s">
        <v>265</v>
      </c>
      <c r="D1239" s="90">
        <f>1055*102</f>
        <v>107610</v>
      </c>
      <c r="F1239" s="94"/>
    </row>
    <row r="1240" spans="1:7" s="53" customFormat="1" x14ac:dyDescent="0.35">
      <c r="A1240" s="223"/>
      <c r="B1240" s="88" t="s">
        <v>213</v>
      </c>
      <c r="C1240" s="99" t="s">
        <v>123</v>
      </c>
      <c r="D1240" s="90">
        <v>15000</v>
      </c>
      <c r="E1240" s="91" t="s">
        <v>124</v>
      </c>
      <c r="F1240" s="92"/>
    </row>
    <row r="1241" spans="1:7" s="53" customFormat="1" x14ac:dyDescent="0.35">
      <c r="A1241" s="223"/>
      <c r="B1241" s="101"/>
      <c r="C1241" s="99" t="s">
        <v>126</v>
      </c>
      <c r="D1241" s="100">
        <v>30000</v>
      </c>
      <c r="E1241" s="102"/>
      <c r="F1241" s="103"/>
    </row>
    <row r="1242" spans="1:7" s="53" customFormat="1" x14ac:dyDescent="0.35">
      <c r="A1242" s="223"/>
      <c r="B1242" s="101"/>
      <c r="C1242" s="99"/>
      <c r="D1242" s="100"/>
      <c r="E1242" s="102" t="s">
        <v>127</v>
      </c>
      <c r="F1242" s="103"/>
    </row>
    <row r="1243" spans="1:7" s="53" customFormat="1" x14ac:dyDescent="0.35">
      <c r="A1243" s="223"/>
      <c r="B1243" s="101"/>
      <c r="C1243" s="89"/>
      <c r="D1243" s="104"/>
      <c r="E1243" s="102" t="s">
        <v>475</v>
      </c>
      <c r="F1243" s="103"/>
    </row>
    <row r="1244" spans="1:7" s="53" customFormat="1" x14ac:dyDescent="0.35">
      <c r="A1244" s="223"/>
      <c r="B1244" s="101"/>
      <c r="C1244" s="158"/>
      <c r="D1244" s="159"/>
      <c r="E1244" s="102" t="s">
        <v>588</v>
      </c>
      <c r="F1244" s="94"/>
    </row>
    <row r="1245" spans="1:7" s="53" customFormat="1" ht="15" thickBot="1" x14ac:dyDescent="0.4">
      <c r="A1245" s="223"/>
      <c r="B1245" s="105"/>
      <c r="C1245" s="106"/>
      <c r="D1245" s="107"/>
      <c r="F1245" s="94"/>
    </row>
    <row r="1246" spans="1:7" s="53" customFormat="1" ht="15" thickBot="1" x14ac:dyDescent="0.4">
      <c r="A1246" s="224"/>
      <c r="B1246" s="108"/>
      <c r="C1246" s="109" t="s">
        <v>129</v>
      </c>
      <c r="D1246" s="110">
        <f>SUM(D1232:D1245)</f>
        <v>8225860</v>
      </c>
      <c r="F1246" s="94"/>
    </row>
    <row r="1247" spans="1:7" s="53" customFormat="1" x14ac:dyDescent="0.35">
      <c r="B1247" s="226"/>
      <c r="C1247" s="226"/>
      <c r="D1247" s="226"/>
      <c r="F1247" s="94"/>
    </row>
    <row r="1248" spans="1:7" s="53" customFormat="1" x14ac:dyDescent="0.35">
      <c r="B1248" s="87"/>
      <c r="C1248" s="53" t="s">
        <v>130</v>
      </c>
      <c r="D1248" s="111">
        <f>D1229-D1246</f>
        <v>2557140</v>
      </c>
      <c r="F1248" s="94"/>
    </row>
    <row r="1249" spans="1:7" x14ac:dyDescent="0.35">
      <c r="A1249" s="112"/>
      <c r="B1249" s="113"/>
      <c r="C1249" s="112"/>
      <c r="D1249" s="114"/>
      <c r="E1249" s="112"/>
      <c r="F1249" s="178"/>
    </row>
    <row r="1251" spans="1:7" s="53" customFormat="1" ht="23.5" x14ac:dyDescent="0.55000000000000004">
      <c r="B1251" s="227" t="s">
        <v>0</v>
      </c>
      <c r="C1251" s="227"/>
      <c r="D1251" s="227"/>
      <c r="E1251" s="70"/>
      <c r="F1251" s="176"/>
    </row>
    <row r="1252" spans="1:7" s="53" customFormat="1" ht="20.5" x14ac:dyDescent="0.45">
      <c r="B1252" s="71"/>
      <c r="C1252" s="72" t="s">
        <v>436</v>
      </c>
      <c r="D1252" s="73"/>
      <c r="F1252" s="94"/>
    </row>
    <row r="1253" spans="1:7" s="53" customFormat="1" ht="21" thickBot="1" x14ac:dyDescent="0.5">
      <c r="B1253" s="71" t="s">
        <v>208</v>
      </c>
      <c r="C1253" s="74" t="s">
        <v>103</v>
      </c>
      <c r="D1253" s="73"/>
      <c r="F1253" s="94"/>
    </row>
    <row r="1254" spans="1:7" s="53" customFormat="1" ht="15" thickBot="1" x14ac:dyDescent="0.4">
      <c r="A1254" s="75" t="s">
        <v>104</v>
      </c>
      <c r="B1254" s="76" t="s">
        <v>81</v>
      </c>
      <c r="C1254" s="76" t="s">
        <v>105</v>
      </c>
      <c r="D1254" s="77" t="s">
        <v>84</v>
      </c>
      <c r="F1254" s="94"/>
    </row>
    <row r="1255" spans="1:7" s="53" customFormat="1" ht="14.5" customHeight="1" x14ac:dyDescent="0.35">
      <c r="A1255" s="222" t="s">
        <v>88</v>
      </c>
      <c r="B1255" s="78" t="s">
        <v>434</v>
      </c>
      <c r="C1255" s="79" t="s">
        <v>106</v>
      </c>
      <c r="D1255" s="80">
        <f>F1262</f>
        <v>10783000</v>
      </c>
      <c r="F1255" s="94"/>
    </row>
    <row r="1256" spans="1:7" s="53" customFormat="1" ht="21" thickBot="1" x14ac:dyDescent="0.5">
      <c r="A1256" s="223"/>
      <c r="B1256" s="71"/>
      <c r="C1256" s="71"/>
      <c r="D1256" s="73"/>
      <c r="F1256" s="94"/>
    </row>
    <row r="1257" spans="1:7" s="53" customFormat="1" ht="15" thickBot="1" x14ac:dyDescent="0.4">
      <c r="A1257" s="223"/>
      <c r="B1257" s="81" t="s">
        <v>81</v>
      </c>
      <c r="C1257" s="82" t="s">
        <v>107</v>
      </c>
      <c r="D1257" s="83" t="s">
        <v>108</v>
      </c>
      <c r="F1257" s="94"/>
    </row>
    <row r="1258" spans="1:7" s="87" customFormat="1" x14ac:dyDescent="0.35">
      <c r="A1258" s="223"/>
      <c r="B1258" s="84" t="str">
        <f>B1255</f>
        <v>30th March,2025</v>
      </c>
      <c r="C1258" s="85" t="s">
        <v>467</v>
      </c>
      <c r="D1258" s="86">
        <f>2000*2900</f>
        <v>5800000</v>
      </c>
      <c r="F1258" s="177"/>
    </row>
    <row r="1259" spans="1:7" s="53" customFormat="1" x14ac:dyDescent="0.35">
      <c r="A1259" s="223"/>
      <c r="B1259" s="88"/>
      <c r="C1259" s="89" t="s">
        <v>188</v>
      </c>
      <c r="D1259" s="90">
        <f>325*2650</f>
        <v>861250</v>
      </c>
      <c r="F1259" s="94"/>
    </row>
    <row r="1260" spans="1:7" s="53" customFormat="1" x14ac:dyDescent="0.35">
      <c r="A1260" s="223"/>
      <c r="B1260" s="88" t="s">
        <v>109</v>
      </c>
      <c r="C1260" s="89" t="s">
        <v>110</v>
      </c>
      <c r="D1260" s="90">
        <v>1000000</v>
      </c>
      <c r="F1260" s="94"/>
    </row>
    <row r="1261" spans="1:7" s="53" customFormat="1" x14ac:dyDescent="0.35">
      <c r="A1261" s="223"/>
      <c r="B1261" s="88" t="s">
        <v>111</v>
      </c>
      <c r="C1261" s="89" t="s">
        <v>112</v>
      </c>
      <c r="D1261" s="90">
        <v>40000</v>
      </c>
      <c r="E1261" s="225" t="s">
        <v>113</v>
      </c>
      <c r="F1261" s="225"/>
    </row>
    <row r="1262" spans="1:7" s="53" customFormat="1" x14ac:dyDescent="0.35">
      <c r="A1262" s="223"/>
      <c r="B1262" s="88" t="s">
        <v>182</v>
      </c>
      <c r="C1262" s="89" t="s">
        <v>115</v>
      </c>
      <c r="D1262" s="90">
        <f>500*121</f>
        <v>60500</v>
      </c>
      <c r="E1262" s="91" t="s">
        <v>116</v>
      </c>
      <c r="F1262" s="92">
        <f>4100*2630</f>
        <v>10783000</v>
      </c>
    </row>
    <row r="1263" spans="1:7" s="53" customFormat="1" x14ac:dyDescent="0.35">
      <c r="A1263" s="223"/>
      <c r="B1263" s="88"/>
      <c r="C1263" s="89" t="s">
        <v>117</v>
      </c>
      <c r="D1263" s="90">
        <f>2500*120</f>
        <v>300000</v>
      </c>
      <c r="E1263" s="93" t="s">
        <v>118</v>
      </c>
      <c r="F1263" s="94">
        <f>(2460*2630)+(1640*2630)</f>
        <v>10783000</v>
      </c>
    </row>
    <row r="1264" spans="1:7" s="53" customFormat="1" ht="15" thickBot="1" x14ac:dyDescent="0.4">
      <c r="A1264" s="223"/>
      <c r="B1264" s="88" t="s">
        <v>119</v>
      </c>
      <c r="C1264" s="89" t="s">
        <v>120</v>
      </c>
      <c r="D1264" s="95">
        <v>30000</v>
      </c>
      <c r="E1264" s="96" t="s">
        <v>121</v>
      </c>
      <c r="F1264" s="97">
        <f>F1262-F1263</f>
        <v>0</v>
      </c>
      <c r="G1264" s="98">
        <f>F1264/2630</f>
        <v>0</v>
      </c>
    </row>
    <row r="1265" spans="1:6" s="53" customFormat="1" ht="15" thickTop="1" x14ac:dyDescent="0.35">
      <c r="A1265" s="223"/>
      <c r="B1265" s="88"/>
      <c r="C1265" s="89" t="s">
        <v>265</v>
      </c>
      <c r="D1265" s="90">
        <f>1055*123</f>
        <v>129765</v>
      </c>
      <c r="F1265" s="94"/>
    </row>
    <row r="1266" spans="1:6" s="53" customFormat="1" x14ac:dyDescent="0.35">
      <c r="A1266" s="223"/>
      <c r="B1266" s="88" t="s">
        <v>213</v>
      </c>
      <c r="C1266" s="99" t="s">
        <v>123</v>
      </c>
      <c r="D1266" s="90">
        <v>15000</v>
      </c>
      <c r="E1266" s="91" t="s">
        <v>124</v>
      </c>
      <c r="F1266" s="92"/>
    </row>
    <row r="1267" spans="1:6" s="53" customFormat="1" x14ac:dyDescent="0.35">
      <c r="A1267" s="223"/>
      <c r="B1267" s="101"/>
      <c r="C1267" s="99" t="s">
        <v>126</v>
      </c>
      <c r="D1267" s="100">
        <v>40000</v>
      </c>
      <c r="E1267" s="102"/>
      <c r="F1267" s="103"/>
    </row>
    <row r="1268" spans="1:6" s="53" customFormat="1" x14ac:dyDescent="0.35">
      <c r="A1268" s="223"/>
      <c r="B1268" s="101"/>
      <c r="C1268" s="99"/>
      <c r="D1268" s="100"/>
      <c r="E1268" s="102" t="s">
        <v>127</v>
      </c>
      <c r="F1268" s="103"/>
    </row>
    <row r="1269" spans="1:6" s="53" customFormat="1" x14ac:dyDescent="0.35">
      <c r="A1269" s="223"/>
      <c r="B1269" s="101"/>
      <c r="C1269" s="89"/>
      <c r="D1269" s="104"/>
      <c r="E1269" s="102" t="s">
        <v>475</v>
      </c>
      <c r="F1269" s="103"/>
    </row>
    <row r="1270" spans="1:6" s="53" customFormat="1" x14ac:dyDescent="0.35">
      <c r="A1270" s="223"/>
      <c r="B1270" s="101"/>
      <c r="C1270" s="158"/>
      <c r="D1270" s="159"/>
      <c r="E1270" s="102" t="s">
        <v>588</v>
      </c>
      <c r="F1270" s="94"/>
    </row>
    <row r="1271" spans="1:6" s="53" customFormat="1" ht="15" thickBot="1" x14ac:dyDescent="0.4">
      <c r="A1271" s="223"/>
      <c r="B1271" s="105"/>
      <c r="C1271" s="106"/>
      <c r="D1271" s="107"/>
      <c r="F1271" s="94"/>
    </row>
    <row r="1272" spans="1:6" s="53" customFormat="1" ht="15" thickBot="1" x14ac:dyDescent="0.4">
      <c r="A1272" s="224"/>
      <c r="B1272" s="108"/>
      <c r="C1272" s="109" t="s">
        <v>129</v>
      </c>
      <c r="D1272" s="110">
        <f>SUM(D1258:D1271)</f>
        <v>8276515</v>
      </c>
      <c r="F1272" s="94"/>
    </row>
    <row r="1273" spans="1:6" s="53" customFormat="1" x14ac:dyDescent="0.35">
      <c r="B1273" s="226"/>
      <c r="C1273" s="226"/>
      <c r="D1273" s="226"/>
      <c r="F1273" s="94"/>
    </row>
    <row r="1274" spans="1:6" s="53" customFormat="1" x14ac:dyDescent="0.35">
      <c r="B1274" s="87"/>
      <c r="C1274" s="53" t="s">
        <v>130</v>
      </c>
      <c r="D1274" s="111">
        <f>D1255-D1272</f>
        <v>2506485</v>
      </c>
      <c r="F1274" s="94"/>
    </row>
    <row r="1275" spans="1:6" x14ac:dyDescent="0.35">
      <c r="A1275" s="112"/>
      <c r="B1275" s="113"/>
      <c r="C1275" s="112"/>
      <c r="D1275" s="114"/>
      <c r="E1275" s="112"/>
      <c r="F1275" s="178"/>
    </row>
    <row r="1277" spans="1:6" s="53" customFormat="1" ht="23.5" x14ac:dyDescent="0.55000000000000004">
      <c r="B1277" s="227" t="s">
        <v>0</v>
      </c>
      <c r="C1277" s="227"/>
      <c r="D1277" s="227"/>
      <c r="E1277" s="70"/>
      <c r="F1277" s="176"/>
    </row>
    <row r="1278" spans="1:6" s="53" customFormat="1" ht="20.5" x14ac:dyDescent="0.45">
      <c r="B1278" s="71"/>
      <c r="C1278" s="72" t="s">
        <v>439</v>
      </c>
      <c r="D1278" s="73"/>
      <c r="F1278" s="94"/>
    </row>
    <row r="1279" spans="1:6" s="53" customFormat="1" ht="21" thickBot="1" x14ac:dyDescent="0.5">
      <c r="B1279" s="71" t="s">
        <v>222</v>
      </c>
      <c r="C1279" s="74" t="s">
        <v>103</v>
      </c>
      <c r="D1279" s="73"/>
      <c r="F1279" s="94"/>
    </row>
    <row r="1280" spans="1:6" s="53" customFormat="1" ht="15" thickBot="1" x14ac:dyDescent="0.4">
      <c r="A1280" s="75" t="s">
        <v>104</v>
      </c>
      <c r="B1280" s="76" t="s">
        <v>81</v>
      </c>
      <c r="C1280" s="76" t="s">
        <v>105</v>
      </c>
      <c r="D1280" s="77" t="s">
        <v>84</v>
      </c>
      <c r="F1280" s="94"/>
    </row>
    <row r="1281" spans="1:7" s="53" customFormat="1" ht="14.5" customHeight="1" x14ac:dyDescent="0.35">
      <c r="A1281" s="222" t="s">
        <v>89</v>
      </c>
      <c r="B1281" s="78" t="s">
        <v>440</v>
      </c>
      <c r="C1281" s="79" t="s">
        <v>106</v>
      </c>
      <c r="D1281" s="80">
        <f>F1288</f>
        <v>11835000</v>
      </c>
      <c r="F1281" s="94"/>
    </row>
    <row r="1282" spans="1:7" s="53" customFormat="1" ht="21" thickBot="1" x14ac:dyDescent="0.5">
      <c r="A1282" s="223"/>
      <c r="B1282" s="71"/>
      <c r="C1282" s="71"/>
      <c r="D1282" s="73"/>
      <c r="F1282" s="94"/>
    </row>
    <row r="1283" spans="1:7" s="53" customFormat="1" ht="15" thickBot="1" x14ac:dyDescent="0.4">
      <c r="A1283" s="223"/>
      <c r="B1283" s="81" t="s">
        <v>81</v>
      </c>
      <c r="C1283" s="82" t="s">
        <v>107</v>
      </c>
      <c r="D1283" s="83" t="s">
        <v>108</v>
      </c>
      <c r="F1283" s="94"/>
    </row>
    <row r="1284" spans="1:7" s="87" customFormat="1" x14ac:dyDescent="0.35">
      <c r="A1284" s="223"/>
      <c r="B1284" s="84" t="str">
        <f>B1281</f>
        <v>02nd April,2025</v>
      </c>
      <c r="C1284" s="85" t="s">
        <v>468</v>
      </c>
      <c r="D1284" s="86">
        <f>2100*2900</f>
        <v>6090000</v>
      </c>
      <c r="F1284" s="177"/>
    </row>
    <row r="1285" spans="1:7" s="53" customFormat="1" x14ac:dyDescent="0.35">
      <c r="A1285" s="223"/>
      <c r="B1285" s="88"/>
      <c r="C1285" s="89" t="s">
        <v>388</v>
      </c>
      <c r="D1285" s="90">
        <f>356*2650</f>
        <v>943400</v>
      </c>
      <c r="F1285" s="94"/>
    </row>
    <row r="1286" spans="1:7" s="53" customFormat="1" x14ac:dyDescent="0.35">
      <c r="A1286" s="223"/>
      <c r="B1286" s="88" t="s">
        <v>109</v>
      </c>
      <c r="C1286" s="89" t="s">
        <v>110</v>
      </c>
      <c r="D1286" s="90">
        <v>1000000</v>
      </c>
      <c r="F1286" s="94"/>
    </row>
    <row r="1287" spans="1:7" s="53" customFormat="1" x14ac:dyDescent="0.35">
      <c r="A1287" s="223"/>
      <c r="B1287" s="88" t="s">
        <v>111</v>
      </c>
      <c r="C1287" s="89" t="s">
        <v>112</v>
      </c>
      <c r="D1287" s="90">
        <v>40000</v>
      </c>
      <c r="E1287" s="225" t="s">
        <v>113</v>
      </c>
      <c r="F1287" s="225"/>
    </row>
    <row r="1288" spans="1:7" s="53" customFormat="1" x14ac:dyDescent="0.35">
      <c r="A1288" s="223"/>
      <c r="B1288" s="88" t="s">
        <v>383</v>
      </c>
      <c r="C1288" s="89" t="s">
        <v>115</v>
      </c>
      <c r="D1288" s="90">
        <f>500*128</f>
        <v>64000</v>
      </c>
      <c r="E1288" s="91" t="s">
        <v>116</v>
      </c>
      <c r="F1288" s="92">
        <f>4500*2630</f>
        <v>11835000</v>
      </c>
    </row>
    <row r="1289" spans="1:7" s="53" customFormat="1" x14ac:dyDescent="0.35">
      <c r="A1289" s="223"/>
      <c r="B1289" s="88"/>
      <c r="C1289" s="89" t="s">
        <v>117</v>
      </c>
      <c r="D1289" s="90">
        <f>6100*128</f>
        <v>780800</v>
      </c>
      <c r="E1289" s="93" t="s">
        <v>118</v>
      </c>
      <c r="F1289" s="94">
        <f>(2700*2630)+(1500*2630)+(300*2630)</f>
        <v>11835000</v>
      </c>
    </row>
    <row r="1290" spans="1:7" s="53" customFormat="1" ht="15" thickBot="1" x14ac:dyDescent="0.4">
      <c r="A1290" s="223"/>
      <c r="B1290" s="88" t="s">
        <v>119</v>
      </c>
      <c r="C1290" s="89" t="s">
        <v>120</v>
      </c>
      <c r="D1290" s="95">
        <v>30000</v>
      </c>
      <c r="E1290" s="96" t="s">
        <v>121</v>
      </c>
      <c r="F1290" s="97">
        <f>F1288-F1289</f>
        <v>0</v>
      </c>
      <c r="G1290" s="98">
        <f>F1290/2630</f>
        <v>0</v>
      </c>
    </row>
    <row r="1291" spans="1:7" s="53" customFormat="1" ht="15" thickTop="1" x14ac:dyDescent="0.35">
      <c r="A1291" s="223"/>
      <c r="B1291" s="88"/>
      <c r="C1291" s="99" t="s">
        <v>123</v>
      </c>
      <c r="D1291" s="100">
        <v>15000</v>
      </c>
      <c r="F1291" s="94"/>
    </row>
    <row r="1292" spans="1:7" s="53" customFormat="1" x14ac:dyDescent="0.35">
      <c r="A1292" s="223"/>
      <c r="B1292" s="88" t="s">
        <v>399</v>
      </c>
      <c r="C1292" s="99" t="s">
        <v>126</v>
      </c>
      <c r="D1292" s="100">
        <v>30000</v>
      </c>
      <c r="E1292" s="91" t="s">
        <v>124</v>
      </c>
      <c r="F1292" s="92"/>
    </row>
    <row r="1293" spans="1:7" s="53" customFormat="1" x14ac:dyDescent="0.35">
      <c r="A1293" s="223"/>
      <c r="B1293" s="101"/>
      <c r="C1293" s="89" t="s">
        <v>122</v>
      </c>
      <c r="D1293" s="100">
        <v>75000</v>
      </c>
      <c r="E1293" s="102"/>
      <c r="F1293" s="103"/>
    </row>
    <row r="1294" spans="1:7" s="53" customFormat="1" x14ac:dyDescent="0.35">
      <c r="A1294" s="223"/>
      <c r="B1294" s="101"/>
      <c r="C1294" s="99" t="s">
        <v>265</v>
      </c>
      <c r="D1294" s="100">
        <f>1597*123</f>
        <v>196431</v>
      </c>
      <c r="E1294" s="102" t="s">
        <v>127</v>
      </c>
      <c r="F1294" s="103"/>
    </row>
    <row r="1295" spans="1:7" s="53" customFormat="1" x14ac:dyDescent="0.35">
      <c r="A1295" s="223"/>
      <c r="B1295" s="101"/>
      <c r="C1295" s="89"/>
      <c r="D1295" s="90"/>
      <c r="E1295" s="102" t="s">
        <v>476</v>
      </c>
      <c r="F1295" s="103"/>
    </row>
    <row r="1296" spans="1:7" s="53" customFormat="1" ht="15" thickBot="1" x14ac:dyDescent="0.4">
      <c r="A1296" s="223"/>
      <c r="B1296" s="105"/>
      <c r="C1296" s="106"/>
      <c r="D1296" s="107"/>
      <c r="E1296" s="53" t="s">
        <v>645</v>
      </c>
      <c r="F1296" s="94"/>
    </row>
    <row r="1297" spans="1:6" s="53" customFormat="1" ht="15" thickBot="1" x14ac:dyDescent="0.4">
      <c r="A1297" s="223"/>
      <c r="B1297" s="108"/>
      <c r="C1297" s="109" t="s">
        <v>129</v>
      </c>
      <c r="D1297" s="110">
        <f>SUM(D1284:D1296)</f>
        <v>9264631</v>
      </c>
      <c r="E1297" s="53" t="s">
        <v>696</v>
      </c>
      <c r="F1297" s="94"/>
    </row>
    <row r="1298" spans="1:6" s="53" customFormat="1" ht="15.5" thickTop="1" thickBot="1" x14ac:dyDescent="0.4">
      <c r="A1298" s="224"/>
      <c r="B1298" s="226"/>
      <c r="C1298" s="226"/>
      <c r="D1298" s="226"/>
      <c r="F1298" s="94"/>
    </row>
    <row r="1299" spans="1:6" s="53" customFormat="1" x14ac:dyDescent="0.35">
      <c r="B1299" s="87"/>
      <c r="C1299" s="53" t="s">
        <v>130</v>
      </c>
      <c r="D1299" s="111">
        <f>D1281-D1297</f>
        <v>2570369</v>
      </c>
      <c r="F1299" s="94"/>
    </row>
    <row r="1300" spans="1:6" s="53" customFormat="1" x14ac:dyDescent="0.35">
      <c r="B1300" s="87"/>
      <c r="D1300" s="111"/>
      <c r="F1300" s="94"/>
    </row>
    <row r="1301" spans="1:6" s="53" customFormat="1" x14ac:dyDescent="0.35">
      <c r="A1301" s="112"/>
      <c r="B1301" s="113"/>
      <c r="C1301" s="112"/>
      <c r="D1301" s="114"/>
      <c r="E1301" s="112"/>
      <c r="F1301" s="178"/>
    </row>
    <row r="1304" spans="1:6" s="53" customFormat="1" ht="23.5" x14ac:dyDescent="0.55000000000000004">
      <c r="B1304" s="227" t="s">
        <v>0</v>
      </c>
      <c r="C1304" s="227"/>
      <c r="D1304" s="227"/>
      <c r="E1304" s="70"/>
      <c r="F1304" s="176"/>
    </row>
    <row r="1305" spans="1:6" s="53" customFormat="1" ht="20.5" x14ac:dyDescent="0.45">
      <c r="B1305" s="71"/>
      <c r="C1305" s="72" t="s">
        <v>460</v>
      </c>
      <c r="D1305" s="73"/>
      <c r="F1305" s="94"/>
    </row>
    <row r="1306" spans="1:6" s="53" customFormat="1" ht="21" thickBot="1" x14ac:dyDescent="0.5">
      <c r="B1306" s="71" t="s">
        <v>239</v>
      </c>
      <c r="C1306" s="74" t="s">
        <v>103</v>
      </c>
      <c r="D1306" s="73"/>
      <c r="F1306" s="94"/>
    </row>
    <row r="1307" spans="1:6" s="53" customFormat="1" ht="15" thickBot="1" x14ac:dyDescent="0.4">
      <c r="A1307" s="75" t="s">
        <v>104</v>
      </c>
      <c r="B1307" s="76" t="s">
        <v>81</v>
      </c>
      <c r="C1307" s="76" t="s">
        <v>105</v>
      </c>
      <c r="D1307" s="77" t="s">
        <v>84</v>
      </c>
      <c r="F1307" s="94"/>
    </row>
    <row r="1308" spans="1:6" s="53" customFormat="1" ht="14.5" customHeight="1" x14ac:dyDescent="0.35">
      <c r="A1308" s="222" t="s">
        <v>89</v>
      </c>
      <c r="B1308" s="78" t="s">
        <v>461</v>
      </c>
      <c r="C1308" s="79" t="s">
        <v>237</v>
      </c>
      <c r="D1308" s="80">
        <f>F1315</f>
        <v>10865000</v>
      </c>
      <c r="F1308" s="94"/>
    </row>
    <row r="1309" spans="1:6" s="53" customFormat="1" ht="21" thickBot="1" x14ac:dyDescent="0.5">
      <c r="A1309" s="223"/>
      <c r="B1309" s="71"/>
      <c r="C1309" s="71"/>
      <c r="D1309" s="73"/>
      <c r="F1309" s="94"/>
    </row>
    <row r="1310" spans="1:6" s="53" customFormat="1" ht="15" thickBot="1" x14ac:dyDescent="0.4">
      <c r="A1310" s="223"/>
      <c r="B1310" s="81" t="s">
        <v>81</v>
      </c>
      <c r="C1310" s="82" t="s">
        <v>107</v>
      </c>
      <c r="D1310" s="83" t="s">
        <v>108</v>
      </c>
      <c r="F1310" s="94"/>
    </row>
    <row r="1311" spans="1:6" s="87" customFormat="1" x14ac:dyDescent="0.35">
      <c r="A1311" s="223"/>
      <c r="B1311" s="84" t="str">
        <f>B1308</f>
        <v>06th April,2025</v>
      </c>
      <c r="C1311" s="85" t="s">
        <v>467</v>
      </c>
      <c r="D1311" s="86">
        <f>2000*2900</f>
        <v>5800000</v>
      </c>
      <c r="F1311" s="177"/>
    </row>
    <row r="1312" spans="1:6" s="53" customFormat="1" x14ac:dyDescent="0.35">
      <c r="A1312" s="223"/>
      <c r="B1312" s="88"/>
      <c r="C1312" s="89" t="s">
        <v>188</v>
      </c>
      <c r="D1312" s="90">
        <f>325*2650</f>
        <v>861250</v>
      </c>
      <c r="F1312" s="94"/>
    </row>
    <row r="1313" spans="1:7" s="53" customFormat="1" x14ac:dyDescent="0.35">
      <c r="A1313" s="223"/>
      <c r="B1313" s="88" t="s">
        <v>109</v>
      </c>
      <c r="C1313" s="89" t="s">
        <v>110</v>
      </c>
      <c r="D1313" s="90">
        <v>1000000</v>
      </c>
      <c r="F1313" s="94"/>
    </row>
    <row r="1314" spans="1:7" s="53" customFormat="1" x14ac:dyDescent="0.35">
      <c r="A1314" s="223"/>
      <c r="B1314" s="88" t="s">
        <v>111</v>
      </c>
      <c r="C1314" s="89" t="s">
        <v>112</v>
      </c>
      <c r="D1314" s="90">
        <v>40000</v>
      </c>
      <c r="E1314" s="225" t="s">
        <v>113</v>
      </c>
      <c r="F1314" s="225"/>
    </row>
    <row r="1315" spans="1:7" s="53" customFormat="1" x14ac:dyDescent="0.35">
      <c r="A1315" s="223"/>
      <c r="B1315" s="88" t="s">
        <v>182</v>
      </c>
      <c r="C1315" s="89" t="s">
        <v>115</v>
      </c>
      <c r="D1315" s="90">
        <f>500*123</f>
        <v>61500</v>
      </c>
      <c r="E1315" s="91" t="s">
        <v>116</v>
      </c>
      <c r="F1315" s="92">
        <f>4100*2650</f>
        <v>10865000</v>
      </c>
    </row>
    <row r="1316" spans="1:7" s="53" customFormat="1" x14ac:dyDescent="0.35">
      <c r="A1316" s="223"/>
      <c r="B1316" s="88"/>
      <c r="C1316" s="89" t="s">
        <v>117</v>
      </c>
      <c r="D1316" s="90">
        <f>2500*123</f>
        <v>307500</v>
      </c>
      <c r="E1316" s="93" t="s">
        <v>118</v>
      </c>
      <c r="F1316" s="94">
        <f>4100*2650</f>
        <v>10865000</v>
      </c>
    </row>
    <row r="1317" spans="1:7" s="53" customFormat="1" ht="15" thickBot="1" x14ac:dyDescent="0.4">
      <c r="A1317" s="223"/>
      <c r="B1317" s="88" t="s">
        <v>119</v>
      </c>
      <c r="C1317" s="89" t="s">
        <v>120</v>
      </c>
      <c r="D1317" s="95">
        <v>30000</v>
      </c>
      <c r="E1317" s="96" t="s">
        <v>121</v>
      </c>
      <c r="F1317" s="97">
        <f>F1315-F1316</f>
        <v>0</v>
      </c>
      <c r="G1317" s="98">
        <f>F1317/2650</f>
        <v>0</v>
      </c>
    </row>
    <row r="1318" spans="1:7" s="53" customFormat="1" ht="15" thickTop="1" x14ac:dyDescent="0.35">
      <c r="A1318" s="223"/>
      <c r="B1318" s="88"/>
      <c r="C1318" s="99" t="s">
        <v>126</v>
      </c>
      <c r="D1318" s="90">
        <v>40000</v>
      </c>
      <c r="F1318" s="94"/>
    </row>
    <row r="1319" spans="1:7" s="53" customFormat="1" x14ac:dyDescent="0.35">
      <c r="A1319" s="223"/>
      <c r="B1319" s="88" t="s">
        <v>459</v>
      </c>
      <c r="C1319" s="99" t="s">
        <v>123</v>
      </c>
      <c r="D1319" s="90">
        <v>15000</v>
      </c>
      <c r="E1319" s="91" t="s">
        <v>124</v>
      </c>
      <c r="F1319" s="92"/>
    </row>
    <row r="1320" spans="1:7" s="53" customFormat="1" x14ac:dyDescent="0.35">
      <c r="A1320" s="223"/>
      <c r="B1320" s="101"/>
      <c r="C1320" s="99" t="s">
        <v>265</v>
      </c>
      <c r="D1320" s="100">
        <f>1055*125</f>
        <v>131875</v>
      </c>
      <c r="E1320" s="102"/>
      <c r="F1320" s="103"/>
    </row>
    <row r="1321" spans="1:7" s="53" customFormat="1" x14ac:dyDescent="0.35">
      <c r="A1321" s="223"/>
      <c r="B1321" s="101"/>
      <c r="C1321" s="99"/>
      <c r="D1321" s="100">
        <v>0</v>
      </c>
      <c r="E1321" s="102" t="s">
        <v>127</v>
      </c>
      <c r="F1321" s="103"/>
    </row>
    <row r="1322" spans="1:7" s="53" customFormat="1" x14ac:dyDescent="0.35">
      <c r="A1322" s="223"/>
      <c r="B1322" s="101"/>
      <c r="C1322" s="89"/>
      <c r="D1322" s="104">
        <v>0</v>
      </c>
      <c r="E1322" s="102" t="s">
        <v>585</v>
      </c>
      <c r="F1322" s="103"/>
    </row>
    <row r="1323" spans="1:7" s="53" customFormat="1" ht="15" thickBot="1" x14ac:dyDescent="0.4">
      <c r="A1323" s="223"/>
      <c r="B1323" s="105"/>
      <c r="C1323" s="106"/>
      <c r="D1323" s="107"/>
      <c r="F1323" s="94"/>
    </row>
    <row r="1324" spans="1:7" s="53" customFormat="1" ht="15" thickBot="1" x14ac:dyDescent="0.4">
      <c r="A1324" s="223"/>
      <c r="B1324" s="108"/>
      <c r="C1324" s="109" t="s">
        <v>129</v>
      </c>
      <c r="D1324" s="110">
        <f>SUM(D1311:D1323)</f>
        <v>8287125</v>
      </c>
      <c r="F1324" s="94"/>
    </row>
    <row r="1325" spans="1:7" s="53" customFormat="1" ht="15.5" thickTop="1" thickBot="1" x14ac:dyDescent="0.4">
      <c r="A1325" s="224"/>
      <c r="B1325" s="226"/>
      <c r="C1325" s="226"/>
      <c r="D1325" s="226"/>
      <c r="F1325" s="94"/>
    </row>
    <row r="1326" spans="1:7" s="53" customFormat="1" x14ac:dyDescent="0.35">
      <c r="B1326" s="87"/>
      <c r="C1326" s="53" t="s">
        <v>130</v>
      </c>
      <c r="D1326" s="111">
        <f>D1308-D1324</f>
        <v>2577875</v>
      </c>
      <c r="F1326" s="94"/>
    </row>
    <row r="1327" spans="1:7" s="53" customFormat="1" x14ac:dyDescent="0.35">
      <c r="B1327" s="87"/>
      <c r="D1327" s="111"/>
      <c r="F1327" s="94"/>
    </row>
    <row r="1328" spans="1:7" s="53" customFormat="1" x14ac:dyDescent="0.35">
      <c r="A1328" s="112"/>
      <c r="B1328" s="113"/>
      <c r="C1328" s="112"/>
      <c r="D1328" s="114"/>
      <c r="E1328" s="112"/>
      <c r="F1328" s="178"/>
    </row>
    <row r="1331" spans="1:7" s="53" customFormat="1" ht="23.5" x14ac:dyDescent="0.55000000000000004">
      <c r="B1331" s="227" t="s">
        <v>0</v>
      </c>
      <c r="C1331" s="227"/>
      <c r="D1331" s="227"/>
      <c r="E1331" s="70"/>
      <c r="F1331" s="176"/>
    </row>
    <row r="1332" spans="1:7" s="53" customFormat="1" ht="20.5" x14ac:dyDescent="0.45">
      <c r="B1332" s="71"/>
      <c r="C1332" s="72" t="s">
        <v>465</v>
      </c>
      <c r="D1332" s="73"/>
      <c r="F1332" s="94"/>
    </row>
    <row r="1333" spans="1:7" s="53" customFormat="1" ht="21" thickBot="1" x14ac:dyDescent="0.5">
      <c r="B1333" s="71" t="s">
        <v>338</v>
      </c>
      <c r="C1333" s="74" t="s">
        <v>103</v>
      </c>
      <c r="D1333" s="73"/>
      <c r="F1333" s="94"/>
    </row>
    <row r="1334" spans="1:7" s="53" customFormat="1" ht="15" thickBot="1" x14ac:dyDescent="0.4">
      <c r="A1334" s="75" t="s">
        <v>104</v>
      </c>
      <c r="B1334" s="76" t="s">
        <v>81</v>
      </c>
      <c r="C1334" s="76" t="s">
        <v>105</v>
      </c>
      <c r="D1334" s="77" t="s">
        <v>84</v>
      </c>
      <c r="F1334" s="94"/>
    </row>
    <row r="1335" spans="1:7" s="53" customFormat="1" ht="14.5" customHeight="1" x14ac:dyDescent="0.35">
      <c r="A1335" s="222" t="s">
        <v>89</v>
      </c>
      <c r="B1335" s="78" t="s">
        <v>466</v>
      </c>
      <c r="C1335" s="79" t="s">
        <v>106</v>
      </c>
      <c r="D1335" s="80">
        <f>F1342</f>
        <v>11572000</v>
      </c>
      <c r="F1335" s="94"/>
    </row>
    <row r="1336" spans="1:7" s="53" customFormat="1" ht="21" thickBot="1" x14ac:dyDescent="0.5">
      <c r="A1336" s="223"/>
      <c r="B1336" s="71"/>
      <c r="C1336" s="71"/>
      <c r="D1336" s="73"/>
      <c r="F1336" s="94"/>
    </row>
    <row r="1337" spans="1:7" s="53" customFormat="1" ht="15" thickBot="1" x14ac:dyDescent="0.4">
      <c r="A1337" s="223"/>
      <c r="B1337" s="81" t="s">
        <v>81</v>
      </c>
      <c r="C1337" s="82" t="s">
        <v>107</v>
      </c>
      <c r="D1337" s="83" t="s">
        <v>108</v>
      </c>
      <c r="F1337" s="94"/>
    </row>
    <row r="1338" spans="1:7" s="87" customFormat="1" x14ac:dyDescent="0.35">
      <c r="A1338" s="223"/>
      <c r="B1338" s="84" t="str">
        <f>B1335</f>
        <v>09th April,2025</v>
      </c>
      <c r="C1338" s="85" t="s">
        <v>467</v>
      </c>
      <c r="D1338" s="86">
        <f>2000*2900</f>
        <v>5800000</v>
      </c>
      <c r="F1338" s="177"/>
    </row>
    <row r="1339" spans="1:7" s="53" customFormat="1" x14ac:dyDescent="0.35">
      <c r="A1339" s="223"/>
      <c r="B1339" s="88"/>
      <c r="C1339" s="89" t="s">
        <v>490</v>
      </c>
      <c r="D1339" s="90">
        <f>365*2650</f>
        <v>967250</v>
      </c>
      <c r="F1339" s="94"/>
    </row>
    <row r="1340" spans="1:7" s="53" customFormat="1" x14ac:dyDescent="0.35">
      <c r="A1340" s="223"/>
      <c r="B1340" s="88" t="s">
        <v>109</v>
      </c>
      <c r="C1340" s="89" t="s">
        <v>110</v>
      </c>
      <c r="D1340" s="90">
        <v>1000000</v>
      </c>
      <c r="F1340" s="94"/>
    </row>
    <row r="1341" spans="1:7" s="53" customFormat="1" x14ac:dyDescent="0.35">
      <c r="A1341" s="223"/>
      <c r="B1341" s="88" t="s">
        <v>111</v>
      </c>
      <c r="C1341" s="89" t="s">
        <v>112</v>
      </c>
      <c r="D1341" s="90">
        <v>40000</v>
      </c>
      <c r="E1341" s="225" t="s">
        <v>113</v>
      </c>
      <c r="F1341" s="225"/>
    </row>
    <row r="1342" spans="1:7" s="53" customFormat="1" x14ac:dyDescent="0.35">
      <c r="A1342" s="223"/>
      <c r="B1342" s="88" t="s">
        <v>489</v>
      </c>
      <c r="C1342" s="89" t="s">
        <v>115</v>
      </c>
      <c r="D1342" s="90">
        <f>600*123</f>
        <v>73800</v>
      </c>
      <c r="E1342" s="91" t="s">
        <v>116</v>
      </c>
      <c r="F1342" s="92">
        <f>4400*2630</f>
        <v>11572000</v>
      </c>
    </row>
    <row r="1343" spans="1:7" s="53" customFormat="1" x14ac:dyDescent="0.35">
      <c r="A1343" s="223"/>
      <c r="B1343" s="88"/>
      <c r="C1343" s="89" t="s">
        <v>117</v>
      </c>
      <c r="D1343" s="90">
        <f>3000*123</f>
        <v>369000</v>
      </c>
      <c r="E1343" s="93" t="s">
        <v>118</v>
      </c>
      <c r="F1343" s="94">
        <f>(2640*2630)+(1760*2630)</f>
        <v>11572000</v>
      </c>
    </row>
    <row r="1344" spans="1:7" s="53" customFormat="1" ht="15" thickBot="1" x14ac:dyDescent="0.4">
      <c r="A1344" s="223"/>
      <c r="B1344" s="88" t="s">
        <v>119</v>
      </c>
      <c r="C1344" s="89" t="s">
        <v>120</v>
      </c>
      <c r="D1344" s="95">
        <v>30000</v>
      </c>
      <c r="E1344" s="96" t="s">
        <v>121</v>
      </c>
      <c r="F1344" s="97">
        <f>F1342-F1343</f>
        <v>0</v>
      </c>
      <c r="G1344" s="98">
        <f>F1344/2630</f>
        <v>0</v>
      </c>
    </row>
    <row r="1345" spans="1:6" s="53" customFormat="1" ht="15" thickTop="1" x14ac:dyDescent="0.35">
      <c r="A1345" s="223"/>
      <c r="B1345" s="88"/>
      <c r="C1345" s="89" t="s">
        <v>122</v>
      </c>
      <c r="D1345" s="90">
        <v>140000</v>
      </c>
      <c r="F1345" s="94"/>
    </row>
    <row r="1346" spans="1:6" s="53" customFormat="1" x14ac:dyDescent="0.35">
      <c r="A1346" s="223"/>
      <c r="B1346" s="88" t="s">
        <v>464</v>
      </c>
      <c r="C1346" s="99" t="s">
        <v>123</v>
      </c>
      <c r="D1346" s="90">
        <v>15000</v>
      </c>
      <c r="E1346" s="91" t="s">
        <v>124</v>
      </c>
      <c r="F1346" s="92"/>
    </row>
    <row r="1347" spans="1:6" s="53" customFormat="1" x14ac:dyDescent="0.35">
      <c r="A1347" s="223"/>
      <c r="B1347" s="101"/>
      <c r="C1347" s="99" t="s">
        <v>125</v>
      </c>
      <c r="D1347" s="100">
        <v>10000</v>
      </c>
      <c r="E1347" s="102"/>
      <c r="F1347" s="103"/>
    </row>
    <row r="1348" spans="1:6" s="53" customFormat="1" x14ac:dyDescent="0.35">
      <c r="A1348" s="223"/>
      <c r="B1348" s="101"/>
      <c r="C1348" s="99" t="s">
        <v>126</v>
      </c>
      <c r="D1348" s="100">
        <v>30000</v>
      </c>
      <c r="E1348" s="102" t="s">
        <v>127</v>
      </c>
      <c r="F1348" s="103"/>
    </row>
    <row r="1349" spans="1:6" s="53" customFormat="1" x14ac:dyDescent="0.35">
      <c r="A1349" s="223"/>
      <c r="B1349" s="101"/>
      <c r="C1349" s="89" t="s">
        <v>265</v>
      </c>
      <c r="D1349" s="104">
        <f>1064*122</f>
        <v>129808</v>
      </c>
      <c r="E1349" s="102" t="s">
        <v>473</v>
      </c>
      <c r="F1349" s="103"/>
    </row>
    <row r="1350" spans="1:6" s="53" customFormat="1" ht="15" thickBot="1" x14ac:dyDescent="0.4">
      <c r="A1350" s="223"/>
      <c r="B1350" s="105"/>
      <c r="C1350" s="106"/>
      <c r="D1350" s="107"/>
      <c r="E1350" s="53" t="s">
        <v>645</v>
      </c>
      <c r="F1350" s="94"/>
    </row>
    <row r="1351" spans="1:6" s="53" customFormat="1" ht="15" thickBot="1" x14ac:dyDescent="0.4">
      <c r="A1351" s="223"/>
      <c r="B1351" s="108"/>
      <c r="C1351" s="109" t="s">
        <v>129</v>
      </c>
      <c r="D1351" s="110">
        <f>SUM(D1338:D1350)</f>
        <v>8604858</v>
      </c>
      <c r="F1351" s="94"/>
    </row>
    <row r="1352" spans="1:6" s="53" customFormat="1" ht="15.5" thickTop="1" thickBot="1" x14ac:dyDescent="0.4">
      <c r="A1352" s="224"/>
      <c r="B1352" s="226"/>
      <c r="C1352" s="226"/>
      <c r="D1352" s="226"/>
      <c r="F1352" s="94"/>
    </row>
    <row r="1353" spans="1:6" s="53" customFormat="1" x14ac:dyDescent="0.35">
      <c r="B1353" s="87"/>
      <c r="C1353" s="53" t="s">
        <v>130</v>
      </c>
      <c r="D1353" s="111">
        <f>D1335-D1351</f>
        <v>2967142</v>
      </c>
      <c r="F1353" s="94"/>
    </row>
    <row r="1354" spans="1:6" s="53" customFormat="1" x14ac:dyDescent="0.35">
      <c r="B1354" s="87"/>
      <c r="D1354" s="111"/>
      <c r="F1354" s="94"/>
    </row>
    <row r="1355" spans="1:6" s="53" customFormat="1" x14ac:dyDescent="0.35">
      <c r="A1355" s="112"/>
      <c r="B1355" s="113"/>
      <c r="C1355" s="112"/>
      <c r="D1355" s="114"/>
      <c r="E1355" s="112"/>
      <c r="F1355" s="178"/>
    </row>
    <row r="1358" spans="1:6" s="53" customFormat="1" ht="23.5" x14ac:dyDescent="0.55000000000000004">
      <c r="B1358" s="227" t="s">
        <v>0</v>
      </c>
      <c r="C1358" s="227"/>
      <c r="D1358" s="227"/>
      <c r="E1358" s="70"/>
      <c r="F1358" s="176"/>
    </row>
    <row r="1359" spans="1:6" s="53" customFormat="1" ht="20.5" x14ac:dyDescent="0.45">
      <c r="B1359" s="71"/>
      <c r="C1359" s="72" t="s">
        <v>471</v>
      </c>
      <c r="D1359" s="73"/>
      <c r="F1359" s="94"/>
    </row>
    <row r="1360" spans="1:6" s="53" customFormat="1" ht="21" thickBot="1" x14ac:dyDescent="0.5">
      <c r="B1360" s="71" t="s">
        <v>296</v>
      </c>
      <c r="C1360" s="74" t="s">
        <v>103</v>
      </c>
      <c r="D1360" s="73"/>
      <c r="F1360" s="94"/>
    </row>
    <row r="1361" spans="1:7" s="53" customFormat="1" ht="15" thickBot="1" x14ac:dyDescent="0.4">
      <c r="A1361" s="75" t="s">
        <v>104</v>
      </c>
      <c r="B1361" s="76" t="s">
        <v>81</v>
      </c>
      <c r="C1361" s="76" t="s">
        <v>105</v>
      </c>
      <c r="D1361" s="77" t="s">
        <v>84</v>
      </c>
      <c r="F1361" s="94"/>
    </row>
    <row r="1362" spans="1:7" s="53" customFormat="1" ht="14.5" customHeight="1" x14ac:dyDescent="0.35">
      <c r="A1362" s="222" t="s">
        <v>89</v>
      </c>
      <c r="B1362" s="78" t="s">
        <v>472</v>
      </c>
      <c r="C1362" s="79" t="s">
        <v>106</v>
      </c>
      <c r="D1362" s="80">
        <f>F1369</f>
        <v>10783000</v>
      </c>
      <c r="F1362" s="94"/>
    </row>
    <row r="1363" spans="1:7" s="53" customFormat="1" ht="21" thickBot="1" x14ac:dyDescent="0.5">
      <c r="A1363" s="223"/>
      <c r="B1363" s="71"/>
      <c r="C1363" s="71"/>
      <c r="D1363" s="73"/>
      <c r="F1363" s="94"/>
    </row>
    <row r="1364" spans="1:7" s="53" customFormat="1" ht="15" thickBot="1" x14ac:dyDescent="0.4">
      <c r="A1364" s="223"/>
      <c r="B1364" s="81" t="s">
        <v>81</v>
      </c>
      <c r="C1364" s="82" t="s">
        <v>107</v>
      </c>
      <c r="D1364" s="83" t="s">
        <v>108</v>
      </c>
      <c r="F1364" s="94"/>
    </row>
    <row r="1365" spans="1:7" s="87" customFormat="1" x14ac:dyDescent="0.35">
      <c r="A1365" s="223"/>
      <c r="B1365" s="84" t="str">
        <f>B1362</f>
        <v>11th April,2025</v>
      </c>
      <c r="C1365" s="85" t="s">
        <v>467</v>
      </c>
      <c r="D1365" s="86">
        <f>2000*2900</f>
        <v>5800000</v>
      </c>
      <c r="F1365" s="177"/>
    </row>
    <row r="1366" spans="1:7" s="53" customFormat="1" x14ac:dyDescent="0.35">
      <c r="A1366" s="223"/>
      <c r="B1366" s="88"/>
      <c r="C1366" s="89" t="s">
        <v>210</v>
      </c>
      <c r="D1366" s="90">
        <f>319*2650</f>
        <v>845350</v>
      </c>
      <c r="F1366" s="94"/>
    </row>
    <row r="1367" spans="1:7" s="53" customFormat="1" x14ac:dyDescent="0.35">
      <c r="A1367" s="223"/>
      <c r="B1367" s="88" t="s">
        <v>109</v>
      </c>
      <c r="C1367" s="89" t="s">
        <v>110</v>
      </c>
      <c r="D1367" s="90">
        <v>1000000</v>
      </c>
      <c r="F1367" s="94"/>
    </row>
    <row r="1368" spans="1:7" s="53" customFormat="1" x14ac:dyDescent="0.35">
      <c r="A1368" s="223"/>
      <c r="B1368" s="88" t="s">
        <v>111</v>
      </c>
      <c r="C1368" s="89" t="s">
        <v>112</v>
      </c>
      <c r="D1368" s="90">
        <v>40000</v>
      </c>
      <c r="E1368" s="225" t="s">
        <v>113</v>
      </c>
      <c r="F1368" s="225"/>
    </row>
    <row r="1369" spans="1:7" s="53" customFormat="1" x14ac:dyDescent="0.35">
      <c r="A1369" s="223"/>
      <c r="B1369" s="88" t="s">
        <v>206</v>
      </c>
      <c r="C1369" s="89" t="s">
        <v>115</v>
      </c>
      <c r="D1369" s="90">
        <f>250*123</f>
        <v>30750</v>
      </c>
      <c r="E1369" s="91" t="s">
        <v>116</v>
      </c>
      <c r="F1369" s="92">
        <f>4100*2630</f>
        <v>10783000</v>
      </c>
    </row>
    <row r="1370" spans="1:7" s="53" customFormat="1" x14ac:dyDescent="0.35">
      <c r="A1370" s="223"/>
      <c r="B1370" s="88"/>
      <c r="C1370" s="89" t="s">
        <v>117</v>
      </c>
      <c r="D1370" s="90">
        <f>2000*123</f>
        <v>246000</v>
      </c>
      <c r="E1370" s="93" t="s">
        <v>118</v>
      </c>
      <c r="F1370" s="94">
        <f>(2460*2630)</f>
        <v>6469800</v>
      </c>
    </row>
    <row r="1371" spans="1:7" s="53" customFormat="1" ht="15" thickBot="1" x14ac:dyDescent="0.4">
      <c r="A1371" s="223"/>
      <c r="B1371" s="88" t="s">
        <v>119</v>
      </c>
      <c r="C1371" s="89" t="s">
        <v>120</v>
      </c>
      <c r="D1371" s="95">
        <v>30000</v>
      </c>
      <c r="E1371" s="96" t="s">
        <v>121</v>
      </c>
      <c r="F1371" s="97">
        <f>F1369-F1370</f>
        <v>4313200</v>
      </c>
      <c r="G1371" s="98">
        <f>F1371/2630</f>
        <v>1640</v>
      </c>
    </row>
    <row r="1372" spans="1:7" s="53" customFormat="1" ht="15" thickTop="1" x14ac:dyDescent="0.35">
      <c r="A1372" s="223"/>
      <c r="B1372" s="88"/>
      <c r="C1372" s="89" t="s">
        <v>122</v>
      </c>
      <c r="D1372" s="90">
        <v>140000</v>
      </c>
      <c r="F1372" s="94"/>
    </row>
    <row r="1373" spans="1:7" s="53" customFormat="1" x14ac:dyDescent="0.35">
      <c r="A1373" s="223"/>
      <c r="B1373" s="88" t="s">
        <v>470</v>
      </c>
      <c r="C1373" s="99" t="s">
        <v>123</v>
      </c>
      <c r="D1373" s="90">
        <v>15000</v>
      </c>
      <c r="E1373" s="91" t="s">
        <v>124</v>
      </c>
      <c r="F1373" s="92"/>
    </row>
    <row r="1374" spans="1:7" s="53" customFormat="1" x14ac:dyDescent="0.35">
      <c r="A1374" s="223"/>
      <c r="B1374" s="101"/>
      <c r="C1374" s="99" t="s">
        <v>125</v>
      </c>
      <c r="D1374" s="100">
        <v>10000</v>
      </c>
      <c r="E1374" s="102"/>
      <c r="F1374" s="103"/>
    </row>
    <row r="1375" spans="1:7" s="53" customFormat="1" x14ac:dyDescent="0.35">
      <c r="A1375" s="223"/>
      <c r="B1375" s="101"/>
      <c r="C1375" s="99" t="s">
        <v>126</v>
      </c>
      <c r="D1375" s="100">
        <v>20000</v>
      </c>
      <c r="E1375" s="102" t="s">
        <v>127</v>
      </c>
      <c r="F1375" s="103"/>
    </row>
    <row r="1376" spans="1:7" s="53" customFormat="1" x14ac:dyDescent="0.35">
      <c r="A1376" s="223"/>
      <c r="B1376" s="101"/>
      <c r="C1376" s="89"/>
      <c r="D1376" s="104"/>
      <c r="E1376" s="102" t="s">
        <v>477</v>
      </c>
      <c r="F1376" s="103"/>
    </row>
    <row r="1377" spans="1:6" s="53" customFormat="1" ht="15" thickBot="1" x14ac:dyDescent="0.4">
      <c r="A1377" s="223"/>
      <c r="B1377" s="105"/>
      <c r="C1377" s="106"/>
      <c r="D1377" s="107"/>
      <c r="F1377" s="94"/>
    </row>
    <row r="1378" spans="1:6" s="53" customFormat="1" ht="15" thickBot="1" x14ac:dyDescent="0.4">
      <c r="A1378" s="223"/>
      <c r="B1378" s="108"/>
      <c r="C1378" s="109" t="s">
        <v>129</v>
      </c>
      <c r="D1378" s="110">
        <f>SUM(D1365:D1377)</f>
        <v>8177100</v>
      </c>
      <c r="F1378" s="94"/>
    </row>
    <row r="1379" spans="1:6" s="53" customFormat="1" ht="15.5" thickTop="1" thickBot="1" x14ac:dyDescent="0.4">
      <c r="A1379" s="224"/>
      <c r="B1379" s="226"/>
      <c r="C1379" s="226"/>
      <c r="D1379" s="226"/>
      <c r="F1379" s="94"/>
    </row>
    <row r="1380" spans="1:6" s="53" customFormat="1" x14ac:dyDescent="0.35">
      <c r="B1380" s="87"/>
      <c r="C1380" s="53" t="s">
        <v>130</v>
      </c>
      <c r="D1380" s="111">
        <f>D1362-D1378</f>
        <v>2605900</v>
      </c>
      <c r="F1380" s="94"/>
    </row>
    <row r="1381" spans="1:6" s="53" customFormat="1" x14ac:dyDescent="0.35">
      <c r="B1381" s="87"/>
      <c r="D1381" s="111"/>
      <c r="F1381" s="94"/>
    </row>
    <row r="1382" spans="1:6" s="53" customFormat="1" x14ac:dyDescent="0.35">
      <c r="A1382" s="112"/>
      <c r="B1382" s="113"/>
      <c r="C1382" s="112"/>
      <c r="D1382" s="114"/>
      <c r="E1382" s="112"/>
      <c r="F1382" s="178"/>
    </row>
    <row r="1385" spans="1:6" s="53" customFormat="1" ht="23.5" x14ac:dyDescent="0.55000000000000004">
      <c r="B1385" s="227" t="s">
        <v>0</v>
      </c>
      <c r="C1385" s="227"/>
      <c r="D1385" s="227"/>
      <c r="E1385" s="70"/>
      <c r="F1385" s="176"/>
    </row>
    <row r="1386" spans="1:6" s="53" customFormat="1" ht="20.5" x14ac:dyDescent="0.45">
      <c r="B1386" s="71"/>
      <c r="C1386" s="72" t="s">
        <v>574</v>
      </c>
      <c r="D1386" s="73"/>
      <c r="F1386" s="94"/>
    </row>
    <row r="1387" spans="1:6" s="53" customFormat="1" ht="21" thickBot="1" x14ac:dyDescent="0.5">
      <c r="B1387" s="71" t="s">
        <v>163</v>
      </c>
      <c r="C1387" s="74" t="s">
        <v>103</v>
      </c>
      <c r="D1387" s="73"/>
      <c r="F1387" s="94"/>
    </row>
    <row r="1388" spans="1:6" s="53" customFormat="1" ht="15" thickBot="1" x14ac:dyDescent="0.4">
      <c r="A1388" s="75" t="s">
        <v>104</v>
      </c>
      <c r="B1388" s="76" t="s">
        <v>81</v>
      </c>
      <c r="C1388" s="76" t="s">
        <v>105</v>
      </c>
      <c r="D1388" s="77" t="s">
        <v>84</v>
      </c>
      <c r="F1388" s="94"/>
    </row>
    <row r="1389" spans="1:6" s="53" customFormat="1" ht="14.5" customHeight="1" x14ac:dyDescent="0.35">
      <c r="A1389" s="222" t="s">
        <v>89</v>
      </c>
      <c r="B1389" s="78" t="s">
        <v>487</v>
      </c>
      <c r="C1389" s="79" t="s">
        <v>106</v>
      </c>
      <c r="D1389" s="80">
        <f>F1396</f>
        <v>11835000</v>
      </c>
      <c r="F1389" s="94"/>
    </row>
    <row r="1390" spans="1:6" s="53" customFormat="1" ht="21" thickBot="1" x14ac:dyDescent="0.5">
      <c r="A1390" s="223"/>
      <c r="B1390" s="71"/>
      <c r="C1390" s="71"/>
      <c r="D1390" s="73"/>
      <c r="F1390" s="94"/>
    </row>
    <row r="1391" spans="1:6" s="53" customFormat="1" ht="15" thickBot="1" x14ac:dyDescent="0.4">
      <c r="A1391" s="223"/>
      <c r="B1391" s="81" t="s">
        <v>81</v>
      </c>
      <c r="C1391" s="82" t="s">
        <v>107</v>
      </c>
      <c r="D1391" s="83" t="s">
        <v>108</v>
      </c>
      <c r="F1391" s="94"/>
    </row>
    <row r="1392" spans="1:6" s="87" customFormat="1" x14ac:dyDescent="0.35">
      <c r="A1392" s="223"/>
      <c r="B1392" s="84" t="str">
        <f>B1389</f>
        <v>14th April,2025</v>
      </c>
      <c r="C1392" s="85" t="s">
        <v>468</v>
      </c>
      <c r="D1392" s="86">
        <f>2100*2900</f>
        <v>6090000</v>
      </c>
      <c r="F1392" s="177"/>
    </row>
    <row r="1393" spans="1:7" s="53" customFormat="1" x14ac:dyDescent="0.35">
      <c r="A1393" s="223"/>
      <c r="B1393" s="88"/>
      <c r="C1393" s="89" t="s">
        <v>388</v>
      </c>
      <c r="D1393" s="90">
        <f>356*2650</f>
        <v>943400</v>
      </c>
      <c r="F1393" s="94"/>
    </row>
    <row r="1394" spans="1:7" s="53" customFormat="1" x14ac:dyDescent="0.35">
      <c r="A1394" s="223"/>
      <c r="B1394" s="88" t="s">
        <v>109</v>
      </c>
      <c r="C1394" s="89" t="s">
        <v>110</v>
      </c>
      <c r="D1394" s="90">
        <v>1000000</v>
      </c>
      <c r="F1394" s="94"/>
    </row>
    <row r="1395" spans="1:7" s="53" customFormat="1" x14ac:dyDescent="0.35">
      <c r="A1395" s="223"/>
      <c r="B1395" s="88" t="s">
        <v>111</v>
      </c>
      <c r="C1395" s="89" t="s">
        <v>112</v>
      </c>
      <c r="D1395" s="90">
        <v>40000</v>
      </c>
      <c r="E1395" s="225" t="s">
        <v>113</v>
      </c>
      <c r="F1395" s="225"/>
    </row>
    <row r="1396" spans="1:7" s="53" customFormat="1" x14ac:dyDescent="0.35">
      <c r="A1396" s="223"/>
      <c r="B1396" s="88" t="s">
        <v>383</v>
      </c>
      <c r="C1396" s="89" t="s">
        <v>115</v>
      </c>
      <c r="D1396" s="90">
        <f>600*128</f>
        <v>76800</v>
      </c>
      <c r="E1396" s="91" t="s">
        <v>116</v>
      </c>
      <c r="F1396" s="92">
        <f>4500*2630</f>
        <v>11835000</v>
      </c>
    </row>
    <row r="1397" spans="1:7" s="53" customFormat="1" x14ac:dyDescent="0.35">
      <c r="A1397" s="223"/>
      <c r="B1397" s="88"/>
      <c r="C1397" s="89" t="s">
        <v>117</v>
      </c>
      <c r="D1397" s="90">
        <f>6520*128</f>
        <v>834560</v>
      </c>
      <c r="E1397" s="93" t="s">
        <v>118</v>
      </c>
      <c r="F1397" s="94">
        <f>(2700*2630)</f>
        <v>7101000</v>
      </c>
    </row>
    <row r="1398" spans="1:7" s="53" customFormat="1" ht="15" thickBot="1" x14ac:dyDescent="0.4">
      <c r="A1398" s="223"/>
      <c r="B1398" s="88" t="s">
        <v>119</v>
      </c>
      <c r="C1398" s="89" t="s">
        <v>120</v>
      </c>
      <c r="D1398" s="95">
        <v>30000</v>
      </c>
      <c r="E1398" s="96" t="s">
        <v>121</v>
      </c>
      <c r="F1398" s="97">
        <f>F1396-F1397</f>
        <v>4734000</v>
      </c>
      <c r="G1398" s="98">
        <f>F1398/2630</f>
        <v>1800</v>
      </c>
    </row>
    <row r="1399" spans="1:7" s="53" customFormat="1" ht="15" thickTop="1" x14ac:dyDescent="0.35">
      <c r="A1399" s="223"/>
      <c r="B1399" s="88"/>
      <c r="C1399" s="99" t="s">
        <v>123</v>
      </c>
      <c r="D1399" s="100">
        <v>15000</v>
      </c>
      <c r="F1399" s="94"/>
    </row>
    <row r="1400" spans="1:7" s="53" customFormat="1" x14ac:dyDescent="0.35">
      <c r="A1400" s="223"/>
      <c r="B1400" s="88" t="s">
        <v>213</v>
      </c>
      <c r="C1400" s="99" t="s">
        <v>126</v>
      </c>
      <c r="D1400" s="100">
        <v>30000</v>
      </c>
      <c r="E1400" s="91" t="s">
        <v>124</v>
      </c>
      <c r="F1400" s="92"/>
    </row>
    <row r="1401" spans="1:7" s="53" customFormat="1" x14ac:dyDescent="0.35">
      <c r="A1401" s="223"/>
      <c r="B1401" s="101"/>
      <c r="C1401" s="89" t="s">
        <v>265</v>
      </c>
      <c r="D1401" s="100">
        <f>1571*125</f>
        <v>196375</v>
      </c>
      <c r="E1401" s="102"/>
      <c r="F1401" s="103"/>
    </row>
    <row r="1402" spans="1:7" s="53" customFormat="1" x14ac:dyDescent="0.35">
      <c r="A1402" s="223"/>
      <c r="B1402" s="101"/>
      <c r="C1402" s="99"/>
      <c r="D1402" s="100">
        <v>0</v>
      </c>
      <c r="E1402" s="102" t="s">
        <v>127</v>
      </c>
      <c r="F1402" s="103"/>
    </row>
    <row r="1403" spans="1:7" s="53" customFormat="1" x14ac:dyDescent="0.35">
      <c r="A1403" s="223"/>
      <c r="B1403" s="101"/>
      <c r="C1403" s="89"/>
      <c r="D1403" s="90"/>
      <c r="E1403" s="102" t="s">
        <v>513</v>
      </c>
      <c r="F1403" s="103"/>
    </row>
    <row r="1404" spans="1:7" s="53" customFormat="1" ht="15" thickBot="1" x14ac:dyDescent="0.4">
      <c r="A1404" s="223"/>
      <c r="B1404" s="105"/>
      <c r="C1404" s="106"/>
      <c r="D1404" s="107"/>
      <c r="F1404" s="94"/>
    </row>
    <row r="1405" spans="1:7" s="53" customFormat="1" ht="15" thickBot="1" x14ac:dyDescent="0.4">
      <c r="A1405" s="223"/>
      <c r="B1405" s="108"/>
      <c r="C1405" s="109" t="s">
        <v>129</v>
      </c>
      <c r="D1405" s="110">
        <f>SUM(D1392:D1404)</f>
        <v>9256135</v>
      </c>
      <c r="F1405" s="94"/>
    </row>
    <row r="1406" spans="1:7" s="53" customFormat="1" ht="15.5" thickTop="1" thickBot="1" x14ac:dyDescent="0.4">
      <c r="A1406" s="224"/>
      <c r="B1406" s="226"/>
      <c r="C1406" s="226"/>
      <c r="D1406" s="226"/>
      <c r="F1406" s="94"/>
    </row>
    <row r="1407" spans="1:7" s="53" customFormat="1" x14ac:dyDescent="0.35">
      <c r="B1407" s="87"/>
      <c r="C1407" s="53" t="s">
        <v>130</v>
      </c>
      <c r="D1407" s="111">
        <f>D1389-D1405</f>
        <v>2578865</v>
      </c>
      <c r="F1407" s="94"/>
    </row>
    <row r="1408" spans="1:7" s="53" customFormat="1" x14ac:dyDescent="0.35">
      <c r="B1408" s="87"/>
      <c r="D1408" s="111"/>
      <c r="F1408" s="94"/>
    </row>
    <row r="1409" spans="1:6" s="53" customFormat="1" x14ac:dyDescent="0.35">
      <c r="A1409" s="112"/>
      <c r="B1409" s="113"/>
      <c r="C1409" s="112"/>
      <c r="D1409" s="114"/>
      <c r="E1409" s="112"/>
      <c r="F1409" s="178"/>
    </row>
    <row r="1412" spans="1:6" s="53" customFormat="1" ht="23.5" x14ac:dyDescent="0.55000000000000004">
      <c r="B1412" s="227" t="s">
        <v>0</v>
      </c>
      <c r="C1412" s="227"/>
      <c r="D1412" s="227"/>
      <c r="E1412" s="70"/>
      <c r="F1412" s="176"/>
    </row>
    <row r="1413" spans="1:6" s="53" customFormat="1" ht="20.5" x14ac:dyDescent="0.45">
      <c r="B1413" s="71"/>
      <c r="C1413" s="72" t="s">
        <v>493</v>
      </c>
      <c r="D1413" s="73"/>
      <c r="F1413" s="94"/>
    </row>
    <row r="1414" spans="1:6" s="53" customFormat="1" ht="21" thickBot="1" x14ac:dyDescent="0.5">
      <c r="B1414" s="71" t="s">
        <v>235</v>
      </c>
      <c r="C1414" s="74" t="s">
        <v>103</v>
      </c>
      <c r="D1414" s="73"/>
      <c r="F1414" s="94"/>
    </row>
    <row r="1415" spans="1:6" s="53" customFormat="1" ht="15" thickBot="1" x14ac:dyDescent="0.4">
      <c r="A1415" s="75" t="s">
        <v>104</v>
      </c>
      <c r="B1415" s="76" t="s">
        <v>81</v>
      </c>
      <c r="C1415" s="76" t="s">
        <v>105</v>
      </c>
      <c r="D1415" s="77" t="s">
        <v>84</v>
      </c>
      <c r="F1415" s="94"/>
    </row>
    <row r="1416" spans="1:6" s="53" customFormat="1" ht="14.5" customHeight="1" x14ac:dyDescent="0.35">
      <c r="A1416" s="222" t="s">
        <v>89</v>
      </c>
      <c r="B1416" s="78" t="s">
        <v>494</v>
      </c>
      <c r="C1416" s="79" t="s">
        <v>106</v>
      </c>
      <c r="D1416" s="80">
        <f>F1423</f>
        <v>11835000</v>
      </c>
      <c r="F1416" s="94"/>
    </row>
    <row r="1417" spans="1:6" s="53" customFormat="1" ht="21" thickBot="1" x14ac:dyDescent="0.5">
      <c r="A1417" s="223"/>
      <c r="B1417" s="71"/>
      <c r="C1417" s="71"/>
      <c r="D1417" s="73"/>
      <c r="F1417" s="94"/>
    </row>
    <row r="1418" spans="1:6" s="53" customFormat="1" ht="15" thickBot="1" x14ac:dyDescent="0.4">
      <c r="A1418" s="223"/>
      <c r="B1418" s="81" t="s">
        <v>81</v>
      </c>
      <c r="C1418" s="82" t="s">
        <v>107</v>
      </c>
      <c r="D1418" s="83" t="s">
        <v>108</v>
      </c>
      <c r="F1418" s="94"/>
    </row>
    <row r="1419" spans="1:6" s="87" customFormat="1" x14ac:dyDescent="0.35">
      <c r="A1419" s="223"/>
      <c r="B1419" s="84" t="str">
        <f>B1416</f>
        <v>16th April,2025</v>
      </c>
      <c r="C1419" s="85" t="s">
        <v>467</v>
      </c>
      <c r="D1419" s="86">
        <f>2000*2900</f>
        <v>5800000</v>
      </c>
      <c r="F1419" s="177"/>
    </row>
    <row r="1420" spans="1:6" s="53" customFormat="1" x14ac:dyDescent="0.35">
      <c r="A1420" s="223"/>
      <c r="B1420" s="88"/>
      <c r="C1420" s="89" t="s">
        <v>210</v>
      </c>
      <c r="D1420" s="90">
        <f>319*2650</f>
        <v>845350</v>
      </c>
      <c r="F1420" s="94"/>
    </row>
    <row r="1421" spans="1:6" s="53" customFormat="1" x14ac:dyDescent="0.35">
      <c r="A1421" s="223"/>
      <c r="B1421" s="88" t="s">
        <v>109</v>
      </c>
      <c r="C1421" s="89" t="s">
        <v>110</v>
      </c>
      <c r="D1421" s="90">
        <v>1000000</v>
      </c>
      <c r="F1421" s="94"/>
    </row>
    <row r="1422" spans="1:6" s="53" customFormat="1" x14ac:dyDescent="0.35">
      <c r="A1422" s="223"/>
      <c r="B1422" s="88" t="s">
        <v>111</v>
      </c>
      <c r="C1422" s="89" t="s">
        <v>112</v>
      </c>
      <c r="D1422" s="90">
        <v>40000</v>
      </c>
      <c r="E1422" s="225" t="s">
        <v>113</v>
      </c>
      <c r="F1422" s="225"/>
    </row>
    <row r="1423" spans="1:6" s="53" customFormat="1" x14ac:dyDescent="0.35">
      <c r="A1423" s="223"/>
      <c r="B1423" s="88" t="s">
        <v>206</v>
      </c>
      <c r="C1423" s="89" t="s">
        <v>115</v>
      </c>
      <c r="D1423" s="90">
        <f>450*123</f>
        <v>55350</v>
      </c>
      <c r="E1423" s="91" t="s">
        <v>116</v>
      </c>
      <c r="F1423" s="92">
        <f>4500*2630</f>
        <v>11835000</v>
      </c>
    </row>
    <row r="1424" spans="1:6" s="53" customFormat="1" x14ac:dyDescent="0.35">
      <c r="A1424" s="223"/>
      <c r="B1424" s="88"/>
      <c r="C1424" s="89" t="s">
        <v>117</v>
      </c>
      <c r="D1424" s="90">
        <f>2920*123</f>
        <v>359160</v>
      </c>
      <c r="E1424" s="93" t="s">
        <v>118</v>
      </c>
      <c r="F1424" s="94">
        <f>(2460*2630)+(1640*2630)</f>
        <v>10783000</v>
      </c>
    </row>
    <row r="1425" spans="1:7" s="53" customFormat="1" ht="15" thickBot="1" x14ac:dyDescent="0.4">
      <c r="A1425" s="223"/>
      <c r="B1425" s="88" t="s">
        <v>119</v>
      </c>
      <c r="C1425" s="89" t="s">
        <v>120</v>
      </c>
      <c r="D1425" s="95">
        <v>30000</v>
      </c>
      <c r="E1425" s="96" t="s">
        <v>121</v>
      </c>
      <c r="F1425" s="97">
        <f>F1423-F1424</f>
        <v>1052000</v>
      </c>
      <c r="G1425" s="98">
        <f>F1425/2630</f>
        <v>400</v>
      </c>
    </row>
    <row r="1426" spans="1:7" s="53" customFormat="1" ht="15" thickTop="1" x14ac:dyDescent="0.35">
      <c r="A1426" s="223"/>
      <c r="B1426" s="88"/>
      <c r="C1426" s="89" t="s">
        <v>265</v>
      </c>
      <c r="D1426" s="90">
        <f>2020*124</f>
        <v>250480</v>
      </c>
      <c r="F1426" s="94"/>
    </row>
    <row r="1427" spans="1:7" s="53" customFormat="1" x14ac:dyDescent="0.35">
      <c r="A1427" s="223"/>
      <c r="B1427" s="88" t="s">
        <v>492</v>
      </c>
      <c r="C1427" s="99" t="s">
        <v>123</v>
      </c>
      <c r="D1427" s="90">
        <v>15000</v>
      </c>
      <c r="E1427" s="91" t="s">
        <v>124</v>
      </c>
      <c r="F1427" s="92"/>
    </row>
    <row r="1428" spans="1:7" s="53" customFormat="1" x14ac:dyDescent="0.35">
      <c r="A1428" s="223"/>
      <c r="B1428" s="101"/>
      <c r="C1428" s="99" t="s">
        <v>126</v>
      </c>
      <c r="D1428" s="100">
        <v>40000</v>
      </c>
      <c r="E1428" s="102"/>
      <c r="F1428" s="103"/>
    </row>
    <row r="1429" spans="1:7" s="53" customFormat="1" x14ac:dyDescent="0.35">
      <c r="A1429" s="223"/>
      <c r="B1429" s="101"/>
      <c r="C1429" s="99"/>
      <c r="D1429" s="100"/>
      <c r="E1429" s="102" t="s">
        <v>127</v>
      </c>
      <c r="F1429" s="103"/>
    </row>
    <row r="1430" spans="1:7" s="53" customFormat="1" x14ac:dyDescent="0.35">
      <c r="A1430" s="223"/>
      <c r="B1430" s="101"/>
      <c r="C1430" s="89"/>
      <c r="D1430" s="104"/>
      <c r="E1430" s="102" t="s">
        <v>513</v>
      </c>
      <c r="F1430" s="103"/>
    </row>
    <row r="1431" spans="1:7" s="53" customFormat="1" ht="15" thickBot="1" x14ac:dyDescent="0.4">
      <c r="A1431" s="223"/>
      <c r="B1431" s="105"/>
      <c r="C1431" s="106"/>
      <c r="D1431" s="107"/>
      <c r="E1431" s="53" t="s">
        <v>645</v>
      </c>
      <c r="F1431" s="94"/>
    </row>
    <row r="1432" spans="1:7" s="53" customFormat="1" ht="15" thickBot="1" x14ac:dyDescent="0.4">
      <c r="A1432" s="223"/>
      <c r="B1432" s="108"/>
      <c r="C1432" s="109" t="s">
        <v>129</v>
      </c>
      <c r="D1432" s="110">
        <f>SUM(D1419:D1431)</f>
        <v>8435340</v>
      </c>
      <c r="F1432" s="94"/>
    </row>
    <row r="1433" spans="1:7" s="53" customFormat="1" ht="15.5" thickTop="1" thickBot="1" x14ac:dyDescent="0.4">
      <c r="A1433" s="224"/>
      <c r="B1433" s="226"/>
      <c r="C1433" s="226"/>
      <c r="D1433" s="226"/>
      <c r="F1433" s="94"/>
    </row>
    <row r="1434" spans="1:7" s="53" customFormat="1" x14ac:dyDescent="0.35">
      <c r="B1434" s="87"/>
      <c r="C1434" s="53" t="s">
        <v>130</v>
      </c>
      <c r="D1434" s="111">
        <f>D1416-D1432</f>
        <v>3399660</v>
      </c>
      <c r="F1434" s="94"/>
    </row>
    <row r="1435" spans="1:7" s="53" customFormat="1" x14ac:dyDescent="0.35">
      <c r="B1435" s="87"/>
      <c r="D1435" s="111"/>
      <c r="F1435" s="94"/>
    </row>
    <row r="1436" spans="1:7" s="53" customFormat="1" x14ac:dyDescent="0.35">
      <c r="A1436" s="112"/>
      <c r="B1436" s="113"/>
      <c r="C1436" s="112"/>
      <c r="D1436" s="114"/>
      <c r="E1436" s="112"/>
      <c r="F1436" s="178"/>
    </row>
    <row r="1438" spans="1:7" s="53" customFormat="1" ht="23.5" x14ac:dyDescent="0.55000000000000004">
      <c r="B1438" s="227" t="s">
        <v>0</v>
      </c>
      <c r="C1438" s="227"/>
      <c r="D1438" s="227"/>
      <c r="E1438" s="70"/>
      <c r="F1438" s="176"/>
    </row>
    <row r="1439" spans="1:7" s="53" customFormat="1" ht="20.5" x14ac:dyDescent="0.45">
      <c r="B1439" s="71"/>
      <c r="C1439" s="72" t="s">
        <v>500</v>
      </c>
      <c r="D1439" s="73"/>
      <c r="F1439" s="94"/>
    </row>
    <row r="1440" spans="1:7" s="53" customFormat="1" ht="21" thickBot="1" x14ac:dyDescent="0.5">
      <c r="B1440" s="71" t="s">
        <v>401</v>
      </c>
      <c r="C1440" s="74" t="s">
        <v>103</v>
      </c>
      <c r="D1440" s="73"/>
      <c r="F1440" s="94"/>
    </row>
    <row r="1441" spans="1:7" s="53" customFormat="1" ht="15" thickBot="1" x14ac:dyDescent="0.4">
      <c r="A1441" s="75" t="s">
        <v>104</v>
      </c>
      <c r="B1441" s="76" t="s">
        <v>81</v>
      </c>
      <c r="C1441" s="76" t="s">
        <v>105</v>
      </c>
      <c r="D1441" s="77" t="s">
        <v>84</v>
      </c>
      <c r="F1441" s="94"/>
    </row>
    <row r="1442" spans="1:7" s="53" customFormat="1" ht="14.5" customHeight="1" x14ac:dyDescent="0.35">
      <c r="A1442" s="222" t="s">
        <v>89</v>
      </c>
      <c r="B1442" s="78" t="s">
        <v>501</v>
      </c>
      <c r="C1442" s="79" t="s">
        <v>187</v>
      </c>
      <c r="D1442" s="80">
        <f>F1449</f>
        <v>10865000</v>
      </c>
      <c r="F1442" s="94"/>
    </row>
    <row r="1443" spans="1:7" s="53" customFormat="1" ht="21" thickBot="1" x14ac:dyDescent="0.5">
      <c r="A1443" s="223"/>
      <c r="B1443" s="71"/>
      <c r="C1443" s="71"/>
      <c r="D1443" s="73"/>
      <c r="F1443" s="94"/>
    </row>
    <row r="1444" spans="1:7" s="53" customFormat="1" ht="15" thickBot="1" x14ac:dyDescent="0.4">
      <c r="A1444" s="223"/>
      <c r="B1444" s="81" t="s">
        <v>81</v>
      </c>
      <c r="C1444" s="82" t="s">
        <v>107</v>
      </c>
      <c r="D1444" s="83" t="s">
        <v>108</v>
      </c>
      <c r="F1444" s="94"/>
    </row>
    <row r="1445" spans="1:7" s="87" customFormat="1" x14ac:dyDescent="0.35">
      <c r="A1445" s="223"/>
      <c r="B1445" s="84" t="str">
        <f>B1442</f>
        <v>17th April,2025</v>
      </c>
      <c r="C1445" s="85" t="s">
        <v>467</v>
      </c>
      <c r="D1445" s="86">
        <f>2000*2900</f>
        <v>5800000</v>
      </c>
      <c r="F1445" s="177"/>
    </row>
    <row r="1446" spans="1:7" s="53" customFormat="1" x14ac:dyDescent="0.35">
      <c r="A1446" s="223"/>
      <c r="B1446" s="88"/>
      <c r="C1446" s="89" t="s">
        <v>188</v>
      </c>
      <c r="D1446" s="90">
        <f>325*2650</f>
        <v>861250</v>
      </c>
      <c r="F1446" s="94"/>
    </row>
    <row r="1447" spans="1:7" s="53" customFormat="1" x14ac:dyDescent="0.35">
      <c r="A1447" s="223"/>
      <c r="B1447" s="88" t="s">
        <v>109</v>
      </c>
      <c r="C1447" s="89" t="s">
        <v>110</v>
      </c>
      <c r="D1447" s="90">
        <v>1000000</v>
      </c>
      <c r="F1447" s="94"/>
    </row>
    <row r="1448" spans="1:7" s="53" customFormat="1" x14ac:dyDescent="0.35">
      <c r="A1448" s="223"/>
      <c r="B1448" s="88" t="s">
        <v>111</v>
      </c>
      <c r="C1448" s="89" t="s">
        <v>112</v>
      </c>
      <c r="D1448" s="90">
        <v>40000</v>
      </c>
      <c r="E1448" s="225" t="s">
        <v>113</v>
      </c>
      <c r="F1448" s="225"/>
    </row>
    <row r="1449" spans="1:7" s="53" customFormat="1" x14ac:dyDescent="0.35">
      <c r="A1449" s="223"/>
      <c r="B1449" s="88" t="s">
        <v>182</v>
      </c>
      <c r="C1449" s="89" t="s">
        <v>115</v>
      </c>
      <c r="D1449" s="90">
        <f>350*120</f>
        <v>42000</v>
      </c>
      <c r="E1449" s="91" t="s">
        <v>116</v>
      </c>
      <c r="F1449" s="92">
        <f>4100*2650</f>
        <v>10865000</v>
      </c>
    </row>
    <row r="1450" spans="1:7" s="53" customFormat="1" x14ac:dyDescent="0.35">
      <c r="A1450" s="223"/>
      <c r="B1450" s="88"/>
      <c r="C1450" s="89" t="s">
        <v>117</v>
      </c>
      <c r="D1450" s="90">
        <f>2500*120</f>
        <v>300000</v>
      </c>
      <c r="E1450" s="93" t="s">
        <v>118</v>
      </c>
      <c r="F1450" s="103">
        <f>4100*2650</f>
        <v>10865000</v>
      </c>
    </row>
    <row r="1451" spans="1:7" s="53" customFormat="1" ht="15" thickBot="1" x14ac:dyDescent="0.4">
      <c r="A1451" s="223"/>
      <c r="B1451" s="88" t="s">
        <v>119</v>
      </c>
      <c r="C1451" s="89" t="s">
        <v>120</v>
      </c>
      <c r="D1451" s="95">
        <v>30000</v>
      </c>
      <c r="E1451" s="96" t="s">
        <v>121</v>
      </c>
      <c r="F1451" s="97">
        <f>F1449-F1450</f>
        <v>0</v>
      </c>
      <c r="G1451" s="98">
        <f>F1451/2650</f>
        <v>0</v>
      </c>
    </row>
    <row r="1452" spans="1:7" s="53" customFormat="1" ht="15" thickTop="1" x14ac:dyDescent="0.35">
      <c r="A1452" s="223"/>
      <c r="B1452" s="88"/>
      <c r="C1452" s="89" t="s">
        <v>122</v>
      </c>
      <c r="D1452" s="90">
        <v>140000</v>
      </c>
      <c r="F1452" s="94"/>
    </row>
    <row r="1453" spans="1:7" s="53" customFormat="1" x14ac:dyDescent="0.35">
      <c r="A1453" s="223"/>
      <c r="B1453" s="88" t="s">
        <v>499</v>
      </c>
      <c r="C1453" s="99" t="s">
        <v>123</v>
      </c>
      <c r="D1453" s="90">
        <v>15000</v>
      </c>
      <c r="E1453" s="91" t="s">
        <v>124</v>
      </c>
      <c r="F1453" s="92"/>
    </row>
    <row r="1454" spans="1:7" s="53" customFormat="1" x14ac:dyDescent="0.35">
      <c r="A1454" s="223"/>
      <c r="B1454" s="101"/>
      <c r="C1454" s="99" t="s">
        <v>125</v>
      </c>
      <c r="D1454" s="100">
        <v>10000</v>
      </c>
      <c r="E1454" s="102"/>
      <c r="F1454" s="103"/>
    </row>
    <row r="1455" spans="1:7" s="53" customFormat="1" x14ac:dyDescent="0.35">
      <c r="A1455" s="223"/>
      <c r="B1455" s="101"/>
      <c r="C1455" s="99" t="s">
        <v>126</v>
      </c>
      <c r="D1455" s="100">
        <v>20000</v>
      </c>
      <c r="E1455" s="102" t="s">
        <v>127</v>
      </c>
      <c r="F1455" s="103"/>
    </row>
    <row r="1456" spans="1:7" s="53" customFormat="1" x14ac:dyDescent="0.35">
      <c r="A1456" s="223"/>
      <c r="B1456" s="101"/>
      <c r="C1456" s="89" t="s">
        <v>265</v>
      </c>
      <c r="D1456" s="104">
        <f>1038*122</f>
        <v>126636</v>
      </c>
      <c r="E1456" s="102" t="s">
        <v>659</v>
      </c>
      <c r="F1456" s="103"/>
    </row>
    <row r="1457" spans="1:6" s="53" customFormat="1" ht="15" thickBot="1" x14ac:dyDescent="0.4">
      <c r="A1457" s="223"/>
      <c r="B1457" s="105"/>
      <c r="C1457" s="106"/>
      <c r="D1457" s="107"/>
      <c r="F1457" s="94"/>
    </row>
    <row r="1458" spans="1:6" s="53" customFormat="1" ht="15" thickBot="1" x14ac:dyDescent="0.4">
      <c r="A1458" s="223"/>
      <c r="B1458" s="108"/>
      <c r="C1458" s="109" t="s">
        <v>129</v>
      </c>
      <c r="D1458" s="110">
        <f>SUM(D1445:D1457)</f>
        <v>8384886</v>
      </c>
      <c r="F1458" s="94"/>
    </row>
    <row r="1459" spans="1:6" s="53" customFormat="1" ht="15.5" thickTop="1" thickBot="1" x14ac:dyDescent="0.4">
      <c r="A1459" s="224"/>
      <c r="B1459" s="226"/>
      <c r="C1459" s="226"/>
      <c r="D1459" s="226"/>
      <c r="F1459" s="94"/>
    </row>
    <row r="1460" spans="1:6" s="53" customFormat="1" x14ac:dyDescent="0.35">
      <c r="B1460" s="87"/>
      <c r="C1460" s="53" t="s">
        <v>130</v>
      </c>
      <c r="D1460" s="111">
        <f>D1442-D1458</f>
        <v>2480114</v>
      </c>
      <c r="F1460" s="94"/>
    </row>
    <row r="1461" spans="1:6" s="53" customFormat="1" x14ac:dyDescent="0.35">
      <c r="B1461" s="87"/>
      <c r="D1461" s="111"/>
      <c r="F1461" s="94"/>
    </row>
    <row r="1462" spans="1:6" s="53" customFormat="1" x14ac:dyDescent="0.35">
      <c r="A1462" s="112"/>
      <c r="B1462" s="113"/>
      <c r="C1462" s="112"/>
      <c r="D1462" s="114"/>
      <c r="E1462" s="112"/>
      <c r="F1462" s="178"/>
    </row>
    <row r="1465" spans="1:6" s="53" customFormat="1" ht="23.5" x14ac:dyDescent="0.55000000000000004">
      <c r="B1465" s="227" t="s">
        <v>0</v>
      </c>
      <c r="C1465" s="227"/>
      <c r="D1465" s="227"/>
      <c r="E1465" s="70"/>
      <c r="F1465" s="176"/>
    </row>
    <row r="1466" spans="1:6" s="53" customFormat="1" ht="20.5" x14ac:dyDescent="0.45">
      <c r="B1466" s="71"/>
      <c r="C1466" s="72" t="s">
        <v>504</v>
      </c>
      <c r="D1466" s="73"/>
      <c r="F1466" s="94"/>
    </row>
    <row r="1467" spans="1:6" s="53" customFormat="1" ht="21" thickBot="1" x14ac:dyDescent="0.5">
      <c r="B1467" s="71" t="s">
        <v>396</v>
      </c>
      <c r="C1467" s="74" t="s">
        <v>103</v>
      </c>
      <c r="D1467" s="73"/>
      <c r="F1467" s="94"/>
    </row>
    <row r="1468" spans="1:6" s="53" customFormat="1" ht="15" thickBot="1" x14ac:dyDescent="0.4">
      <c r="A1468" s="75" t="s">
        <v>104</v>
      </c>
      <c r="B1468" s="76" t="s">
        <v>81</v>
      </c>
      <c r="C1468" s="76" t="s">
        <v>105</v>
      </c>
      <c r="D1468" s="77" t="s">
        <v>84</v>
      </c>
      <c r="F1468" s="94"/>
    </row>
    <row r="1469" spans="1:6" s="53" customFormat="1" ht="14.5" customHeight="1" x14ac:dyDescent="0.35">
      <c r="A1469" s="222" t="s">
        <v>89</v>
      </c>
      <c r="B1469" s="78" t="s">
        <v>501</v>
      </c>
      <c r="C1469" s="79" t="s">
        <v>187</v>
      </c>
      <c r="D1469" s="80">
        <f>F1476</f>
        <v>10865000</v>
      </c>
      <c r="F1469" s="94"/>
    </row>
    <row r="1470" spans="1:6" s="53" customFormat="1" ht="21" thickBot="1" x14ac:dyDescent="0.5">
      <c r="A1470" s="223"/>
      <c r="B1470" s="71"/>
      <c r="C1470" s="71"/>
      <c r="D1470" s="73"/>
      <c r="F1470" s="94"/>
    </row>
    <row r="1471" spans="1:6" s="53" customFormat="1" ht="15" thickBot="1" x14ac:dyDescent="0.4">
      <c r="A1471" s="223"/>
      <c r="B1471" s="81" t="s">
        <v>81</v>
      </c>
      <c r="C1471" s="82" t="s">
        <v>107</v>
      </c>
      <c r="D1471" s="83" t="s">
        <v>108</v>
      </c>
      <c r="F1471" s="94"/>
    </row>
    <row r="1472" spans="1:6" s="87" customFormat="1" x14ac:dyDescent="0.35">
      <c r="A1472" s="223"/>
      <c r="B1472" s="84" t="str">
        <f>B1469</f>
        <v>17th April,2025</v>
      </c>
      <c r="C1472" s="85" t="s">
        <v>467</v>
      </c>
      <c r="D1472" s="86">
        <f>2000*2900</f>
        <v>5800000</v>
      </c>
      <c r="F1472" s="177"/>
    </row>
    <row r="1473" spans="1:7" s="53" customFormat="1" x14ac:dyDescent="0.35">
      <c r="A1473" s="223"/>
      <c r="B1473" s="88"/>
      <c r="C1473" s="89" t="s">
        <v>188</v>
      </c>
      <c r="D1473" s="90">
        <f>325*2650</f>
        <v>861250</v>
      </c>
      <c r="F1473" s="94"/>
    </row>
    <row r="1474" spans="1:7" s="53" customFormat="1" x14ac:dyDescent="0.35">
      <c r="A1474" s="223"/>
      <c r="B1474" s="88" t="s">
        <v>109</v>
      </c>
      <c r="C1474" s="89" t="s">
        <v>110</v>
      </c>
      <c r="D1474" s="90">
        <v>1000000</v>
      </c>
      <c r="F1474" s="94"/>
    </row>
    <row r="1475" spans="1:7" s="53" customFormat="1" x14ac:dyDescent="0.35">
      <c r="A1475" s="223"/>
      <c r="B1475" s="88" t="s">
        <v>111</v>
      </c>
      <c r="C1475" s="89" t="s">
        <v>112</v>
      </c>
      <c r="D1475" s="90">
        <v>40000</v>
      </c>
      <c r="E1475" s="225" t="s">
        <v>113</v>
      </c>
      <c r="F1475" s="225"/>
    </row>
    <row r="1476" spans="1:7" s="53" customFormat="1" x14ac:dyDescent="0.35">
      <c r="A1476" s="223"/>
      <c r="B1476" s="88" t="s">
        <v>182</v>
      </c>
      <c r="C1476" s="89" t="s">
        <v>115</v>
      </c>
      <c r="D1476" s="90">
        <f>450*120</f>
        <v>54000</v>
      </c>
      <c r="E1476" s="91" t="s">
        <v>116</v>
      </c>
      <c r="F1476" s="92">
        <f>4100*2650</f>
        <v>10865000</v>
      </c>
    </row>
    <row r="1477" spans="1:7" s="53" customFormat="1" x14ac:dyDescent="0.35">
      <c r="A1477" s="223"/>
      <c r="B1477" s="88"/>
      <c r="C1477" s="89" t="s">
        <v>117</v>
      </c>
      <c r="D1477" s="90">
        <f>2500*120</f>
        <v>300000</v>
      </c>
      <c r="E1477" s="93" t="s">
        <v>118</v>
      </c>
      <c r="F1477" s="103">
        <f>4100*2650</f>
        <v>10865000</v>
      </c>
    </row>
    <row r="1478" spans="1:7" s="53" customFormat="1" ht="15" thickBot="1" x14ac:dyDescent="0.4">
      <c r="A1478" s="223"/>
      <c r="B1478" s="88" t="s">
        <v>119</v>
      </c>
      <c r="C1478" s="89" t="s">
        <v>120</v>
      </c>
      <c r="D1478" s="95">
        <v>30000</v>
      </c>
      <c r="E1478" s="96" t="s">
        <v>121</v>
      </c>
      <c r="F1478" s="97">
        <f>F1476-F1477</f>
        <v>0</v>
      </c>
      <c r="G1478" s="98">
        <f>F1478/2650</f>
        <v>0</v>
      </c>
    </row>
    <row r="1479" spans="1:7" s="53" customFormat="1" ht="15" thickTop="1" x14ac:dyDescent="0.35">
      <c r="A1479" s="223"/>
      <c r="B1479" s="88"/>
      <c r="C1479" s="89" t="s">
        <v>122</v>
      </c>
      <c r="D1479" s="90">
        <v>140000</v>
      </c>
      <c r="F1479" s="94"/>
    </row>
    <row r="1480" spans="1:7" s="53" customFormat="1" x14ac:dyDescent="0.35">
      <c r="A1480" s="223"/>
      <c r="B1480" s="88" t="s">
        <v>503</v>
      </c>
      <c r="C1480" s="99" t="s">
        <v>123</v>
      </c>
      <c r="D1480" s="90">
        <v>15000</v>
      </c>
      <c r="E1480" s="91" t="s">
        <v>124</v>
      </c>
      <c r="F1480" s="92"/>
    </row>
    <row r="1481" spans="1:7" s="53" customFormat="1" x14ac:dyDescent="0.35">
      <c r="A1481" s="223"/>
      <c r="B1481" s="101"/>
      <c r="C1481" s="99" t="s">
        <v>125</v>
      </c>
      <c r="D1481" s="100">
        <v>10000</v>
      </c>
      <c r="E1481" s="102"/>
      <c r="F1481" s="103"/>
    </row>
    <row r="1482" spans="1:7" s="53" customFormat="1" x14ac:dyDescent="0.35">
      <c r="A1482" s="223"/>
      <c r="B1482" s="101"/>
      <c r="C1482" s="99" t="s">
        <v>126</v>
      </c>
      <c r="D1482" s="100">
        <v>20000</v>
      </c>
      <c r="E1482" s="102" t="s">
        <v>127</v>
      </c>
      <c r="F1482" s="103"/>
    </row>
    <row r="1483" spans="1:7" s="53" customFormat="1" x14ac:dyDescent="0.35">
      <c r="A1483" s="223"/>
      <c r="B1483" s="101"/>
      <c r="C1483" s="89" t="s">
        <v>265</v>
      </c>
      <c r="D1483" s="104">
        <f>1038*122</f>
        <v>126636</v>
      </c>
      <c r="E1483" s="102" t="s">
        <v>659</v>
      </c>
      <c r="F1483" s="103"/>
    </row>
    <row r="1484" spans="1:7" s="53" customFormat="1" ht="15" thickBot="1" x14ac:dyDescent="0.4">
      <c r="A1484" s="223"/>
      <c r="B1484" s="105"/>
      <c r="C1484" s="106"/>
      <c r="D1484" s="107"/>
      <c r="F1484" s="94"/>
    </row>
    <row r="1485" spans="1:7" s="53" customFormat="1" ht="15" thickBot="1" x14ac:dyDescent="0.4">
      <c r="A1485" s="223"/>
      <c r="B1485" s="108"/>
      <c r="C1485" s="109" t="s">
        <v>129</v>
      </c>
      <c r="D1485" s="110">
        <f>SUM(D1472:D1484)</f>
        <v>8396886</v>
      </c>
      <c r="F1485" s="94"/>
    </row>
    <row r="1486" spans="1:7" s="53" customFormat="1" ht="15.5" thickTop="1" thickBot="1" x14ac:dyDescent="0.4">
      <c r="A1486" s="224"/>
      <c r="B1486" s="226"/>
      <c r="C1486" s="226"/>
      <c r="D1486" s="226"/>
      <c r="F1486" s="94"/>
    </row>
    <row r="1487" spans="1:7" s="53" customFormat="1" x14ac:dyDescent="0.35">
      <c r="B1487" s="87"/>
      <c r="C1487" s="53" t="s">
        <v>130</v>
      </c>
      <c r="D1487" s="111">
        <f>D1469-D1485</f>
        <v>2468114</v>
      </c>
      <c r="F1487" s="94"/>
    </row>
    <row r="1488" spans="1:7" s="53" customFormat="1" x14ac:dyDescent="0.35">
      <c r="B1488" s="87"/>
      <c r="D1488" s="111"/>
      <c r="F1488" s="94"/>
    </row>
    <row r="1489" spans="1:7" s="53" customFormat="1" x14ac:dyDescent="0.35">
      <c r="A1489" s="112"/>
      <c r="B1489" s="113"/>
      <c r="C1489" s="112"/>
      <c r="D1489" s="114"/>
      <c r="E1489" s="112"/>
      <c r="F1489" s="178"/>
    </row>
    <row r="1491" spans="1:7" s="53" customFormat="1" ht="23.5" x14ac:dyDescent="0.55000000000000004">
      <c r="B1491" s="227" t="s">
        <v>0</v>
      </c>
      <c r="C1491" s="227"/>
      <c r="D1491" s="227"/>
      <c r="E1491" s="70"/>
      <c r="F1491" s="176"/>
    </row>
    <row r="1492" spans="1:7" s="53" customFormat="1" ht="20.5" x14ac:dyDescent="0.45">
      <c r="B1492" s="71"/>
      <c r="C1492" s="72" t="s">
        <v>508</v>
      </c>
      <c r="D1492" s="73"/>
      <c r="F1492" s="94"/>
    </row>
    <row r="1493" spans="1:7" s="53" customFormat="1" ht="21" thickBot="1" x14ac:dyDescent="0.5">
      <c r="B1493" s="71" t="s">
        <v>185</v>
      </c>
      <c r="C1493" s="74" t="s">
        <v>103</v>
      </c>
      <c r="D1493" s="73"/>
      <c r="F1493" s="94"/>
    </row>
    <row r="1494" spans="1:7" s="53" customFormat="1" ht="15" thickBot="1" x14ac:dyDescent="0.4">
      <c r="A1494" s="75" t="s">
        <v>104</v>
      </c>
      <c r="B1494" s="76" t="s">
        <v>81</v>
      </c>
      <c r="C1494" s="76" t="s">
        <v>105</v>
      </c>
      <c r="D1494" s="77" t="s">
        <v>84</v>
      </c>
      <c r="F1494" s="94"/>
    </row>
    <row r="1495" spans="1:7" s="53" customFormat="1" ht="14.5" customHeight="1" x14ac:dyDescent="0.35">
      <c r="A1495" s="222" t="s">
        <v>89</v>
      </c>
      <c r="B1495" s="78" t="s">
        <v>509</v>
      </c>
      <c r="C1495" s="79" t="s">
        <v>319</v>
      </c>
      <c r="D1495" s="80">
        <f>F1502</f>
        <v>10865000</v>
      </c>
      <c r="F1495" s="94"/>
    </row>
    <row r="1496" spans="1:7" s="53" customFormat="1" ht="21" thickBot="1" x14ac:dyDescent="0.5">
      <c r="A1496" s="223"/>
      <c r="B1496" s="71"/>
      <c r="C1496" s="71"/>
      <c r="D1496" s="73"/>
      <c r="F1496" s="94"/>
    </row>
    <row r="1497" spans="1:7" s="53" customFormat="1" ht="15" thickBot="1" x14ac:dyDescent="0.4">
      <c r="A1497" s="223"/>
      <c r="B1497" s="81" t="s">
        <v>81</v>
      </c>
      <c r="C1497" s="82" t="s">
        <v>107</v>
      </c>
      <c r="D1497" s="83" t="s">
        <v>108</v>
      </c>
      <c r="F1497" s="94"/>
    </row>
    <row r="1498" spans="1:7" s="87" customFormat="1" x14ac:dyDescent="0.35">
      <c r="A1498" s="223"/>
      <c r="B1498" s="84" t="str">
        <f>B1495</f>
        <v>19th April,2025</v>
      </c>
      <c r="C1498" s="85" t="s">
        <v>467</v>
      </c>
      <c r="D1498" s="86">
        <f>2000*2900</f>
        <v>5800000</v>
      </c>
      <c r="F1498" s="177"/>
    </row>
    <row r="1499" spans="1:7" s="53" customFormat="1" x14ac:dyDescent="0.35">
      <c r="A1499" s="223"/>
      <c r="B1499" s="88"/>
      <c r="C1499" s="89" t="s">
        <v>188</v>
      </c>
      <c r="D1499" s="90">
        <f>325*2650</f>
        <v>861250</v>
      </c>
      <c r="F1499" s="94"/>
    </row>
    <row r="1500" spans="1:7" s="53" customFormat="1" x14ac:dyDescent="0.35">
      <c r="A1500" s="223"/>
      <c r="B1500" s="88" t="s">
        <v>109</v>
      </c>
      <c r="C1500" s="89" t="s">
        <v>110</v>
      </c>
      <c r="D1500" s="90">
        <v>1000000</v>
      </c>
      <c r="F1500" s="94"/>
    </row>
    <row r="1501" spans="1:7" s="53" customFormat="1" x14ac:dyDescent="0.35">
      <c r="A1501" s="223"/>
      <c r="B1501" s="88" t="s">
        <v>111</v>
      </c>
      <c r="C1501" s="89" t="s">
        <v>112</v>
      </c>
      <c r="D1501" s="90">
        <v>40000</v>
      </c>
      <c r="E1501" s="225" t="s">
        <v>113</v>
      </c>
      <c r="F1501" s="225"/>
    </row>
    <row r="1502" spans="1:7" s="53" customFormat="1" x14ac:dyDescent="0.35">
      <c r="A1502" s="223"/>
      <c r="B1502" s="88" t="s">
        <v>182</v>
      </c>
      <c r="C1502" s="89" t="s">
        <v>115</v>
      </c>
      <c r="D1502" s="90">
        <f>450*120</f>
        <v>54000</v>
      </c>
      <c r="E1502" s="91" t="s">
        <v>116</v>
      </c>
      <c r="F1502" s="92">
        <f>4100*2650</f>
        <v>10865000</v>
      </c>
    </row>
    <row r="1503" spans="1:7" s="53" customFormat="1" x14ac:dyDescent="0.35">
      <c r="A1503" s="223"/>
      <c r="B1503" s="88"/>
      <c r="C1503" s="89" t="s">
        <v>117</v>
      </c>
      <c r="D1503" s="90">
        <f>2500*120</f>
        <v>300000</v>
      </c>
      <c r="E1503" s="93" t="s">
        <v>118</v>
      </c>
      <c r="F1503" s="94">
        <f>(4100*2650)</f>
        <v>10865000</v>
      </c>
    </row>
    <row r="1504" spans="1:7" s="53" customFormat="1" ht="15" thickBot="1" x14ac:dyDescent="0.4">
      <c r="A1504" s="223"/>
      <c r="B1504" s="88" t="s">
        <v>119</v>
      </c>
      <c r="C1504" s="89" t="s">
        <v>120</v>
      </c>
      <c r="D1504" s="95">
        <v>30000</v>
      </c>
      <c r="E1504" s="96" t="s">
        <v>121</v>
      </c>
      <c r="F1504" s="97">
        <f>F1502-F1503</f>
        <v>0</v>
      </c>
      <c r="G1504" s="98">
        <f>F1504/2650</f>
        <v>0</v>
      </c>
    </row>
    <row r="1505" spans="1:6" s="53" customFormat="1" ht="15" thickTop="1" x14ac:dyDescent="0.35">
      <c r="A1505" s="223"/>
      <c r="B1505" s="88"/>
      <c r="C1505" s="89" t="s">
        <v>122</v>
      </c>
      <c r="D1505" s="90">
        <v>140000</v>
      </c>
      <c r="F1505" s="94"/>
    </row>
    <row r="1506" spans="1:6" s="53" customFormat="1" x14ac:dyDescent="0.35">
      <c r="A1506" s="223"/>
      <c r="B1506" s="88" t="s">
        <v>507</v>
      </c>
      <c r="C1506" s="99" t="s">
        <v>123</v>
      </c>
      <c r="D1506" s="90">
        <v>15000</v>
      </c>
      <c r="E1506" s="91" t="s">
        <v>124</v>
      </c>
      <c r="F1506" s="92"/>
    </row>
    <row r="1507" spans="1:6" s="53" customFormat="1" x14ac:dyDescent="0.35">
      <c r="A1507" s="223"/>
      <c r="B1507" s="101"/>
      <c r="C1507" s="99" t="s">
        <v>125</v>
      </c>
      <c r="D1507" s="100">
        <v>10000</v>
      </c>
      <c r="E1507" s="102"/>
      <c r="F1507" s="103"/>
    </row>
    <row r="1508" spans="1:6" s="53" customFormat="1" x14ac:dyDescent="0.35">
      <c r="A1508" s="223"/>
      <c r="B1508" s="101"/>
      <c r="C1508" s="99" t="s">
        <v>126</v>
      </c>
      <c r="D1508" s="100">
        <v>40000</v>
      </c>
      <c r="E1508" s="102" t="s">
        <v>127</v>
      </c>
      <c r="F1508" s="103"/>
    </row>
    <row r="1509" spans="1:6" s="53" customFormat="1" x14ac:dyDescent="0.35">
      <c r="A1509" s="223"/>
      <c r="B1509" s="101"/>
      <c r="C1509" s="89" t="s">
        <v>265</v>
      </c>
      <c r="D1509" s="104">
        <f>1038*122</f>
        <v>126636</v>
      </c>
      <c r="E1509" s="102" t="s">
        <v>634</v>
      </c>
      <c r="F1509" s="103"/>
    </row>
    <row r="1510" spans="1:6" s="53" customFormat="1" ht="15" thickBot="1" x14ac:dyDescent="0.4">
      <c r="A1510" s="223"/>
      <c r="B1510" s="105"/>
      <c r="C1510" s="106"/>
      <c r="D1510" s="107"/>
      <c r="F1510" s="94"/>
    </row>
    <row r="1511" spans="1:6" s="53" customFormat="1" ht="15" thickBot="1" x14ac:dyDescent="0.4">
      <c r="A1511" s="223"/>
      <c r="B1511" s="108"/>
      <c r="C1511" s="109" t="s">
        <v>129</v>
      </c>
      <c r="D1511" s="110">
        <f>SUM(D1498:D1510)</f>
        <v>8416886</v>
      </c>
      <c r="F1511" s="94"/>
    </row>
    <row r="1512" spans="1:6" s="53" customFormat="1" ht="15.5" thickTop="1" thickBot="1" x14ac:dyDescent="0.4">
      <c r="A1512" s="224"/>
      <c r="B1512" s="226"/>
      <c r="C1512" s="226"/>
      <c r="D1512" s="226"/>
      <c r="F1512" s="94"/>
    </row>
    <row r="1513" spans="1:6" s="53" customFormat="1" x14ac:dyDescent="0.35">
      <c r="B1513" s="87"/>
      <c r="C1513" s="53" t="s">
        <v>130</v>
      </c>
      <c r="D1513" s="111">
        <f>D1495-D1511</f>
        <v>2448114</v>
      </c>
      <c r="F1513" s="94"/>
    </row>
    <row r="1514" spans="1:6" s="53" customFormat="1" x14ac:dyDescent="0.35">
      <c r="B1514" s="87"/>
      <c r="D1514" s="111"/>
      <c r="F1514" s="94"/>
    </row>
    <row r="1515" spans="1:6" s="53" customFormat="1" x14ac:dyDescent="0.35">
      <c r="A1515" s="112"/>
      <c r="B1515" s="113"/>
      <c r="C1515" s="112"/>
      <c r="D1515" s="114"/>
      <c r="E1515" s="112"/>
      <c r="F1515" s="178"/>
    </row>
    <row r="1517" spans="1:6" s="53" customFormat="1" ht="23.5" x14ac:dyDescent="0.55000000000000004">
      <c r="B1517" s="227" t="s">
        <v>0</v>
      </c>
      <c r="C1517" s="227"/>
      <c r="D1517" s="227"/>
      <c r="E1517" s="70"/>
      <c r="F1517" s="176"/>
    </row>
    <row r="1518" spans="1:6" s="53" customFormat="1" ht="20.5" x14ac:dyDescent="0.45">
      <c r="B1518" s="71"/>
      <c r="C1518" s="72" t="s">
        <v>511</v>
      </c>
      <c r="D1518" s="73"/>
      <c r="F1518" s="94"/>
    </row>
    <row r="1519" spans="1:6" s="53" customFormat="1" ht="21" thickBot="1" x14ac:dyDescent="0.5">
      <c r="B1519" s="71" t="s">
        <v>178</v>
      </c>
      <c r="C1519" s="74" t="s">
        <v>103</v>
      </c>
      <c r="D1519" s="73"/>
      <c r="F1519" s="94"/>
    </row>
    <row r="1520" spans="1:6" s="53" customFormat="1" ht="15" thickBot="1" x14ac:dyDescent="0.4">
      <c r="A1520" s="75" t="s">
        <v>104</v>
      </c>
      <c r="B1520" s="76" t="s">
        <v>81</v>
      </c>
      <c r="C1520" s="76" t="s">
        <v>105</v>
      </c>
      <c r="D1520" s="77" t="s">
        <v>84</v>
      </c>
      <c r="F1520" s="94"/>
    </row>
    <row r="1521" spans="1:7" s="53" customFormat="1" ht="14.5" customHeight="1" x14ac:dyDescent="0.35">
      <c r="A1521" s="222" t="s">
        <v>89</v>
      </c>
      <c r="B1521" s="78" t="s">
        <v>509</v>
      </c>
      <c r="C1521" s="79" t="s">
        <v>319</v>
      </c>
      <c r="D1521" s="80">
        <f>F1528</f>
        <v>10865000</v>
      </c>
      <c r="F1521" s="94"/>
    </row>
    <row r="1522" spans="1:7" s="53" customFormat="1" ht="21" thickBot="1" x14ac:dyDescent="0.5">
      <c r="A1522" s="223"/>
      <c r="B1522" s="71"/>
      <c r="C1522" s="71"/>
      <c r="D1522" s="73"/>
      <c r="F1522" s="94"/>
    </row>
    <row r="1523" spans="1:7" s="53" customFormat="1" ht="15" thickBot="1" x14ac:dyDescent="0.4">
      <c r="A1523" s="223"/>
      <c r="B1523" s="81" t="s">
        <v>81</v>
      </c>
      <c r="C1523" s="82" t="s">
        <v>107</v>
      </c>
      <c r="D1523" s="83" t="s">
        <v>108</v>
      </c>
      <c r="F1523" s="94"/>
    </row>
    <row r="1524" spans="1:7" s="87" customFormat="1" x14ac:dyDescent="0.35">
      <c r="A1524" s="223"/>
      <c r="B1524" s="84" t="str">
        <f>B1521</f>
        <v>19th April,2025</v>
      </c>
      <c r="C1524" s="85" t="s">
        <v>467</v>
      </c>
      <c r="D1524" s="86">
        <f>2000*2900</f>
        <v>5800000</v>
      </c>
      <c r="F1524" s="177"/>
    </row>
    <row r="1525" spans="1:7" s="53" customFormat="1" x14ac:dyDescent="0.35">
      <c r="A1525" s="223"/>
      <c r="B1525" s="88"/>
      <c r="C1525" s="89" t="s">
        <v>188</v>
      </c>
      <c r="D1525" s="90">
        <f>325*2650</f>
        <v>861250</v>
      </c>
      <c r="F1525" s="94"/>
    </row>
    <row r="1526" spans="1:7" s="53" customFormat="1" x14ac:dyDescent="0.35">
      <c r="A1526" s="223"/>
      <c r="B1526" s="88" t="s">
        <v>109</v>
      </c>
      <c r="C1526" s="89" t="s">
        <v>110</v>
      </c>
      <c r="D1526" s="90">
        <v>1000000</v>
      </c>
      <c r="F1526" s="94"/>
    </row>
    <row r="1527" spans="1:7" s="53" customFormat="1" x14ac:dyDescent="0.35">
      <c r="A1527" s="223"/>
      <c r="B1527" s="88" t="s">
        <v>111</v>
      </c>
      <c r="C1527" s="89" t="s">
        <v>112</v>
      </c>
      <c r="D1527" s="90">
        <v>40000</v>
      </c>
      <c r="E1527" s="225" t="s">
        <v>113</v>
      </c>
      <c r="F1527" s="225"/>
    </row>
    <row r="1528" spans="1:7" s="53" customFormat="1" x14ac:dyDescent="0.35">
      <c r="A1528" s="223"/>
      <c r="B1528" s="88" t="s">
        <v>182</v>
      </c>
      <c r="C1528" s="89" t="s">
        <v>115</v>
      </c>
      <c r="D1528" s="90">
        <f>450*120</f>
        <v>54000</v>
      </c>
      <c r="E1528" s="91" t="s">
        <v>116</v>
      </c>
      <c r="F1528" s="92">
        <f>4100*2650</f>
        <v>10865000</v>
      </c>
    </row>
    <row r="1529" spans="1:7" s="53" customFormat="1" x14ac:dyDescent="0.35">
      <c r="A1529" s="223"/>
      <c r="B1529" s="88"/>
      <c r="C1529" s="89" t="s">
        <v>117</v>
      </c>
      <c r="D1529" s="90">
        <f>2500*120</f>
        <v>300000</v>
      </c>
      <c r="E1529" s="93" t="s">
        <v>118</v>
      </c>
      <c r="F1529" s="94">
        <f>(4100*2650)</f>
        <v>10865000</v>
      </c>
    </row>
    <row r="1530" spans="1:7" s="53" customFormat="1" ht="15" thickBot="1" x14ac:dyDescent="0.4">
      <c r="A1530" s="223"/>
      <c r="B1530" s="88" t="s">
        <v>119</v>
      </c>
      <c r="C1530" s="89" t="s">
        <v>120</v>
      </c>
      <c r="D1530" s="95">
        <v>30000</v>
      </c>
      <c r="E1530" s="96" t="s">
        <v>121</v>
      </c>
      <c r="F1530" s="97">
        <f>F1528-F1529</f>
        <v>0</v>
      </c>
      <c r="G1530" s="98">
        <f>F1530/2650</f>
        <v>0</v>
      </c>
    </row>
    <row r="1531" spans="1:7" s="53" customFormat="1" ht="15" thickTop="1" x14ac:dyDescent="0.35">
      <c r="A1531" s="223"/>
      <c r="B1531" s="88"/>
      <c r="C1531" s="89" t="s">
        <v>122</v>
      </c>
      <c r="D1531" s="90">
        <v>140000</v>
      </c>
      <c r="F1531" s="94"/>
    </row>
    <row r="1532" spans="1:7" s="53" customFormat="1" x14ac:dyDescent="0.35">
      <c r="A1532" s="223"/>
      <c r="B1532" s="88" t="s">
        <v>510</v>
      </c>
      <c r="C1532" s="99" t="s">
        <v>123</v>
      </c>
      <c r="D1532" s="90">
        <v>15000</v>
      </c>
      <c r="E1532" s="91" t="s">
        <v>124</v>
      </c>
      <c r="F1532" s="92"/>
    </row>
    <row r="1533" spans="1:7" s="53" customFormat="1" x14ac:dyDescent="0.35">
      <c r="A1533" s="223"/>
      <c r="B1533" s="101"/>
      <c r="C1533" s="99" t="s">
        <v>125</v>
      </c>
      <c r="D1533" s="100">
        <v>10000</v>
      </c>
      <c r="E1533" s="102"/>
      <c r="F1533" s="103"/>
    </row>
    <row r="1534" spans="1:7" s="53" customFormat="1" x14ac:dyDescent="0.35">
      <c r="A1534" s="223"/>
      <c r="B1534" s="101"/>
      <c r="C1534" s="99" t="s">
        <v>126</v>
      </c>
      <c r="D1534" s="100">
        <v>20000</v>
      </c>
      <c r="E1534" s="102" t="s">
        <v>127</v>
      </c>
      <c r="F1534" s="103"/>
    </row>
    <row r="1535" spans="1:7" s="53" customFormat="1" x14ac:dyDescent="0.35">
      <c r="A1535" s="223"/>
      <c r="B1535" s="101"/>
      <c r="C1535" s="89" t="s">
        <v>265</v>
      </c>
      <c r="D1535" s="104">
        <f>1038*122</f>
        <v>126636</v>
      </c>
      <c r="E1535" s="102" t="s">
        <v>634</v>
      </c>
      <c r="F1535" s="103"/>
    </row>
    <row r="1536" spans="1:7" s="53" customFormat="1" ht="15" thickBot="1" x14ac:dyDescent="0.4">
      <c r="A1536" s="223"/>
      <c r="B1536" s="105"/>
      <c r="C1536" s="106"/>
      <c r="D1536" s="107"/>
      <c r="F1536" s="94"/>
    </row>
    <row r="1537" spans="1:6" s="53" customFormat="1" ht="15" thickBot="1" x14ac:dyDescent="0.4">
      <c r="A1537" s="223"/>
      <c r="B1537" s="108"/>
      <c r="C1537" s="109" t="s">
        <v>129</v>
      </c>
      <c r="D1537" s="110">
        <f>SUM(D1524:D1536)</f>
        <v>8396886</v>
      </c>
      <c r="F1537" s="94"/>
    </row>
    <row r="1538" spans="1:6" s="53" customFormat="1" ht="15.5" thickTop="1" thickBot="1" x14ac:dyDescent="0.4">
      <c r="A1538" s="224"/>
      <c r="B1538" s="226"/>
      <c r="C1538" s="226"/>
      <c r="D1538" s="226"/>
      <c r="F1538" s="94"/>
    </row>
    <row r="1539" spans="1:6" s="53" customFormat="1" x14ac:dyDescent="0.35">
      <c r="B1539" s="87"/>
      <c r="C1539" s="53" t="s">
        <v>130</v>
      </c>
      <c r="D1539" s="111">
        <f>D1521-D1537</f>
        <v>2468114</v>
      </c>
      <c r="F1539" s="94"/>
    </row>
    <row r="1540" spans="1:6" s="53" customFormat="1" x14ac:dyDescent="0.35">
      <c r="B1540" s="87"/>
      <c r="D1540" s="111"/>
      <c r="F1540" s="94"/>
    </row>
    <row r="1541" spans="1:6" s="53" customFormat="1" x14ac:dyDescent="0.35">
      <c r="A1541" s="112"/>
      <c r="B1541" s="113"/>
      <c r="C1541" s="112"/>
      <c r="D1541" s="114"/>
      <c r="E1541" s="112"/>
      <c r="F1541" s="178"/>
    </row>
    <row r="1543" spans="1:6" s="53" customFormat="1" ht="23.5" x14ac:dyDescent="0.55000000000000004">
      <c r="B1543" s="227" t="s">
        <v>0</v>
      </c>
      <c r="C1543" s="227"/>
      <c r="D1543" s="227"/>
      <c r="E1543" s="70"/>
      <c r="F1543" s="176"/>
    </row>
    <row r="1544" spans="1:6" s="53" customFormat="1" ht="20.5" x14ac:dyDescent="0.45">
      <c r="B1544" s="71"/>
      <c r="C1544" s="72" t="s">
        <v>517</v>
      </c>
      <c r="D1544" s="73"/>
      <c r="F1544" s="94"/>
    </row>
    <row r="1545" spans="1:6" s="53" customFormat="1" ht="21" thickBot="1" x14ac:dyDescent="0.5">
      <c r="B1545" s="71" t="s">
        <v>518</v>
      </c>
      <c r="C1545" s="74" t="s">
        <v>103</v>
      </c>
      <c r="D1545" s="73"/>
      <c r="F1545" s="94"/>
    </row>
    <row r="1546" spans="1:6" s="53" customFormat="1" ht="15" thickBot="1" x14ac:dyDescent="0.4">
      <c r="A1546" s="75" t="s">
        <v>104</v>
      </c>
      <c r="B1546" s="76" t="s">
        <v>81</v>
      </c>
      <c r="C1546" s="76" t="s">
        <v>105</v>
      </c>
      <c r="D1546" s="77" t="s">
        <v>84</v>
      </c>
      <c r="F1546" s="94"/>
    </row>
    <row r="1547" spans="1:6" s="53" customFormat="1" ht="14.5" customHeight="1" x14ac:dyDescent="0.35">
      <c r="A1547" s="222" t="s">
        <v>89</v>
      </c>
      <c r="B1547" s="78" t="s">
        <v>519</v>
      </c>
      <c r="C1547" s="79" t="s">
        <v>106</v>
      </c>
      <c r="D1547" s="80">
        <f>F1554</f>
        <v>10783000</v>
      </c>
      <c r="F1547" s="94"/>
    </row>
    <row r="1548" spans="1:6" s="53" customFormat="1" ht="21" thickBot="1" x14ac:dyDescent="0.5">
      <c r="A1548" s="223"/>
      <c r="B1548" s="71"/>
      <c r="C1548" s="71"/>
      <c r="D1548" s="73"/>
      <c r="F1548" s="94"/>
    </row>
    <row r="1549" spans="1:6" s="53" customFormat="1" ht="15" thickBot="1" x14ac:dyDescent="0.4">
      <c r="A1549" s="223"/>
      <c r="B1549" s="81" t="s">
        <v>81</v>
      </c>
      <c r="C1549" s="82" t="s">
        <v>107</v>
      </c>
      <c r="D1549" s="83" t="s">
        <v>108</v>
      </c>
      <c r="F1549" s="94"/>
    </row>
    <row r="1550" spans="1:6" s="87" customFormat="1" x14ac:dyDescent="0.35">
      <c r="A1550" s="223"/>
      <c r="B1550" s="84" t="str">
        <f>B1547</f>
        <v>21st April,2025</v>
      </c>
      <c r="C1550" s="85" t="s">
        <v>467</v>
      </c>
      <c r="D1550" s="86">
        <f>2000*2900</f>
        <v>5800000</v>
      </c>
      <c r="F1550" s="177"/>
    </row>
    <row r="1551" spans="1:6" s="53" customFormat="1" x14ac:dyDescent="0.35">
      <c r="A1551" s="223"/>
      <c r="B1551" s="88"/>
      <c r="C1551" s="89" t="s">
        <v>210</v>
      </c>
      <c r="D1551" s="90">
        <f>319*2650</f>
        <v>845350</v>
      </c>
      <c r="F1551" s="94"/>
    </row>
    <row r="1552" spans="1:6" s="53" customFormat="1" x14ac:dyDescent="0.35">
      <c r="A1552" s="223"/>
      <c r="B1552" s="88" t="s">
        <v>109</v>
      </c>
      <c r="C1552" s="89" t="s">
        <v>110</v>
      </c>
      <c r="D1552" s="90">
        <v>1000000</v>
      </c>
      <c r="F1552" s="94"/>
    </row>
    <row r="1553" spans="1:7" s="53" customFormat="1" x14ac:dyDescent="0.35">
      <c r="A1553" s="223"/>
      <c r="B1553" s="88" t="s">
        <v>111</v>
      </c>
      <c r="C1553" s="89" t="s">
        <v>112</v>
      </c>
      <c r="D1553" s="90">
        <v>40000</v>
      </c>
      <c r="E1553" s="225" t="s">
        <v>113</v>
      </c>
      <c r="F1553" s="225"/>
    </row>
    <row r="1554" spans="1:7" s="53" customFormat="1" x14ac:dyDescent="0.35">
      <c r="A1554" s="223"/>
      <c r="B1554" s="88" t="s">
        <v>206</v>
      </c>
      <c r="C1554" s="89" t="s">
        <v>115</v>
      </c>
      <c r="D1554" s="90">
        <f>500*123</f>
        <v>61500</v>
      </c>
      <c r="E1554" s="91" t="s">
        <v>116</v>
      </c>
      <c r="F1554" s="92">
        <f>4100*2630</f>
        <v>10783000</v>
      </c>
    </row>
    <row r="1555" spans="1:7" s="53" customFormat="1" x14ac:dyDescent="0.35">
      <c r="A1555" s="223"/>
      <c r="B1555" s="88"/>
      <c r="C1555" s="89" t="s">
        <v>117</v>
      </c>
      <c r="D1555" s="90">
        <f>2420*123</f>
        <v>297660</v>
      </c>
      <c r="E1555" s="93" t="s">
        <v>118</v>
      </c>
      <c r="F1555" s="94">
        <f>(2640*2630)+(1460*2630)</f>
        <v>10783000</v>
      </c>
    </row>
    <row r="1556" spans="1:7" s="53" customFormat="1" ht="15" thickBot="1" x14ac:dyDescent="0.4">
      <c r="A1556" s="223"/>
      <c r="B1556" s="88" t="s">
        <v>119</v>
      </c>
      <c r="C1556" s="89" t="s">
        <v>120</v>
      </c>
      <c r="D1556" s="95">
        <v>30000</v>
      </c>
      <c r="E1556" s="96" t="s">
        <v>121</v>
      </c>
      <c r="F1556" s="97">
        <f>F1554-F1555</f>
        <v>0</v>
      </c>
      <c r="G1556" s="98">
        <f>F1556/2630</f>
        <v>0</v>
      </c>
    </row>
    <row r="1557" spans="1:7" s="53" customFormat="1" ht="15" thickTop="1" x14ac:dyDescent="0.35">
      <c r="A1557" s="223"/>
      <c r="B1557" s="88"/>
      <c r="C1557" s="89" t="s">
        <v>122</v>
      </c>
      <c r="D1557" s="90">
        <v>10000</v>
      </c>
      <c r="F1557" s="94"/>
    </row>
    <row r="1558" spans="1:7" s="53" customFormat="1" x14ac:dyDescent="0.35">
      <c r="A1558" s="223"/>
      <c r="B1558" s="88" t="s">
        <v>516</v>
      </c>
      <c r="C1558" s="99" t="s">
        <v>123</v>
      </c>
      <c r="D1558" s="90">
        <v>15000</v>
      </c>
      <c r="E1558" s="91" t="s">
        <v>124</v>
      </c>
      <c r="F1558" s="92"/>
    </row>
    <row r="1559" spans="1:7" s="53" customFormat="1" x14ac:dyDescent="0.35">
      <c r="A1559" s="223"/>
      <c r="B1559" s="101"/>
      <c r="C1559" s="99" t="s">
        <v>125</v>
      </c>
      <c r="D1559" s="100">
        <v>10000</v>
      </c>
      <c r="E1559" s="102"/>
      <c r="F1559" s="103"/>
    </row>
    <row r="1560" spans="1:7" s="53" customFormat="1" x14ac:dyDescent="0.35">
      <c r="A1560" s="223"/>
      <c r="B1560" s="101"/>
      <c r="C1560" s="99" t="s">
        <v>126</v>
      </c>
      <c r="D1560" s="100">
        <v>20000</v>
      </c>
      <c r="E1560" s="102" t="s">
        <v>127</v>
      </c>
      <c r="F1560" s="103"/>
    </row>
    <row r="1561" spans="1:7" s="53" customFormat="1" x14ac:dyDescent="0.35">
      <c r="A1561" s="223"/>
      <c r="B1561" s="101"/>
      <c r="C1561" s="89" t="s">
        <v>265</v>
      </c>
      <c r="D1561" s="104">
        <v>0</v>
      </c>
      <c r="E1561" s="102" t="s">
        <v>620</v>
      </c>
      <c r="F1561" s="103"/>
    </row>
    <row r="1562" spans="1:7" s="53" customFormat="1" ht="15" thickBot="1" x14ac:dyDescent="0.4">
      <c r="A1562" s="223"/>
      <c r="B1562" s="105"/>
      <c r="C1562" s="106"/>
      <c r="D1562" s="107"/>
      <c r="E1562" s="53" t="s">
        <v>695</v>
      </c>
      <c r="F1562" s="94"/>
    </row>
    <row r="1563" spans="1:7" s="53" customFormat="1" ht="15" thickBot="1" x14ac:dyDescent="0.4">
      <c r="A1563" s="223"/>
      <c r="B1563" s="108"/>
      <c r="C1563" s="109" t="s">
        <v>129</v>
      </c>
      <c r="D1563" s="110">
        <f>SUM(D1550:D1562)</f>
        <v>8129510</v>
      </c>
      <c r="F1563" s="94"/>
    </row>
    <row r="1564" spans="1:7" s="53" customFormat="1" ht="15.5" thickTop="1" thickBot="1" x14ac:dyDescent="0.4">
      <c r="A1564" s="224"/>
      <c r="B1564" s="226"/>
      <c r="C1564" s="226"/>
      <c r="D1564" s="226"/>
      <c r="F1564" s="94"/>
    </row>
    <row r="1565" spans="1:7" s="53" customFormat="1" x14ac:dyDescent="0.35">
      <c r="B1565" s="87"/>
      <c r="C1565" s="53" t="s">
        <v>130</v>
      </c>
      <c r="D1565" s="111">
        <f>D1547-D1563</f>
        <v>2653490</v>
      </c>
      <c r="F1565" s="94"/>
    </row>
    <row r="1566" spans="1:7" s="53" customFormat="1" x14ac:dyDescent="0.35">
      <c r="B1566" s="87"/>
      <c r="D1566" s="111"/>
      <c r="F1566" s="94"/>
    </row>
    <row r="1567" spans="1:7" s="53" customFormat="1" x14ac:dyDescent="0.35">
      <c r="A1567" s="112"/>
      <c r="B1567" s="113"/>
      <c r="C1567" s="112"/>
      <c r="D1567" s="114"/>
      <c r="E1567" s="112"/>
      <c r="F1567" s="178"/>
    </row>
    <row r="1569" spans="1:7" s="53" customFormat="1" ht="23.5" x14ac:dyDescent="0.55000000000000004">
      <c r="B1569" s="227" t="s">
        <v>0</v>
      </c>
      <c r="C1569" s="227"/>
      <c r="D1569" s="227"/>
      <c r="E1569" s="70"/>
      <c r="F1569" s="176"/>
    </row>
    <row r="1570" spans="1:7" s="53" customFormat="1" ht="20.5" x14ac:dyDescent="0.45">
      <c r="B1570" s="71"/>
      <c r="C1570" s="72" t="s">
        <v>527</v>
      </c>
      <c r="D1570" s="73"/>
      <c r="F1570" s="94"/>
    </row>
    <row r="1571" spans="1:7" s="53" customFormat="1" ht="21" thickBot="1" x14ac:dyDescent="0.5">
      <c r="B1571" s="71" t="s">
        <v>334</v>
      </c>
      <c r="C1571" s="74" t="s">
        <v>103</v>
      </c>
      <c r="D1571" s="73"/>
      <c r="F1571" s="94"/>
    </row>
    <row r="1572" spans="1:7" s="53" customFormat="1" ht="15" thickBot="1" x14ac:dyDescent="0.4">
      <c r="A1572" s="75" t="s">
        <v>104</v>
      </c>
      <c r="B1572" s="76" t="s">
        <v>81</v>
      </c>
      <c r="C1572" s="76" t="s">
        <v>105</v>
      </c>
      <c r="D1572" s="77" t="s">
        <v>84</v>
      </c>
      <c r="F1572" s="94"/>
    </row>
    <row r="1573" spans="1:7" s="53" customFormat="1" ht="14.5" customHeight="1" x14ac:dyDescent="0.35">
      <c r="A1573" s="222" t="s">
        <v>89</v>
      </c>
      <c r="B1573" s="78" t="s">
        <v>509</v>
      </c>
      <c r="C1573" s="79" t="s">
        <v>319</v>
      </c>
      <c r="D1573" s="80">
        <f>F1580</f>
        <v>10865000</v>
      </c>
      <c r="F1573" s="94"/>
    </row>
    <row r="1574" spans="1:7" s="53" customFormat="1" ht="21" thickBot="1" x14ac:dyDescent="0.5">
      <c r="A1574" s="223"/>
      <c r="B1574" s="71"/>
      <c r="C1574" s="71"/>
      <c r="D1574" s="73"/>
      <c r="F1574" s="94"/>
    </row>
    <row r="1575" spans="1:7" s="53" customFormat="1" ht="15" thickBot="1" x14ac:dyDescent="0.4">
      <c r="A1575" s="223"/>
      <c r="B1575" s="81" t="s">
        <v>81</v>
      </c>
      <c r="C1575" s="82" t="s">
        <v>107</v>
      </c>
      <c r="D1575" s="83" t="s">
        <v>108</v>
      </c>
      <c r="F1575" s="94"/>
    </row>
    <row r="1576" spans="1:7" s="87" customFormat="1" x14ac:dyDescent="0.35">
      <c r="A1576" s="223"/>
      <c r="B1576" s="84" t="str">
        <f>B1573</f>
        <v>19th April,2025</v>
      </c>
      <c r="C1576" s="85" t="s">
        <v>467</v>
      </c>
      <c r="D1576" s="86">
        <f>2000*2900</f>
        <v>5800000</v>
      </c>
      <c r="F1576" s="177"/>
    </row>
    <row r="1577" spans="1:7" s="53" customFormat="1" x14ac:dyDescent="0.35">
      <c r="A1577" s="223"/>
      <c r="B1577" s="88"/>
      <c r="C1577" s="89" t="s">
        <v>188</v>
      </c>
      <c r="D1577" s="90">
        <f>325*2650</f>
        <v>861250</v>
      </c>
      <c r="F1577" s="94"/>
    </row>
    <row r="1578" spans="1:7" s="53" customFormat="1" x14ac:dyDescent="0.35">
      <c r="A1578" s="223"/>
      <c r="B1578" s="88" t="s">
        <v>109</v>
      </c>
      <c r="C1578" s="89" t="s">
        <v>110</v>
      </c>
      <c r="D1578" s="90">
        <v>1000000</v>
      </c>
      <c r="F1578" s="94"/>
    </row>
    <row r="1579" spans="1:7" s="53" customFormat="1" x14ac:dyDescent="0.35">
      <c r="A1579" s="223"/>
      <c r="B1579" s="88" t="s">
        <v>111</v>
      </c>
      <c r="C1579" s="89" t="s">
        <v>112</v>
      </c>
      <c r="D1579" s="90">
        <v>40000</v>
      </c>
      <c r="E1579" s="225" t="s">
        <v>113</v>
      </c>
      <c r="F1579" s="225"/>
    </row>
    <row r="1580" spans="1:7" s="53" customFormat="1" x14ac:dyDescent="0.35">
      <c r="A1580" s="223"/>
      <c r="B1580" s="88" t="s">
        <v>182</v>
      </c>
      <c r="C1580" s="89" t="s">
        <v>115</v>
      </c>
      <c r="D1580" s="90">
        <f>500*120</f>
        <v>60000</v>
      </c>
      <c r="E1580" s="91" t="s">
        <v>116</v>
      </c>
      <c r="F1580" s="92">
        <f>4100*2650</f>
        <v>10865000</v>
      </c>
    </row>
    <row r="1581" spans="1:7" s="53" customFormat="1" x14ac:dyDescent="0.35">
      <c r="A1581" s="223"/>
      <c r="B1581" s="88"/>
      <c r="C1581" s="89" t="s">
        <v>117</v>
      </c>
      <c r="D1581" s="90">
        <f>2500*120</f>
        <v>300000</v>
      </c>
      <c r="E1581" s="93" t="s">
        <v>118</v>
      </c>
      <c r="F1581" s="94">
        <f>4100*2650</f>
        <v>10865000</v>
      </c>
    </row>
    <row r="1582" spans="1:7" s="53" customFormat="1" ht="15" thickBot="1" x14ac:dyDescent="0.4">
      <c r="A1582" s="223"/>
      <c r="B1582" s="88" t="s">
        <v>119</v>
      </c>
      <c r="C1582" s="89" t="s">
        <v>120</v>
      </c>
      <c r="D1582" s="95">
        <v>30000</v>
      </c>
      <c r="E1582" s="96" t="s">
        <v>121</v>
      </c>
      <c r="F1582" s="97">
        <f>F1580-F1581</f>
        <v>0</v>
      </c>
      <c r="G1582" s="98">
        <f>F1582/2650</f>
        <v>0</v>
      </c>
    </row>
    <row r="1583" spans="1:7" s="53" customFormat="1" ht="15" thickTop="1" x14ac:dyDescent="0.35">
      <c r="A1583" s="223"/>
      <c r="B1583" s="88"/>
      <c r="C1583" s="89" t="s">
        <v>122</v>
      </c>
      <c r="D1583" s="90">
        <v>140000</v>
      </c>
      <c r="F1583" s="94"/>
    </row>
    <row r="1584" spans="1:7" s="53" customFormat="1" x14ac:dyDescent="0.35">
      <c r="A1584" s="223"/>
      <c r="B1584" s="88" t="s">
        <v>526</v>
      </c>
      <c r="C1584" s="99" t="s">
        <v>123</v>
      </c>
      <c r="D1584" s="90">
        <v>15000</v>
      </c>
      <c r="E1584" s="91" t="s">
        <v>124</v>
      </c>
      <c r="F1584" s="92"/>
    </row>
    <row r="1585" spans="1:6" s="53" customFormat="1" x14ac:dyDescent="0.35">
      <c r="A1585" s="223"/>
      <c r="B1585" s="101"/>
      <c r="C1585" s="99" t="s">
        <v>125</v>
      </c>
      <c r="D1585" s="100">
        <v>10000</v>
      </c>
      <c r="E1585" s="102"/>
      <c r="F1585" s="103"/>
    </row>
    <row r="1586" spans="1:6" s="53" customFormat="1" x14ac:dyDescent="0.35">
      <c r="A1586" s="223"/>
      <c r="B1586" s="101"/>
      <c r="C1586" s="99" t="s">
        <v>126</v>
      </c>
      <c r="D1586" s="100">
        <v>40000</v>
      </c>
      <c r="E1586" s="102" t="s">
        <v>127</v>
      </c>
      <c r="F1586" s="103"/>
    </row>
    <row r="1587" spans="1:6" s="53" customFormat="1" x14ac:dyDescent="0.35">
      <c r="A1587" s="223"/>
      <c r="B1587" s="101"/>
      <c r="C1587" s="89" t="s">
        <v>265</v>
      </c>
      <c r="D1587" s="104">
        <f>981*124</f>
        <v>121644</v>
      </c>
      <c r="E1587" s="102" t="s">
        <v>1214</v>
      </c>
      <c r="F1587" s="103"/>
    </row>
    <row r="1588" spans="1:6" s="53" customFormat="1" ht="15" thickBot="1" x14ac:dyDescent="0.4">
      <c r="A1588" s="223"/>
      <c r="B1588" s="105"/>
      <c r="C1588" s="106"/>
      <c r="D1588" s="107"/>
      <c r="F1588" s="94"/>
    </row>
    <row r="1589" spans="1:6" s="53" customFormat="1" ht="15" thickBot="1" x14ac:dyDescent="0.4">
      <c r="A1589" s="223"/>
      <c r="B1589" s="108"/>
      <c r="C1589" s="109" t="s">
        <v>129</v>
      </c>
      <c r="D1589" s="110">
        <f>SUM(D1576:D1588)</f>
        <v>8417894</v>
      </c>
      <c r="F1589" s="94"/>
    </row>
    <row r="1590" spans="1:6" s="53" customFormat="1" ht="15.5" thickTop="1" thickBot="1" x14ac:dyDescent="0.4">
      <c r="A1590" s="224"/>
      <c r="B1590" s="226"/>
      <c r="C1590" s="226"/>
      <c r="D1590" s="226"/>
      <c r="F1590" s="94"/>
    </row>
    <row r="1591" spans="1:6" s="53" customFormat="1" x14ac:dyDescent="0.35">
      <c r="B1591" s="87"/>
      <c r="C1591" s="53" t="s">
        <v>130</v>
      </c>
      <c r="D1591" s="111">
        <f>D1573-D1589</f>
        <v>2447106</v>
      </c>
      <c r="F1591" s="94"/>
    </row>
    <row r="1592" spans="1:6" s="53" customFormat="1" x14ac:dyDescent="0.35">
      <c r="B1592" s="87"/>
      <c r="D1592" s="111"/>
      <c r="F1592" s="94"/>
    </row>
    <row r="1593" spans="1:6" s="53" customFormat="1" x14ac:dyDescent="0.35">
      <c r="A1593" s="112"/>
      <c r="B1593" s="113"/>
      <c r="C1593" s="112"/>
      <c r="D1593" s="114"/>
      <c r="E1593" s="112"/>
      <c r="F1593" s="178"/>
    </row>
    <row r="1596" spans="1:6" s="53" customFormat="1" ht="23.5" x14ac:dyDescent="0.55000000000000004">
      <c r="B1596" s="227" t="s">
        <v>0</v>
      </c>
      <c r="C1596" s="227"/>
      <c r="D1596" s="227"/>
      <c r="E1596" s="70"/>
      <c r="F1596" s="176"/>
    </row>
    <row r="1597" spans="1:6" s="53" customFormat="1" ht="20.5" x14ac:dyDescent="0.45">
      <c r="B1597" s="71"/>
      <c r="C1597" s="72" t="s">
        <v>531</v>
      </c>
      <c r="D1597" s="73"/>
      <c r="F1597" s="94"/>
    </row>
    <row r="1598" spans="1:6" s="53" customFormat="1" ht="21" thickBot="1" x14ac:dyDescent="0.5">
      <c r="B1598" s="71" t="s">
        <v>193</v>
      </c>
      <c r="C1598" s="74" t="s">
        <v>103</v>
      </c>
      <c r="D1598" s="73"/>
      <c r="F1598" s="94"/>
    </row>
    <row r="1599" spans="1:6" s="53" customFormat="1" ht="15" thickBot="1" x14ac:dyDescent="0.4">
      <c r="A1599" s="75" t="s">
        <v>104</v>
      </c>
      <c r="B1599" s="76" t="s">
        <v>81</v>
      </c>
      <c r="C1599" s="76" t="s">
        <v>105</v>
      </c>
      <c r="D1599" s="77" t="s">
        <v>84</v>
      </c>
      <c r="F1599" s="94"/>
    </row>
    <row r="1600" spans="1:6" s="53" customFormat="1" ht="14.5" customHeight="1" x14ac:dyDescent="0.35">
      <c r="A1600" s="222" t="s">
        <v>5</v>
      </c>
      <c r="B1600" s="78" t="s">
        <v>532</v>
      </c>
      <c r="C1600" s="79" t="s">
        <v>106</v>
      </c>
      <c r="D1600" s="80">
        <f>F1607</f>
        <v>19199000</v>
      </c>
      <c r="F1600" s="94"/>
    </row>
    <row r="1601" spans="1:7" s="53" customFormat="1" ht="21" thickBot="1" x14ac:dyDescent="0.5">
      <c r="A1601" s="223"/>
      <c r="B1601" s="71"/>
      <c r="C1601" s="71"/>
      <c r="D1601" s="73"/>
      <c r="F1601" s="94"/>
    </row>
    <row r="1602" spans="1:7" s="53" customFormat="1" ht="15" thickBot="1" x14ac:dyDescent="0.4">
      <c r="A1602" s="223"/>
      <c r="B1602" s="81" t="s">
        <v>81</v>
      </c>
      <c r="C1602" s="82" t="s">
        <v>107</v>
      </c>
      <c r="D1602" s="83" t="s">
        <v>108</v>
      </c>
      <c r="F1602" s="94"/>
    </row>
    <row r="1603" spans="1:7" s="87" customFormat="1" x14ac:dyDescent="0.35">
      <c r="A1603" s="223"/>
      <c r="B1603" s="84" t="str">
        <f>B1600</f>
        <v>01st May,2025</v>
      </c>
      <c r="C1603" s="85" t="s">
        <v>787</v>
      </c>
      <c r="D1603" s="86">
        <f>1750*2826</f>
        <v>4945500</v>
      </c>
      <c r="F1603" s="177"/>
    </row>
    <row r="1604" spans="1:7" s="53" customFormat="1" x14ac:dyDescent="0.35">
      <c r="A1604" s="223"/>
      <c r="B1604" s="88"/>
      <c r="C1604" s="89" t="s">
        <v>575</v>
      </c>
      <c r="D1604" s="90">
        <f>333*2650</f>
        <v>882450</v>
      </c>
      <c r="F1604" s="94"/>
    </row>
    <row r="1605" spans="1:7" s="53" customFormat="1" x14ac:dyDescent="0.35">
      <c r="A1605" s="223"/>
      <c r="B1605" s="88" t="s">
        <v>109</v>
      </c>
      <c r="C1605" s="89" t="s">
        <v>110</v>
      </c>
      <c r="D1605" s="90">
        <v>1000000</v>
      </c>
      <c r="F1605" s="94"/>
    </row>
    <row r="1606" spans="1:7" s="53" customFormat="1" x14ac:dyDescent="0.35">
      <c r="A1606" s="223"/>
      <c r="B1606" s="88" t="s">
        <v>111</v>
      </c>
      <c r="C1606" s="89" t="s">
        <v>112</v>
      </c>
      <c r="D1606" s="90">
        <v>40000</v>
      </c>
      <c r="E1606" s="225" t="s">
        <v>113</v>
      </c>
      <c r="F1606" s="225"/>
    </row>
    <row r="1607" spans="1:7" s="53" customFormat="1" x14ac:dyDescent="0.35">
      <c r="A1607" s="223"/>
      <c r="B1607" s="88" t="s">
        <v>564</v>
      </c>
      <c r="C1607" s="89" t="s">
        <v>115</v>
      </c>
      <c r="D1607" s="90">
        <f>500*123</f>
        <v>61500</v>
      </c>
      <c r="E1607" s="91" t="s">
        <v>116</v>
      </c>
      <c r="F1607" s="92">
        <f>(4200*2630)+(3100*2630)</f>
        <v>19199000</v>
      </c>
    </row>
    <row r="1608" spans="1:7" s="53" customFormat="1" x14ac:dyDescent="0.35">
      <c r="A1608" s="223"/>
      <c r="B1608" s="88"/>
      <c r="C1608" s="89" t="s">
        <v>117</v>
      </c>
      <c r="D1608" s="90">
        <f>2500*123</f>
        <v>307500</v>
      </c>
      <c r="E1608" s="93" t="s">
        <v>118</v>
      </c>
      <c r="F1608" s="94">
        <f>(2460*2630)+(1640*2630)</f>
        <v>10783000</v>
      </c>
    </row>
    <row r="1609" spans="1:7" s="53" customFormat="1" ht="15" thickBot="1" x14ac:dyDescent="0.4">
      <c r="A1609" s="223"/>
      <c r="B1609" s="88" t="s">
        <v>119</v>
      </c>
      <c r="C1609" s="89" t="s">
        <v>120</v>
      </c>
      <c r="D1609" s="95">
        <v>30000</v>
      </c>
      <c r="E1609" s="96" t="s">
        <v>121</v>
      </c>
      <c r="F1609" s="97">
        <f>F1607-F1608</f>
        <v>8416000</v>
      </c>
      <c r="G1609" s="98">
        <f>F1609/2630</f>
        <v>3200</v>
      </c>
    </row>
    <row r="1610" spans="1:7" s="53" customFormat="1" ht="15" thickTop="1" x14ac:dyDescent="0.35">
      <c r="A1610" s="223"/>
      <c r="B1610" s="88"/>
      <c r="C1610" s="89" t="s">
        <v>122</v>
      </c>
      <c r="D1610" s="90">
        <v>140000</v>
      </c>
      <c r="F1610" s="94"/>
    </row>
    <row r="1611" spans="1:7" s="53" customFormat="1" x14ac:dyDescent="0.35">
      <c r="A1611" s="223"/>
      <c r="B1611" s="88" t="s">
        <v>530</v>
      </c>
      <c r="C1611" s="99" t="s">
        <v>123</v>
      </c>
      <c r="D1611" s="90">
        <v>15000</v>
      </c>
      <c r="E1611" s="91" t="s">
        <v>124</v>
      </c>
      <c r="F1611" s="92"/>
    </row>
    <row r="1612" spans="1:7" s="53" customFormat="1" x14ac:dyDescent="0.35">
      <c r="A1612" s="223"/>
      <c r="B1612" s="101"/>
      <c r="C1612" s="99" t="s">
        <v>125</v>
      </c>
      <c r="D1612" s="100">
        <v>10000</v>
      </c>
      <c r="E1612" s="102"/>
      <c r="F1612" s="103"/>
    </row>
    <row r="1613" spans="1:7" s="53" customFormat="1" x14ac:dyDescent="0.35">
      <c r="A1613" s="223"/>
      <c r="B1613" s="101"/>
      <c r="C1613" s="99" t="s">
        <v>126</v>
      </c>
      <c r="D1613" s="100">
        <v>40000</v>
      </c>
      <c r="E1613" s="102" t="s">
        <v>127</v>
      </c>
      <c r="F1613" s="103"/>
    </row>
    <row r="1614" spans="1:7" s="53" customFormat="1" x14ac:dyDescent="0.35">
      <c r="A1614" s="223"/>
      <c r="B1614" s="101"/>
      <c r="C1614" s="89" t="s">
        <v>710</v>
      </c>
      <c r="D1614" s="104">
        <v>20000</v>
      </c>
      <c r="E1614" s="102" t="s">
        <v>544</v>
      </c>
      <c r="F1614" s="103"/>
    </row>
    <row r="1615" spans="1:7" s="53" customFormat="1" ht="15" thickBot="1" x14ac:dyDescent="0.4">
      <c r="A1615" s="223"/>
      <c r="B1615" s="105"/>
      <c r="C1615" s="106"/>
      <c r="D1615" s="107"/>
      <c r="E1615" s="53" t="s">
        <v>937</v>
      </c>
      <c r="F1615" s="94"/>
    </row>
    <row r="1616" spans="1:7" s="53" customFormat="1" ht="15" thickBot="1" x14ac:dyDescent="0.4">
      <c r="A1616" s="223"/>
      <c r="B1616" s="108"/>
      <c r="C1616" s="109" t="s">
        <v>129</v>
      </c>
      <c r="D1616" s="110">
        <f>SUM(D1603:D1615)</f>
        <v>7491950</v>
      </c>
      <c r="F1616" s="94"/>
    </row>
    <row r="1617" spans="1:6" s="53" customFormat="1" ht="15.5" thickTop="1" thickBot="1" x14ac:dyDescent="0.4">
      <c r="A1617" s="224"/>
      <c r="B1617" s="226"/>
      <c r="C1617" s="226"/>
      <c r="D1617" s="226"/>
      <c r="F1617" s="94"/>
    </row>
    <row r="1618" spans="1:6" s="53" customFormat="1" x14ac:dyDescent="0.35">
      <c r="B1618" s="87"/>
      <c r="C1618" s="53" t="s">
        <v>130</v>
      </c>
      <c r="D1618" s="111">
        <f>D1600-D1616</f>
        <v>11707050</v>
      </c>
      <c r="F1618" s="94"/>
    </row>
    <row r="1619" spans="1:6" s="53" customFormat="1" x14ac:dyDescent="0.35">
      <c r="B1619" s="87"/>
      <c r="D1619" s="111"/>
      <c r="F1619" s="94"/>
    </row>
    <row r="1620" spans="1:6" s="53" customFormat="1" x14ac:dyDescent="0.35">
      <c r="A1620" s="112"/>
      <c r="B1620" s="113"/>
      <c r="C1620" s="112"/>
      <c r="D1620" s="114"/>
      <c r="E1620" s="112"/>
      <c r="F1620" s="178"/>
    </row>
    <row r="1623" spans="1:6" s="53" customFormat="1" ht="23.5" x14ac:dyDescent="0.55000000000000004">
      <c r="B1623" s="227" t="s">
        <v>0</v>
      </c>
      <c r="C1623" s="227"/>
      <c r="D1623" s="227"/>
      <c r="E1623" s="70"/>
      <c r="F1623" s="176"/>
    </row>
    <row r="1624" spans="1:6" s="53" customFormat="1" ht="20.5" x14ac:dyDescent="0.45">
      <c r="B1624" s="71"/>
      <c r="C1624" s="72" t="s">
        <v>535</v>
      </c>
      <c r="D1624" s="73"/>
      <c r="F1624" s="94"/>
    </row>
    <row r="1625" spans="1:6" s="53" customFormat="1" ht="21" thickBot="1" x14ac:dyDescent="0.5">
      <c r="B1625" s="71" t="s">
        <v>167</v>
      </c>
      <c r="C1625" s="74" t="s">
        <v>103</v>
      </c>
      <c r="D1625" s="73"/>
      <c r="F1625" s="94"/>
    </row>
    <row r="1626" spans="1:6" s="53" customFormat="1" ht="15" thickBot="1" x14ac:dyDescent="0.4">
      <c r="A1626" s="75" t="s">
        <v>104</v>
      </c>
      <c r="B1626" s="76" t="s">
        <v>81</v>
      </c>
      <c r="C1626" s="76" t="s">
        <v>105</v>
      </c>
      <c r="D1626" s="77" t="s">
        <v>84</v>
      </c>
      <c r="F1626" s="94"/>
    </row>
    <row r="1627" spans="1:6" s="53" customFormat="1" ht="14.5" customHeight="1" x14ac:dyDescent="0.35">
      <c r="A1627" s="222" t="s">
        <v>5</v>
      </c>
      <c r="B1627" s="78" t="s">
        <v>532</v>
      </c>
      <c r="C1627" s="79" t="s">
        <v>106</v>
      </c>
      <c r="D1627" s="80">
        <f>F1634</f>
        <v>10783000</v>
      </c>
      <c r="F1627" s="94"/>
    </row>
    <row r="1628" spans="1:6" s="53" customFormat="1" ht="21" thickBot="1" x14ac:dyDescent="0.5">
      <c r="A1628" s="223"/>
      <c r="B1628" s="71"/>
      <c r="C1628" s="71"/>
      <c r="D1628" s="73"/>
      <c r="F1628" s="94"/>
    </row>
    <row r="1629" spans="1:6" s="53" customFormat="1" ht="15" thickBot="1" x14ac:dyDescent="0.4">
      <c r="A1629" s="223"/>
      <c r="B1629" s="81" t="s">
        <v>81</v>
      </c>
      <c r="C1629" s="82" t="s">
        <v>107</v>
      </c>
      <c r="D1629" s="83" t="s">
        <v>108</v>
      </c>
      <c r="F1629" s="94"/>
    </row>
    <row r="1630" spans="1:6" s="87" customFormat="1" x14ac:dyDescent="0.35">
      <c r="A1630" s="223"/>
      <c r="B1630" s="84" t="str">
        <f>B1627</f>
        <v>01st May,2025</v>
      </c>
      <c r="C1630" s="85" t="s">
        <v>467</v>
      </c>
      <c r="D1630" s="86">
        <f>2000*2900</f>
        <v>5800000</v>
      </c>
      <c r="F1630" s="177"/>
    </row>
    <row r="1631" spans="1:6" s="53" customFormat="1" x14ac:dyDescent="0.35">
      <c r="A1631" s="223"/>
      <c r="B1631" s="88"/>
      <c r="C1631" s="89" t="s">
        <v>210</v>
      </c>
      <c r="D1631" s="90">
        <f>319*2650</f>
        <v>845350</v>
      </c>
      <c r="F1631" s="94"/>
    </row>
    <row r="1632" spans="1:6" s="53" customFormat="1" x14ac:dyDescent="0.35">
      <c r="A1632" s="223"/>
      <c r="B1632" s="88" t="s">
        <v>109</v>
      </c>
      <c r="C1632" s="89" t="s">
        <v>110</v>
      </c>
      <c r="D1632" s="90">
        <v>1000000</v>
      </c>
      <c r="F1632" s="94"/>
    </row>
    <row r="1633" spans="1:7" s="53" customFormat="1" x14ac:dyDescent="0.35">
      <c r="A1633" s="223"/>
      <c r="B1633" s="88" t="s">
        <v>111</v>
      </c>
      <c r="C1633" s="89" t="s">
        <v>112</v>
      </c>
      <c r="D1633" s="90">
        <v>40000</v>
      </c>
      <c r="E1633" s="225" t="s">
        <v>113</v>
      </c>
      <c r="F1633" s="225"/>
    </row>
    <row r="1634" spans="1:7" s="53" customFormat="1" x14ac:dyDescent="0.35">
      <c r="A1634" s="223"/>
      <c r="B1634" s="88" t="s">
        <v>206</v>
      </c>
      <c r="C1634" s="89" t="s">
        <v>115</v>
      </c>
      <c r="D1634" s="90">
        <f>850*123</f>
        <v>104550</v>
      </c>
      <c r="E1634" s="91" t="s">
        <v>116</v>
      </c>
      <c r="F1634" s="92">
        <f>4100*2630</f>
        <v>10783000</v>
      </c>
    </row>
    <row r="1635" spans="1:7" s="53" customFormat="1" x14ac:dyDescent="0.35">
      <c r="A1635" s="223"/>
      <c r="B1635" s="88"/>
      <c r="C1635" s="89" t="s">
        <v>117</v>
      </c>
      <c r="D1635" s="90">
        <f>2420*123</f>
        <v>297660</v>
      </c>
      <c r="E1635" s="93" t="s">
        <v>118</v>
      </c>
      <c r="F1635" s="94">
        <f>(2460*2630)+(1640*2630)</f>
        <v>10783000</v>
      </c>
    </row>
    <row r="1636" spans="1:7" s="53" customFormat="1" ht="15" thickBot="1" x14ac:dyDescent="0.4">
      <c r="A1636" s="223"/>
      <c r="B1636" s="88" t="s">
        <v>119</v>
      </c>
      <c r="C1636" s="89" t="s">
        <v>120</v>
      </c>
      <c r="D1636" s="95">
        <v>30000</v>
      </c>
      <c r="E1636" s="96" t="s">
        <v>121</v>
      </c>
      <c r="F1636" s="97">
        <f>F1634-F1635</f>
        <v>0</v>
      </c>
      <c r="G1636" s="98">
        <f>F1636/2630</f>
        <v>0</v>
      </c>
    </row>
    <row r="1637" spans="1:7" s="53" customFormat="1" ht="15" thickTop="1" x14ac:dyDescent="0.35">
      <c r="A1637" s="223"/>
      <c r="B1637" s="88"/>
      <c r="C1637" s="99" t="s">
        <v>123</v>
      </c>
      <c r="D1637" s="90">
        <v>15000</v>
      </c>
      <c r="F1637" s="94"/>
    </row>
    <row r="1638" spans="1:7" s="53" customFormat="1" x14ac:dyDescent="0.35">
      <c r="A1638" s="223"/>
      <c r="B1638" s="88" t="s">
        <v>213</v>
      </c>
      <c r="C1638" s="99" t="s">
        <v>126</v>
      </c>
      <c r="D1638" s="100">
        <v>30000</v>
      </c>
      <c r="E1638" s="91" t="s">
        <v>124</v>
      </c>
      <c r="F1638" s="92"/>
    </row>
    <row r="1639" spans="1:7" s="53" customFormat="1" x14ac:dyDescent="0.35">
      <c r="A1639" s="223"/>
      <c r="B1639" s="101"/>
      <c r="C1639" s="99"/>
      <c r="D1639" s="100"/>
      <c r="E1639" s="102"/>
      <c r="F1639" s="103"/>
    </row>
    <row r="1640" spans="1:7" s="53" customFormat="1" x14ac:dyDescent="0.35">
      <c r="A1640" s="223"/>
      <c r="B1640" s="101"/>
      <c r="C1640" s="89"/>
      <c r="D1640" s="104"/>
      <c r="E1640" s="102" t="s">
        <v>127</v>
      </c>
      <c r="F1640" s="103"/>
    </row>
    <row r="1641" spans="1:7" s="53" customFormat="1" x14ac:dyDescent="0.35">
      <c r="A1641" s="223"/>
      <c r="B1641" s="101"/>
      <c r="C1641" s="89"/>
      <c r="D1641" s="104"/>
      <c r="E1641" s="102" t="s">
        <v>545</v>
      </c>
      <c r="F1641" s="103"/>
    </row>
    <row r="1642" spans="1:7" s="53" customFormat="1" ht="15" thickBot="1" x14ac:dyDescent="0.4">
      <c r="A1642" s="223"/>
      <c r="B1642" s="105"/>
      <c r="C1642" s="106"/>
      <c r="D1642" s="107"/>
      <c r="E1642" s="53" t="s">
        <v>675</v>
      </c>
      <c r="F1642" s="94"/>
    </row>
    <row r="1643" spans="1:7" s="53" customFormat="1" ht="15" thickBot="1" x14ac:dyDescent="0.4">
      <c r="A1643" s="223"/>
      <c r="B1643" s="108"/>
      <c r="C1643" s="109" t="s">
        <v>129</v>
      </c>
      <c r="D1643" s="110">
        <f>SUM(D1630:D1642)</f>
        <v>8162560</v>
      </c>
      <c r="F1643" s="94"/>
    </row>
    <row r="1644" spans="1:7" s="53" customFormat="1" ht="15.5" thickTop="1" thickBot="1" x14ac:dyDescent="0.4">
      <c r="A1644" s="224"/>
      <c r="B1644" s="226"/>
      <c r="C1644" s="226"/>
      <c r="D1644" s="226"/>
      <c r="F1644" s="94"/>
    </row>
    <row r="1645" spans="1:7" s="53" customFormat="1" x14ac:dyDescent="0.35">
      <c r="B1645" s="87"/>
      <c r="C1645" s="53" t="s">
        <v>130</v>
      </c>
      <c r="D1645" s="111">
        <f>D1627-D1643</f>
        <v>2620440</v>
      </c>
      <c r="F1645" s="94"/>
    </row>
    <row r="1646" spans="1:7" s="53" customFormat="1" x14ac:dyDescent="0.35">
      <c r="B1646" s="87"/>
      <c r="D1646" s="111"/>
      <c r="F1646" s="94"/>
    </row>
    <row r="1647" spans="1:7" s="53" customFormat="1" x14ac:dyDescent="0.35">
      <c r="A1647" s="112"/>
      <c r="B1647" s="113"/>
      <c r="C1647" s="112"/>
      <c r="D1647" s="114"/>
      <c r="E1647" s="112"/>
      <c r="F1647" s="178"/>
    </row>
    <row r="1650" spans="1:7" s="53" customFormat="1" ht="23.5" x14ac:dyDescent="0.55000000000000004">
      <c r="B1650" s="227" t="s">
        <v>0</v>
      </c>
      <c r="C1650" s="227"/>
      <c r="D1650" s="227"/>
      <c r="E1650" s="70"/>
      <c r="F1650" s="176"/>
    </row>
    <row r="1651" spans="1:7" s="53" customFormat="1" ht="20.5" x14ac:dyDescent="0.45">
      <c r="B1651" s="71"/>
      <c r="C1651" s="72" t="s">
        <v>536</v>
      </c>
      <c r="D1651" s="73"/>
      <c r="F1651" s="94"/>
    </row>
    <row r="1652" spans="1:7" s="53" customFormat="1" ht="21" thickBot="1" x14ac:dyDescent="0.5">
      <c r="B1652" s="71" t="s">
        <v>218</v>
      </c>
      <c r="C1652" s="74" t="s">
        <v>103</v>
      </c>
      <c r="D1652" s="73"/>
      <c r="F1652" s="94"/>
    </row>
    <row r="1653" spans="1:7" s="53" customFormat="1" ht="15" thickBot="1" x14ac:dyDescent="0.4">
      <c r="A1653" s="75" t="s">
        <v>104</v>
      </c>
      <c r="B1653" s="76" t="s">
        <v>81</v>
      </c>
      <c r="C1653" s="76" t="s">
        <v>105</v>
      </c>
      <c r="D1653" s="77" t="s">
        <v>84</v>
      </c>
      <c r="F1653" s="94"/>
    </row>
    <row r="1654" spans="1:7" s="53" customFormat="1" ht="14.5" customHeight="1" x14ac:dyDescent="0.35">
      <c r="A1654" s="222" t="s">
        <v>5</v>
      </c>
      <c r="B1654" s="78" t="s">
        <v>532</v>
      </c>
      <c r="C1654" s="79" t="s">
        <v>106</v>
      </c>
      <c r="D1654" s="80">
        <f>F1661</f>
        <v>10783000</v>
      </c>
      <c r="F1654" s="94"/>
    </row>
    <row r="1655" spans="1:7" s="53" customFormat="1" ht="21" thickBot="1" x14ac:dyDescent="0.5">
      <c r="A1655" s="223"/>
      <c r="B1655" s="71"/>
      <c r="C1655" s="71"/>
      <c r="D1655" s="73"/>
      <c r="F1655" s="94"/>
    </row>
    <row r="1656" spans="1:7" s="53" customFormat="1" ht="15" thickBot="1" x14ac:dyDescent="0.4">
      <c r="A1656" s="223"/>
      <c r="B1656" s="81" t="s">
        <v>81</v>
      </c>
      <c r="C1656" s="82" t="s">
        <v>107</v>
      </c>
      <c r="D1656" s="83" t="s">
        <v>108</v>
      </c>
      <c r="F1656" s="94"/>
    </row>
    <row r="1657" spans="1:7" s="87" customFormat="1" x14ac:dyDescent="0.35">
      <c r="A1657" s="223"/>
      <c r="B1657" s="84" t="str">
        <f>B1654</f>
        <v>01st May,2025</v>
      </c>
      <c r="C1657" s="85" t="s">
        <v>467</v>
      </c>
      <c r="D1657" s="86">
        <f>2000*2900</f>
        <v>5800000</v>
      </c>
      <c r="F1657" s="177"/>
    </row>
    <row r="1658" spans="1:7" s="53" customFormat="1" x14ac:dyDescent="0.35">
      <c r="A1658" s="223"/>
      <c r="B1658" s="88"/>
      <c r="C1658" s="89" t="s">
        <v>210</v>
      </c>
      <c r="D1658" s="90">
        <f>319*2650</f>
        <v>845350</v>
      </c>
      <c r="F1658" s="94"/>
    </row>
    <row r="1659" spans="1:7" s="53" customFormat="1" x14ac:dyDescent="0.35">
      <c r="A1659" s="223"/>
      <c r="B1659" s="88" t="s">
        <v>109</v>
      </c>
      <c r="C1659" s="89" t="s">
        <v>110</v>
      </c>
      <c r="D1659" s="90">
        <v>1000000</v>
      </c>
      <c r="F1659" s="94"/>
    </row>
    <row r="1660" spans="1:7" s="53" customFormat="1" x14ac:dyDescent="0.35">
      <c r="A1660" s="223"/>
      <c r="B1660" s="88" t="s">
        <v>111</v>
      </c>
      <c r="C1660" s="89" t="s">
        <v>112</v>
      </c>
      <c r="D1660" s="90">
        <v>40000</v>
      </c>
      <c r="E1660" s="225" t="s">
        <v>113</v>
      </c>
      <c r="F1660" s="225"/>
    </row>
    <row r="1661" spans="1:7" s="53" customFormat="1" x14ac:dyDescent="0.35">
      <c r="A1661" s="223"/>
      <c r="B1661" s="88" t="s">
        <v>206</v>
      </c>
      <c r="C1661" s="89" t="s">
        <v>115</v>
      </c>
      <c r="D1661" s="90">
        <f>600*123</f>
        <v>73800</v>
      </c>
      <c r="E1661" s="91" t="s">
        <v>116</v>
      </c>
      <c r="F1661" s="92">
        <f>4100*2630</f>
        <v>10783000</v>
      </c>
    </row>
    <row r="1662" spans="1:7" s="53" customFormat="1" x14ac:dyDescent="0.35">
      <c r="A1662" s="223"/>
      <c r="B1662" s="88"/>
      <c r="C1662" s="89" t="s">
        <v>117</v>
      </c>
      <c r="D1662" s="90">
        <f>2420*123</f>
        <v>297660</v>
      </c>
      <c r="E1662" s="93" t="s">
        <v>118</v>
      </c>
      <c r="F1662" s="94">
        <f>(2460*2630)+(1640*2630)</f>
        <v>10783000</v>
      </c>
    </row>
    <row r="1663" spans="1:7" s="53" customFormat="1" ht="15" thickBot="1" x14ac:dyDescent="0.4">
      <c r="A1663" s="223"/>
      <c r="B1663" s="88" t="s">
        <v>119</v>
      </c>
      <c r="C1663" s="89" t="s">
        <v>120</v>
      </c>
      <c r="D1663" s="95">
        <v>30000</v>
      </c>
      <c r="E1663" s="96" t="s">
        <v>121</v>
      </c>
      <c r="F1663" s="97">
        <f>F1661-F1662</f>
        <v>0</v>
      </c>
      <c r="G1663" s="98">
        <f>F1663/2630</f>
        <v>0</v>
      </c>
    </row>
    <row r="1664" spans="1:7" s="53" customFormat="1" ht="15" thickTop="1" x14ac:dyDescent="0.35">
      <c r="A1664" s="223"/>
      <c r="B1664" s="88"/>
      <c r="C1664" s="99" t="s">
        <v>123</v>
      </c>
      <c r="D1664" s="90">
        <v>15000</v>
      </c>
      <c r="F1664" s="94"/>
    </row>
    <row r="1665" spans="1:6" s="53" customFormat="1" x14ac:dyDescent="0.35">
      <c r="A1665" s="223"/>
      <c r="B1665" s="88" t="s">
        <v>213</v>
      </c>
      <c r="C1665" s="99"/>
      <c r="D1665" s="90"/>
      <c r="E1665" s="91" t="s">
        <v>124</v>
      </c>
      <c r="F1665" s="92"/>
    </row>
    <row r="1666" spans="1:6" s="53" customFormat="1" x14ac:dyDescent="0.35">
      <c r="A1666" s="223"/>
      <c r="B1666" s="101"/>
      <c r="C1666" s="99"/>
      <c r="D1666" s="100"/>
      <c r="E1666" s="102"/>
      <c r="F1666" s="103"/>
    </row>
    <row r="1667" spans="1:6" s="53" customFormat="1" x14ac:dyDescent="0.35">
      <c r="A1667" s="223"/>
      <c r="B1667" s="101"/>
      <c r="C1667" s="99"/>
      <c r="D1667" s="100"/>
      <c r="E1667" s="102" t="s">
        <v>127</v>
      </c>
      <c r="F1667" s="103"/>
    </row>
    <row r="1668" spans="1:6" s="53" customFormat="1" x14ac:dyDescent="0.35">
      <c r="A1668" s="223"/>
      <c r="B1668" s="101"/>
      <c r="C1668" s="89"/>
      <c r="D1668" s="104"/>
      <c r="E1668" s="102" t="s">
        <v>546</v>
      </c>
      <c r="F1668" s="103"/>
    </row>
    <row r="1669" spans="1:6" s="53" customFormat="1" ht="15" thickBot="1" x14ac:dyDescent="0.4">
      <c r="A1669" s="223"/>
      <c r="B1669" s="105"/>
      <c r="C1669" s="106"/>
      <c r="D1669" s="107"/>
      <c r="E1669" s="53" t="s">
        <v>675</v>
      </c>
      <c r="F1669" s="94"/>
    </row>
    <row r="1670" spans="1:6" s="53" customFormat="1" ht="15" thickBot="1" x14ac:dyDescent="0.4">
      <c r="A1670" s="223"/>
      <c r="B1670" s="108"/>
      <c r="C1670" s="109" t="s">
        <v>129</v>
      </c>
      <c r="D1670" s="110">
        <f>SUM(D1657:D1669)</f>
        <v>8101810</v>
      </c>
      <c r="F1670" s="94"/>
    </row>
    <row r="1671" spans="1:6" s="53" customFormat="1" ht="15.5" thickTop="1" thickBot="1" x14ac:dyDescent="0.4">
      <c r="A1671" s="224"/>
      <c r="B1671" s="226"/>
      <c r="C1671" s="226"/>
      <c r="D1671" s="226"/>
      <c r="F1671" s="94"/>
    </row>
    <row r="1672" spans="1:6" s="53" customFormat="1" x14ac:dyDescent="0.35">
      <c r="B1672" s="87"/>
      <c r="C1672" s="53" t="s">
        <v>130</v>
      </c>
      <c r="D1672" s="111">
        <f>D1654-D1670</f>
        <v>2681190</v>
      </c>
      <c r="F1672" s="94"/>
    </row>
    <row r="1673" spans="1:6" s="53" customFormat="1" x14ac:dyDescent="0.35">
      <c r="B1673" s="87"/>
      <c r="D1673" s="111"/>
      <c r="F1673" s="94"/>
    </row>
    <row r="1674" spans="1:6" s="53" customFormat="1" x14ac:dyDescent="0.35">
      <c r="A1674" s="112"/>
      <c r="B1674" s="113"/>
      <c r="C1674" s="112"/>
      <c r="D1674" s="114"/>
      <c r="E1674" s="112"/>
      <c r="F1674" s="178"/>
    </row>
    <row r="1677" spans="1:6" s="53" customFormat="1" ht="23.5" x14ac:dyDescent="0.55000000000000004">
      <c r="B1677" s="227" t="s">
        <v>0</v>
      </c>
      <c r="C1677" s="227"/>
      <c r="D1677" s="227"/>
      <c r="E1677" s="70"/>
      <c r="F1677" s="176"/>
    </row>
    <row r="1678" spans="1:6" s="53" customFormat="1" ht="20.5" x14ac:dyDescent="0.45">
      <c r="B1678" s="71"/>
      <c r="C1678" s="72" t="s">
        <v>541</v>
      </c>
      <c r="D1678" s="73"/>
      <c r="F1678" s="94"/>
    </row>
    <row r="1679" spans="1:6" s="53" customFormat="1" ht="21" thickBot="1" x14ac:dyDescent="0.5">
      <c r="B1679" s="71" t="s">
        <v>102</v>
      </c>
      <c r="C1679" s="74" t="s">
        <v>103</v>
      </c>
      <c r="D1679" s="73"/>
      <c r="F1679" s="94"/>
    </row>
    <row r="1680" spans="1:6" s="53" customFormat="1" ht="15" thickBot="1" x14ac:dyDescent="0.4">
      <c r="A1680" s="75" t="s">
        <v>104</v>
      </c>
      <c r="B1680" s="76" t="s">
        <v>81</v>
      </c>
      <c r="C1680" s="76" t="s">
        <v>105</v>
      </c>
      <c r="D1680" s="77" t="s">
        <v>84</v>
      </c>
      <c r="F1680" s="94"/>
    </row>
    <row r="1681" spans="1:8" s="53" customFormat="1" ht="14.5" customHeight="1" x14ac:dyDescent="0.35">
      <c r="A1681" s="222" t="s">
        <v>5</v>
      </c>
      <c r="B1681" s="78" t="s">
        <v>542</v>
      </c>
      <c r="C1681" s="79" t="s">
        <v>106</v>
      </c>
      <c r="D1681" s="80">
        <f>F1688</f>
        <v>10783000</v>
      </c>
      <c r="F1681" s="94"/>
    </row>
    <row r="1682" spans="1:8" s="53" customFormat="1" ht="21" thickBot="1" x14ac:dyDescent="0.5">
      <c r="A1682" s="223"/>
      <c r="B1682" s="71"/>
      <c r="C1682" s="71"/>
      <c r="D1682" s="73"/>
      <c r="F1682" s="94"/>
    </row>
    <row r="1683" spans="1:8" s="53" customFormat="1" ht="15" thickBot="1" x14ac:dyDescent="0.4">
      <c r="A1683" s="223"/>
      <c r="B1683" s="81" t="s">
        <v>81</v>
      </c>
      <c r="C1683" s="82" t="s">
        <v>107</v>
      </c>
      <c r="D1683" s="83" t="s">
        <v>108</v>
      </c>
      <c r="F1683" s="94"/>
    </row>
    <row r="1684" spans="1:8" s="87" customFormat="1" x14ac:dyDescent="0.35">
      <c r="A1684" s="223"/>
      <c r="B1684" s="84" t="str">
        <f>B1681</f>
        <v>03rd May,2025</v>
      </c>
      <c r="C1684" s="85" t="s">
        <v>467</v>
      </c>
      <c r="D1684" s="86">
        <f>2000*2900</f>
        <v>5800000</v>
      </c>
      <c r="F1684" s="177"/>
    </row>
    <row r="1685" spans="1:8" s="53" customFormat="1" x14ac:dyDescent="0.35">
      <c r="A1685" s="223"/>
      <c r="B1685" s="88"/>
      <c r="C1685" s="89" t="s">
        <v>210</v>
      </c>
      <c r="D1685" s="90">
        <f>319*2650</f>
        <v>845350</v>
      </c>
      <c r="F1685" s="94"/>
    </row>
    <row r="1686" spans="1:8" s="53" customFormat="1" x14ac:dyDescent="0.35">
      <c r="A1686" s="223"/>
      <c r="B1686" s="88" t="s">
        <v>109</v>
      </c>
      <c r="C1686" s="89" t="s">
        <v>110</v>
      </c>
      <c r="D1686" s="90">
        <v>1000000</v>
      </c>
      <c r="F1686" s="94"/>
    </row>
    <row r="1687" spans="1:8" s="53" customFormat="1" x14ac:dyDescent="0.35">
      <c r="A1687" s="223"/>
      <c r="B1687" s="88" t="s">
        <v>111</v>
      </c>
      <c r="C1687" s="89" t="s">
        <v>112</v>
      </c>
      <c r="D1687" s="90">
        <v>40000</v>
      </c>
      <c r="E1687" s="225" t="s">
        <v>113</v>
      </c>
      <c r="F1687" s="225"/>
    </row>
    <row r="1688" spans="1:8" s="53" customFormat="1" x14ac:dyDescent="0.35">
      <c r="A1688" s="223"/>
      <c r="B1688" s="88" t="s">
        <v>206</v>
      </c>
      <c r="C1688" s="89" t="s">
        <v>115</v>
      </c>
      <c r="D1688" s="90">
        <f>500*123</f>
        <v>61500</v>
      </c>
      <c r="E1688" s="91" t="s">
        <v>116</v>
      </c>
      <c r="F1688" s="92">
        <f>4100*2630</f>
        <v>10783000</v>
      </c>
    </row>
    <row r="1689" spans="1:8" s="53" customFormat="1" x14ac:dyDescent="0.35">
      <c r="A1689" s="223"/>
      <c r="B1689" s="88"/>
      <c r="C1689" s="89" t="s">
        <v>117</v>
      </c>
      <c r="D1689" s="90">
        <f>2420*123</f>
        <v>297660</v>
      </c>
      <c r="E1689" s="93" t="s">
        <v>118</v>
      </c>
      <c r="F1689" s="94">
        <f>(2460*2630)+(1540*2630)</f>
        <v>10520000</v>
      </c>
    </row>
    <row r="1690" spans="1:8" s="53" customFormat="1" ht="15" thickBot="1" x14ac:dyDescent="0.4">
      <c r="A1690" s="223"/>
      <c r="B1690" s="88" t="s">
        <v>119</v>
      </c>
      <c r="C1690" s="89" t="s">
        <v>120</v>
      </c>
      <c r="D1690" s="95">
        <v>30000</v>
      </c>
      <c r="E1690" s="96" t="s">
        <v>121</v>
      </c>
      <c r="F1690" s="97">
        <f>F1688-F1689</f>
        <v>263000</v>
      </c>
      <c r="G1690" s="98">
        <f>F1690/2630</f>
        <v>100</v>
      </c>
      <c r="H1690" s="53" t="s">
        <v>786</v>
      </c>
    </row>
    <row r="1691" spans="1:8" s="53" customFormat="1" ht="15" thickTop="1" x14ac:dyDescent="0.35">
      <c r="A1691" s="223"/>
      <c r="B1691" s="88"/>
      <c r="C1691" s="89" t="s">
        <v>122</v>
      </c>
      <c r="D1691" s="90">
        <v>140000</v>
      </c>
      <c r="F1691" s="94"/>
    </row>
    <row r="1692" spans="1:8" s="53" customFormat="1" x14ac:dyDescent="0.35">
      <c r="A1692" s="223"/>
      <c r="B1692" s="88" t="s">
        <v>540</v>
      </c>
      <c r="C1692" s="99" t="s">
        <v>123</v>
      </c>
      <c r="D1692" s="90">
        <v>15000</v>
      </c>
      <c r="E1692" s="91" t="s">
        <v>124</v>
      </c>
      <c r="F1692" s="92"/>
    </row>
    <row r="1693" spans="1:8" s="53" customFormat="1" x14ac:dyDescent="0.35">
      <c r="A1693" s="223"/>
      <c r="B1693" s="101"/>
      <c r="C1693" s="99" t="s">
        <v>125</v>
      </c>
      <c r="D1693" s="100">
        <v>10000</v>
      </c>
      <c r="E1693" s="102"/>
      <c r="F1693" s="103"/>
    </row>
    <row r="1694" spans="1:8" s="53" customFormat="1" x14ac:dyDescent="0.35">
      <c r="A1694" s="223"/>
      <c r="B1694" s="101"/>
      <c r="C1694" s="99" t="s">
        <v>126</v>
      </c>
      <c r="D1694" s="100">
        <v>35000</v>
      </c>
      <c r="E1694" s="102" t="s">
        <v>127</v>
      </c>
      <c r="F1694" s="103"/>
    </row>
    <row r="1695" spans="1:8" s="53" customFormat="1" x14ac:dyDescent="0.35">
      <c r="A1695" s="223"/>
      <c r="B1695" s="101"/>
      <c r="C1695" s="89"/>
      <c r="D1695" s="104"/>
      <c r="E1695" s="102" t="s">
        <v>554</v>
      </c>
      <c r="F1695" s="103"/>
    </row>
    <row r="1696" spans="1:8" s="53" customFormat="1" ht="15" thickBot="1" x14ac:dyDescent="0.4">
      <c r="A1696" s="223"/>
      <c r="B1696" s="105"/>
      <c r="C1696" s="106"/>
      <c r="D1696" s="107"/>
      <c r="E1696" s="53" t="s">
        <v>785</v>
      </c>
      <c r="F1696" s="94"/>
    </row>
    <row r="1697" spans="1:6" s="53" customFormat="1" ht="15" thickBot="1" x14ac:dyDescent="0.4">
      <c r="A1697" s="223"/>
      <c r="B1697" s="108"/>
      <c r="C1697" s="109" t="s">
        <v>129</v>
      </c>
      <c r="D1697" s="110">
        <f>SUM(D1684:D1696)</f>
        <v>8274510</v>
      </c>
      <c r="F1697" s="94"/>
    </row>
    <row r="1698" spans="1:6" s="53" customFormat="1" ht="15.5" thickTop="1" thickBot="1" x14ac:dyDescent="0.4">
      <c r="A1698" s="224"/>
      <c r="B1698" s="226"/>
      <c r="C1698" s="226"/>
      <c r="D1698" s="226"/>
      <c r="F1698" s="94"/>
    </row>
    <row r="1699" spans="1:6" s="53" customFormat="1" x14ac:dyDescent="0.35">
      <c r="B1699" s="87"/>
      <c r="C1699" s="53" t="s">
        <v>130</v>
      </c>
      <c r="D1699" s="111">
        <f>D1681-D1697</f>
        <v>2508490</v>
      </c>
      <c r="F1699" s="94"/>
    </row>
    <row r="1700" spans="1:6" s="53" customFormat="1" x14ac:dyDescent="0.35">
      <c r="B1700" s="87"/>
      <c r="D1700" s="111"/>
      <c r="F1700" s="94"/>
    </row>
    <row r="1701" spans="1:6" s="53" customFormat="1" x14ac:dyDescent="0.35">
      <c r="A1701" s="112"/>
      <c r="B1701" s="113"/>
      <c r="C1701" s="112"/>
      <c r="D1701" s="114"/>
      <c r="E1701" s="112"/>
      <c r="F1701" s="178"/>
    </row>
    <row r="1703" spans="1:6" s="53" customFormat="1" ht="23.5" x14ac:dyDescent="0.55000000000000004">
      <c r="B1703" s="227" t="s">
        <v>0</v>
      </c>
      <c r="C1703" s="227"/>
      <c r="D1703" s="227"/>
      <c r="E1703" s="70"/>
      <c r="F1703" s="176"/>
    </row>
    <row r="1704" spans="1:6" s="53" customFormat="1" ht="20.5" x14ac:dyDescent="0.45">
      <c r="B1704" s="71"/>
      <c r="C1704" s="72" t="s">
        <v>547</v>
      </c>
      <c r="D1704" s="73"/>
      <c r="F1704" s="94"/>
    </row>
    <row r="1705" spans="1:6" s="53" customFormat="1" ht="21" thickBot="1" x14ac:dyDescent="0.5">
      <c r="B1705" s="71" t="s">
        <v>239</v>
      </c>
      <c r="C1705" s="74" t="s">
        <v>103</v>
      </c>
      <c r="D1705" s="73"/>
      <c r="F1705" s="94"/>
    </row>
    <row r="1706" spans="1:6" s="53" customFormat="1" ht="15" thickBot="1" x14ac:dyDescent="0.4">
      <c r="A1706" s="75" t="s">
        <v>104</v>
      </c>
      <c r="B1706" s="76" t="s">
        <v>81</v>
      </c>
      <c r="C1706" s="76" t="s">
        <v>105</v>
      </c>
      <c r="D1706" s="77" t="s">
        <v>84</v>
      </c>
      <c r="F1706" s="94"/>
    </row>
    <row r="1707" spans="1:6" s="53" customFormat="1" ht="14.5" customHeight="1" x14ac:dyDescent="0.35">
      <c r="A1707" s="222" t="s">
        <v>5</v>
      </c>
      <c r="B1707" s="78" t="s">
        <v>548</v>
      </c>
      <c r="C1707" s="79" t="s">
        <v>319</v>
      </c>
      <c r="D1707" s="80">
        <f>F1714</f>
        <v>11070000</v>
      </c>
      <c r="F1707" s="94"/>
    </row>
    <row r="1708" spans="1:6" s="53" customFormat="1" ht="21" thickBot="1" x14ac:dyDescent="0.5">
      <c r="A1708" s="223"/>
      <c r="B1708" s="71"/>
      <c r="C1708" s="71"/>
      <c r="D1708" s="73"/>
      <c r="F1708" s="94"/>
    </row>
    <row r="1709" spans="1:6" s="53" customFormat="1" ht="15" thickBot="1" x14ac:dyDescent="0.4">
      <c r="A1709" s="223"/>
      <c r="B1709" s="81" t="s">
        <v>81</v>
      </c>
      <c r="C1709" s="82" t="s">
        <v>107</v>
      </c>
      <c r="D1709" s="83" t="s">
        <v>108</v>
      </c>
      <c r="F1709" s="94"/>
    </row>
    <row r="1710" spans="1:6" s="87" customFormat="1" x14ac:dyDescent="0.35">
      <c r="A1710" s="223"/>
      <c r="B1710" s="84" t="str">
        <f>B1707</f>
        <v>05th May,2025</v>
      </c>
      <c r="C1710" s="85" t="s">
        <v>467</v>
      </c>
      <c r="D1710" s="86">
        <f>2000*2900</f>
        <v>5800000</v>
      </c>
      <c r="F1710" s="177"/>
    </row>
    <row r="1711" spans="1:6" s="53" customFormat="1" x14ac:dyDescent="0.35">
      <c r="A1711" s="223"/>
      <c r="B1711" s="88"/>
      <c r="C1711" s="89" t="s">
        <v>188</v>
      </c>
      <c r="D1711" s="90">
        <f>325*2650</f>
        <v>861250</v>
      </c>
      <c r="F1711" s="94"/>
    </row>
    <row r="1712" spans="1:6" s="53" customFormat="1" x14ac:dyDescent="0.35">
      <c r="A1712" s="223"/>
      <c r="B1712" s="88" t="s">
        <v>109</v>
      </c>
      <c r="C1712" s="89" t="s">
        <v>110</v>
      </c>
      <c r="D1712" s="90">
        <v>1000000</v>
      </c>
      <c r="F1712" s="94"/>
    </row>
    <row r="1713" spans="1:7" s="53" customFormat="1" x14ac:dyDescent="0.35">
      <c r="A1713" s="223"/>
      <c r="B1713" s="88" t="s">
        <v>111</v>
      </c>
      <c r="C1713" s="89" t="s">
        <v>112</v>
      </c>
      <c r="D1713" s="90">
        <v>40000</v>
      </c>
      <c r="E1713" s="225" t="s">
        <v>113</v>
      </c>
      <c r="F1713" s="225"/>
    </row>
    <row r="1714" spans="1:7" s="53" customFormat="1" x14ac:dyDescent="0.35">
      <c r="A1714" s="223"/>
      <c r="B1714" s="88" t="s">
        <v>182</v>
      </c>
      <c r="C1714" s="89" t="s">
        <v>115</v>
      </c>
      <c r="D1714" s="90">
        <f>400*120</f>
        <v>48000</v>
      </c>
      <c r="E1714" s="91" t="s">
        <v>116</v>
      </c>
      <c r="F1714" s="92">
        <f>4100*2700</f>
        <v>11070000</v>
      </c>
    </row>
    <row r="1715" spans="1:7" s="53" customFormat="1" x14ac:dyDescent="0.35">
      <c r="A1715" s="223"/>
      <c r="B1715" s="88"/>
      <c r="C1715" s="89" t="s">
        <v>117</v>
      </c>
      <c r="D1715" s="90">
        <f>2500*120</f>
        <v>300000</v>
      </c>
      <c r="E1715" s="93" t="s">
        <v>118</v>
      </c>
      <c r="F1715" s="94">
        <f>4100*2700</f>
        <v>11070000</v>
      </c>
    </row>
    <row r="1716" spans="1:7" s="53" customFormat="1" ht="15" thickBot="1" x14ac:dyDescent="0.4">
      <c r="A1716" s="223"/>
      <c r="B1716" s="88" t="s">
        <v>119</v>
      </c>
      <c r="C1716" s="89" t="s">
        <v>120</v>
      </c>
      <c r="D1716" s="95">
        <v>30000</v>
      </c>
      <c r="E1716" s="96" t="s">
        <v>121</v>
      </c>
      <c r="F1716" s="97">
        <f>F1714-F1715</f>
        <v>0</v>
      </c>
      <c r="G1716" s="98">
        <f>F1716/2700</f>
        <v>0</v>
      </c>
    </row>
    <row r="1717" spans="1:7" s="53" customFormat="1" ht="15" thickTop="1" x14ac:dyDescent="0.35">
      <c r="A1717" s="223"/>
      <c r="B1717" s="88"/>
      <c r="C1717" s="89" t="s">
        <v>122</v>
      </c>
      <c r="D1717" s="90">
        <v>75000</v>
      </c>
      <c r="F1717" s="94"/>
    </row>
    <row r="1718" spans="1:7" s="53" customFormat="1" x14ac:dyDescent="0.35">
      <c r="A1718" s="223"/>
      <c r="B1718" s="88" t="s">
        <v>550</v>
      </c>
      <c r="C1718" s="99" t="s">
        <v>123</v>
      </c>
      <c r="D1718" s="90">
        <v>15000</v>
      </c>
      <c r="E1718" s="91" t="s">
        <v>124</v>
      </c>
      <c r="F1718" s="92"/>
    </row>
    <row r="1719" spans="1:7" s="53" customFormat="1" x14ac:dyDescent="0.35">
      <c r="A1719" s="223"/>
      <c r="B1719" s="101"/>
      <c r="C1719" s="99" t="s">
        <v>125</v>
      </c>
      <c r="D1719" s="100">
        <v>10000</v>
      </c>
      <c r="E1719" s="102"/>
      <c r="F1719" s="103"/>
    </row>
    <row r="1720" spans="1:7" s="53" customFormat="1" x14ac:dyDescent="0.35">
      <c r="A1720" s="223"/>
      <c r="B1720" s="101"/>
      <c r="C1720" s="99" t="s">
        <v>126</v>
      </c>
      <c r="D1720" s="100">
        <v>20000</v>
      </c>
      <c r="E1720" s="102" t="s">
        <v>127</v>
      </c>
      <c r="F1720" s="103"/>
    </row>
    <row r="1721" spans="1:7" s="53" customFormat="1" x14ac:dyDescent="0.35">
      <c r="A1721" s="223"/>
      <c r="B1721" s="101"/>
      <c r="C1721" s="89" t="s">
        <v>265</v>
      </c>
      <c r="D1721" s="104">
        <f>1003*123</f>
        <v>123369</v>
      </c>
      <c r="E1721" s="102" t="s">
        <v>740</v>
      </c>
      <c r="F1721" s="103"/>
    </row>
    <row r="1722" spans="1:7" s="53" customFormat="1" ht="15" thickBot="1" x14ac:dyDescent="0.4">
      <c r="A1722" s="223"/>
      <c r="B1722" s="105"/>
      <c r="C1722" s="106"/>
      <c r="D1722" s="107"/>
      <c r="F1722" s="94"/>
    </row>
    <row r="1723" spans="1:7" s="53" customFormat="1" ht="15" thickBot="1" x14ac:dyDescent="0.4">
      <c r="A1723" s="223"/>
      <c r="B1723" s="108"/>
      <c r="C1723" s="109" t="s">
        <v>129</v>
      </c>
      <c r="D1723" s="110">
        <f>SUM(D1710:D1722)</f>
        <v>8322619</v>
      </c>
      <c r="F1723" s="94"/>
    </row>
    <row r="1724" spans="1:7" s="53" customFormat="1" ht="15.5" thickTop="1" thickBot="1" x14ac:dyDescent="0.4">
      <c r="A1724" s="224"/>
      <c r="B1724" s="226"/>
      <c r="C1724" s="226"/>
      <c r="D1724" s="226"/>
      <c r="F1724" s="94"/>
    </row>
    <row r="1725" spans="1:7" s="53" customFormat="1" x14ac:dyDescent="0.35">
      <c r="B1725" s="87"/>
      <c r="C1725" s="53" t="s">
        <v>130</v>
      </c>
      <c r="D1725" s="111">
        <f>D1707-D1723</f>
        <v>2747381</v>
      </c>
      <c r="F1725" s="94"/>
    </row>
    <row r="1726" spans="1:7" s="53" customFormat="1" x14ac:dyDescent="0.35">
      <c r="B1726" s="87"/>
      <c r="D1726" s="111"/>
      <c r="F1726" s="94"/>
    </row>
    <row r="1727" spans="1:7" s="53" customFormat="1" x14ac:dyDescent="0.35">
      <c r="A1727" s="112"/>
      <c r="B1727" s="113"/>
      <c r="C1727" s="112"/>
      <c r="D1727" s="114"/>
      <c r="E1727" s="112"/>
      <c r="F1727" s="178"/>
    </row>
    <row r="1729" spans="1:7" s="53" customFormat="1" ht="23.5" x14ac:dyDescent="0.55000000000000004">
      <c r="B1729" s="227" t="s">
        <v>0</v>
      </c>
      <c r="C1729" s="227"/>
      <c r="D1729" s="227"/>
      <c r="E1729" s="70"/>
      <c r="F1729" s="176"/>
    </row>
    <row r="1730" spans="1:7" s="53" customFormat="1" ht="20.5" x14ac:dyDescent="0.45">
      <c r="B1730" s="71"/>
      <c r="C1730" s="72" t="s">
        <v>553</v>
      </c>
      <c r="D1730" s="73"/>
      <c r="F1730" s="94"/>
    </row>
    <row r="1731" spans="1:7" s="53" customFormat="1" ht="21" thickBot="1" x14ac:dyDescent="0.5">
      <c r="B1731" s="71" t="s">
        <v>208</v>
      </c>
      <c r="C1731" s="74" t="s">
        <v>103</v>
      </c>
      <c r="D1731" s="73"/>
      <c r="F1731" s="94"/>
    </row>
    <row r="1732" spans="1:7" s="53" customFormat="1" ht="15" thickBot="1" x14ac:dyDescent="0.4">
      <c r="A1732" s="75" t="s">
        <v>104</v>
      </c>
      <c r="B1732" s="76" t="s">
        <v>81</v>
      </c>
      <c r="C1732" s="76" t="s">
        <v>105</v>
      </c>
      <c r="D1732" s="77" t="s">
        <v>84</v>
      </c>
      <c r="F1732" s="94"/>
    </row>
    <row r="1733" spans="1:7" s="53" customFormat="1" ht="14.5" customHeight="1" x14ac:dyDescent="0.35">
      <c r="A1733" s="222" t="s">
        <v>5</v>
      </c>
      <c r="B1733" s="78" t="s">
        <v>548</v>
      </c>
      <c r="C1733" s="79" t="s">
        <v>187</v>
      </c>
      <c r="D1733" s="80">
        <f>F1740</f>
        <v>11070000</v>
      </c>
      <c r="F1733" s="94"/>
    </row>
    <row r="1734" spans="1:7" s="53" customFormat="1" ht="21" thickBot="1" x14ac:dyDescent="0.5">
      <c r="A1734" s="223"/>
      <c r="B1734" s="71"/>
      <c r="C1734" s="71"/>
      <c r="D1734" s="73"/>
      <c r="F1734" s="94"/>
    </row>
    <row r="1735" spans="1:7" s="53" customFormat="1" ht="15" thickBot="1" x14ac:dyDescent="0.4">
      <c r="A1735" s="223"/>
      <c r="B1735" s="81" t="s">
        <v>81</v>
      </c>
      <c r="C1735" s="82" t="s">
        <v>107</v>
      </c>
      <c r="D1735" s="83" t="s">
        <v>108</v>
      </c>
      <c r="F1735" s="94"/>
    </row>
    <row r="1736" spans="1:7" s="87" customFormat="1" x14ac:dyDescent="0.35">
      <c r="A1736" s="223"/>
      <c r="B1736" s="84" t="str">
        <f>B1733</f>
        <v>05th May,2025</v>
      </c>
      <c r="C1736" s="85" t="s">
        <v>467</v>
      </c>
      <c r="D1736" s="86">
        <f>2000*2900</f>
        <v>5800000</v>
      </c>
      <c r="F1736" s="177"/>
    </row>
    <row r="1737" spans="1:7" s="53" customFormat="1" x14ac:dyDescent="0.35">
      <c r="A1737" s="223"/>
      <c r="B1737" s="88"/>
      <c r="C1737" s="89" t="s">
        <v>188</v>
      </c>
      <c r="D1737" s="90">
        <f>325*2650</f>
        <v>861250</v>
      </c>
      <c r="F1737" s="94"/>
    </row>
    <row r="1738" spans="1:7" s="53" customFormat="1" x14ac:dyDescent="0.35">
      <c r="A1738" s="223"/>
      <c r="B1738" s="88" t="s">
        <v>109</v>
      </c>
      <c r="C1738" s="89" t="s">
        <v>110</v>
      </c>
      <c r="D1738" s="90">
        <v>1000000</v>
      </c>
      <c r="F1738" s="94"/>
    </row>
    <row r="1739" spans="1:7" s="53" customFormat="1" x14ac:dyDescent="0.35">
      <c r="A1739" s="223"/>
      <c r="B1739" s="88" t="s">
        <v>111</v>
      </c>
      <c r="C1739" s="89" t="s">
        <v>112</v>
      </c>
      <c r="D1739" s="90">
        <v>40000</v>
      </c>
      <c r="E1739" s="225" t="s">
        <v>113</v>
      </c>
      <c r="F1739" s="225"/>
    </row>
    <row r="1740" spans="1:7" s="53" customFormat="1" x14ac:dyDescent="0.35">
      <c r="A1740" s="223"/>
      <c r="B1740" s="88" t="s">
        <v>182</v>
      </c>
      <c r="C1740" s="89" t="s">
        <v>115</v>
      </c>
      <c r="D1740" s="90">
        <f>500*120</f>
        <v>60000</v>
      </c>
      <c r="E1740" s="91" t="s">
        <v>116</v>
      </c>
      <c r="F1740" s="92">
        <f>4100*2700</f>
        <v>11070000</v>
      </c>
    </row>
    <row r="1741" spans="1:7" s="53" customFormat="1" x14ac:dyDescent="0.35">
      <c r="A1741" s="223"/>
      <c r="B1741" s="88"/>
      <c r="C1741" s="89" t="s">
        <v>117</v>
      </c>
      <c r="D1741" s="90">
        <f>2500*120</f>
        <v>300000</v>
      </c>
      <c r="E1741" s="93" t="s">
        <v>118</v>
      </c>
      <c r="F1741" s="94">
        <f>4100*2700</f>
        <v>11070000</v>
      </c>
    </row>
    <row r="1742" spans="1:7" s="53" customFormat="1" ht="15" thickBot="1" x14ac:dyDescent="0.4">
      <c r="A1742" s="223"/>
      <c r="B1742" s="88" t="s">
        <v>119</v>
      </c>
      <c r="C1742" s="89" t="s">
        <v>120</v>
      </c>
      <c r="D1742" s="95">
        <v>30000</v>
      </c>
      <c r="E1742" s="96" t="s">
        <v>121</v>
      </c>
      <c r="F1742" s="97">
        <f>F1740-F1741</f>
        <v>0</v>
      </c>
      <c r="G1742" s="98">
        <f>F1742/2700</f>
        <v>0</v>
      </c>
    </row>
    <row r="1743" spans="1:7" s="53" customFormat="1" ht="15" thickTop="1" x14ac:dyDescent="0.35">
      <c r="A1743" s="223"/>
      <c r="B1743" s="88"/>
      <c r="C1743" s="89" t="s">
        <v>122</v>
      </c>
      <c r="D1743" s="90">
        <v>140000</v>
      </c>
      <c r="F1743" s="94"/>
    </row>
    <row r="1744" spans="1:7" s="53" customFormat="1" x14ac:dyDescent="0.35">
      <c r="A1744" s="223"/>
      <c r="B1744" s="88" t="s">
        <v>552</v>
      </c>
      <c r="C1744" s="99" t="s">
        <v>123</v>
      </c>
      <c r="D1744" s="90">
        <v>15000</v>
      </c>
      <c r="E1744" s="91" t="s">
        <v>124</v>
      </c>
      <c r="F1744" s="92"/>
    </row>
    <row r="1745" spans="1:6" s="53" customFormat="1" x14ac:dyDescent="0.35">
      <c r="A1745" s="223"/>
      <c r="B1745" s="101"/>
      <c r="C1745" s="99" t="s">
        <v>125</v>
      </c>
      <c r="D1745" s="100">
        <v>10000</v>
      </c>
      <c r="E1745" s="102"/>
      <c r="F1745" s="103"/>
    </row>
    <row r="1746" spans="1:6" s="53" customFormat="1" x14ac:dyDescent="0.35">
      <c r="A1746" s="223"/>
      <c r="B1746" s="101"/>
      <c r="C1746" s="99" t="s">
        <v>126</v>
      </c>
      <c r="D1746" s="100">
        <v>20000</v>
      </c>
      <c r="E1746" s="102" t="s">
        <v>127</v>
      </c>
      <c r="F1746" s="103"/>
    </row>
    <row r="1747" spans="1:6" s="53" customFormat="1" x14ac:dyDescent="0.35">
      <c r="A1747" s="223"/>
      <c r="B1747" s="101"/>
      <c r="C1747" s="89" t="s">
        <v>265</v>
      </c>
      <c r="D1747" s="104">
        <f>1003*128</f>
        <v>128384</v>
      </c>
      <c r="E1747" s="102" t="s">
        <v>911</v>
      </c>
      <c r="F1747" s="103"/>
    </row>
    <row r="1748" spans="1:6" s="53" customFormat="1" ht="15" thickBot="1" x14ac:dyDescent="0.4">
      <c r="A1748" s="223"/>
      <c r="B1748" s="105"/>
      <c r="C1748" s="106"/>
      <c r="D1748" s="107"/>
      <c r="F1748" s="94"/>
    </row>
    <row r="1749" spans="1:6" s="53" customFormat="1" ht="15" thickBot="1" x14ac:dyDescent="0.4">
      <c r="A1749" s="223"/>
      <c r="B1749" s="108"/>
      <c r="C1749" s="109" t="s">
        <v>129</v>
      </c>
      <c r="D1749" s="110">
        <f>SUM(D1736:D1748)</f>
        <v>8404634</v>
      </c>
      <c r="F1749" s="94"/>
    </row>
    <row r="1750" spans="1:6" s="53" customFormat="1" ht="15.5" thickTop="1" thickBot="1" x14ac:dyDescent="0.4">
      <c r="A1750" s="224"/>
      <c r="B1750" s="226"/>
      <c r="C1750" s="226"/>
      <c r="D1750" s="226"/>
      <c r="F1750" s="94"/>
    </row>
    <row r="1751" spans="1:6" s="53" customFormat="1" x14ac:dyDescent="0.35">
      <c r="B1751" s="87"/>
      <c r="C1751" s="53" t="s">
        <v>130</v>
      </c>
      <c r="D1751" s="111">
        <f>D1733-D1749</f>
        <v>2665366</v>
      </c>
      <c r="F1751" s="94"/>
    </row>
    <row r="1752" spans="1:6" s="53" customFormat="1" x14ac:dyDescent="0.35">
      <c r="B1752" s="87"/>
      <c r="D1752" s="111"/>
      <c r="F1752" s="94"/>
    </row>
    <row r="1753" spans="1:6" s="53" customFormat="1" x14ac:dyDescent="0.35">
      <c r="A1753" s="112"/>
      <c r="B1753" s="113"/>
      <c r="C1753" s="112"/>
      <c r="D1753" s="114"/>
      <c r="E1753" s="112"/>
      <c r="F1753" s="178"/>
    </row>
    <row r="1756" spans="1:6" s="53" customFormat="1" ht="23.5" x14ac:dyDescent="0.55000000000000004">
      <c r="B1756" s="227" t="s">
        <v>0</v>
      </c>
      <c r="C1756" s="227"/>
      <c r="D1756" s="227"/>
      <c r="E1756" s="70"/>
      <c r="F1756" s="176"/>
    </row>
    <row r="1757" spans="1:6" s="53" customFormat="1" ht="20.5" x14ac:dyDescent="0.45">
      <c r="B1757" s="71"/>
      <c r="C1757" s="72" t="s">
        <v>561</v>
      </c>
      <c r="D1757" s="73"/>
      <c r="F1757" s="94"/>
    </row>
    <row r="1758" spans="1:6" s="53" customFormat="1" ht="21" thickBot="1" x14ac:dyDescent="0.5">
      <c r="B1758" s="71" t="s">
        <v>227</v>
      </c>
      <c r="C1758" s="74" t="s">
        <v>103</v>
      </c>
      <c r="D1758" s="73"/>
      <c r="F1758" s="94"/>
    </row>
    <row r="1759" spans="1:6" s="53" customFormat="1" ht="15" thickBot="1" x14ac:dyDescent="0.4">
      <c r="A1759" s="75" t="s">
        <v>104</v>
      </c>
      <c r="B1759" s="76" t="s">
        <v>81</v>
      </c>
      <c r="C1759" s="76" t="s">
        <v>105</v>
      </c>
      <c r="D1759" s="77" t="s">
        <v>84</v>
      </c>
      <c r="F1759" s="94"/>
    </row>
    <row r="1760" spans="1:6" s="53" customFormat="1" ht="14.5" customHeight="1" x14ac:dyDescent="0.35">
      <c r="A1760" s="222" t="s">
        <v>5</v>
      </c>
      <c r="B1760" s="78" t="s">
        <v>562</v>
      </c>
      <c r="C1760" s="79" t="s">
        <v>319</v>
      </c>
      <c r="D1760" s="80">
        <f>F1767</f>
        <v>11070000</v>
      </c>
      <c r="F1760" s="94"/>
    </row>
    <row r="1761" spans="1:7" s="53" customFormat="1" ht="21" thickBot="1" x14ac:dyDescent="0.5">
      <c r="A1761" s="223"/>
      <c r="B1761" s="71"/>
      <c r="C1761" s="71"/>
      <c r="D1761" s="73"/>
      <c r="F1761" s="94"/>
    </row>
    <row r="1762" spans="1:7" s="53" customFormat="1" ht="15" thickBot="1" x14ac:dyDescent="0.4">
      <c r="A1762" s="223"/>
      <c r="B1762" s="81" t="s">
        <v>81</v>
      </c>
      <c r="C1762" s="82" t="s">
        <v>107</v>
      </c>
      <c r="D1762" s="83" t="s">
        <v>108</v>
      </c>
      <c r="F1762" s="94"/>
    </row>
    <row r="1763" spans="1:7" s="87" customFormat="1" x14ac:dyDescent="0.35">
      <c r="A1763" s="223"/>
      <c r="B1763" s="84" t="str">
        <f>B1760</f>
        <v>07th May,2025</v>
      </c>
      <c r="C1763" s="85" t="s">
        <v>467</v>
      </c>
      <c r="D1763" s="86">
        <f>2000*2900</f>
        <v>5800000</v>
      </c>
      <c r="F1763" s="177"/>
    </row>
    <row r="1764" spans="1:7" s="53" customFormat="1" x14ac:dyDescent="0.35">
      <c r="A1764" s="223"/>
      <c r="B1764" s="88"/>
      <c r="C1764" s="89" t="s">
        <v>188</v>
      </c>
      <c r="D1764" s="90">
        <f>325*2650</f>
        <v>861250</v>
      </c>
      <c r="F1764" s="94"/>
    </row>
    <row r="1765" spans="1:7" s="53" customFormat="1" x14ac:dyDescent="0.35">
      <c r="A1765" s="223"/>
      <c r="B1765" s="88" t="s">
        <v>109</v>
      </c>
      <c r="C1765" s="89" t="s">
        <v>110</v>
      </c>
      <c r="D1765" s="90">
        <v>1000000</v>
      </c>
      <c r="F1765" s="94"/>
    </row>
    <row r="1766" spans="1:7" s="53" customFormat="1" x14ac:dyDescent="0.35">
      <c r="A1766" s="223"/>
      <c r="B1766" s="88" t="s">
        <v>111</v>
      </c>
      <c r="C1766" s="89" t="s">
        <v>112</v>
      </c>
      <c r="D1766" s="90">
        <v>40000</v>
      </c>
      <c r="E1766" s="225" t="s">
        <v>113</v>
      </c>
      <c r="F1766" s="225"/>
    </row>
    <row r="1767" spans="1:7" s="53" customFormat="1" x14ac:dyDescent="0.35">
      <c r="A1767" s="223"/>
      <c r="B1767" s="88" t="s">
        <v>182</v>
      </c>
      <c r="C1767" s="89" t="s">
        <v>115</v>
      </c>
      <c r="D1767" s="90">
        <f>400*120</f>
        <v>48000</v>
      </c>
      <c r="E1767" s="91" t="s">
        <v>116</v>
      </c>
      <c r="F1767" s="92">
        <f>4100*2700</f>
        <v>11070000</v>
      </c>
    </row>
    <row r="1768" spans="1:7" s="53" customFormat="1" x14ac:dyDescent="0.35">
      <c r="A1768" s="223"/>
      <c r="B1768" s="88"/>
      <c r="C1768" s="89" t="s">
        <v>117</v>
      </c>
      <c r="D1768" s="90">
        <f>2500*120</f>
        <v>300000</v>
      </c>
      <c r="E1768" s="93" t="s">
        <v>118</v>
      </c>
      <c r="F1768" s="94">
        <f>4100*2700</f>
        <v>11070000</v>
      </c>
    </row>
    <row r="1769" spans="1:7" s="53" customFormat="1" ht="15" thickBot="1" x14ac:dyDescent="0.4">
      <c r="A1769" s="223"/>
      <c r="B1769" s="88" t="s">
        <v>119</v>
      </c>
      <c r="C1769" s="89" t="s">
        <v>120</v>
      </c>
      <c r="D1769" s="95">
        <v>30000</v>
      </c>
      <c r="E1769" s="96" t="s">
        <v>121</v>
      </c>
      <c r="F1769" s="97">
        <f>F1767-F1768</f>
        <v>0</v>
      </c>
      <c r="G1769" s="98">
        <f>F1769/2700</f>
        <v>0</v>
      </c>
    </row>
    <row r="1770" spans="1:7" s="53" customFormat="1" ht="15" thickTop="1" x14ac:dyDescent="0.35">
      <c r="A1770" s="223"/>
      <c r="B1770" s="88"/>
      <c r="C1770" s="89" t="s">
        <v>122</v>
      </c>
      <c r="D1770" s="90">
        <v>140000</v>
      </c>
      <c r="F1770" s="94"/>
    </row>
    <row r="1771" spans="1:7" s="53" customFormat="1" x14ac:dyDescent="0.35">
      <c r="A1771" s="223"/>
      <c r="B1771" s="88" t="s">
        <v>560</v>
      </c>
      <c r="C1771" s="99" t="s">
        <v>123</v>
      </c>
      <c r="D1771" s="90">
        <v>15000</v>
      </c>
      <c r="E1771" s="91" t="s">
        <v>124</v>
      </c>
      <c r="F1771" s="92"/>
    </row>
    <row r="1772" spans="1:7" s="53" customFormat="1" x14ac:dyDescent="0.35">
      <c r="A1772" s="223"/>
      <c r="B1772" s="101"/>
      <c r="C1772" s="99" t="s">
        <v>125</v>
      </c>
      <c r="D1772" s="100">
        <v>10000</v>
      </c>
      <c r="E1772" s="102"/>
      <c r="F1772" s="103"/>
    </row>
    <row r="1773" spans="1:7" s="53" customFormat="1" x14ac:dyDescent="0.35">
      <c r="A1773" s="223"/>
      <c r="B1773" s="101"/>
      <c r="C1773" s="99" t="s">
        <v>126</v>
      </c>
      <c r="D1773" s="100">
        <v>20000</v>
      </c>
      <c r="E1773" s="102" t="s">
        <v>127</v>
      </c>
      <c r="F1773" s="103"/>
    </row>
    <row r="1774" spans="1:7" s="53" customFormat="1" x14ac:dyDescent="0.35">
      <c r="A1774" s="223"/>
      <c r="B1774" s="101"/>
      <c r="C1774" s="89" t="s">
        <v>265</v>
      </c>
      <c r="D1774" s="104">
        <f>1003*123</f>
        <v>123369</v>
      </c>
      <c r="E1774" s="102" t="s">
        <v>740</v>
      </c>
      <c r="F1774" s="103"/>
    </row>
    <row r="1775" spans="1:7" s="53" customFormat="1" ht="15" thickBot="1" x14ac:dyDescent="0.4">
      <c r="A1775" s="223"/>
      <c r="B1775" s="105"/>
      <c r="C1775" s="106"/>
      <c r="D1775" s="107"/>
      <c r="F1775" s="94"/>
    </row>
    <row r="1776" spans="1:7" s="53" customFormat="1" ht="15" thickBot="1" x14ac:dyDescent="0.4">
      <c r="A1776" s="223"/>
      <c r="B1776" s="108"/>
      <c r="C1776" s="109" t="s">
        <v>129</v>
      </c>
      <c r="D1776" s="110">
        <f>SUM(D1763:D1775)</f>
        <v>8387619</v>
      </c>
      <c r="F1776" s="94"/>
    </row>
    <row r="1777" spans="1:6" s="53" customFormat="1" ht="15.5" thickTop="1" thickBot="1" x14ac:dyDescent="0.4">
      <c r="A1777" s="224"/>
      <c r="B1777" s="226"/>
      <c r="C1777" s="226"/>
      <c r="D1777" s="226"/>
      <c r="F1777" s="94"/>
    </row>
    <row r="1778" spans="1:6" s="53" customFormat="1" x14ac:dyDescent="0.35">
      <c r="B1778" s="87"/>
      <c r="C1778" s="53" t="s">
        <v>130</v>
      </c>
      <c r="D1778" s="111">
        <f>D1760-D1776</f>
        <v>2682381</v>
      </c>
      <c r="F1778" s="94"/>
    </row>
    <row r="1779" spans="1:6" s="53" customFormat="1" x14ac:dyDescent="0.35">
      <c r="B1779" s="87"/>
      <c r="D1779" s="111"/>
      <c r="F1779" s="94"/>
    </row>
    <row r="1780" spans="1:6" s="53" customFormat="1" x14ac:dyDescent="0.35">
      <c r="A1780" s="112"/>
      <c r="B1780" s="113"/>
      <c r="C1780" s="112"/>
      <c r="D1780" s="114"/>
      <c r="E1780" s="112"/>
      <c r="F1780" s="178"/>
    </row>
    <row r="1782" spans="1:6" s="53" customFormat="1" ht="23.5" x14ac:dyDescent="0.55000000000000004">
      <c r="B1782" s="227" t="s">
        <v>0</v>
      </c>
      <c r="C1782" s="227"/>
      <c r="D1782" s="227"/>
      <c r="E1782" s="70"/>
      <c r="F1782" s="176"/>
    </row>
    <row r="1783" spans="1:6" s="53" customFormat="1" ht="20.5" x14ac:dyDescent="0.45">
      <c r="B1783" s="71"/>
      <c r="C1783" s="72" t="s">
        <v>566</v>
      </c>
      <c r="D1783" s="73"/>
      <c r="F1783" s="94"/>
    </row>
    <row r="1784" spans="1:6" s="53" customFormat="1" ht="21" thickBot="1" x14ac:dyDescent="0.5">
      <c r="B1784" s="71" t="s">
        <v>173</v>
      </c>
      <c r="C1784" s="74" t="s">
        <v>103</v>
      </c>
      <c r="D1784" s="73"/>
      <c r="F1784" s="94"/>
    </row>
    <row r="1785" spans="1:6" s="53" customFormat="1" ht="15" thickBot="1" x14ac:dyDescent="0.4">
      <c r="A1785" s="75" t="s">
        <v>104</v>
      </c>
      <c r="B1785" s="76" t="s">
        <v>81</v>
      </c>
      <c r="C1785" s="76" t="s">
        <v>105</v>
      </c>
      <c r="D1785" s="77" t="s">
        <v>84</v>
      </c>
      <c r="F1785" s="94"/>
    </row>
    <row r="1786" spans="1:6" s="53" customFormat="1" ht="14.5" customHeight="1" x14ac:dyDescent="0.35">
      <c r="A1786" s="222" t="s">
        <v>5</v>
      </c>
      <c r="B1786" s="78" t="s">
        <v>567</v>
      </c>
      <c r="C1786" s="79" t="s">
        <v>106</v>
      </c>
      <c r="D1786" s="80">
        <f>F1793</f>
        <v>17152000</v>
      </c>
      <c r="F1786" s="94"/>
    </row>
    <row r="1787" spans="1:6" s="53" customFormat="1" ht="21" thickBot="1" x14ac:dyDescent="0.5">
      <c r="A1787" s="223"/>
      <c r="B1787" s="71"/>
      <c r="C1787" s="71"/>
      <c r="D1787" s="73"/>
      <c r="F1787" s="94"/>
    </row>
    <row r="1788" spans="1:6" s="53" customFormat="1" ht="15" thickBot="1" x14ac:dyDescent="0.4">
      <c r="A1788" s="223"/>
      <c r="B1788" s="81" t="s">
        <v>81</v>
      </c>
      <c r="C1788" s="82" t="s">
        <v>107</v>
      </c>
      <c r="D1788" s="83" t="s">
        <v>108</v>
      </c>
      <c r="F1788" s="94"/>
    </row>
    <row r="1789" spans="1:6" s="87" customFormat="1" x14ac:dyDescent="0.35">
      <c r="A1789" s="223"/>
      <c r="B1789" s="84" t="str">
        <f>B1786</f>
        <v>10th May,2025</v>
      </c>
      <c r="C1789" s="85" t="s">
        <v>787</v>
      </c>
      <c r="D1789" s="86">
        <f>1750*2826</f>
        <v>4945500</v>
      </c>
      <c r="F1789" s="177"/>
    </row>
    <row r="1790" spans="1:6" s="53" customFormat="1" x14ac:dyDescent="0.35">
      <c r="A1790" s="223"/>
      <c r="B1790" s="88"/>
      <c r="C1790" s="89" t="s">
        <v>575</v>
      </c>
      <c r="D1790" s="90">
        <f>333*2650</f>
        <v>882450</v>
      </c>
      <c r="F1790" s="94"/>
    </row>
    <row r="1791" spans="1:6" s="53" customFormat="1" x14ac:dyDescent="0.35">
      <c r="A1791" s="223"/>
      <c r="B1791" s="88" t="s">
        <v>109</v>
      </c>
      <c r="C1791" s="89" t="s">
        <v>110</v>
      </c>
      <c r="D1791" s="90">
        <v>1000000</v>
      </c>
      <c r="F1791" s="94"/>
    </row>
    <row r="1792" spans="1:6" s="53" customFormat="1" x14ac:dyDescent="0.35">
      <c r="A1792" s="223"/>
      <c r="B1792" s="88" t="s">
        <v>111</v>
      </c>
      <c r="C1792" s="89" t="s">
        <v>112</v>
      </c>
      <c r="D1792" s="90">
        <v>40000</v>
      </c>
      <c r="E1792" s="225" t="s">
        <v>113</v>
      </c>
      <c r="F1792" s="225"/>
    </row>
    <row r="1793" spans="1:7" s="53" customFormat="1" x14ac:dyDescent="0.35">
      <c r="A1793" s="223"/>
      <c r="B1793" s="88" t="s">
        <v>564</v>
      </c>
      <c r="C1793" s="89" t="s">
        <v>115</v>
      </c>
      <c r="D1793" s="90">
        <f>500*123</f>
        <v>61500</v>
      </c>
      <c r="E1793" s="91" t="s">
        <v>116</v>
      </c>
      <c r="F1793" s="92">
        <f>(4200*2680)+(2200*2680)</f>
        <v>17152000</v>
      </c>
    </row>
    <row r="1794" spans="1:7" s="53" customFormat="1" x14ac:dyDescent="0.35">
      <c r="A1794" s="223"/>
      <c r="B1794" s="88"/>
      <c r="C1794" s="89" t="s">
        <v>117</v>
      </c>
      <c r="D1794" s="90">
        <f>2500*123</f>
        <v>307500</v>
      </c>
      <c r="E1794" s="93" t="s">
        <v>118</v>
      </c>
      <c r="F1794" s="94">
        <f>(2520*2680)+(1680*2680)</f>
        <v>11256000</v>
      </c>
    </row>
    <row r="1795" spans="1:7" s="53" customFormat="1" ht="15" thickBot="1" x14ac:dyDescent="0.4">
      <c r="A1795" s="223"/>
      <c r="B1795" s="88" t="s">
        <v>119</v>
      </c>
      <c r="C1795" s="89" t="s">
        <v>120</v>
      </c>
      <c r="D1795" s="95">
        <v>30000</v>
      </c>
      <c r="E1795" s="96" t="s">
        <v>121</v>
      </c>
      <c r="F1795" s="97">
        <f>F1793-F1794</f>
        <v>5896000</v>
      </c>
      <c r="G1795" s="98">
        <f>F1795/2680</f>
        <v>2200</v>
      </c>
    </row>
    <row r="1796" spans="1:7" s="53" customFormat="1" ht="15" thickTop="1" x14ac:dyDescent="0.35">
      <c r="A1796" s="223"/>
      <c r="B1796" s="88"/>
      <c r="C1796" s="89" t="s">
        <v>122</v>
      </c>
      <c r="D1796" s="90">
        <v>140000</v>
      </c>
      <c r="F1796" s="94"/>
    </row>
    <row r="1797" spans="1:7" s="53" customFormat="1" x14ac:dyDescent="0.35">
      <c r="A1797" s="223"/>
      <c r="B1797" s="88" t="s">
        <v>565</v>
      </c>
      <c r="C1797" s="99" t="s">
        <v>123</v>
      </c>
      <c r="D1797" s="90">
        <v>15000</v>
      </c>
      <c r="E1797" s="91" t="s">
        <v>124</v>
      </c>
      <c r="F1797" s="92"/>
    </row>
    <row r="1798" spans="1:7" s="53" customFormat="1" x14ac:dyDescent="0.35">
      <c r="A1798" s="223"/>
      <c r="B1798" s="101"/>
      <c r="C1798" s="99" t="s">
        <v>125</v>
      </c>
      <c r="D1798" s="100">
        <v>10000</v>
      </c>
      <c r="E1798" s="102"/>
      <c r="F1798" s="103"/>
    </row>
    <row r="1799" spans="1:7" s="53" customFormat="1" x14ac:dyDescent="0.35">
      <c r="A1799" s="223"/>
      <c r="B1799" s="101"/>
      <c r="C1799" s="99" t="s">
        <v>126</v>
      </c>
      <c r="D1799" s="100">
        <v>40000</v>
      </c>
      <c r="E1799" s="102" t="s">
        <v>127</v>
      </c>
      <c r="F1799" s="103"/>
    </row>
    <row r="1800" spans="1:7" s="53" customFormat="1" x14ac:dyDescent="0.35">
      <c r="A1800" s="223"/>
      <c r="B1800" s="101"/>
      <c r="C1800" s="89" t="s">
        <v>710</v>
      </c>
      <c r="D1800" s="104">
        <v>20000</v>
      </c>
      <c r="E1800" s="102" t="s">
        <v>614</v>
      </c>
      <c r="F1800" s="103"/>
    </row>
    <row r="1801" spans="1:7" s="53" customFormat="1" ht="15" thickBot="1" x14ac:dyDescent="0.4">
      <c r="A1801" s="223"/>
      <c r="B1801" s="105"/>
      <c r="C1801" s="106"/>
      <c r="D1801" s="107"/>
      <c r="E1801" s="53" t="s">
        <v>937</v>
      </c>
      <c r="F1801" s="94"/>
    </row>
    <row r="1802" spans="1:7" s="53" customFormat="1" ht="15" thickBot="1" x14ac:dyDescent="0.4">
      <c r="A1802" s="223"/>
      <c r="B1802" s="108"/>
      <c r="C1802" s="109" t="s">
        <v>129</v>
      </c>
      <c r="D1802" s="110">
        <f>SUM(D1789:D1801)</f>
        <v>7491950</v>
      </c>
      <c r="F1802" s="94"/>
    </row>
    <row r="1803" spans="1:7" s="53" customFormat="1" ht="15.5" thickTop="1" thickBot="1" x14ac:dyDescent="0.4">
      <c r="A1803" s="224"/>
      <c r="B1803" s="226"/>
      <c r="C1803" s="226"/>
      <c r="D1803" s="226"/>
      <c r="F1803" s="94"/>
    </row>
    <row r="1804" spans="1:7" s="53" customFormat="1" x14ac:dyDescent="0.35">
      <c r="B1804" s="87"/>
      <c r="C1804" s="53" t="s">
        <v>130</v>
      </c>
      <c r="D1804" s="111">
        <f>D1786-D1802</f>
        <v>9660050</v>
      </c>
      <c r="F1804" s="94"/>
    </row>
    <row r="1805" spans="1:7" s="53" customFormat="1" x14ac:dyDescent="0.35">
      <c r="B1805" s="87"/>
      <c r="D1805" s="111"/>
      <c r="F1805" s="94"/>
    </row>
    <row r="1806" spans="1:7" s="53" customFormat="1" x14ac:dyDescent="0.35">
      <c r="A1806" s="112"/>
      <c r="B1806" s="113"/>
      <c r="C1806" s="112"/>
      <c r="D1806" s="114"/>
      <c r="E1806" s="112"/>
      <c r="F1806" s="178"/>
    </row>
    <row r="1809" spans="1:7" s="53" customFormat="1" ht="23.5" x14ac:dyDescent="0.55000000000000004">
      <c r="B1809" s="227" t="s">
        <v>0</v>
      </c>
      <c r="C1809" s="227"/>
      <c r="D1809" s="227"/>
      <c r="E1809" s="70"/>
      <c r="F1809" s="176"/>
    </row>
    <row r="1810" spans="1:7" s="53" customFormat="1" ht="20.5" x14ac:dyDescent="0.45">
      <c r="B1810" s="71"/>
      <c r="C1810" s="72" t="s">
        <v>572</v>
      </c>
      <c r="D1810" s="73"/>
      <c r="F1810" s="94"/>
    </row>
    <row r="1811" spans="1:7" s="53" customFormat="1" ht="21" thickBot="1" x14ac:dyDescent="0.5">
      <c r="B1811" s="71" t="s">
        <v>573</v>
      </c>
      <c r="C1811" s="74" t="s">
        <v>103</v>
      </c>
      <c r="D1811" s="73"/>
      <c r="F1811" s="94"/>
    </row>
    <row r="1812" spans="1:7" s="53" customFormat="1" ht="15" thickBot="1" x14ac:dyDescent="0.4">
      <c r="A1812" s="75" t="s">
        <v>104</v>
      </c>
      <c r="B1812" s="76" t="s">
        <v>81</v>
      </c>
      <c r="C1812" s="76" t="s">
        <v>105</v>
      </c>
      <c r="D1812" s="77" t="s">
        <v>84</v>
      </c>
      <c r="F1812" s="94"/>
    </row>
    <row r="1813" spans="1:7" s="53" customFormat="1" ht="14.5" customHeight="1" x14ac:dyDescent="0.35">
      <c r="A1813" s="222" t="s">
        <v>5</v>
      </c>
      <c r="B1813" s="78" t="s">
        <v>567</v>
      </c>
      <c r="C1813" s="79" t="s">
        <v>319</v>
      </c>
      <c r="D1813" s="80">
        <f>F1820</f>
        <v>11070000</v>
      </c>
      <c r="F1813" s="94"/>
    </row>
    <row r="1814" spans="1:7" s="53" customFormat="1" ht="21" thickBot="1" x14ac:dyDescent="0.5">
      <c r="A1814" s="223"/>
      <c r="B1814" s="71"/>
      <c r="C1814" s="71"/>
      <c r="D1814" s="73"/>
      <c r="F1814" s="94"/>
    </row>
    <row r="1815" spans="1:7" s="53" customFormat="1" ht="15" thickBot="1" x14ac:dyDescent="0.4">
      <c r="A1815" s="223"/>
      <c r="B1815" s="81" t="s">
        <v>81</v>
      </c>
      <c r="C1815" s="82" t="s">
        <v>107</v>
      </c>
      <c r="D1815" s="83" t="s">
        <v>108</v>
      </c>
      <c r="F1815" s="94"/>
    </row>
    <row r="1816" spans="1:7" s="87" customFormat="1" x14ac:dyDescent="0.35">
      <c r="A1816" s="223"/>
      <c r="B1816" s="84" t="str">
        <f>B1813</f>
        <v>10th May,2025</v>
      </c>
      <c r="C1816" s="85" t="s">
        <v>467</v>
      </c>
      <c r="D1816" s="86">
        <f>2000*2900</f>
        <v>5800000</v>
      </c>
      <c r="F1816" s="177"/>
    </row>
    <row r="1817" spans="1:7" s="53" customFormat="1" x14ac:dyDescent="0.35">
      <c r="A1817" s="223"/>
      <c r="B1817" s="88"/>
      <c r="C1817" s="89" t="s">
        <v>188</v>
      </c>
      <c r="D1817" s="90">
        <f>325*2650</f>
        <v>861250</v>
      </c>
      <c r="F1817" s="94"/>
    </row>
    <row r="1818" spans="1:7" s="53" customFormat="1" x14ac:dyDescent="0.35">
      <c r="A1818" s="223"/>
      <c r="B1818" s="88" t="s">
        <v>109</v>
      </c>
      <c r="C1818" s="89" t="s">
        <v>110</v>
      </c>
      <c r="D1818" s="90">
        <v>1000000</v>
      </c>
      <c r="F1818" s="94"/>
    </row>
    <row r="1819" spans="1:7" s="53" customFormat="1" x14ac:dyDescent="0.35">
      <c r="A1819" s="223"/>
      <c r="B1819" s="88" t="s">
        <v>111</v>
      </c>
      <c r="C1819" s="89" t="s">
        <v>112</v>
      </c>
      <c r="D1819" s="90">
        <v>40000</v>
      </c>
      <c r="E1819" s="225" t="s">
        <v>113</v>
      </c>
      <c r="F1819" s="225"/>
    </row>
    <row r="1820" spans="1:7" s="53" customFormat="1" x14ac:dyDescent="0.35">
      <c r="A1820" s="223"/>
      <c r="B1820" s="88" t="s">
        <v>182</v>
      </c>
      <c r="C1820" s="89" t="s">
        <v>115</v>
      </c>
      <c r="D1820" s="90">
        <f>500*120</f>
        <v>60000</v>
      </c>
      <c r="E1820" s="91" t="s">
        <v>116</v>
      </c>
      <c r="F1820" s="92">
        <f>4100*2700</f>
        <v>11070000</v>
      </c>
    </row>
    <row r="1821" spans="1:7" s="53" customFormat="1" x14ac:dyDescent="0.35">
      <c r="A1821" s="223"/>
      <c r="B1821" s="88"/>
      <c r="C1821" s="89" t="s">
        <v>117</v>
      </c>
      <c r="D1821" s="90">
        <f>2500*120</f>
        <v>300000</v>
      </c>
      <c r="E1821" s="93" t="s">
        <v>118</v>
      </c>
      <c r="F1821" s="94">
        <f>4100*2700</f>
        <v>11070000</v>
      </c>
    </row>
    <row r="1822" spans="1:7" s="53" customFormat="1" ht="15" thickBot="1" x14ac:dyDescent="0.4">
      <c r="A1822" s="223"/>
      <c r="B1822" s="88" t="s">
        <v>119</v>
      </c>
      <c r="C1822" s="89" t="s">
        <v>120</v>
      </c>
      <c r="D1822" s="95">
        <v>30000</v>
      </c>
      <c r="E1822" s="96" t="s">
        <v>121</v>
      </c>
      <c r="F1822" s="97">
        <f>F1820-F1821</f>
        <v>0</v>
      </c>
      <c r="G1822" s="98">
        <f>F1822/2700</f>
        <v>0</v>
      </c>
    </row>
    <row r="1823" spans="1:7" s="53" customFormat="1" ht="15" thickTop="1" x14ac:dyDescent="0.35">
      <c r="A1823" s="223"/>
      <c r="B1823" s="88"/>
      <c r="C1823" s="89" t="s">
        <v>122</v>
      </c>
      <c r="D1823" s="90">
        <v>140000</v>
      </c>
      <c r="F1823" s="94"/>
    </row>
    <row r="1824" spans="1:7" s="53" customFormat="1" x14ac:dyDescent="0.35">
      <c r="A1824" s="223"/>
      <c r="B1824" s="88" t="s">
        <v>571</v>
      </c>
      <c r="C1824" s="99" t="s">
        <v>123</v>
      </c>
      <c r="D1824" s="90">
        <v>15000</v>
      </c>
      <c r="E1824" s="91" t="s">
        <v>124</v>
      </c>
      <c r="F1824" s="92"/>
    </row>
    <row r="1825" spans="1:6" s="53" customFormat="1" x14ac:dyDescent="0.35">
      <c r="A1825" s="223"/>
      <c r="B1825" s="101"/>
      <c r="C1825" s="99" t="s">
        <v>125</v>
      </c>
      <c r="D1825" s="100">
        <v>10000</v>
      </c>
      <c r="E1825" s="102"/>
      <c r="F1825" s="103"/>
    </row>
    <row r="1826" spans="1:6" s="53" customFormat="1" x14ac:dyDescent="0.35">
      <c r="A1826" s="223"/>
      <c r="B1826" s="101"/>
      <c r="C1826" s="99" t="s">
        <v>126</v>
      </c>
      <c r="D1826" s="100">
        <v>30000</v>
      </c>
      <c r="E1826" s="102" t="s">
        <v>127</v>
      </c>
      <c r="F1826" s="103"/>
    </row>
    <row r="1827" spans="1:6" s="53" customFormat="1" x14ac:dyDescent="0.35">
      <c r="A1827" s="223"/>
      <c r="B1827" s="101"/>
      <c r="C1827" s="89" t="s">
        <v>265</v>
      </c>
      <c r="D1827" s="104">
        <f>1003*123</f>
        <v>123369</v>
      </c>
      <c r="E1827" s="102" t="s">
        <v>741</v>
      </c>
      <c r="F1827" s="103"/>
    </row>
    <row r="1828" spans="1:6" s="53" customFormat="1" ht="15" thickBot="1" x14ac:dyDescent="0.4">
      <c r="A1828" s="223"/>
      <c r="B1828" s="105"/>
      <c r="C1828" s="106"/>
      <c r="D1828" s="107"/>
      <c r="F1828" s="94"/>
    </row>
    <row r="1829" spans="1:6" s="53" customFormat="1" ht="15" thickBot="1" x14ac:dyDescent="0.4">
      <c r="A1829" s="223"/>
      <c r="B1829" s="108"/>
      <c r="C1829" s="109" t="s">
        <v>129</v>
      </c>
      <c r="D1829" s="110">
        <f>SUM(D1816:D1828)</f>
        <v>8409619</v>
      </c>
      <c r="F1829" s="94"/>
    </row>
    <row r="1830" spans="1:6" s="53" customFormat="1" ht="15.5" thickTop="1" thickBot="1" x14ac:dyDescent="0.4">
      <c r="A1830" s="224"/>
      <c r="B1830" s="226"/>
      <c r="C1830" s="226"/>
      <c r="D1830" s="226"/>
      <c r="F1830" s="94"/>
    </row>
    <row r="1831" spans="1:6" s="53" customFormat="1" x14ac:dyDescent="0.35">
      <c r="B1831" s="87"/>
      <c r="C1831" s="53" t="s">
        <v>130</v>
      </c>
      <c r="D1831" s="111">
        <f>D1813-D1829</f>
        <v>2660381</v>
      </c>
      <c r="F1831" s="94"/>
    </row>
    <row r="1832" spans="1:6" s="53" customFormat="1" x14ac:dyDescent="0.35">
      <c r="B1832" s="87"/>
      <c r="D1832" s="111"/>
      <c r="F1832" s="94"/>
    </row>
    <row r="1833" spans="1:6" s="53" customFormat="1" x14ac:dyDescent="0.35">
      <c r="A1833" s="112"/>
      <c r="B1833" s="113"/>
      <c r="C1833" s="112"/>
      <c r="D1833" s="114"/>
      <c r="E1833" s="112"/>
      <c r="F1833" s="178"/>
    </row>
    <row r="1836" spans="1:6" s="53" customFormat="1" ht="23.5" x14ac:dyDescent="0.55000000000000004">
      <c r="B1836" s="227" t="s">
        <v>0</v>
      </c>
      <c r="C1836" s="227"/>
      <c r="D1836" s="227"/>
      <c r="E1836" s="70"/>
      <c r="F1836" s="176"/>
    </row>
    <row r="1837" spans="1:6" s="53" customFormat="1" ht="20.5" x14ac:dyDescent="0.45">
      <c r="B1837" s="71"/>
      <c r="C1837" s="72" t="s">
        <v>576</v>
      </c>
      <c r="D1837" s="73"/>
      <c r="F1837" s="94"/>
    </row>
    <row r="1838" spans="1:6" s="53" customFormat="1" ht="21" thickBot="1" x14ac:dyDescent="0.5">
      <c r="B1838" s="71" t="s">
        <v>156</v>
      </c>
      <c r="C1838" s="74" t="s">
        <v>103</v>
      </c>
      <c r="D1838" s="73"/>
      <c r="F1838" s="94"/>
    </row>
    <row r="1839" spans="1:6" s="53" customFormat="1" ht="15" thickBot="1" x14ac:dyDescent="0.4">
      <c r="A1839" s="75" t="s">
        <v>104</v>
      </c>
      <c r="B1839" s="76" t="s">
        <v>81</v>
      </c>
      <c r="C1839" s="76" t="s">
        <v>105</v>
      </c>
      <c r="D1839" s="77" t="s">
        <v>84</v>
      </c>
      <c r="F1839" s="94"/>
    </row>
    <row r="1840" spans="1:6" s="53" customFormat="1" ht="14.5" customHeight="1" x14ac:dyDescent="0.35">
      <c r="A1840" s="222" t="s">
        <v>5</v>
      </c>
      <c r="B1840" s="78" t="s">
        <v>577</v>
      </c>
      <c r="C1840" s="79" t="s">
        <v>106</v>
      </c>
      <c r="D1840" s="80">
        <f>F1847</f>
        <v>16616000</v>
      </c>
      <c r="F1840" s="94"/>
    </row>
    <row r="1841" spans="1:7" s="53" customFormat="1" ht="21" thickBot="1" x14ac:dyDescent="0.5">
      <c r="A1841" s="223"/>
      <c r="B1841" s="71"/>
      <c r="C1841" s="71"/>
      <c r="D1841" s="73"/>
      <c r="F1841" s="94"/>
    </row>
    <row r="1842" spans="1:7" s="53" customFormat="1" ht="15" thickBot="1" x14ac:dyDescent="0.4">
      <c r="A1842" s="223"/>
      <c r="B1842" s="81" t="s">
        <v>81</v>
      </c>
      <c r="C1842" s="82" t="s">
        <v>107</v>
      </c>
      <c r="D1842" s="83" t="s">
        <v>108</v>
      </c>
      <c r="F1842" s="94"/>
    </row>
    <row r="1843" spans="1:7" s="87" customFormat="1" x14ac:dyDescent="0.35">
      <c r="A1843" s="223"/>
      <c r="B1843" s="84" t="str">
        <f>B1840</f>
        <v>11th May,2025</v>
      </c>
      <c r="C1843" s="85" t="s">
        <v>821</v>
      </c>
      <c r="D1843" s="86">
        <f>2000*2850</f>
        <v>5700000</v>
      </c>
      <c r="F1843" s="177"/>
    </row>
    <row r="1844" spans="1:7" s="53" customFormat="1" x14ac:dyDescent="0.35">
      <c r="A1844" s="223"/>
      <c r="B1844" s="88"/>
      <c r="C1844" s="89" t="s">
        <v>575</v>
      </c>
      <c r="D1844" s="90">
        <f>333*2650</f>
        <v>882450</v>
      </c>
      <c r="F1844" s="94"/>
    </row>
    <row r="1845" spans="1:7" s="53" customFormat="1" x14ac:dyDescent="0.35">
      <c r="A1845" s="223"/>
      <c r="B1845" s="88" t="s">
        <v>109</v>
      </c>
      <c r="C1845" s="89" t="s">
        <v>110</v>
      </c>
      <c r="D1845" s="90">
        <v>1000000</v>
      </c>
      <c r="F1845" s="94"/>
    </row>
    <row r="1846" spans="1:7" s="53" customFormat="1" x14ac:dyDescent="0.35">
      <c r="A1846" s="223"/>
      <c r="B1846" s="88" t="s">
        <v>111</v>
      </c>
      <c r="C1846" s="89" t="s">
        <v>112</v>
      </c>
      <c r="D1846" s="90">
        <v>40000</v>
      </c>
      <c r="E1846" s="225" t="s">
        <v>113</v>
      </c>
      <c r="F1846" s="225"/>
    </row>
    <row r="1847" spans="1:7" s="53" customFormat="1" x14ac:dyDescent="0.35">
      <c r="A1847" s="223"/>
      <c r="B1847" s="88" t="s">
        <v>564</v>
      </c>
      <c r="C1847" s="89" t="s">
        <v>115</v>
      </c>
      <c r="D1847" s="90">
        <f>500*123</f>
        <v>61500</v>
      </c>
      <c r="E1847" s="91" t="s">
        <v>116</v>
      </c>
      <c r="F1847" s="92">
        <f>(4200*2680)+(2000*2680)</f>
        <v>16616000</v>
      </c>
    </row>
    <row r="1848" spans="1:7" s="53" customFormat="1" x14ac:dyDescent="0.35">
      <c r="A1848" s="223"/>
      <c r="B1848" s="88"/>
      <c r="C1848" s="89" t="s">
        <v>117</v>
      </c>
      <c r="D1848" s="90">
        <f>2920*123</f>
        <v>359160</v>
      </c>
      <c r="E1848" s="93" t="s">
        <v>118</v>
      </c>
      <c r="F1848" s="94">
        <f>(2520*2680)+(1680*2680)</f>
        <v>11256000</v>
      </c>
    </row>
    <row r="1849" spans="1:7" s="53" customFormat="1" ht="15" thickBot="1" x14ac:dyDescent="0.4">
      <c r="A1849" s="223"/>
      <c r="B1849" s="88" t="s">
        <v>119</v>
      </c>
      <c r="C1849" s="89" t="s">
        <v>120</v>
      </c>
      <c r="D1849" s="95">
        <v>30000</v>
      </c>
      <c r="E1849" s="96" t="s">
        <v>121</v>
      </c>
      <c r="F1849" s="97">
        <f>F1847-F1848</f>
        <v>5360000</v>
      </c>
      <c r="G1849" s="98">
        <f>F1849/2680</f>
        <v>2000</v>
      </c>
    </row>
    <row r="1850" spans="1:7" s="53" customFormat="1" ht="15" thickTop="1" x14ac:dyDescent="0.35">
      <c r="A1850" s="223"/>
      <c r="B1850" s="88"/>
      <c r="C1850" s="89" t="s">
        <v>122</v>
      </c>
      <c r="D1850" s="90">
        <v>140000</v>
      </c>
      <c r="F1850" s="94"/>
    </row>
    <row r="1851" spans="1:7" s="53" customFormat="1" x14ac:dyDescent="0.35">
      <c r="A1851" s="223"/>
      <c r="B1851" s="88" t="s">
        <v>530</v>
      </c>
      <c r="C1851" s="99" t="s">
        <v>123</v>
      </c>
      <c r="D1851" s="90">
        <v>15000</v>
      </c>
      <c r="E1851" s="91" t="s">
        <v>124</v>
      </c>
      <c r="F1851" s="92"/>
    </row>
    <row r="1852" spans="1:7" s="53" customFormat="1" x14ac:dyDescent="0.35">
      <c r="A1852" s="223"/>
      <c r="B1852" s="101"/>
      <c r="C1852" s="99" t="s">
        <v>125</v>
      </c>
      <c r="D1852" s="100">
        <v>10000</v>
      </c>
      <c r="E1852" s="102"/>
      <c r="F1852" s="103"/>
    </row>
    <row r="1853" spans="1:7" s="53" customFormat="1" x14ac:dyDescent="0.35">
      <c r="A1853" s="223"/>
      <c r="B1853" s="101"/>
      <c r="C1853" s="99" t="s">
        <v>126</v>
      </c>
      <c r="D1853" s="100">
        <v>40000</v>
      </c>
      <c r="E1853" s="102" t="s">
        <v>127</v>
      </c>
      <c r="F1853" s="103"/>
    </row>
    <row r="1854" spans="1:7" s="53" customFormat="1" x14ac:dyDescent="0.35">
      <c r="A1854" s="223"/>
      <c r="B1854" s="101"/>
      <c r="C1854" s="89" t="s">
        <v>710</v>
      </c>
      <c r="D1854" s="104">
        <v>20000</v>
      </c>
      <c r="E1854" s="102" t="s">
        <v>614</v>
      </c>
      <c r="F1854" s="103"/>
    </row>
    <row r="1855" spans="1:7" s="53" customFormat="1" ht="15" thickBot="1" x14ac:dyDescent="0.4">
      <c r="A1855" s="223"/>
      <c r="B1855" s="105"/>
      <c r="C1855" s="106"/>
      <c r="D1855" s="107"/>
      <c r="E1855" s="53" t="s">
        <v>937</v>
      </c>
      <c r="F1855" s="94"/>
    </row>
    <row r="1856" spans="1:7" s="53" customFormat="1" ht="15" thickBot="1" x14ac:dyDescent="0.4">
      <c r="A1856" s="223"/>
      <c r="B1856" s="108"/>
      <c r="C1856" s="109" t="s">
        <v>129</v>
      </c>
      <c r="D1856" s="110">
        <f>SUM(D1843:D1855)</f>
        <v>8298110</v>
      </c>
      <c r="F1856" s="94"/>
    </row>
    <row r="1857" spans="1:6" s="53" customFormat="1" ht="15.5" thickTop="1" thickBot="1" x14ac:dyDescent="0.4">
      <c r="A1857" s="224"/>
      <c r="B1857" s="226"/>
      <c r="C1857" s="226"/>
      <c r="D1857" s="226"/>
      <c r="F1857" s="94"/>
    </row>
    <row r="1858" spans="1:6" s="53" customFormat="1" x14ac:dyDescent="0.35">
      <c r="B1858" s="87"/>
      <c r="C1858" s="53" t="s">
        <v>130</v>
      </c>
      <c r="D1858" s="111">
        <f>D1840-D1856</f>
        <v>8317890</v>
      </c>
      <c r="F1858" s="94"/>
    </row>
    <row r="1859" spans="1:6" s="53" customFormat="1" x14ac:dyDescent="0.35">
      <c r="B1859" s="87"/>
      <c r="D1859" s="111"/>
      <c r="F1859" s="94"/>
    </row>
    <row r="1860" spans="1:6" s="53" customFormat="1" x14ac:dyDescent="0.35">
      <c r="A1860" s="112"/>
      <c r="B1860" s="113"/>
      <c r="C1860" s="112"/>
      <c r="D1860" s="114"/>
      <c r="E1860" s="112"/>
      <c r="F1860" s="178"/>
    </row>
    <row r="1863" spans="1:6" s="53" customFormat="1" ht="23.5" x14ac:dyDescent="0.55000000000000004">
      <c r="B1863" s="227" t="s">
        <v>0</v>
      </c>
      <c r="C1863" s="227"/>
      <c r="D1863" s="227"/>
      <c r="E1863" s="70"/>
      <c r="F1863" s="176"/>
    </row>
    <row r="1864" spans="1:6" s="53" customFormat="1" ht="20.5" x14ac:dyDescent="0.45">
      <c r="B1864" s="71"/>
      <c r="C1864" s="72" t="s">
        <v>591</v>
      </c>
      <c r="D1864" s="73"/>
      <c r="F1864" s="94"/>
    </row>
    <row r="1865" spans="1:6" s="53" customFormat="1" ht="21" thickBot="1" x14ac:dyDescent="0.5">
      <c r="B1865" s="71" t="s">
        <v>338</v>
      </c>
      <c r="C1865" s="74" t="s">
        <v>103</v>
      </c>
      <c r="D1865" s="73"/>
      <c r="F1865" s="94"/>
    </row>
    <row r="1866" spans="1:6" s="53" customFormat="1" ht="15" thickBot="1" x14ac:dyDescent="0.4">
      <c r="A1866" s="75" t="s">
        <v>104</v>
      </c>
      <c r="B1866" s="76" t="s">
        <v>81</v>
      </c>
      <c r="C1866" s="76" t="s">
        <v>105</v>
      </c>
      <c r="D1866" s="77" t="s">
        <v>84</v>
      </c>
      <c r="F1866" s="94"/>
    </row>
    <row r="1867" spans="1:6" s="53" customFormat="1" ht="14.5" customHeight="1" x14ac:dyDescent="0.35">
      <c r="A1867" s="222" t="s">
        <v>5</v>
      </c>
      <c r="B1867" s="78" t="s">
        <v>592</v>
      </c>
      <c r="C1867" s="79" t="s">
        <v>319</v>
      </c>
      <c r="D1867" s="80">
        <f>F1874</f>
        <v>12690000</v>
      </c>
      <c r="F1867" s="94"/>
    </row>
    <row r="1868" spans="1:6" s="53" customFormat="1" ht="21" thickBot="1" x14ac:dyDescent="0.5">
      <c r="A1868" s="223"/>
      <c r="B1868" s="71"/>
      <c r="C1868" s="71"/>
      <c r="D1868" s="73"/>
      <c r="F1868" s="94"/>
    </row>
    <row r="1869" spans="1:6" s="53" customFormat="1" ht="15" thickBot="1" x14ac:dyDescent="0.4">
      <c r="A1869" s="223"/>
      <c r="B1869" s="81" t="s">
        <v>81</v>
      </c>
      <c r="C1869" s="82" t="s">
        <v>107</v>
      </c>
      <c r="D1869" s="83" t="s">
        <v>108</v>
      </c>
      <c r="F1869" s="94"/>
    </row>
    <row r="1870" spans="1:6" s="87" customFormat="1" x14ac:dyDescent="0.35">
      <c r="A1870" s="223"/>
      <c r="B1870" s="84" t="str">
        <f>B1867</f>
        <v>14th May,2025</v>
      </c>
      <c r="C1870" s="85" t="s">
        <v>467</v>
      </c>
      <c r="D1870" s="86">
        <f>2000*2900</f>
        <v>5800000</v>
      </c>
      <c r="F1870" s="177"/>
    </row>
    <row r="1871" spans="1:6" s="53" customFormat="1" x14ac:dyDescent="0.35">
      <c r="A1871" s="223"/>
      <c r="B1871" s="88"/>
      <c r="C1871" s="89" t="s">
        <v>188</v>
      </c>
      <c r="D1871" s="90">
        <f>325*2650</f>
        <v>861250</v>
      </c>
      <c r="F1871" s="94"/>
    </row>
    <row r="1872" spans="1:6" s="53" customFormat="1" x14ac:dyDescent="0.35">
      <c r="A1872" s="223"/>
      <c r="B1872" s="88" t="s">
        <v>109</v>
      </c>
      <c r="C1872" s="89" t="s">
        <v>110</v>
      </c>
      <c r="D1872" s="90">
        <v>1000000</v>
      </c>
      <c r="F1872" s="94"/>
    </row>
    <row r="1873" spans="1:7" s="53" customFormat="1" x14ac:dyDescent="0.35">
      <c r="A1873" s="223"/>
      <c r="B1873" s="88" t="s">
        <v>111</v>
      </c>
      <c r="C1873" s="89" t="s">
        <v>112</v>
      </c>
      <c r="D1873" s="90">
        <v>40000</v>
      </c>
      <c r="E1873" s="225" t="s">
        <v>113</v>
      </c>
      <c r="F1873" s="225"/>
    </row>
    <row r="1874" spans="1:7" s="53" customFormat="1" x14ac:dyDescent="0.35">
      <c r="A1874" s="223"/>
      <c r="B1874" s="88" t="s">
        <v>182</v>
      </c>
      <c r="C1874" s="89" t="s">
        <v>115</v>
      </c>
      <c r="D1874" s="90">
        <f>250*120</f>
        <v>30000</v>
      </c>
      <c r="E1874" s="91" t="s">
        <v>116</v>
      </c>
      <c r="F1874" s="92">
        <f>4700*2700</f>
        <v>12690000</v>
      </c>
    </row>
    <row r="1875" spans="1:7" s="53" customFormat="1" x14ac:dyDescent="0.35">
      <c r="A1875" s="223"/>
      <c r="B1875" s="88"/>
      <c r="C1875" s="89" t="s">
        <v>117</v>
      </c>
      <c r="D1875" s="90">
        <f>2000*120</f>
        <v>240000</v>
      </c>
      <c r="E1875" s="93" t="s">
        <v>118</v>
      </c>
      <c r="F1875" s="94">
        <f>4700*2700</f>
        <v>12690000</v>
      </c>
    </row>
    <row r="1876" spans="1:7" s="53" customFormat="1" ht="15" thickBot="1" x14ac:dyDescent="0.4">
      <c r="A1876" s="223"/>
      <c r="B1876" s="88" t="s">
        <v>119</v>
      </c>
      <c r="C1876" s="89" t="s">
        <v>120</v>
      </c>
      <c r="D1876" s="95">
        <v>30000</v>
      </c>
      <c r="E1876" s="96" t="s">
        <v>121</v>
      </c>
      <c r="F1876" s="97">
        <f>F1874-F1875</f>
        <v>0</v>
      </c>
      <c r="G1876" s="98">
        <f>F1876/2700</f>
        <v>0</v>
      </c>
    </row>
    <row r="1877" spans="1:7" s="53" customFormat="1" ht="15" thickTop="1" x14ac:dyDescent="0.35">
      <c r="A1877" s="223"/>
      <c r="B1877" s="88"/>
      <c r="C1877" s="89" t="s">
        <v>122</v>
      </c>
      <c r="D1877" s="90">
        <v>0</v>
      </c>
      <c r="F1877" s="94"/>
    </row>
    <row r="1878" spans="1:7" s="53" customFormat="1" x14ac:dyDescent="0.35">
      <c r="A1878" s="223"/>
      <c r="B1878" s="88" t="s">
        <v>590</v>
      </c>
      <c r="C1878" s="99" t="s">
        <v>123</v>
      </c>
      <c r="D1878" s="90">
        <v>15000</v>
      </c>
      <c r="E1878" s="91" t="s">
        <v>124</v>
      </c>
      <c r="F1878" s="92"/>
    </row>
    <row r="1879" spans="1:7" s="53" customFormat="1" x14ac:dyDescent="0.35">
      <c r="A1879" s="223"/>
      <c r="B1879" s="101"/>
      <c r="C1879" s="99" t="s">
        <v>125</v>
      </c>
      <c r="D1879" s="100">
        <v>0</v>
      </c>
      <c r="E1879" s="102"/>
      <c r="F1879" s="103"/>
    </row>
    <row r="1880" spans="1:7" s="53" customFormat="1" x14ac:dyDescent="0.35">
      <c r="A1880" s="223"/>
      <c r="B1880" s="101"/>
      <c r="C1880" s="99" t="s">
        <v>126</v>
      </c>
      <c r="D1880" s="100">
        <v>0</v>
      </c>
      <c r="E1880" s="102" t="s">
        <v>127</v>
      </c>
      <c r="F1880" s="103"/>
    </row>
    <row r="1881" spans="1:7" s="53" customFormat="1" x14ac:dyDescent="0.35">
      <c r="A1881" s="223"/>
      <c r="B1881" s="101"/>
      <c r="C1881" s="89" t="s">
        <v>265</v>
      </c>
      <c r="D1881" s="104">
        <v>0</v>
      </c>
      <c r="E1881" s="102" t="s">
        <v>742</v>
      </c>
      <c r="F1881" s="103"/>
    </row>
    <row r="1882" spans="1:7" s="53" customFormat="1" ht="15" thickBot="1" x14ac:dyDescent="0.4">
      <c r="A1882" s="223"/>
      <c r="B1882" s="105"/>
      <c r="C1882" s="106"/>
      <c r="D1882" s="107"/>
      <c r="F1882" s="94"/>
    </row>
    <row r="1883" spans="1:7" s="53" customFormat="1" ht="15" thickBot="1" x14ac:dyDescent="0.4">
      <c r="A1883" s="223"/>
      <c r="B1883" s="108"/>
      <c r="C1883" s="109" t="s">
        <v>129</v>
      </c>
      <c r="D1883" s="110">
        <f>SUM(D1870:D1882)</f>
        <v>8016250</v>
      </c>
      <c r="F1883" s="94"/>
    </row>
    <row r="1884" spans="1:7" s="53" customFormat="1" ht="15.5" thickTop="1" thickBot="1" x14ac:dyDescent="0.4">
      <c r="A1884" s="224"/>
      <c r="B1884" s="226"/>
      <c r="C1884" s="226"/>
      <c r="D1884" s="226"/>
      <c r="F1884" s="94"/>
    </row>
    <row r="1885" spans="1:7" s="53" customFormat="1" x14ac:dyDescent="0.35">
      <c r="B1885" s="87"/>
      <c r="C1885" s="53" t="s">
        <v>130</v>
      </c>
      <c r="D1885" s="111">
        <f>D1867-D1883</f>
        <v>4673750</v>
      </c>
      <c r="F1885" s="94"/>
    </row>
    <row r="1886" spans="1:7" s="53" customFormat="1" x14ac:dyDescent="0.35">
      <c r="B1886" s="87"/>
      <c r="D1886" s="111"/>
      <c r="F1886" s="94"/>
    </row>
    <row r="1887" spans="1:7" s="53" customFormat="1" x14ac:dyDescent="0.35">
      <c r="A1887" s="112"/>
      <c r="B1887" s="113"/>
      <c r="C1887" s="112"/>
      <c r="D1887" s="114"/>
      <c r="E1887" s="112"/>
      <c r="F1887" s="178"/>
    </row>
    <row r="1890" spans="1:7" s="53" customFormat="1" ht="23.5" x14ac:dyDescent="0.55000000000000004">
      <c r="B1890" s="227" t="s">
        <v>0</v>
      </c>
      <c r="C1890" s="227"/>
      <c r="D1890" s="227"/>
      <c r="E1890" s="70"/>
      <c r="F1890" s="176"/>
    </row>
    <row r="1891" spans="1:7" s="53" customFormat="1" ht="20.5" x14ac:dyDescent="0.45">
      <c r="B1891" s="71"/>
      <c r="C1891" s="72" t="s">
        <v>595</v>
      </c>
      <c r="D1891" s="73"/>
      <c r="F1891" s="94"/>
    </row>
    <row r="1892" spans="1:7" s="53" customFormat="1" ht="21" thickBot="1" x14ac:dyDescent="0.5">
      <c r="B1892" s="71" t="s">
        <v>296</v>
      </c>
      <c r="C1892" s="74" t="s">
        <v>103</v>
      </c>
      <c r="D1892" s="73"/>
      <c r="F1892" s="94"/>
    </row>
    <row r="1893" spans="1:7" s="53" customFormat="1" ht="15" thickBot="1" x14ac:dyDescent="0.4">
      <c r="A1893" s="75" t="s">
        <v>104</v>
      </c>
      <c r="B1893" s="76" t="s">
        <v>81</v>
      </c>
      <c r="C1893" s="76" t="s">
        <v>105</v>
      </c>
      <c r="D1893" s="77" t="s">
        <v>84</v>
      </c>
      <c r="F1893" s="94"/>
    </row>
    <row r="1894" spans="1:7" s="53" customFormat="1" ht="14.5" customHeight="1" x14ac:dyDescent="0.35">
      <c r="A1894" s="222" t="s">
        <v>5</v>
      </c>
      <c r="B1894" s="78" t="s">
        <v>599</v>
      </c>
      <c r="C1894" s="79" t="s">
        <v>319</v>
      </c>
      <c r="D1894" s="80">
        <f>F1901</f>
        <v>11070000</v>
      </c>
      <c r="F1894" s="94"/>
    </row>
    <row r="1895" spans="1:7" s="53" customFormat="1" ht="21" thickBot="1" x14ac:dyDescent="0.5">
      <c r="A1895" s="223"/>
      <c r="B1895" s="71"/>
      <c r="C1895" s="71"/>
      <c r="D1895" s="73"/>
      <c r="F1895" s="94"/>
    </row>
    <row r="1896" spans="1:7" s="53" customFormat="1" ht="15" thickBot="1" x14ac:dyDescent="0.4">
      <c r="A1896" s="223"/>
      <c r="B1896" s="81" t="s">
        <v>81</v>
      </c>
      <c r="C1896" s="82" t="s">
        <v>107</v>
      </c>
      <c r="D1896" s="83" t="s">
        <v>108</v>
      </c>
      <c r="F1896" s="94"/>
    </row>
    <row r="1897" spans="1:7" s="87" customFormat="1" x14ac:dyDescent="0.35">
      <c r="A1897" s="223"/>
      <c r="B1897" s="84" t="str">
        <f>B1894</f>
        <v>15th May,2025</v>
      </c>
      <c r="C1897" s="85" t="s">
        <v>467</v>
      </c>
      <c r="D1897" s="86">
        <f>2000*2900</f>
        <v>5800000</v>
      </c>
      <c r="F1897" s="177"/>
    </row>
    <row r="1898" spans="1:7" s="53" customFormat="1" x14ac:dyDescent="0.35">
      <c r="A1898" s="223"/>
      <c r="B1898" s="88"/>
      <c r="C1898" s="89" t="s">
        <v>188</v>
      </c>
      <c r="D1898" s="90">
        <f>325*2650</f>
        <v>861250</v>
      </c>
      <c r="F1898" s="94"/>
    </row>
    <row r="1899" spans="1:7" s="53" customFormat="1" x14ac:dyDescent="0.35">
      <c r="A1899" s="223"/>
      <c r="B1899" s="88" t="s">
        <v>109</v>
      </c>
      <c r="C1899" s="89" t="s">
        <v>110</v>
      </c>
      <c r="D1899" s="90">
        <v>1000000</v>
      </c>
      <c r="F1899" s="94"/>
    </row>
    <row r="1900" spans="1:7" s="53" customFormat="1" x14ac:dyDescent="0.35">
      <c r="A1900" s="223"/>
      <c r="B1900" s="88" t="s">
        <v>111</v>
      </c>
      <c r="C1900" s="89" t="s">
        <v>112</v>
      </c>
      <c r="D1900" s="90">
        <v>40000</v>
      </c>
      <c r="E1900" s="225" t="s">
        <v>113</v>
      </c>
      <c r="F1900" s="225"/>
    </row>
    <row r="1901" spans="1:7" s="53" customFormat="1" x14ac:dyDescent="0.35">
      <c r="A1901" s="223"/>
      <c r="B1901" s="88" t="s">
        <v>182</v>
      </c>
      <c r="C1901" s="89" t="s">
        <v>115</v>
      </c>
      <c r="D1901" s="90">
        <f>430*120</f>
        <v>51600</v>
      </c>
      <c r="E1901" s="91" t="s">
        <v>116</v>
      </c>
      <c r="F1901" s="92">
        <f>4100*2700</f>
        <v>11070000</v>
      </c>
    </row>
    <row r="1902" spans="1:7" s="53" customFormat="1" x14ac:dyDescent="0.35">
      <c r="A1902" s="223"/>
      <c r="B1902" s="88"/>
      <c r="C1902" s="89" t="s">
        <v>117</v>
      </c>
      <c r="D1902" s="90">
        <f>2500*120</f>
        <v>300000</v>
      </c>
      <c r="E1902" s="93" t="s">
        <v>118</v>
      </c>
      <c r="F1902" s="94">
        <f>4100*2700</f>
        <v>11070000</v>
      </c>
    </row>
    <row r="1903" spans="1:7" s="53" customFormat="1" ht="15" thickBot="1" x14ac:dyDescent="0.4">
      <c r="A1903" s="223"/>
      <c r="B1903" s="88" t="s">
        <v>119</v>
      </c>
      <c r="C1903" s="89" t="s">
        <v>120</v>
      </c>
      <c r="D1903" s="95">
        <v>30000</v>
      </c>
      <c r="E1903" s="96" t="s">
        <v>121</v>
      </c>
      <c r="F1903" s="97">
        <f>F1901-F1902</f>
        <v>0</v>
      </c>
      <c r="G1903" s="98">
        <f>F1903/2700</f>
        <v>0</v>
      </c>
    </row>
    <row r="1904" spans="1:7" s="53" customFormat="1" ht="15" thickTop="1" x14ac:dyDescent="0.35">
      <c r="A1904" s="223"/>
      <c r="B1904" s="88"/>
      <c r="C1904" s="89" t="s">
        <v>122</v>
      </c>
      <c r="D1904" s="90">
        <v>140000</v>
      </c>
      <c r="F1904" s="94"/>
    </row>
    <row r="1905" spans="1:6" s="53" customFormat="1" x14ac:dyDescent="0.35">
      <c r="A1905" s="223"/>
      <c r="B1905" s="88" t="s">
        <v>594</v>
      </c>
      <c r="C1905" s="99" t="s">
        <v>123</v>
      </c>
      <c r="D1905" s="90">
        <v>15000</v>
      </c>
      <c r="E1905" s="91" t="s">
        <v>124</v>
      </c>
      <c r="F1905" s="92"/>
    </row>
    <row r="1906" spans="1:6" s="53" customFormat="1" x14ac:dyDescent="0.35">
      <c r="A1906" s="223"/>
      <c r="B1906" s="101"/>
      <c r="C1906" s="99" t="s">
        <v>125</v>
      </c>
      <c r="D1906" s="100">
        <v>10000</v>
      </c>
      <c r="E1906" s="102"/>
      <c r="F1906" s="103"/>
    </row>
    <row r="1907" spans="1:6" s="53" customFormat="1" x14ac:dyDescent="0.35">
      <c r="A1907" s="223"/>
      <c r="B1907" s="101"/>
      <c r="C1907" s="99" t="s">
        <v>126</v>
      </c>
      <c r="D1907" s="100">
        <v>40000</v>
      </c>
      <c r="E1907" s="102" t="s">
        <v>127</v>
      </c>
      <c r="F1907" s="103"/>
    </row>
    <row r="1908" spans="1:6" s="53" customFormat="1" x14ac:dyDescent="0.35">
      <c r="A1908" s="223"/>
      <c r="B1908" s="101"/>
      <c r="C1908" s="89" t="s">
        <v>265</v>
      </c>
      <c r="D1908" s="104">
        <f>1003*126</f>
        <v>126378</v>
      </c>
      <c r="E1908" s="102" t="s">
        <v>741</v>
      </c>
      <c r="F1908" s="103"/>
    </row>
    <row r="1909" spans="1:6" s="53" customFormat="1" ht="15" thickBot="1" x14ac:dyDescent="0.4">
      <c r="A1909" s="223"/>
      <c r="B1909" s="105"/>
      <c r="C1909" s="106"/>
      <c r="D1909" s="107"/>
      <c r="F1909" s="94"/>
    </row>
    <row r="1910" spans="1:6" s="53" customFormat="1" ht="15" thickBot="1" x14ac:dyDescent="0.4">
      <c r="A1910" s="223"/>
      <c r="B1910" s="108"/>
      <c r="C1910" s="109" t="s">
        <v>129</v>
      </c>
      <c r="D1910" s="110">
        <f>SUM(D1897:D1909)</f>
        <v>8414228</v>
      </c>
      <c r="F1910" s="94"/>
    </row>
    <row r="1911" spans="1:6" s="53" customFormat="1" ht="15.5" thickTop="1" thickBot="1" x14ac:dyDescent="0.4">
      <c r="A1911" s="224"/>
      <c r="B1911" s="226"/>
      <c r="C1911" s="226"/>
      <c r="D1911" s="226"/>
      <c r="F1911" s="94"/>
    </row>
    <row r="1912" spans="1:6" s="53" customFormat="1" x14ac:dyDescent="0.35">
      <c r="B1912" s="87"/>
      <c r="C1912" s="53" t="s">
        <v>130</v>
      </c>
      <c r="D1912" s="111">
        <f>D1894-D1910</f>
        <v>2655772</v>
      </c>
      <c r="F1912" s="94"/>
    </row>
    <row r="1913" spans="1:6" s="53" customFormat="1" x14ac:dyDescent="0.35">
      <c r="B1913" s="87"/>
      <c r="D1913" s="111"/>
      <c r="F1913" s="94"/>
    </row>
    <row r="1914" spans="1:6" s="53" customFormat="1" x14ac:dyDescent="0.35">
      <c r="A1914" s="112"/>
      <c r="B1914" s="113"/>
      <c r="C1914" s="112"/>
      <c r="D1914" s="114"/>
      <c r="E1914" s="112"/>
      <c r="F1914" s="178"/>
    </row>
    <row r="1916" spans="1:6" s="53" customFormat="1" ht="23.5" x14ac:dyDescent="0.55000000000000004">
      <c r="B1916" s="227" t="s">
        <v>0</v>
      </c>
      <c r="C1916" s="227"/>
      <c r="D1916" s="227"/>
      <c r="E1916" s="70"/>
      <c r="F1916" s="176"/>
    </row>
    <row r="1917" spans="1:6" s="53" customFormat="1" ht="20.5" x14ac:dyDescent="0.45">
      <c r="B1917" s="71"/>
      <c r="C1917" s="72" t="s">
        <v>598</v>
      </c>
      <c r="D1917" s="73"/>
      <c r="F1917" s="94"/>
    </row>
    <row r="1918" spans="1:6" s="53" customFormat="1" ht="21" thickBot="1" x14ac:dyDescent="0.5">
      <c r="B1918" s="71" t="s">
        <v>396</v>
      </c>
      <c r="C1918" s="74" t="s">
        <v>103</v>
      </c>
      <c r="D1918" s="73"/>
      <c r="F1918" s="94"/>
    </row>
    <row r="1919" spans="1:6" s="53" customFormat="1" ht="15" thickBot="1" x14ac:dyDescent="0.4">
      <c r="A1919" s="75" t="s">
        <v>104</v>
      </c>
      <c r="B1919" s="76" t="s">
        <v>81</v>
      </c>
      <c r="C1919" s="76" t="s">
        <v>105</v>
      </c>
      <c r="D1919" s="77" t="s">
        <v>84</v>
      </c>
      <c r="F1919" s="94"/>
    </row>
    <row r="1920" spans="1:6" s="53" customFormat="1" ht="14.5" customHeight="1" x14ac:dyDescent="0.35">
      <c r="A1920" s="222" t="s">
        <v>5</v>
      </c>
      <c r="B1920" s="78" t="s">
        <v>599</v>
      </c>
      <c r="C1920" s="79" t="s">
        <v>106</v>
      </c>
      <c r="D1920" s="80">
        <f>F1927</f>
        <v>10988000</v>
      </c>
      <c r="F1920" s="94"/>
    </row>
    <row r="1921" spans="1:7" s="53" customFormat="1" ht="21" thickBot="1" x14ac:dyDescent="0.5">
      <c r="A1921" s="223"/>
      <c r="B1921" s="71"/>
      <c r="C1921" s="71"/>
      <c r="D1921" s="73"/>
      <c r="F1921" s="94"/>
    </row>
    <row r="1922" spans="1:7" s="53" customFormat="1" ht="15" thickBot="1" x14ac:dyDescent="0.4">
      <c r="A1922" s="223"/>
      <c r="B1922" s="81" t="s">
        <v>81</v>
      </c>
      <c r="C1922" s="82" t="s">
        <v>107</v>
      </c>
      <c r="D1922" s="83" t="s">
        <v>108</v>
      </c>
      <c r="F1922" s="94"/>
    </row>
    <row r="1923" spans="1:7" s="87" customFormat="1" x14ac:dyDescent="0.35">
      <c r="A1923" s="223"/>
      <c r="B1923" s="84" t="str">
        <f>B1920</f>
        <v>15th May,2025</v>
      </c>
      <c r="C1923" s="85" t="s">
        <v>711</v>
      </c>
      <c r="D1923" s="86">
        <f>1800*2880</f>
        <v>5184000</v>
      </c>
      <c r="F1923" s="177"/>
    </row>
    <row r="1924" spans="1:7" s="53" customFormat="1" x14ac:dyDescent="0.35">
      <c r="A1924" s="223"/>
      <c r="B1924" s="88"/>
      <c r="C1924" s="89" t="s">
        <v>210</v>
      </c>
      <c r="D1924" s="90">
        <f>319*2650</f>
        <v>845350</v>
      </c>
      <c r="F1924" s="94"/>
    </row>
    <row r="1925" spans="1:7" s="53" customFormat="1" x14ac:dyDescent="0.35">
      <c r="A1925" s="223"/>
      <c r="B1925" s="88" t="s">
        <v>109</v>
      </c>
      <c r="C1925" s="89" t="s">
        <v>110</v>
      </c>
      <c r="D1925" s="90">
        <v>1000000</v>
      </c>
      <c r="F1925" s="94"/>
    </row>
    <row r="1926" spans="1:7" s="53" customFormat="1" x14ac:dyDescent="0.35">
      <c r="A1926" s="223"/>
      <c r="B1926" s="88" t="s">
        <v>111</v>
      </c>
      <c r="C1926" s="89" t="s">
        <v>112</v>
      </c>
      <c r="D1926" s="90">
        <v>40000</v>
      </c>
      <c r="E1926" s="225" t="s">
        <v>113</v>
      </c>
      <c r="F1926" s="225"/>
    </row>
    <row r="1927" spans="1:7" s="53" customFormat="1" x14ac:dyDescent="0.35">
      <c r="A1927" s="223"/>
      <c r="B1927" s="88" t="s">
        <v>206</v>
      </c>
      <c r="C1927" s="89" t="s">
        <v>115</v>
      </c>
      <c r="D1927" s="90">
        <f>450*123</f>
        <v>55350</v>
      </c>
      <c r="E1927" s="91" t="s">
        <v>116</v>
      </c>
      <c r="F1927" s="92">
        <f>4100*2680</f>
        <v>10988000</v>
      </c>
    </row>
    <row r="1928" spans="1:7" s="53" customFormat="1" x14ac:dyDescent="0.35">
      <c r="A1928" s="223"/>
      <c r="B1928" s="88"/>
      <c r="C1928" s="89" t="s">
        <v>117</v>
      </c>
      <c r="D1928" s="90">
        <f>2420*123</f>
        <v>297660</v>
      </c>
      <c r="E1928" s="93" t="s">
        <v>118</v>
      </c>
      <c r="F1928" s="94">
        <f>(2460*2680)+(1640*2680)</f>
        <v>10988000</v>
      </c>
    </row>
    <row r="1929" spans="1:7" s="53" customFormat="1" ht="15" thickBot="1" x14ac:dyDescent="0.4">
      <c r="A1929" s="223"/>
      <c r="B1929" s="88" t="s">
        <v>119</v>
      </c>
      <c r="C1929" s="89" t="s">
        <v>120</v>
      </c>
      <c r="D1929" s="95">
        <v>30000</v>
      </c>
      <c r="E1929" s="96" t="s">
        <v>121</v>
      </c>
      <c r="F1929" s="97">
        <f>F1927-F1928</f>
        <v>0</v>
      </c>
      <c r="G1929" s="98">
        <f>F1929/2680</f>
        <v>0</v>
      </c>
    </row>
    <row r="1930" spans="1:7" s="53" customFormat="1" ht="15" thickTop="1" x14ac:dyDescent="0.35">
      <c r="A1930" s="223"/>
      <c r="B1930" s="88"/>
      <c r="C1930" s="89" t="s">
        <v>122</v>
      </c>
      <c r="D1930" s="90">
        <v>75000</v>
      </c>
      <c r="F1930" s="94"/>
    </row>
    <row r="1931" spans="1:7" s="53" customFormat="1" x14ac:dyDescent="0.35">
      <c r="A1931" s="223"/>
      <c r="B1931" s="88" t="s">
        <v>597</v>
      </c>
      <c r="C1931" s="99" t="s">
        <v>123</v>
      </c>
      <c r="D1931" s="90">
        <v>15000</v>
      </c>
      <c r="E1931" s="91" t="s">
        <v>124</v>
      </c>
      <c r="F1931" s="92"/>
    </row>
    <row r="1932" spans="1:7" s="53" customFormat="1" x14ac:dyDescent="0.35">
      <c r="A1932" s="223"/>
      <c r="B1932" s="101"/>
      <c r="C1932" s="99" t="s">
        <v>125</v>
      </c>
      <c r="D1932" s="100">
        <v>10000</v>
      </c>
      <c r="E1932" s="102"/>
      <c r="F1932" s="103"/>
    </row>
    <row r="1933" spans="1:7" s="53" customFormat="1" x14ac:dyDescent="0.35">
      <c r="A1933" s="223"/>
      <c r="B1933" s="101"/>
      <c r="C1933" s="99" t="s">
        <v>126</v>
      </c>
      <c r="D1933" s="100">
        <v>20000</v>
      </c>
      <c r="E1933" s="102" t="s">
        <v>127</v>
      </c>
      <c r="F1933" s="103"/>
    </row>
    <row r="1934" spans="1:7" s="53" customFormat="1" x14ac:dyDescent="0.35">
      <c r="A1934" s="223"/>
      <c r="B1934" s="101"/>
      <c r="C1934" s="89" t="s">
        <v>710</v>
      </c>
      <c r="D1934" s="100">
        <v>20000</v>
      </c>
      <c r="E1934" s="102" t="s">
        <v>612</v>
      </c>
      <c r="F1934" s="103"/>
    </row>
    <row r="1935" spans="1:7" s="53" customFormat="1" ht="15" thickBot="1" x14ac:dyDescent="0.4">
      <c r="A1935" s="223"/>
      <c r="B1935" s="105"/>
      <c r="C1935" s="106"/>
      <c r="D1935" s="107"/>
      <c r="E1935" s="53" t="s">
        <v>834</v>
      </c>
      <c r="F1935" s="94"/>
    </row>
    <row r="1936" spans="1:7" s="53" customFormat="1" ht="15" thickBot="1" x14ac:dyDescent="0.4">
      <c r="A1936" s="223"/>
      <c r="B1936" s="108"/>
      <c r="C1936" s="109" t="s">
        <v>129</v>
      </c>
      <c r="D1936" s="110">
        <f>SUM(D1923:D1935)</f>
        <v>7592360</v>
      </c>
      <c r="F1936" s="94"/>
    </row>
    <row r="1937" spans="1:6" s="53" customFormat="1" ht="15.5" thickTop="1" thickBot="1" x14ac:dyDescent="0.4">
      <c r="A1937" s="224"/>
      <c r="B1937" s="226"/>
      <c r="C1937" s="226"/>
      <c r="D1937" s="226"/>
      <c r="F1937" s="94"/>
    </row>
    <row r="1938" spans="1:6" s="53" customFormat="1" x14ac:dyDescent="0.35">
      <c r="B1938" s="87"/>
      <c r="C1938" s="53" t="s">
        <v>130</v>
      </c>
      <c r="D1938" s="111">
        <f>D1920-D1936</f>
        <v>3395640</v>
      </c>
      <c r="F1938" s="94"/>
    </row>
    <row r="1939" spans="1:6" s="53" customFormat="1" x14ac:dyDescent="0.35">
      <c r="B1939" s="87"/>
      <c r="D1939" s="111"/>
      <c r="F1939" s="94"/>
    </row>
    <row r="1940" spans="1:6" s="53" customFormat="1" x14ac:dyDescent="0.35">
      <c r="A1940" s="112"/>
      <c r="B1940" s="113"/>
      <c r="C1940" s="112"/>
      <c r="D1940" s="114"/>
      <c r="E1940" s="112"/>
      <c r="F1940" s="178"/>
    </row>
    <row r="1944" spans="1:6" s="53" customFormat="1" ht="23.5" x14ac:dyDescent="0.55000000000000004">
      <c r="B1944" s="227" t="s">
        <v>0</v>
      </c>
      <c r="C1944" s="227"/>
      <c r="D1944" s="227"/>
      <c r="E1944" s="70"/>
      <c r="F1944" s="176"/>
    </row>
    <row r="1945" spans="1:6" s="53" customFormat="1" ht="20.5" x14ac:dyDescent="0.45">
      <c r="B1945" s="71"/>
      <c r="C1945" s="72" t="s">
        <v>602</v>
      </c>
      <c r="D1945" s="73"/>
      <c r="F1945" s="94"/>
    </row>
    <row r="1946" spans="1:6" s="53" customFormat="1" ht="21" thickBot="1" x14ac:dyDescent="0.5">
      <c r="B1946" s="71" t="s">
        <v>185</v>
      </c>
      <c r="C1946" s="74" t="s">
        <v>103</v>
      </c>
      <c r="D1946" s="73"/>
      <c r="F1946" s="94"/>
    </row>
    <row r="1947" spans="1:6" s="53" customFormat="1" ht="15" thickBot="1" x14ac:dyDescent="0.4">
      <c r="A1947" s="75" t="s">
        <v>104</v>
      </c>
      <c r="B1947" s="76" t="s">
        <v>81</v>
      </c>
      <c r="C1947" s="76" t="s">
        <v>105</v>
      </c>
      <c r="D1947" s="77" t="s">
        <v>84</v>
      </c>
      <c r="F1947" s="94"/>
    </row>
    <row r="1948" spans="1:6" s="53" customFormat="1" ht="14.5" customHeight="1" x14ac:dyDescent="0.35">
      <c r="A1948" s="222" t="s">
        <v>5</v>
      </c>
      <c r="B1948" s="78" t="s">
        <v>599</v>
      </c>
      <c r="C1948" s="79" t="s">
        <v>106</v>
      </c>
      <c r="D1948" s="80">
        <f>F1955</f>
        <v>15544000</v>
      </c>
      <c r="F1948" s="94"/>
    </row>
    <row r="1949" spans="1:6" s="53" customFormat="1" ht="21" thickBot="1" x14ac:dyDescent="0.5">
      <c r="A1949" s="223"/>
      <c r="B1949" s="71"/>
      <c r="C1949" s="71"/>
      <c r="D1949" s="73"/>
      <c r="F1949" s="94"/>
    </row>
    <row r="1950" spans="1:6" s="53" customFormat="1" ht="15" thickBot="1" x14ac:dyDescent="0.4">
      <c r="A1950" s="223"/>
      <c r="B1950" s="81" t="s">
        <v>81</v>
      </c>
      <c r="C1950" s="82" t="s">
        <v>107</v>
      </c>
      <c r="D1950" s="83" t="s">
        <v>108</v>
      </c>
      <c r="F1950" s="94"/>
    </row>
    <row r="1951" spans="1:6" s="87" customFormat="1" x14ac:dyDescent="0.35">
      <c r="A1951" s="223"/>
      <c r="B1951" s="84" t="str">
        <f>B1948</f>
        <v>15th May,2025</v>
      </c>
      <c r="C1951" s="85" t="s">
        <v>787</v>
      </c>
      <c r="D1951" s="86">
        <f>1750*2826</f>
        <v>4945500</v>
      </c>
      <c r="F1951" s="177"/>
    </row>
    <row r="1952" spans="1:6" s="53" customFormat="1" x14ac:dyDescent="0.35">
      <c r="A1952" s="223"/>
      <c r="B1952" s="88"/>
      <c r="C1952" s="89" t="s">
        <v>575</v>
      </c>
      <c r="D1952" s="90">
        <f>333*2650</f>
        <v>882450</v>
      </c>
      <c r="F1952" s="94"/>
    </row>
    <row r="1953" spans="1:7" s="53" customFormat="1" x14ac:dyDescent="0.35">
      <c r="A1953" s="223"/>
      <c r="B1953" s="88" t="s">
        <v>109</v>
      </c>
      <c r="C1953" s="89" t="s">
        <v>110</v>
      </c>
      <c r="D1953" s="90">
        <v>1000000</v>
      </c>
      <c r="F1953" s="94"/>
    </row>
    <row r="1954" spans="1:7" s="53" customFormat="1" x14ac:dyDescent="0.35">
      <c r="A1954" s="223"/>
      <c r="B1954" s="88" t="s">
        <v>111</v>
      </c>
      <c r="C1954" s="89" t="s">
        <v>112</v>
      </c>
      <c r="D1954" s="90">
        <v>40000</v>
      </c>
      <c r="E1954" s="225" t="s">
        <v>113</v>
      </c>
      <c r="F1954" s="225"/>
    </row>
    <row r="1955" spans="1:7" s="53" customFormat="1" x14ac:dyDescent="0.35">
      <c r="A1955" s="223"/>
      <c r="B1955" s="88" t="s">
        <v>564</v>
      </c>
      <c r="C1955" s="89" t="s">
        <v>115</v>
      </c>
      <c r="D1955" s="90">
        <f>500*123</f>
        <v>61500</v>
      </c>
      <c r="E1955" s="91" t="s">
        <v>116</v>
      </c>
      <c r="F1955" s="92">
        <f>(4200*2680)+(1600*2680)</f>
        <v>15544000</v>
      </c>
    </row>
    <row r="1956" spans="1:7" s="53" customFormat="1" x14ac:dyDescent="0.35">
      <c r="A1956" s="223"/>
      <c r="B1956" s="88"/>
      <c r="C1956" s="89" t="s">
        <v>117</v>
      </c>
      <c r="D1956" s="90">
        <f>2500*123</f>
        <v>307500</v>
      </c>
      <c r="E1956" s="93" t="s">
        <v>118</v>
      </c>
      <c r="F1956" s="94">
        <f>(2520*2680)+(1680*2680)</f>
        <v>11256000</v>
      </c>
    </row>
    <row r="1957" spans="1:7" s="53" customFormat="1" ht="15" thickBot="1" x14ac:dyDescent="0.4">
      <c r="A1957" s="223"/>
      <c r="B1957" s="88" t="s">
        <v>119</v>
      </c>
      <c r="C1957" s="89" t="s">
        <v>120</v>
      </c>
      <c r="D1957" s="95">
        <v>30000</v>
      </c>
      <c r="E1957" s="96" t="s">
        <v>121</v>
      </c>
      <c r="F1957" s="97">
        <f>F1955-F1956</f>
        <v>4288000</v>
      </c>
      <c r="G1957" s="98">
        <f>F1957/2680</f>
        <v>1600</v>
      </c>
    </row>
    <row r="1958" spans="1:7" s="53" customFormat="1" ht="15" thickTop="1" x14ac:dyDescent="0.35">
      <c r="A1958" s="223"/>
      <c r="B1958" s="88"/>
      <c r="C1958" s="89" t="s">
        <v>122</v>
      </c>
      <c r="D1958" s="90">
        <v>140000</v>
      </c>
      <c r="F1958" s="94"/>
    </row>
    <row r="1959" spans="1:7" s="53" customFormat="1" x14ac:dyDescent="0.35">
      <c r="A1959" s="223"/>
      <c r="B1959" s="88" t="s">
        <v>601</v>
      </c>
      <c r="C1959" s="99" t="s">
        <v>123</v>
      </c>
      <c r="D1959" s="90">
        <v>15000</v>
      </c>
      <c r="E1959" s="91" t="s">
        <v>124</v>
      </c>
      <c r="F1959" s="92"/>
    </row>
    <row r="1960" spans="1:7" s="53" customFormat="1" x14ac:dyDescent="0.35">
      <c r="A1960" s="223"/>
      <c r="B1960" s="101"/>
      <c r="C1960" s="99" t="s">
        <v>125</v>
      </c>
      <c r="D1960" s="100">
        <v>10000</v>
      </c>
      <c r="E1960" s="102"/>
      <c r="F1960" s="103"/>
    </row>
    <row r="1961" spans="1:7" s="53" customFormat="1" x14ac:dyDescent="0.35">
      <c r="A1961" s="223"/>
      <c r="B1961" s="101"/>
      <c r="C1961" s="99" t="s">
        <v>126</v>
      </c>
      <c r="D1961" s="100">
        <v>40000</v>
      </c>
      <c r="E1961" s="102" t="s">
        <v>127</v>
      </c>
      <c r="F1961" s="103"/>
    </row>
    <row r="1962" spans="1:7" s="53" customFormat="1" x14ac:dyDescent="0.35">
      <c r="A1962" s="223"/>
      <c r="B1962" s="101"/>
      <c r="C1962" s="89" t="s">
        <v>710</v>
      </c>
      <c r="D1962" s="104">
        <v>20000</v>
      </c>
      <c r="E1962" s="102" t="s">
        <v>612</v>
      </c>
      <c r="F1962" s="103"/>
    </row>
    <row r="1963" spans="1:7" s="53" customFormat="1" ht="15" thickBot="1" x14ac:dyDescent="0.4">
      <c r="A1963" s="223"/>
      <c r="B1963" s="105"/>
      <c r="C1963" s="106"/>
      <c r="D1963" s="107"/>
      <c r="E1963" s="53" t="s">
        <v>937</v>
      </c>
      <c r="F1963" s="94"/>
    </row>
    <row r="1964" spans="1:7" s="53" customFormat="1" ht="15" thickBot="1" x14ac:dyDescent="0.4">
      <c r="A1964" s="223"/>
      <c r="B1964" s="108"/>
      <c r="C1964" s="109" t="s">
        <v>129</v>
      </c>
      <c r="D1964" s="110">
        <f>SUM(D1951:D1963)</f>
        <v>7491950</v>
      </c>
      <c r="F1964" s="94"/>
    </row>
    <row r="1965" spans="1:7" s="53" customFormat="1" ht="15.5" thickTop="1" thickBot="1" x14ac:dyDescent="0.4">
      <c r="A1965" s="224"/>
      <c r="B1965" s="226"/>
      <c r="C1965" s="226"/>
      <c r="D1965" s="226"/>
      <c r="F1965" s="94"/>
    </row>
    <row r="1966" spans="1:7" s="53" customFormat="1" x14ac:dyDescent="0.35">
      <c r="B1966" s="87"/>
      <c r="C1966" s="53" t="s">
        <v>130</v>
      </c>
      <c r="D1966" s="111">
        <f>D1948-D1964</f>
        <v>8052050</v>
      </c>
      <c r="F1966" s="94"/>
    </row>
    <row r="1967" spans="1:7" s="53" customFormat="1" x14ac:dyDescent="0.35">
      <c r="B1967" s="87"/>
      <c r="D1967" s="111"/>
      <c r="F1967" s="94"/>
    </row>
    <row r="1968" spans="1:7" s="53" customFormat="1" x14ac:dyDescent="0.35">
      <c r="A1968" s="112"/>
      <c r="B1968" s="113"/>
      <c r="C1968" s="112"/>
      <c r="D1968" s="114"/>
      <c r="E1968" s="112"/>
      <c r="F1968" s="178"/>
    </row>
    <row r="1972" spans="1:6" s="53" customFormat="1" ht="23.5" x14ac:dyDescent="0.55000000000000004">
      <c r="B1972" s="227" t="s">
        <v>0</v>
      </c>
      <c r="C1972" s="227"/>
      <c r="D1972" s="227"/>
      <c r="E1972" s="70"/>
      <c r="F1972" s="176"/>
    </row>
    <row r="1973" spans="1:6" s="53" customFormat="1" ht="20.5" x14ac:dyDescent="0.45">
      <c r="B1973" s="71"/>
      <c r="C1973" s="72" t="s">
        <v>605</v>
      </c>
      <c r="D1973" s="73"/>
      <c r="F1973" s="94"/>
    </row>
    <row r="1974" spans="1:6" s="53" customFormat="1" ht="21" thickBot="1" x14ac:dyDescent="0.5">
      <c r="B1974" s="71" t="s">
        <v>222</v>
      </c>
      <c r="C1974" s="74" t="s">
        <v>103</v>
      </c>
      <c r="D1974" s="73"/>
      <c r="F1974" s="94"/>
    </row>
    <row r="1975" spans="1:6" s="53" customFormat="1" ht="15" thickBot="1" x14ac:dyDescent="0.4">
      <c r="A1975" s="75" t="s">
        <v>104</v>
      </c>
      <c r="B1975" s="76" t="s">
        <v>81</v>
      </c>
      <c r="C1975" s="76" t="s">
        <v>105</v>
      </c>
      <c r="D1975" s="77" t="s">
        <v>84</v>
      </c>
      <c r="F1975" s="94"/>
    </row>
    <row r="1976" spans="1:6" s="53" customFormat="1" ht="14.5" customHeight="1" x14ac:dyDescent="0.35">
      <c r="A1976" s="222" t="s">
        <v>5</v>
      </c>
      <c r="B1976" s="78" t="s">
        <v>599</v>
      </c>
      <c r="C1976" s="79" t="s">
        <v>106</v>
      </c>
      <c r="D1976" s="80">
        <f>F1983</f>
        <v>12060000</v>
      </c>
      <c r="F1976" s="94"/>
    </row>
    <row r="1977" spans="1:6" s="53" customFormat="1" ht="21" thickBot="1" x14ac:dyDescent="0.5">
      <c r="A1977" s="223"/>
      <c r="B1977" s="71"/>
      <c r="C1977" s="71"/>
      <c r="D1977" s="73"/>
      <c r="F1977" s="94"/>
    </row>
    <row r="1978" spans="1:6" s="53" customFormat="1" ht="15" thickBot="1" x14ac:dyDescent="0.4">
      <c r="A1978" s="223"/>
      <c r="B1978" s="81" t="s">
        <v>81</v>
      </c>
      <c r="C1978" s="82" t="s">
        <v>107</v>
      </c>
      <c r="D1978" s="83" t="s">
        <v>108</v>
      </c>
      <c r="F1978" s="94"/>
    </row>
    <row r="1979" spans="1:6" s="87" customFormat="1" x14ac:dyDescent="0.35">
      <c r="A1979" s="223"/>
      <c r="B1979" s="84" t="str">
        <f>B1976</f>
        <v>15th May,2025</v>
      </c>
      <c r="C1979" s="85" t="s">
        <v>468</v>
      </c>
      <c r="D1979" s="86">
        <f>2100*2900</f>
        <v>6090000</v>
      </c>
      <c r="F1979" s="177"/>
    </row>
    <row r="1980" spans="1:6" s="53" customFormat="1" x14ac:dyDescent="0.35">
      <c r="A1980" s="223"/>
      <c r="B1980" s="88"/>
      <c r="C1980" s="89" t="s">
        <v>388</v>
      </c>
      <c r="D1980" s="90">
        <f>356*2650</f>
        <v>943400</v>
      </c>
      <c r="F1980" s="94"/>
    </row>
    <row r="1981" spans="1:6" s="53" customFormat="1" x14ac:dyDescent="0.35">
      <c r="A1981" s="223"/>
      <c r="B1981" s="88" t="s">
        <v>109</v>
      </c>
      <c r="C1981" s="89" t="s">
        <v>110</v>
      </c>
      <c r="D1981" s="90">
        <v>1000000</v>
      </c>
      <c r="F1981" s="94"/>
    </row>
    <row r="1982" spans="1:6" s="53" customFormat="1" x14ac:dyDescent="0.35">
      <c r="A1982" s="223"/>
      <c r="B1982" s="88" t="s">
        <v>111</v>
      </c>
      <c r="C1982" s="89" t="s">
        <v>112</v>
      </c>
      <c r="D1982" s="90">
        <v>40000</v>
      </c>
      <c r="E1982" s="225" t="s">
        <v>113</v>
      </c>
      <c r="F1982" s="225"/>
    </row>
    <row r="1983" spans="1:6" s="53" customFormat="1" x14ac:dyDescent="0.35">
      <c r="A1983" s="223"/>
      <c r="B1983" s="88" t="s">
        <v>383</v>
      </c>
      <c r="C1983" s="89" t="s">
        <v>115</v>
      </c>
      <c r="D1983" s="90">
        <f>400*128</f>
        <v>51200</v>
      </c>
      <c r="E1983" s="91" t="s">
        <v>116</v>
      </c>
      <c r="F1983" s="92">
        <f>4500*2680</f>
        <v>12060000</v>
      </c>
    </row>
    <row r="1984" spans="1:6" s="53" customFormat="1" x14ac:dyDescent="0.35">
      <c r="A1984" s="223"/>
      <c r="B1984" s="88"/>
      <c r="C1984" s="89" t="s">
        <v>117</v>
      </c>
      <c r="D1984" s="90">
        <f>6520*128</f>
        <v>834560</v>
      </c>
      <c r="E1984" s="93" t="s">
        <v>118</v>
      </c>
      <c r="F1984" s="94">
        <f>(2700*2680)+(1800*2680)</f>
        <v>12060000</v>
      </c>
    </row>
    <row r="1985" spans="1:7" s="53" customFormat="1" ht="15" thickBot="1" x14ac:dyDescent="0.4">
      <c r="A1985" s="223"/>
      <c r="B1985" s="88" t="s">
        <v>119</v>
      </c>
      <c r="C1985" s="89" t="s">
        <v>120</v>
      </c>
      <c r="D1985" s="95">
        <v>30000</v>
      </c>
      <c r="E1985" s="96" t="s">
        <v>121</v>
      </c>
      <c r="F1985" s="97">
        <f>F1983-F1984</f>
        <v>0</v>
      </c>
      <c r="G1985" s="98">
        <f>F1985/2680</f>
        <v>0</v>
      </c>
    </row>
    <row r="1986" spans="1:7" s="53" customFormat="1" ht="15" thickTop="1" x14ac:dyDescent="0.35">
      <c r="A1986" s="223"/>
      <c r="B1986" s="88"/>
      <c r="C1986" s="99" t="s">
        <v>123</v>
      </c>
      <c r="D1986" s="100">
        <v>15000</v>
      </c>
      <c r="F1986" s="94"/>
    </row>
    <row r="1987" spans="1:7" s="53" customFormat="1" x14ac:dyDescent="0.35">
      <c r="A1987" s="223"/>
      <c r="B1987" s="88" t="s">
        <v>604</v>
      </c>
      <c r="C1987" s="99" t="s">
        <v>126</v>
      </c>
      <c r="D1987" s="100">
        <v>20000</v>
      </c>
      <c r="E1987" s="91" t="s">
        <v>124</v>
      </c>
      <c r="F1987" s="92"/>
    </row>
    <row r="1988" spans="1:7" s="53" customFormat="1" x14ac:dyDescent="0.35">
      <c r="A1988" s="223"/>
      <c r="B1988" s="101"/>
      <c r="C1988" s="89" t="s">
        <v>122</v>
      </c>
      <c r="D1988" s="100">
        <v>75000</v>
      </c>
      <c r="E1988" s="102"/>
      <c r="F1988" s="103"/>
    </row>
    <row r="1989" spans="1:7" s="53" customFormat="1" x14ac:dyDescent="0.35">
      <c r="A1989" s="223"/>
      <c r="B1989" s="101"/>
      <c r="C1989" s="99" t="s">
        <v>265</v>
      </c>
      <c r="D1989" s="100">
        <f>1537*128</f>
        <v>196736</v>
      </c>
      <c r="E1989" s="102" t="s">
        <v>127</v>
      </c>
      <c r="F1989" s="103"/>
    </row>
    <row r="1990" spans="1:7" s="53" customFormat="1" x14ac:dyDescent="0.35">
      <c r="A1990" s="223"/>
      <c r="B1990" s="101"/>
      <c r="C1990" s="89" t="s">
        <v>709</v>
      </c>
      <c r="D1990" s="90">
        <f>1500*128</f>
        <v>192000</v>
      </c>
      <c r="E1990" s="102" t="s">
        <v>613</v>
      </c>
      <c r="F1990" s="103"/>
    </row>
    <row r="1991" spans="1:7" s="53" customFormat="1" ht="15" thickBot="1" x14ac:dyDescent="0.4">
      <c r="A1991" s="223"/>
      <c r="B1991" s="105"/>
      <c r="C1991" s="106"/>
      <c r="D1991" s="107"/>
      <c r="E1991" s="53" t="s">
        <v>834</v>
      </c>
      <c r="F1991" s="94"/>
    </row>
    <row r="1992" spans="1:7" s="53" customFormat="1" ht="15" thickBot="1" x14ac:dyDescent="0.4">
      <c r="A1992" s="223"/>
      <c r="B1992" s="108"/>
      <c r="C1992" s="109" t="s">
        <v>129</v>
      </c>
      <c r="D1992" s="110">
        <f>SUM(D1979:D1991)</f>
        <v>9487896</v>
      </c>
      <c r="F1992" s="94"/>
    </row>
    <row r="1993" spans="1:7" s="53" customFormat="1" ht="15.5" thickTop="1" thickBot="1" x14ac:dyDescent="0.4">
      <c r="A1993" s="224"/>
      <c r="B1993" s="226"/>
      <c r="C1993" s="226"/>
      <c r="D1993" s="226"/>
      <c r="F1993" s="94"/>
    </row>
    <row r="1994" spans="1:7" s="53" customFormat="1" x14ac:dyDescent="0.35">
      <c r="B1994" s="87"/>
      <c r="C1994" s="53" t="s">
        <v>130</v>
      </c>
      <c r="D1994" s="111">
        <f>D1976-D1992</f>
        <v>2572104</v>
      </c>
      <c r="F1994" s="94"/>
    </row>
    <row r="1995" spans="1:7" s="53" customFormat="1" x14ac:dyDescent="0.35">
      <c r="B1995" s="87"/>
      <c r="D1995" s="111"/>
      <c r="F1995" s="94"/>
    </row>
    <row r="1996" spans="1:7" s="53" customFormat="1" x14ac:dyDescent="0.35">
      <c r="A1996" s="112"/>
      <c r="B1996" s="113"/>
      <c r="C1996" s="112"/>
      <c r="D1996" s="114"/>
      <c r="E1996" s="112"/>
      <c r="F1996" s="178"/>
    </row>
    <row r="1999" spans="1:7" s="53" customFormat="1" ht="23.5" x14ac:dyDescent="0.55000000000000004">
      <c r="B1999" s="227" t="s">
        <v>0</v>
      </c>
      <c r="C1999" s="227"/>
      <c r="D1999" s="227"/>
      <c r="E1999" s="70"/>
      <c r="F1999" s="176"/>
    </row>
    <row r="2000" spans="1:7" s="53" customFormat="1" ht="20.5" x14ac:dyDescent="0.45">
      <c r="B2000" s="71"/>
      <c r="C2000" s="72" t="s">
        <v>608</v>
      </c>
      <c r="D2000" s="73"/>
      <c r="F2000" s="94"/>
    </row>
    <row r="2001" spans="1:8" s="53" customFormat="1" ht="21" thickBot="1" x14ac:dyDescent="0.5">
      <c r="B2001" s="71" t="s">
        <v>178</v>
      </c>
      <c r="C2001" s="74" t="s">
        <v>103</v>
      </c>
      <c r="D2001" s="73"/>
      <c r="F2001" s="94"/>
    </row>
    <row r="2002" spans="1:8" s="53" customFormat="1" ht="15" thickBot="1" x14ac:dyDescent="0.4">
      <c r="A2002" s="75" t="s">
        <v>104</v>
      </c>
      <c r="B2002" s="76" t="s">
        <v>81</v>
      </c>
      <c r="C2002" s="76" t="s">
        <v>105</v>
      </c>
      <c r="D2002" s="77" t="s">
        <v>84</v>
      </c>
      <c r="F2002" s="94"/>
    </row>
    <row r="2003" spans="1:8" s="53" customFormat="1" ht="14.5" customHeight="1" x14ac:dyDescent="0.35">
      <c r="A2003" s="222" t="s">
        <v>5</v>
      </c>
      <c r="B2003" s="78" t="s">
        <v>599</v>
      </c>
      <c r="C2003" s="79" t="s">
        <v>106</v>
      </c>
      <c r="D2003" s="80">
        <f>F2010</f>
        <v>10988000</v>
      </c>
      <c r="F2003" s="94"/>
    </row>
    <row r="2004" spans="1:8" s="53" customFormat="1" ht="21" thickBot="1" x14ac:dyDescent="0.5">
      <c r="A2004" s="223"/>
      <c r="B2004" s="71"/>
      <c r="C2004" s="71"/>
      <c r="D2004" s="73"/>
      <c r="F2004" s="94"/>
    </row>
    <row r="2005" spans="1:8" s="53" customFormat="1" ht="15" thickBot="1" x14ac:dyDescent="0.4">
      <c r="A2005" s="223"/>
      <c r="B2005" s="81" t="s">
        <v>81</v>
      </c>
      <c r="C2005" s="82" t="s">
        <v>107</v>
      </c>
      <c r="D2005" s="83" t="s">
        <v>108</v>
      </c>
      <c r="F2005" s="94"/>
    </row>
    <row r="2006" spans="1:8" s="87" customFormat="1" x14ac:dyDescent="0.35">
      <c r="A2006" s="223"/>
      <c r="B2006" s="84" t="str">
        <f>B2003</f>
        <v>15th May,2025</v>
      </c>
      <c r="C2006" s="85" t="s">
        <v>467</v>
      </c>
      <c r="D2006" s="86">
        <f>2000*2900</f>
        <v>5800000</v>
      </c>
      <c r="F2006" s="177"/>
    </row>
    <row r="2007" spans="1:8" s="53" customFormat="1" x14ac:dyDescent="0.35">
      <c r="A2007" s="223"/>
      <c r="B2007" s="88"/>
      <c r="C2007" s="89" t="s">
        <v>210</v>
      </c>
      <c r="D2007" s="90">
        <f>319*2650</f>
        <v>845350</v>
      </c>
      <c r="F2007" s="94"/>
    </row>
    <row r="2008" spans="1:8" s="53" customFormat="1" x14ac:dyDescent="0.35">
      <c r="A2008" s="223"/>
      <c r="B2008" s="88" t="s">
        <v>109</v>
      </c>
      <c r="C2008" s="89" t="s">
        <v>110</v>
      </c>
      <c r="D2008" s="90">
        <v>1000000</v>
      </c>
      <c r="F2008" s="94"/>
    </row>
    <row r="2009" spans="1:8" s="53" customFormat="1" x14ac:dyDescent="0.35">
      <c r="A2009" s="223"/>
      <c r="B2009" s="88" t="s">
        <v>111</v>
      </c>
      <c r="C2009" s="89" t="s">
        <v>112</v>
      </c>
      <c r="D2009" s="90">
        <v>40000</v>
      </c>
      <c r="E2009" s="225" t="s">
        <v>113</v>
      </c>
      <c r="F2009" s="225"/>
    </row>
    <row r="2010" spans="1:8" s="53" customFormat="1" x14ac:dyDescent="0.35">
      <c r="A2010" s="223"/>
      <c r="B2010" s="88" t="s">
        <v>206</v>
      </c>
      <c r="C2010" s="89" t="s">
        <v>115</v>
      </c>
      <c r="D2010" s="90">
        <f>450*123</f>
        <v>55350</v>
      </c>
      <c r="E2010" s="91" t="s">
        <v>116</v>
      </c>
      <c r="F2010" s="92">
        <f>4100*2680</f>
        <v>10988000</v>
      </c>
    </row>
    <row r="2011" spans="1:8" s="53" customFormat="1" x14ac:dyDescent="0.35">
      <c r="A2011" s="223"/>
      <c r="B2011" s="88"/>
      <c r="C2011" s="89" t="s">
        <v>117</v>
      </c>
      <c r="D2011" s="90">
        <f>2420*123</f>
        <v>297660</v>
      </c>
      <c r="E2011" s="93" t="s">
        <v>118</v>
      </c>
      <c r="F2011" s="94">
        <f>(2460*2680)+(1470*2680)</f>
        <v>10532400</v>
      </c>
    </row>
    <row r="2012" spans="1:8" s="53" customFormat="1" ht="15" thickBot="1" x14ac:dyDescent="0.4">
      <c r="A2012" s="223"/>
      <c r="B2012" s="88" t="s">
        <v>119</v>
      </c>
      <c r="C2012" s="89" t="s">
        <v>120</v>
      </c>
      <c r="D2012" s="95">
        <v>30000</v>
      </c>
      <c r="E2012" s="96" t="s">
        <v>121</v>
      </c>
      <c r="F2012" s="97">
        <f>F2010-F2011</f>
        <v>455600</v>
      </c>
      <c r="G2012" s="98">
        <f>F2012/2680</f>
        <v>170</v>
      </c>
      <c r="H2012" s="53" t="s">
        <v>835</v>
      </c>
    </row>
    <row r="2013" spans="1:8" s="53" customFormat="1" ht="15" thickTop="1" x14ac:dyDescent="0.35">
      <c r="A2013" s="223"/>
      <c r="B2013" s="88"/>
      <c r="C2013" s="89" t="s">
        <v>122</v>
      </c>
      <c r="D2013" s="90">
        <v>140000</v>
      </c>
      <c r="F2013" s="94"/>
    </row>
    <row r="2014" spans="1:8" s="53" customFormat="1" x14ac:dyDescent="0.35">
      <c r="A2014" s="223"/>
      <c r="B2014" s="88" t="s">
        <v>607</v>
      </c>
      <c r="C2014" s="99" t="s">
        <v>123</v>
      </c>
      <c r="D2014" s="90">
        <v>15000</v>
      </c>
      <c r="E2014" s="91" t="s">
        <v>124</v>
      </c>
      <c r="F2014" s="92"/>
    </row>
    <row r="2015" spans="1:8" s="53" customFormat="1" x14ac:dyDescent="0.35">
      <c r="A2015" s="223"/>
      <c r="B2015" s="101"/>
      <c r="C2015" s="99" t="s">
        <v>125</v>
      </c>
      <c r="D2015" s="100">
        <v>10000</v>
      </c>
      <c r="E2015" s="102"/>
      <c r="F2015" s="103"/>
    </row>
    <row r="2016" spans="1:8" s="53" customFormat="1" x14ac:dyDescent="0.35">
      <c r="A2016" s="223"/>
      <c r="B2016" s="101"/>
      <c r="C2016" s="99" t="s">
        <v>126</v>
      </c>
      <c r="D2016" s="100">
        <v>30000</v>
      </c>
      <c r="E2016" s="102" t="s">
        <v>127</v>
      </c>
      <c r="F2016" s="103"/>
    </row>
    <row r="2017" spans="1:6" s="53" customFormat="1" x14ac:dyDescent="0.35">
      <c r="A2017" s="223"/>
      <c r="B2017" s="101"/>
      <c r="C2017" s="89"/>
      <c r="D2017" s="104"/>
      <c r="E2017" s="102" t="s">
        <v>612</v>
      </c>
      <c r="F2017" s="103"/>
    </row>
    <row r="2018" spans="1:6" s="53" customFormat="1" ht="15" thickBot="1" x14ac:dyDescent="0.4">
      <c r="A2018" s="223"/>
      <c r="B2018" s="105"/>
      <c r="C2018" s="106"/>
      <c r="D2018" s="107"/>
      <c r="E2018" s="53" t="s">
        <v>834</v>
      </c>
      <c r="F2018" s="94"/>
    </row>
    <row r="2019" spans="1:6" s="53" customFormat="1" ht="15" thickBot="1" x14ac:dyDescent="0.4">
      <c r="A2019" s="223"/>
      <c r="B2019" s="108"/>
      <c r="C2019" s="109" t="s">
        <v>129</v>
      </c>
      <c r="D2019" s="110">
        <f>SUM(D2006:D2018)</f>
        <v>8263360</v>
      </c>
      <c r="F2019" s="94"/>
    </row>
    <row r="2020" spans="1:6" s="53" customFormat="1" ht="15.5" thickTop="1" thickBot="1" x14ac:dyDescent="0.4">
      <c r="A2020" s="224"/>
      <c r="B2020" s="226"/>
      <c r="C2020" s="226"/>
      <c r="D2020" s="226"/>
      <c r="F2020" s="94"/>
    </row>
    <row r="2021" spans="1:6" s="53" customFormat="1" x14ac:dyDescent="0.35">
      <c r="B2021" s="87"/>
      <c r="C2021" s="53" t="s">
        <v>130</v>
      </c>
      <c r="D2021" s="111">
        <f>D2003-D2019</f>
        <v>2724640</v>
      </c>
      <c r="F2021" s="94"/>
    </row>
    <row r="2022" spans="1:6" s="53" customFormat="1" x14ac:dyDescent="0.35">
      <c r="B2022" s="87"/>
      <c r="D2022" s="111"/>
      <c r="F2022" s="94"/>
    </row>
    <row r="2023" spans="1:6" s="53" customFormat="1" x14ac:dyDescent="0.35">
      <c r="A2023" s="112"/>
      <c r="B2023" s="113"/>
      <c r="C2023" s="112"/>
      <c r="D2023" s="114"/>
      <c r="E2023" s="112"/>
      <c r="F2023" s="178"/>
    </row>
    <row r="2026" spans="1:6" s="53" customFormat="1" ht="23.5" x14ac:dyDescent="0.55000000000000004">
      <c r="B2026" s="227" t="s">
        <v>0</v>
      </c>
      <c r="C2026" s="227"/>
      <c r="D2026" s="227"/>
      <c r="E2026" s="70"/>
      <c r="F2026" s="176"/>
    </row>
    <row r="2027" spans="1:6" s="53" customFormat="1" ht="20.5" x14ac:dyDescent="0.45">
      <c r="B2027" s="71"/>
      <c r="C2027" s="72" t="s">
        <v>618</v>
      </c>
      <c r="D2027" s="73"/>
      <c r="F2027" s="94"/>
    </row>
    <row r="2028" spans="1:6" s="53" customFormat="1" ht="21" thickBot="1" x14ac:dyDescent="0.5">
      <c r="B2028" s="71" t="s">
        <v>163</v>
      </c>
      <c r="C2028" s="74" t="s">
        <v>103</v>
      </c>
      <c r="D2028" s="73"/>
      <c r="F2028" s="94"/>
    </row>
    <row r="2029" spans="1:6" s="53" customFormat="1" ht="15" thickBot="1" x14ac:dyDescent="0.4">
      <c r="A2029" s="75" t="s">
        <v>104</v>
      </c>
      <c r="B2029" s="76" t="s">
        <v>81</v>
      </c>
      <c r="C2029" s="76" t="s">
        <v>105</v>
      </c>
      <c r="D2029" s="77" t="s">
        <v>84</v>
      </c>
      <c r="F2029" s="94"/>
    </row>
    <row r="2030" spans="1:6" s="53" customFormat="1" ht="14.5" customHeight="1" x14ac:dyDescent="0.35">
      <c r="A2030" s="222" t="s">
        <v>5</v>
      </c>
      <c r="B2030" s="78" t="s">
        <v>619</v>
      </c>
      <c r="C2030" s="79" t="s">
        <v>106</v>
      </c>
      <c r="D2030" s="80">
        <f>F2037</f>
        <v>10988000</v>
      </c>
      <c r="F2030" s="94"/>
    </row>
    <row r="2031" spans="1:6" s="53" customFormat="1" ht="21" thickBot="1" x14ac:dyDescent="0.5">
      <c r="A2031" s="223"/>
      <c r="B2031" s="71"/>
      <c r="C2031" s="71"/>
      <c r="D2031" s="73"/>
      <c r="F2031" s="94"/>
    </row>
    <row r="2032" spans="1:6" s="53" customFormat="1" ht="15" thickBot="1" x14ac:dyDescent="0.4">
      <c r="A2032" s="223"/>
      <c r="B2032" s="81" t="s">
        <v>81</v>
      </c>
      <c r="C2032" s="82" t="s">
        <v>107</v>
      </c>
      <c r="D2032" s="83" t="s">
        <v>108</v>
      </c>
      <c r="F2032" s="94"/>
    </row>
    <row r="2033" spans="1:7" s="87" customFormat="1" x14ac:dyDescent="0.35">
      <c r="A2033" s="223"/>
      <c r="B2033" s="84" t="str">
        <f>B2030</f>
        <v>21st May,2025</v>
      </c>
      <c r="C2033" s="85" t="s">
        <v>467</v>
      </c>
      <c r="D2033" s="86">
        <f>2000*2900</f>
        <v>5800000</v>
      </c>
      <c r="F2033" s="177"/>
    </row>
    <row r="2034" spans="1:7" s="53" customFormat="1" x14ac:dyDescent="0.35">
      <c r="A2034" s="223"/>
      <c r="B2034" s="88"/>
      <c r="C2034" s="89" t="s">
        <v>210</v>
      </c>
      <c r="D2034" s="90">
        <f>319*2650</f>
        <v>845350</v>
      </c>
      <c r="F2034" s="94"/>
    </row>
    <row r="2035" spans="1:7" s="53" customFormat="1" x14ac:dyDescent="0.35">
      <c r="A2035" s="223"/>
      <c r="B2035" s="88" t="s">
        <v>109</v>
      </c>
      <c r="C2035" s="89" t="s">
        <v>110</v>
      </c>
      <c r="D2035" s="90">
        <v>1000000</v>
      </c>
      <c r="F2035" s="94"/>
    </row>
    <row r="2036" spans="1:7" s="53" customFormat="1" x14ac:dyDescent="0.35">
      <c r="A2036" s="223"/>
      <c r="B2036" s="88" t="s">
        <v>111</v>
      </c>
      <c r="C2036" s="89" t="s">
        <v>112</v>
      </c>
      <c r="D2036" s="90">
        <v>40000</v>
      </c>
      <c r="E2036" s="225" t="s">
        <v>113</v>
      </c>
      <c r="F2036" s="225"/>
    </row>
    <row r="2037" spans="1:7" s="53" customFormat="1" x14ac:dyDescent="0.35">
      <c r="A2037" s="223"/>
      <c r="B2037" s="88" t="s">
        <v>206</v>
      </c>
      <c r="C2037" s="89" t="s">
        <v>115</v>
      </c>
      <c r="D2037" s="90">
        <f>450*123</f>
        <v>55350</v>
      </c>
      <c r="E2037" s="91" t="s">
        <v>116</v>
      </c>
      <c r="F2037" s="92">
        <f>4100*2680</f>
        <v>10988000</v>
      </c>
    </row>
    <row r="2038" spans="1:7" s="53" customFormat="1" x14ac:dyDescent="0.35">
      <c r="A2038" s="223"/>
      <c r="B2038" s="88"/>
      <c r="C2038" s="89" t="s">
        <v>117</v>
      </c>
      <c r="D2038" s="90">
        <f>2420*123</f>
        <v>297660</v>
      </c>
      <c r="E2038" s="93" t="s">
        <v>118</v>
      </c>
      <c r="F2038" s="94">
        <f>(2460*2680)+(1640*2680)</f>
        <v>10988000</v>
      </c>
    </row>
    <row r="2039" spans="1:7" s="53" customFormat="1" ht="15" thickBot="1" x14ac:dyDescent="0.4">
      <c r="A2039" s="223"/>
      <c r="B2039" s="88" t="s">
        <v>119</v>
      </c>
      <c r="C2039" s="89" t="s">
        <v>120</v>
      </c>
      <c r="D2039" s="95">
        <v>30000</v>
      </c>
      <c r="E2039" s="96" t="s">
        <v>121</v>
      </c>
      <c r="F2039" s="97">
        <f>F2037-F2038</f>
        <v>0</v>
      </c>
      <c r="G2039" s="98">
        <f>F2039/2680</f>
        <v>0</v>
      </c>
    </row>
    <row r="2040" spans="1:7" s="53" customFormat="1" ht="15" thickTop="1" x14ac:dyDescent="0.35">
      <c r="A2040" s="223"/>
      <c r="B2040" s="88"/>
      <c r="C2040" s="89" t="s">
        <v>122</v>
      </c>
      <c r="D2040" s="90">
        <v>140000</v>
      </c>
      <c r="F2040" s="94"/>
    </row>
    <row r="2041" spans="1:7" s="53" customFormat="1" x14ac:dyDescent="0.35">
      <c r="A2041" s="223"/>
      <c r="B2041" s="88" t="s">
        <v>617</v>
      </c>
      <c r="C2041" s="99" t="s">
        <v>123</v>
      </c>
      <c r="D2041" s="90">
        <v>15000</v>
      </c>
      <c r="E2041" s="91" t="s">
        <v>124</v>
      </c>
      <c r="F2041" s="92"/>
    </row>
    <row r="2042" spans="1:7" s="53" customFormat="1" x14ac:dyDescent="0.35">
      <c r="A2042" s="223"/>
      <c r="B2042" s="101"/>
      <c r="C2042" s="99" t="s">
        <v>125</v>
      </c>
      <c r="D2042" s="100">
        <v>10000</v>
      </c>
      <c r="E2042" s="102"/>
      <c r="F2042" s="103"/>
    </row>
    <row r="2043" spans="1:7" s="53" customFormat="1" x14ac:dyDescent="0.35">
      <c r="A2043" s="223"/>
      <c r="B2043" s="101"/>
      <c r="C2043" s="99" t="s">
        <v>126</v>
      </c>
      <c r="D2043" s="100">
        <v>30000</v>
      </c>
      <c r="E2043" s="102" t="s">
        <v>127</v>
      </c>
      <c r="F2043" s="103"/>
    </row>
    <row r="2044" spans="1:7" s="53" customFormat="1" x14ac:dyDescent="0.35">
      <c r="A2044" s="223"/>
      <c r="B2044" s="101"/>
      <c r="C2044" s="89"/>
      <c r="D2044" s="104">
        <v>0</v>
      </c>
      <c r="E2044" s="102" t="s">
        <v>631</v>
      </c>
      <c r="F2044" s="103"/>
    </row>
    <row r="2045" spans="1:7" s="53" customFormat="1" ht="15" thickBot="1" x14ac:dyDescent="0.4">
      <c r="A2045" s="223"/>
      <c r="B2045" s="105"/>
      <c r="C2045" s="106"/>
      <c r="D2045" s="107"/>
      <c r="E2045" s="53" t="s">
        <v>832</v>
      </c>
      <c r="F2045" s="94"/>
    </row>
    <row r="2046" spans="1:7" s="53" customFormat="1" ht="15" thickBot="1" x14ac:dyDescent="0.4">
      <c r="A2046" s="223"/>
      <c r="B2046" s="108"/>
      <c r="C2046" s="109" t="s">
        <v>129</v>
      </c>
      <c r="D2046" s="110">
        <f>SUM(D2033:D2045)</f>
        <v>8263360</v>
      </c>
      <c r="F2046" s="94"/>
    </row>
    <row r="2047" spans="1:7" s="53" customFormat="1" ht="15.5" thickTop="1" thickBot="1" x14ac:dyDescent="0.4">
      <c r="A2047" s="224"/>
      <c r="B2047" s="226"/>
      <c r="C2047" s="226"/>
      <c r="D2047" s="226"/>
      <c r="F2047" s="94"/>
    </row>
    <row r="2048" spans="1:7" s="53" customFormat="1" x14ac:dyDescent="0.35">
      <c r="B2048" s="87"/>
      <c r="C2048" s="53" t="s">
        <v>130</v>
      </c>
      <c r="D2048" s="111">
        <f>D2030-D2046</f>
        <v>2724640</v>
      </c>
      <c r="F2048" s="94"/>
    </row>
    <row r="2049" spans="1:6" s="53" customFormat="1" x14ac:dyDescent="0.35">
      <c r="B2049" s="87"/>
      <c r="D2049" s="111"/>
      <c r="F2049" s="94"/>
    </row>
    <row r="2050" spans="1:6" s="53" customFormat="1" x14ac:dyDescent="0.35">
      <c r="A2050" s="112"/>
      <c r="B2050" s="113"/>
      <c r="C2050" s="112"/>
      <c r="D2050" s="114"/>
      <c r="E2050" s="112"/>
      <c r="F2050" s="178"/>
    </row>
    <row r="2053" spans="1:6" s="53" customFormat="1" ht="23.5" x14ac:dyDescent="0.55000000000000004">
      <c r="B2053" s="227" t="s">
        <v>0</v>
      </c>
      <c r="C2053" s="227"/>
      <c r="D2053" s="227"/>
      <c r="E2053" s="70"/>
      <c r="F2053" s="176"/>
    </row>
    <row r="2054" spans="1:6" s="53" customFormat="1" ht="20.5" x14ac:dyDescent="0.45">
      <c r="B2054" s="71"/>
      <c r="C2054" s="72" t="s">
        <v>625</v>
      </c>
      <c r="D2054" s="73"/>
      <c r="F2054" s="94"/>
    </row>
    <row r="2055" spans="1:6" s="53" customFormat="1" ht="21" thickBot="1" x14ac:dyDescent="0.5">
      <c r="B2055" s="71" t="s">
        <v>401</v>
      </c>
      <c r="C2055" s="74" t="s">
        <v>103</v>
      </c>
      <c r="D2055" s="73"/>
      <c r="F2055" s="94"/>
    </row>
    <row r="2056" spans="1:6" s="53" customFormat="1" ht="15" thickBot="1" x14ac:dyDescent="0.4">
      <c r="A2056" s="75" t="s">
        <v>104</v>
      </c>
      <c r="B2056" s="76" t="s">
        <v>81</v>
      </c>
      <c r="C2056" s="76" t="s">
        <v>105</v>
      </c>
      <c r="D2056" s="77" t="s">
        <v>84</v>
      </c>
      <c r="F2056" s="94"/>
    </row>
    <row r="2057" spans="1:6" s="53" customFormat="1" ht="14.5" customHeight="1" x14ac:dyDescent="0.35">
      <c r="A2057" s="222" t="s">
        <v>5</v>
      </c>
      <c r="B2057" s="78" t="s">
        <v>626</v>
      </c>
      <c r="C2057" s="79" t="s">
        <v>106</v>
      </c>
      <c r="D2057" s="80">
        <f>F2064</f>
        <v>10988000</v>
      </c>
      <c r="F2057" s="94"/>
    </row>
    <row r="2058" spans="1:6" s="53" customFormat="1" ht="21" thickBot="1" x14ac:dyDescent="0.5">
      <c r="A2058" s="223"/>
      <c r="B2058" s="71"/>
      <c r="C2058" s="71"/>
      <c r="D2058" s="73"/>
      <c r="F2058" s="94"/>
    </row>
    <row r="2059" spans="1:6" s="53" customFormat="1" ht="15" thickBot="1" x14ac:dyDescent="0.4">
      <c r="A2059" s="223"/>
      <c r="B2059" s="81" t="s">
        <v>81</v>
      </c>
      <c r="C2059" s="82" t="s">
        <v>107</v>
      </c>
      <c r="D2059" s="83" t="s">
        <v>108</v>
      </c>
      <c r="F2059" s="94"/>
    </row>
    <row r="2060" spans="1:6" s="87" customFormat="1" x14ac:dyDescent="0.35">
      <c r="A2060" s="223"/>
      <c r="B2060" s="84" t="str">
        <f>B2057</f>
        <v>24th May,2025</v>
      </c>
      <c r="C2060" s="85" t="s">
        <v>707</v>
      </c>
      <c r="D2060" s="86">
        <f>1750*2880</f>
        <v>5040000</v>
      </c>
      <c r="F2060" s="177"/>
    </row>
    <row r="2061" spans="1:6" s="53" customFormat="1" x14ac:dyDescent="0.35">
      <c r="A2061" s="223"/>
      <c r="B2061" s="88"/>
      <c r="C2061" s="89" t="s">
        <v>210</v>
      </c>
      <c r="D2061" s="90">
        <f>319*2650</f>
        <v>845350</v>
      </c>
      <c r="F2061" s="94"/>
    </row>
    <row r="2062" spans="1:6" s="53" customFormat="1" x14ac:dyDescent="0.35">
      <c r="A2062" s="223"/>
      <c r="B2062" s="88" t="s">
        <v>109</v>
      </c>
      <c r="C2062" s="89" t="s">
        <v>110</v>
      </c>
      <c r="D2062" s="90">
        <v>1000000</v>
      </c>
      <c r="F2062" s="94"/>
    </row>
    <row r="2063" spans="1:6" s="53" customFormat="1" x14ac:dyDescent="0.35">
      <c r="A2063" s="223"/>
      <c r="B2063" s="88" t="s">
        <v>111</v>
      </c>
      <c r="C2063" s="89" t="s">
        <v>112</v>
      </c>
      <c r="D2063" s="90">
        <v>40000</v>
      </c>
      <c r="E2063" s="225" t="s">
        <v>113</v>
      </c>
      <c r="F2063" s="225"/>
    </row>
    <row r="2064" spans="1:6" s="53" customFormat="1" x14ac:dyDescent="0.35">
      <c r="A2064" s="223"/>
      <c r="B2064" s="88" t="s">
        <v>206</v>
      </c>
      <c r="C2064" s="89" t="s">
        <v>115</v>
      </c>
      <c r="D2064" s="90">
        <f>800*123</f>
        <v>98400</v>
      </c>
      <c r="E2064" s="91" t="s">
        <v>116</v>
      </c>
      <c r="F2064" s="92">
        <f>4100*2680</f>
        <v>10988000</v>
      </c>
    </row>
    <row r="2065" spans="1:7" s="53" customFormat="1" x14ac:dyDescent="0.35">
      <c r="A2065" s="223"/>
      <c r="B2065" s="88"/>
      <c r="C2065" s="89" t="s">
        <v>117</v>
      </c>
      <c r="D2065" s="90">
        <f>2420*123</f>
        <v>297660</v>
      </c>
      <c r="E2065" s="93" t="s">
        <v>118</v>
      </c>
      <c r="F2065" s="94">
        <f>(2460*2680)+(1640*2680)</f>
        <v>10988000</v>
      </c>
    </row>
    <row r="2066" spans="1:7" s="53" customFormat="1" ht="15" thickBot="1" x14ac:dyDescent="0.4">
      <c r="A2066" s="223"/>
      <c r="B2066" s="88" t="s">
        <v>119</v>
      </c>
      <c r="C2066" s="89" t="s">
        <v>120</v>
      </c>
      <c r="D2066" s="95">
        <v>30000</v>
      </c>
      <c r="E2066" s="96" t="s">
        <v>121</v>
      </c>
      <c r="F2066" s="97">
        <f>F2064-F2065</f>
        <v>0</v>
      </c>
      <c r="G2066" s="98">
        <f>F2066/2680</f>
        <v>0</v>
      </c>
    </row>
    <row r="2067" spans="1:7" s="53" customFormat="1" ht="15" thickTop="1" x14ac:dyDescent="0.35">
      <c r="A2067" s="223"/>
      <c r="B2067" s="88"/>
      <c r="C2067" s="89" t="s">
        <v>122</v>
      </c>
      <c r="D2067" s="90">
        <v>140000</v>
      </c>
      <c r="F2067" s="94"/>
    </row>
    <row r="2068" spans="1:7" s="53" customFormat="1" x14ac:dyDescent="0.35">
      <c r="A2068" s="223"/>
      <c r="B2068" s="88" t="s">
        <v>624</v>
      </c>
      <c r="C2068" s="99" t="s">
        <v>123</v>
      </c>
      <c r="D2068" s="90">
        <v>15000</v>
      </c>
      <c r="E2068" s="91" t="s">
        <v>124</v>
      </c>
      <c r="F2068" s="92"/>
    </row>
    <row r="2069" spans="1:7" s="53" customFormat="1" x14ac:dyDescent="0.35">
      <c r="A2069" s="223"/>
      <c r="B2069" s="101"/>
      <c r="C2069" s="99" t="s">
        <v>125</v>
      </c>
      <c r="D2069" s="100">
        <v>10000</v>
      </c>
      <c r="E2069" s="102"/>
      <c r="F2069" s="103"/>
    </row>
    <row r="2070" spans="1:7" s="53" customFormat="1" x14ac:dyDescent="0.35">
      <c r="A2070" s="223"/>
      <c r="B2070" s="101"/>
      <c r="C2070" s="99" t="s">
        <v>126</v>
      </c>
      <c r="D2070" s="100">
        <v>20000</v>
      </c>
      <c r="E2070" s="102" t="s">
        <v>127</v>
      </c>
      <c r="F2070" s="103"/>
    </row>
    <row r="2071" spans="1:7" s="53" customFormat="1" x14ac:dyDescent="0.35">
      <c r="A2071" s="223"/>
      <c r="B2071" s="101"/>
      <c r="C2071" s="89" t="s">
        <v>265</v>
      </c>
      <c r="D2071" s="104">
        <v>0</v>
      </c>
      <c r="E2071" s="102" t="s">
        <v>631</v>
      </c>
      <c r="F2071" s="103"/>
    </row>
    <row r="2072" spans="1:7" s="53" customFormat="1" ht="15" thickBot="1" x14ac:dyDescent="0.4">
      <c r="A2072" s="223"/>
      <c r="B2072" s="105"/>
      <c r="C2072" s="106"/>
      <c r="D2072" s="107"/>
      <c r="E2072" s="53" t="s">
        <v>832</v>
      </c>
      <c r="F2072" s="94"/>
    </row>
    <row r="2073" spans="1:7" s="53" customFormat="1" ht="15" thickBot="1" x14ac:dyDescent="0.4">
      <c r="A2073" s="223"/>
      <c r="B2073" s="108"/>
      <c r="C2073" s="109" t="s">
        <v>129</v>
      </c>
      <c r="D2073" s="110">
        <f>SUM(D2060:D2072)</f>
        <v>7536410</v>
      </c>
      <c r="F2073" s="94"/>
    </row>
    <row r="2074" spans="1:7" s="53" customFormat="1" ht="15.5" thickTop="1" thickBot="1" x14ac:dyDescent="0.4">
      <c r="A2074" s="224"/>
      <c r="B2074" s="226"/>
      <c r="C2074" s="226"/>
      <c r="D2074" s="226"/>
      <c r="F2074" s="94"/>
    </row>
    <row r="2075" spans="1:7" s="53" customFormat="1" x14ac:dyDescent="0.35">
      <c r="B2075" s="87"/>
      <c r="C2075" s="53" t="s">
        <v>130</v>
      </c>
      <c r="D2075" s="111">
        <f>D2057-D2073</f>
        <v>3451590</v>
      </c>
      <c r="F2075" s="94"/>
    </row>
    <row r="2076" spans="1:7" s="53" customFormat="1" x14ac:dyDescent="0.35">
      <c r="B2076" s="87"/>
      <c r="D2076" s="111"/>
      <c r="F2076" s="94"/>
    </row>
    <row r="2077" spans="1:7" s="53" customFormat="1" x14ac:dyDescent="0.35">
      <c r="A2077" s="112"/>
      <c r="B2077" s="113"/>
      <c r="C2077" s="112"/>
      <c r="D2077" s="114"/>
      <c r="E2077" s="112"/>
      <c r="F2077" s="178"/>
    </row>
    <row r="2080" spans="1:7" s="53" customFormat="1" ht="23.5" x14ac:dyDescent="0.55000000000000004">
      <c r="B2080" s="227" t="s">
        <v>0</v>
      </c>
      <c r="C2080" s="227"/>
      <c r="D2080" s="227"/>
      <c r="E2080" s="70"/>
      <c r="F2080" s="176"/>
    </row>
    <row r="2081" spans="1:7" s="53" customFormat="1" ht="20.5" x14ac:dyDescent="0.45">
      <c r="B2081" s="71"/>
      <c r="C2081" s="72" t="s">
        <v>629</v>
      </c>
      <c r="D2081" s="73"/>
      <c r="F2081" s="94"/>
    </row>
    <row r="2082" spans="1:7" s="53" customFormat="1" ht="21" thickBot="1" x14ac:dyDescent="0.5">
      <c r="B2082" s="71" t="s">
        <v>518</v>
      </c>
      <c r="C2082" s="74" t="s">
        <v>103</v>
      </c>
      <c r="D2082" s="73"/>
      <c r="F2082" s="94"/>
    </row>
    <row r="2083" spans="1:7" s="53" customFormat="1" ht="15" thickBot="1" x14ac:dyDescent="0.4">
      <c r="A2083" s="75" t="s">
        <v>104</v>
      </c>
      <c r="B2083" s="76" t="s">
        <v>81</v>
      </c>
      <c r="C2083" s="76" t="s">
        <v>105</v>
      </c>
      <c r="D2083" s="77" t="s">
        <v>84</v>
      </c>
      <c r="F2083" s="94"/>
    </row>
    <row r="2084" spans="1:7" s="53" customFormat="1" ht="14.5" customHeight="1" x14ac:dyDescent="0.35">
      <c r="A2084" s="222" t="s">
        <v>5</v>
      </c>
      <c r="B2084" s="78" t="s">
        <v>630</v>
      </c>
      <c r="C2084" s="79" t="s">
        <v>106</v>
      </c>
      <c r="D2084" s="80">
        <f>F2091</f>
        <v>10988000</v>
      </c>
      <c r="F2084" s="94"/>
    </row>
    <row r="2085" spans="1:7" s="53" customFormat="1" ht="21" thickBot="1" x14ac:dyDescent="0.5">
      <c r="A2085" s="223"/>
      <c r="B2085" s="71"/>
      <c r="C2085" s="71"/>
      <c r="D2085" s="73"/>
      <c r="F2085" s="94"/>
    </row>
    <row r="2086" spans="1:7" s="53" customFormat="1" ht="15" thickBot="1" x14ac:dyDescent="0.4">
      <c r="A2086" s="223"/>
      <c r="B2086" s="81" t="s">
        <v>81</v>
      </c>
      <c r="C2086" s="82" t="s">
        <v>107</v>
      </c>
      <c r="D2086" s="83" t="s">
        <v>108</v>
      </c>
      <c r="F2086" s="94"/>
    </row>
    <row r="2087" spans="1:7" s="87" customFormat="1" x14ac:dyDescent="0.35">
      <c r="A2087" s="223"/>
      <c r="B2087" s="84" t="str">
        <f>B2084</f>
        <v>27th May,2025</v>
      </c>
      <c r="C2087" s="85" t="s">
        <v>707</v>
      </c>
      <c r="D2087" s="86">
        <f>1750*2880</f>
        <v>5040000</v>
      </c>
      <c r="F2087" s="177"/>
    </row>
    <row r="2088" spans="1:7" s="53" customFormat="1" x14ac:dyDescent="0.35">
      <c r="A2088" s="223"/>
      <c r="B2088" s="88"/>
      <c r="C2088" s="89" t="s">
        <v>159</v>
      </c>
      <c r="D2088" s="90">
        <f>299*2650</f>
        <v>792350</v>
      </c>
      <c r="F2088" s="94"/>
    </row>
    <row r="2089" spans="1:7" s="53" customFormat="1" x14ac:dyDescent="0.35">
      <c r="A2089" s="223"/>
      <c r="B2089" s="88" t="s">
        <v>109</v>
      </c>
      <c r="C2089" s="89" t="s">
        <v>110</v>
      </c>
      <c r="D2089" s="90">
        <v>1000000</v>
      </c>
      <c r="F2089" s="94"/>
    </row>
    <row r="2090" spans="1:7" s="53" customFormat="1" x14ac:dyDescent="0.35">
      <c r="A2090" s="223"/>
      <c r="B2090" s="88" t="s">
        <v>111</v>
      </c>
      <c r="C2090" s="89" t="s">
        <v>112</v>
      </c>
      <c r="D2090" s="90">
        <v>40000</v>
      </c>
      <c r="E2090" s="225" t="s">
        <v>113</v>
      </c>
      <c r="F2090" s="225"/>
    </row>
    <row r="2091" spans="1:7" s="53" customFormat="1" x14ac:dyDescent="0.35">
      <c r="A2091" s="223"/>
      <c r="B2091" s="88" t="s">
        <v>114</v>
      </c>
      <c r="C2091" s="89" t="s">
        <v>115</v>
      </c>
      <c r="D2091" s="90">
        <f>500*123</f>
        <v>61500</v>
      </c>
      <c r="E2091" s="91" t="s">
        <v>116</v>
      </c>
      <c r="F2091" s="92">
        <f>4100*2680</f>
        <v>10988000</v>
      </c>
    </row>
    <row r="2092" spans="1:7" s="53" customFormat="1" x14ac:dyDescent="0.35">
      <c r="A2092" s="223"/>
      <c r="B2092" s="88"/>
      <c r="C2092" s="89" t="s">
        <v>117</v>
      </c>
      <c r="D2092" s="90">
        <f>1500*123</f>
        <v>184500</v>
      </c>
      <c r="E2092" s="93" t="s">
        <v>118</v>
      </c>
      <c r="F2092" s="94">
        <f>(2460*2680)+(1640*2680)</f>
        <v>10988000</v>
      </c>
    </row>
    <row r="2093" spans="1:7" s="53" customFormat="1" ht="15" thickBot="1" x14ac:dyDescent="0.4">
      <c r="A2093" s="223"/>
      <c r="B2093" s="88" t="s">
        <v>119</v>
      </c>
      <c r="C2093" s="89" t="s">
        <v>120</v>
      </c>
      <c r="D2093" s="95">
        <v>30000</v>
      </c>
      <c r="E2093" s="96" t="s">
        <v>121</v>
      </c>
      <c r="F2093" s="97">
        <f>F2091-F2092</f>
        <v>0</v>
      </c>
      <c r="G2093" s="98">
        <f>F2093/2680</f>
        <v>0</v>
      </c>
    </row>
    <row r="2094" spans="1:7" s="53" customFormat="1" ht="15" thickTop="1" x14ac:dyDescent="0.35">
      <c r="A2094" s="223"/>
      <c r="B2094" s="88"/>
      <c r="C2094" s="89" t="s">
        <v>122</v>
      </c>
      <c r="D2094" s="90">
        <v>140000</v>
      </c>
      <c r="F2094" s="94"/>
    </row>
    <row r="2095" spans="1:7" s="53" customFormat="1" x14ac:dyDescent="0.35">
      <c r="A2095" s="223"/>
      <c r="B2095" s="88" t="s">
        <v>628</v>
      </c>
      <c r="C2095" s="99" t="s">
        <v>123</v>
      </c>
      <c r="D2095" s="90">
        <v>15000</v>
      </c>
      <c r="E2095" s="91" t="s">
        <v>124</v>
      </c>
      <c r="F2095" s="92"/>
    </row>
    <row r="2096" spans="1:7" s="53" customFormat="1" x14ac:dyDescent="0.35">
      <c r="A2096" s="223"/>
      <c r="B2096" s="101"/>
      <c r="C2096" s="99" t="s">
        <v>125</v>
      </c>
      <c r="D2096" s="100">
        <v>10000</v>
      </c>
      <c r="E2096" s="102"/>
      <c r="F2096" s="103"/>
    </row>
    <row r="2097" spans="1:6" s="53" customFormat="1" x14ac:dyDescent="0.35">
      <c r="A2097" s="223"/>
      <c r="B2097" s="101"/>
      <c r="C2097" s="99" t="s">
        <v>126</v>
      </c>
      <c r="D2097" s="100">
        <v>40000</v>
      </c>
      <c r="E2097" s="102" t="s">
        <v>127</v>
      </c>
      <c r="F2097" s="103"/>
    </row>
    <row r="2098" spans="1:6" s="53" customFormat="1" x14ac:dyDescent="0.35">
      <c r="A2098" s="223"/>
      <c r="B2098" s="101"/>
      <c r="C2098" s="89"/>
      <c r="D2098" s="104"/>
      <c r="E2098" s="102" t="s">
        <v>640</v>
      </c>
      <c r="F2098" s="103"/>
    </row>
    <row r="2099" spans="1:6" s="53" customFormat="1" ht="15" thickBot="1" x14ac:dyDescent="0.4">
      <c r="A2099" s="223"/>
      <c r="B2099" s="105"/>
      <c r="C2099" s="106"/>
      <c r="D2099" s="107"/>
      <c r="E2099" s="53" t="s">
        <v>858</v>
      </c>
      <c r="F2099" s="94"/>
    </row>
    <row r="2100" spans="1:6" s="53" customFormat="1" ht="15" thickBot="1" x14ac:dyDescent="0.4">
      <c r="A2100" s="223"/>
      <c r="B2100" s="108"/>
      <c r="C2100" s="109" t="s">
        <v>129</v>
      </c>
      <c r="D2100" s="110">
        <f>SUM(D2087:D2099)</f>
        <v>7353350</v>
      </c>
      <c r="F2100" s="94"/>
    </row>
    <row r="2101" spans="1:6" s="53" customFormat="1" ht="15.5" thickTop="1" thickBot="1" x14ac:dyDescent="0.4">
      <c r="A2101" s="224"/>
      <c r="B2101" s="226"/>
      <c r="C2101" s="226"/>
      <c r="D2101" s="226"/>
      <c r="F2101" s="94"/>
    </row>
    <row r="2102" spans="1:6" s="53" customFormat="1" x14ac:dyDescent="0.35">
      <c r="B2102" s="87"/>
      <c r="C2102" s="53" t="s">
        <v>130</v>
      </c>
      <c r="D2102" s="111">
        <f>D2084-D2100</f>
        <v>3634650</v>
      </c>
      <c r="F2102" s="94"/>
    </row>
    <row r="2103" spans="1:6" s="53" customFormat="1" x14ac:dyDescent="0.35">
      <c r="B2103" s="87"/>
      <c r="D2103" s="111"/>
      <c r="F2103" s="94"/>
    </row>
    <row r="2104" spans="1:6" s="53" customFormat="1" x14ac:dyDescent="0.35">
      <c r="A2104" s="112"/>
      <c r="B2104" s="113"/>
      <c r="C2104" s="112"/>
      <c r="D2104" s="114"/>
      <c r="E2104" s="112"/>
      <c r="F2104" s="178"/>
    </row>
    <row r="2106" spans="1:6" s="53" customFormat="1" ht="23.5" x14ac:dyDescent="0.55000000000000004">
      <c r="B2106" s="227" t="s">
        <v>0</v>
      </c>
      <c r="C2106" s="227"/>
      <c r="D2106" s="227"/>
      <c r="E2106" s="70"/>
      <c r="F2106" s="176"/>
    </row>
    <row r="2107" spans="1:6" s="53" customFormat="1" ht="20.5" x14ac:dyDescent="0.45">
      <c r="B2107" s="71"/>
      <c r="C2107" s="72" t="s">
        <v>637</v>
      </c>
      <c r="D2107" s="73"/>
      <c r="F2107" s="94"/>
    </row>
    <row r="2108" spans="1:6" s="53" customFormat="1" ht="21" thickBot="1" x14ac:dyDescent="0.5">
      <c r="B2108" s="71" t="s">
        <v>167</v>
      </c>
      <c r="C2108" s="74" t="s">
        <v>103</v>
      </c>
      <c r="D2108" s="73"/>
      <c r="F2108" s="94"/>
    </row>
    <row r="2109" spans="1:6" s="53" customFormat="1" ht="15" thickBot="1" x14ac:dyDescent="0.4">
      <c r="A2109" s="75" t="s">
        <v>104</v>
      </c>
      <c r="B2109" s="76" t="s">
        <v>81</v>
      </c>
      <c r="C2109" s="76" t="s">
        <v>105</v>
      </c>
      <c r="D2109" s="77" t="s">
        <v>84</v>
      </c>
      <c r="F2109" s="94"/>
    </row>
    <row r="2110" spans="1:6" s="53" customFormat="1" ht="14.5" customHeight="1" x14ac:dyDescent="0.35">
      <c r="A2110" s="222" t="s">
        <v>5</v>
      </c>
      <c r="B2110" s="78" t="s">
        <v>638</v>
      </c>
      <c r="C2110" s="79" t="s">
        <v>319</v>
      </c>
      <c r="D2110" s="80">
        <f>F2117</f>
        <v>11070000</v>
      </c>
      <c r="F2110" s="94"/>
    </row>
    <row r="2111" spans="1:6" s="53" customFormat="1" ht="21" thickBot="1" x14ac:dyDescent="0.5">
      <c r="A2111" s="223"/>
      <c r="B2111" s="71"/>
      <c r="C2111" s="71"/>
      <c r="D2111" s="73"/>
      <c r="F2111" s="94"/>
    </row>
    <row r="2112" spans="1:6" s="53" customFormat="1" ht="15" thickBot="1" x14ac:dyDescent="0.4">
      <c r="A2112" s="223"/>
      <c r="B2112" s="81" t="s">
        <v>81</v>
      </c>
      <c r="C2112" s="82" t="s">
        <v>107</v>
      </c>
      <c r="D2112" s="83" t="s">
        <v>108</v>
      </c>
      <c r="F2112" s="94"/>
    </row>
    <row r="2113" spans="1:7" s="87" customFormat="1" x14ac:dyDescent="0.35">
      <c r="A2113" s="223"/>
      <c r="B2113" s="84" t="str">
        <f>B2110</f>
        <v>30th May,2025</v>
      </c>
      <c r="C2113" s="85" t="s">
        <v>707</v>
      </c>
      <c r="D2113" s="86">
        <f>1750*2880</f>
        <v>5040000</v>
      </c>
      <c r="F2113" s="177"/>
    </row>
    <row r="2114" spans="1:7" s="53" customFormat="1" x14ac:dyDescent="0.35">
      <c r="A2114" s="223"/>
      <c r="B2114" s="88"/>
      <c r="C2114" s="89" t="s">
        <v>188</v>
      </c>
      <c r="D2114" s="90">
        <f>325*2650</f>
        <v>861250</v>
      </c>
      <c r="F2114" s="94"/>
    </row>
    <row r="2115" spans="1:7" s="53" customFormat="1" x14ac:dyDescent="0.35">
      <c r="A2115" s="223"/>
      <c r="B2115" s="88" t="s">
        <v>109</v>
      </c>
      <c r="C2115" s="89" t="s">
        <v>110</v>
      </c>
      <c r="D2115" s="90">
        <v>1000000</v>
      </c>
      <c r="F2115" s="94"/>
    </row>
    <row r="2116" spans="1:7" s="53" customFormat="1" x14ac:dyDescent="0.35">
      <c r="A2116" s="223"/>
      <c r="B2116" s="88" t="s">
        <v>111</v>
      </c>
      <c r="C2116" s="89" t="s">
        <v>112</v>
      </c>
      <c r="D2116" s="90">
        <v>40000</v>
      </c>
      <c r="E2116" s="225" t="s">
        <v>113</v>
      </c>
      <c r="F2116" s="225"/>
    </row>
    <row r="2117" spans="1:7" s="53" customFormat="1" x14ac:dyDescent="0.35">
      <c r="A2117" s="223"/>
      <c r="B2117" s="88" t="s">
        <v>182</v>
      </c>
      <c r="C2117" s="89" t="s">
        <v>115</v>
      </c>
      <c r="D2117" s="90">
        <f>350*120</f>
        <v>42000</v>
      </c>
      <c r="E2117" s="91" t="s">
        <v>116</v>
      </c>
      <c r="F2117" s="92">
        <f>4100*2700</f>
        <v>11070000</v>
      </c>
    </row>
    <row r="2118" spans="1:7" s="53" customFormat="1" x14ac:dyDescent="0.35">
      <c r="A2118" s="223"/>
      <c r="B2118" s="88"/>
      <c r="C2118" s="89" t="s">
        <v>117</v>
      </c>
      <c r="D2118" s="90">
        <f>2000*123</f>
        <v>246000</v>
      </c>
      <c r="E2118" s="93" t="s">
        <v>118</v>
      </c>
      <c r="F2118" s="94">
        <f>4100*2700</f>
        <v>11070000</v>
      </c>
    </row>
    <row r="2119" spans="1:7" s="53" customFormat="1" ht="15" thickBot="1" x14ac:dyDescent="0.4">
      <c r="A2119" s="223"/>
      <c r="B2119" s="88" t="s">
        <v>119</v>
      </c>
      <c r="C2119" s="89" t="s">
        <v>120</v>
      </c>
      <c r="D2119" s="95">
        <v>30000</v>
      </c>
      <c r="E2119" s="96" t="s">
        <v>121</v>
      </c>
      <c r="F2119" s="97">
        <f>F2117-F2118</f>
        <v>0</v>
      </c>
      <c r="G2119" s="98">
        <f>F2119/2700</f>
        <v>0</v>
      </c>
    </row>
    <row r="2120" spans="1:7" s="53" customFormat="1" ht="15" thickTop="1" x14ac:dyDescent="0.35">
      <c r="A2120" s="223"/>
      <c r="B2120" s="88"/>
      <c r="C2120" s="89" t="s">
        <v>122</v>
      </c>
      <c r="D2120" s="90">
        <v>140000</v>
      </c>
      <c r="F2120" s="94"/>
    </row>
    <row r="2121" spans="1:7" s="53" customFormat="1" x14ac:dyDescent="0.35">
      <c r="A2121" s="223"/>
      <c r="B2121" s="88" t="s">
        <v>636</v>
      </c>
      <c r="C2121" s="99" t="s">
        <v>123</v>
      </c>
      <c r="D2121" s="90">
        <v>15000</v>
      </c>
      <c r="E2121" s="91" t="s">
        <v>124</v>
      </c>
      <c r="F2121" s="92"/>
    </row>
    <row r="2122" spans="1:7" s="53" customFormat="1" x14ac:dyDescent="0.35">
      <c r="A2122" s="223"/>
      <c r="B2122" s="101"/>
      <c r="C2122" s="99" t="s">
        <v>125</v>
      </c>
      <c r="D2122" s="100">
        <v>10000</v>
      </c>
      <c r="E2122" s="102"/>
      <c r="F2122" s="103"/>
    </row>
    <row r="2123" spans="1:7" s="53" customFormat="1" x14ac:dyDescent="0.35">
      <c r="A2123" s="223"/>
      <c r="B2123" s="101"/>
      <c r="C2123" s="99" t="s">
        <v>126</v>
      </c>
      <c r="D2123" s="100">
        <v>40000</v>
      </c>
      <c r="E2123" s="102" t="s">
        <v>127</v>
      </c>
      <c r="F2123" s="103"/>
    </row>
    <row r="2124" spans="1:7" s="53" customFormat="1" x14ac:dyDescent="0.35">
      <c r="A2124" s="223"/>
      <c r="B2124" s="101"/>
      <c r="C2124" s="89"/>
      <c r="D2124" s="104"/>
      <c r="E2124" s="102" t="s">
        <v>742</v>
      </c>
      <c r="F2124" s="103"/>
    </row>
    <row r="2125" spans="1:7" s="53" customFormat="1" ht="15" thickBot="1" x14ac:dyDescent="0.4">
      <c r="A2125" s="223"/>
      <c r="B2125" s="105"/>
      <c r="C2125" s="106"/>
      <c r="D2125" s="107"/>
      <c r="F2125" s="94"/>
    </row>
    <row r="2126" spans="1:7" s="53" customFormat="1" ht="15" thickBot="1" x14ac:dyDescent="0.4">
      <c r="A2126" s="223"/>
      <c r="B2126" s="108"/>
      <c r="C2126" s="109" t="s">
        <v>129</v>
      </c>
      <c r="D2126" s="110">
        <f>SUM(D2113:D2125)</f>
        <v>7464250</v>
      </c>
      <c r="F2126" s="94"/>
    </row>
    <row r="2127" spans="1:7" s="53" customFormat="1" ht="15.5" thickTop="1" thickBot="1" x14ac:dyDescent="0.4">
      <c r="A2127" s="224"/>
      <c r="B2127" s="226"/>
      <c r="C2127" s="226"/>
      <c r="D2127" s="226"/>
      <c r="F2127" s="94"/>
    </row>
    <row r="2128" spans="1:7" s="53" customFormat="1" x14ac:dyDescent="0.35">
      <c r="B2128" s="87"/>
      <c r="C2128" s="53" t="s">
        <v>130</v>
      </c>
      <c r="D2128" s="111">
        <f>D2110-D2126</f>
        <v>3605750</v>
      </c>
      <c r="F2128" s="94"/>
    </row>
    <row r="2129" spans="1:6" s="53" customFormat="1" x14ac:dyDescent="0.35">
      <c r="B2129" s="87"/>
      <c r="D2129" s="111"/>
      <c r="F2129" s="94"/>
    </row>
    <row r="2130" spans="1:6" s="53" customFormat="1" x14ac:dyDescent="0.35">
      <c r="A2130" s="112"/>
      <c r="B2130" s="113"/>
      <c r="C2130" s="112"/>
      <c r="D2130" s="114"/>
      <c r="E2130" s="112"/>
      <c r="F2130" s="178"/>
    </row>
    <row r="2132" spans="1:6" s="53" customFormat="1" ht="23.5" x14ac:dyDescent="0.55000000000000004">
      <c r="B2132" s="227" t="s">
        <v>0</v>
      </c>
      <c r="C2132" s="227"/>
      <c r="D2132" s="227"/>
      <c r="E2132" s="70"/>
      <c r="F2132" s="176"/>
    </row>
    <row r="2133" spans="1:6" s="53" customFormat="1" ht="20.5" x14ac:dyDescent="0.45">
      <c r="B2133" s="71"/>
      <c r="C2133" s="72" t="s">
        <v>643</v>
      </c>
      <c r="D2133" s="73"/>
      <c r="F2133" s="94"/>
    </row>
    <row r="2134" spans="1:6" s="53" customFormat="1" ht="21" thickBot="1" x14ac:dyDescent="0.5">
      <c r="B2134" s="71" t="s">
        <v>235</v>
      </c>
      <c r="C2134" s="74" t="s">
        <v>103</v>
      </c>
      <c r="D2134" s="73"/>
      <c r="F2134" s="94"/>
    </row>
    <row r="2135" spans="1:6" s="53" customFormat="1" ht="15" thickBot="1" x14ac:dyDescent="0.4">
      <c r="A2135" s="75" t="s">
        <v>104</v>
      </c>
      <c r="B2135" s="76" t="s">
        <v>81</v>
      </c>
      <c r="C2135" s="76" t="s">
        <v>105</v>
      </c>
      <c r="D2135" s="77" t="s">
        <v>84</v>
      </c>
      <c r="F2135" s="94"/>
    </row>
    <row r="2136" spans="1:6" s="53" customFormat="1" ht="14.5" customHeight="1" x14ac:dyDescent="0.35">
      <c r="A2136" s="222" t="s">
        <v>5</v>
      </c>
      <c r="B2136" s="78" t="s">
        <v>644</v>
      </c>
      <c r="C2136" s="79" t="s">
        <v>319</v>
      </c>
      <c r="D2136" s="80">
        <f>F2143</f>
        <v>11070000</v>
      </c>
      <c r="F2136" s="94"/>
    </row>
    <row r="2137" spans="1:6" s="53" customFormat="1" ht="21" thickBot="1" x14ac:dyDescent="0.5">
      <c r="A2137" s="223"/>
      <c r="B2137" s="71"/>
      <c r="C2137" s="71"/>
      <c r="D2137" s="73"/>
      <c r="F2137" s="94"/>
    </row>
    <row r="2138" spans="1:6" s="53" customFormat="1" ht="15" thickBot="1" x14ac:dyDescent="0.4">
      <c r="A2138" s="223"/>
      <c r="B2138" s="81" t="s">
        <v>81</v>
      </c>
      <c r="C2138" s="82" t="s">
        <v>107</v>
      </c>
      <c r="D2138" s="83" t="s">
        <v>108</v>
      </c>
      <c r="F2138" s="94"/>
    </row>
    <row r="2139" spans="1:6" s="87" customFormat="1" x14ac:dyDescent="0.35">
      <c r="A2139" s="223"/>
      <c r="B2139" s="84" t="str">
        <f>B2136</f>
        <v>31st May,2025</v>
      </c>
      <c r="C2139" s="85" t="s">
        <v>707</v>
      </c>
      <c r="D2139" s="86">
        <f>1750*2880</f>
        <v>5040000</v>
      </c>
      <c r="F2139" s="177"/>
    </row>
    <row r="2140" spans="1:6" s="53" customFormat="1" x14ac:dyDescent="0.35">
      <c r="A2140" s="223"/>
      <c r="B2140" s="88"/>
      <c r="C2140" s="89" t="s">
        <v>188</v>
      </c>
      <c r="D2140" s="90">
        <f>325*2650</f>
        <v>861250</v>
      </c>
      <c r="F2140" s="94"/>
    </row>
    <row r="2141" spans="1:6" s="53" customFormat="1" x14ac:dyDescent="0.35">
      <c r="A2141" s="223"/>
      <c r="B2141" s="88" t="s">
        <v>109</v>
      </c>
      <c r="C2141" s="89" t="s">
        <v>110</v>
      </c>
      <c r="D2141" s="90">
        <v>1000000</v>
      </c>
      <c r="F2141" s="94"/>
    </row>
    <row r="2142" spans="1:6" s="53" customFormat="1" x14ac:dyDescent="0.35">
      <c r="A2142" s="223"/>
      <c r="B2142" s="88" t="s">
        <v>111</v>
      </c>
      <c r="C2142" s="89" t="s">
        <v>112</v>
      </c>
      <c r="D2142" s="90">
        <v>40000</v>
      </c>
      <c r="E2142" s="225" t="s">
        <v>113</v>
      </c>
      <c r="F2142" s="225"/>
    </row>
    <row r="2143" spans="1:6" s="53" customFormat="1" x14ac:dyDescent="0.35">
      <c r="A2143" s="223"/>
      <c r="B2143" s="88" t="s">
        <v>182</v>
      </c>
      <c r="C2143" s="89" t="s">
        <v>115</v>
      </c>
      <c r="D2143" s="90">
        <f>400*123</f>
        <v>49200</v>
      </c>
      <c r="E2143" s="91" t="s">
        <v>116</v>
      </c>
      <c r="F2143" s="92">
        <f>4100*2700</f>
        <v>11070000</v>
      </c>
    </row>
    <row r="2144" spans="1:6" s="53" customFormat="1" x14ac:dyDescent="0.35">
      <c r="A2144" s="223"/>
      <c r="B2144" s="88"/>
      <c r="C2144" s="89" t="s">
        <v>117</v>
      </c>
      <c r="D2144" s="90">
        <f>2000*123</f>
        <v>246000</v>
      </c>
      <c r="E2144" s="93" t="s">
        <v>118</v>
      </c>
      <c r="F2144" s="94">
        <f>(4100*2700)</f>
        <v>11070000</v>
      </c>
    </row>
    <row r="2145" spans="1:7" s="53" customFormat="1" ht="15" thickBot="1" x14ac:dyDescent="0.4">
      <c r="A2145" s="223"/>
      <c r="B2145" s="88" t="s">
        <v>119</v>
      </c>
      <c r="C2145" s="89" t="s">
        <v>120</v>
      </c>
      <c r="D2145" s="95">
        <v>30000</v>
      </c>
      <c r="E2145" s="96" t="s">
        <v>121</v>
      </c>
      <c r="F2145" s="97">
        <f>F2143-F2144</f>
        <v>0</v>
      </c>
      <c r="G2145" s="98">
        <f>F2145/2700</f>
        <v>0</v>
      </c>
    </row>
    <row r="2146" spans="1:7" s="53" customFormat="1" ht="15" thickTop="1" x14ac:dyDescent="0.35">
      <c r="A2146" s="223"/>
      <c r="B2146" s="88"/>
      <c r="C2146" s="89" t="s">
        <v>122</v>
      </c>
      <c r="D2146" s="90">
        <v>140000</v>
      </c>
      <c r="F2146" s="94"/>
    </row>
    <row r="2147" spans="1:7" s="53" customFormat="1" x14ac:dyDescent="0.35">
      <c r="A2147" s="223"/>
      <c r="B2147" s="88" t="s">
        <v>636</v>
      </c>
      <c r="C2147" s="99" t="s">
        <v>123</v>
      </c>
      <c r="D2147" s="90">
        <v>15000</v>
      </c>
      <c r="E2147" s="91" t="s">
        <v>124</v>
      </c>
      <c r="F2147" s="92"/>
    </row>
    <row r="2148" spans="1:7" s="53" customFormat="1" x14ac:dyDescent="0.35">
      <c r="A2148" s="223"/>
      <c r="B2148" s="101"/>
      <c r="C2148" s="99" t="s">
        <v>125</v>
      </c>
      <c r="D2148" s="100">
        <v>10000</v>
      </c>
      <c r="E2148" s="102"/>
      <c r="F2148" s="103"/>
    </row>
    <row r="2149" spans="1:7" s="53" customFormat="1" x14ac:dyDescent="0.35">
      <c r="A2149" s="223"/>
      <c r="B2149" s="101"/>
      <c r="C2149" s="99" t="s">
        <v>126</v>
      </c>
      <c r="D2149" s="100">
        <v>40000</v>
      </c>
      <c r="E2149" s="102" t="s">
        <v>127</v>
      </c>
      <c r="F2149" s="103"/>
    </row>
    <row r="2150" spans="1:7" s="53" customFormat="1" x14ac:dyDescent="0.35">
      <c r="A2150" s="223"/>
      <c r="B2150" s="101"/>
      <c r="C2150" s="89" t="s">
        <v>706</v>
      </c>
      <c r="D2150" s="104">
        <v>295000</v>
      </c>
      <c r="E2150" s="102" t="s">
        <v>910</v>
      </c>
      <c r="F2150" s="103"/>
    </row>
    <row r="2151" spans="1:7" s="53" customFormat="1" ht="15" thickBot="1" x14ac:dyDescent="0.4">
      <c r="A2151" s="223"/>
      <c r="B2151" s="105"/>
      <c r="C2151" s="106"/>
      <c r="D2151" s="107"/>
      <c r="F2151" s="94"/>
    </row>
    <row r="2152" spans="1:7" s="53" customFormat="1" ht="15" thickBot="1" x14ac:dyDescent="0.4">
      <c r="A2152" s="223"/>
      <c r="B2152" s="108"/>
      <c r="C2152" s="109" t="s">
        <v>129</v>
      </c>
      <c r="D2152" s="110">
        <f>SUM(D2139:D2151)</f>
        <v>7766450</v>
      </c>
      <c r="F2152" s="94"/>
    </row>
    <row r="2153" spans="1:7" s="53" customFormat="1" ht="15.5" thickTop="1" thickBot="1" x14ac:dyDescent="0.4">
      <c r="A2153" s="224"/>
      <c r="B2153" s="226"/>
      <c r="C2153" s="226"/>
      <c r="D2153" s="226"/>
      <c r="F2153" s="94"/>
    </row>
    <row r="2154" spans="1:7" s="53" customFormat="1" x14ac:dyDescent="0.35">
      <c r="B2154" s="87"/>
      <c r="C2154" s="53" t="s">
        <v>130</v>
      </c>
      <c r="D2154" s="111">
        <f>D2136-D2152</f>
        <v>3303550</v>
      </c>
      <c r="F2154" s="94"/>
    </row>
    <row r="2155" spans="1:7" s="53" customFormat="1" x14ac:dyDescent="0.35">
      <c r="B2155" s="87"/>
      <c r="D2155" s="111"/>
      <c r="F2155" s="94"/>
    </row>
    <row r="2156" spans="1:7" s="53" customFormat="1" x14ac:dyDescent="0.35">
      <c r="A2156" s="112"/>
      <c r="B2156" s="113"/>
      <c r="C2156" s="112"/>
      <c r="D2156" s="114"/>
      <c r="E2156" s="112"/>
      <c r="F2156" s="178"/>
    </row>
    <row r="2160" spans="1:7" s="53" customFormat="1" ht="23.5" x14ac:dyDescent="0.55000000000000004">
      <c r="B2160" s="227" t="s">
        <v>0</v>
      </c>
      <c r="C2160" s="227"/>
      <c r="D2160" s="227"/>
      <c r="E2160" s="70"/>
      <c r="F2160" s="176"/>
    </row>
    <row r="2161" spans="1:7" s="53" customFormat="1" ht="20.5" x14ac:dyDescent="0.45">
      <c r="B2161" s="71"/>
      <c r="C2161" s="72" t="s">
        <v>780</v>
      </c>
      <c r="D2161" s="73"/>
      <c r="F2161" s="94"/>
    </row>
    <row r="2162" spans="1:7" s="53" customFormat="1" ht="21" thickBot="1" x14ac:dyDescent="0.5">
      <c r="B2162" s="71" t="s">
        <v>334</v>
      </c>
      <c r="C2162" s="74" t="s">
        <v>103</v>
      </c>
      <c r="D2162" s="73"/>
      <c r="F2162" s="94"/>
    </row>
    <row r="2163" spans="1:7" s="53" customFormat="1" ht="15" thickBot="1" x14ac:dyDescent="0.4">
      <c r="A2163" s="75" t="s">
        <v>104</v>
      </c>
      <c r="B2163" s="76" t="s">
        <v>81</v>
      </c>
      <c r="C2163" s="76" t="s">
        <v>105</v>
      </c>
      <c r="D2163" s="77" t="s">
        <v>84</v>
      </c>
      <c r="F2163" s="94"/>
    </row>
    <row r="2164" spans="1:7" s="53" customFormat="1" ht="14.5" customHeight="1" x14ac:dyDescent="0.35">
      <c r="A2164" s="222" t="s">
        <v>90</v>
      </c>
      <c r="B2164" s="78" t="s">
        <v>648</v>
      </c>
      <c r="C2164" s="79" t="s">
        <v>106</v>
      </c>
      <c r="D2164" s="80">
        <f>F2171</f>
        <v>10988000</v>
      </c>
      <c r="F2164" s="94"/>
    </row>
    <row r="2165" spans="1:7" s="53" customFormat="1" ht="21" thickBot="1" x14ac:dyDescent="0.5">
      <c r="A2165" s="223"/>
      <c r="B2165" s="71"/>
      <c r="C2165" s="71"/>
      <c r="D2165" s="73"/>
      <c r="F2165" s="94"/>
    </row>
    <row r="2166" spans="1:7" s="53" customFormat="1" ht="15" thickBot="1" x14ac:dyDescent="0.4">
      <c r="A2166" s="223"/>
      <c r="B2166" s="81" t="s">
        <v>81</v>
      </c>
      <c r="C2166" s="82" t="s">
        <v>107</v>
      </c>
      <c r="D2166" s="83" t="s">
        <v>108</v>
      </c>
      <c r="F2166" s="94"/>
    </row>
    <row r="2167" spans="1:7" s="87" customFormat="1" x14ac:dyDescent="0.35">
      <c r="A2167" s="223"/>
      <c r="B2167" s="84" t="str">
        <f>B2164</f>
        <v>02nd June,2025</v>
      </c>
      <c r="C2167" s="85" t="s">
        <v>711</v>
      </c>
      <c r="D2167" s="86">
        <f>1800*2880</f>
        <v>5184000</v>
      </c>
      <c r="F2167" s="177"/>
    </row>
    <row r="2168" spans="1:7" s="53" customFormat="1" x14ac:dyDescent="0.35">
      <c r="A2168" s="223"/>
      <c r="B2168" s="88"/>
      <c r="C2168" s="89" t="s">
        <v>188</v>
      </c>
      <c r="D2168" s="90">
        <f>325*2650</f>
        <v>861250</v>
      </c>
      <c r="F2168" s="94"/>
    </row>
    <row r="2169" spans="1:7" s="53" customFormat="1" x14ac:dyDescent="0.35">
      <c r="A2169" s="223"/>
      <c r="B2169" s="88" t="s">
        <v>109</v>
      </c>
      <c r="C2169" s="89" t="s">
        <v>110</v>
      </c>
      <c r="D2169" s="90">
        <v>1000000</v>
      </c>
      <c r="F2169" s="94"/>
    </row>
    <row r="2170" spans="1:7" s="53" customFormat="1" x14ac:dyDescent="0.35">
      <c r="A2170" s="223"/>
      <c r="B2170" s="88" t="s">
        <v>111</v>
      </c>
      <c r="C2170" s="89" t="s">
        <v>112</v>
      </c>
      <c r="D2170" s="90">
        <v>40000</v>
      </c>
      <c r="E2170" s="225" t="s">
        <v>113</v>
      </c>
      <c r="F2170" s="225"/>
    </row>
    <row r="2171" spans="1:7" s="53" customFormat="1" x14ac:dyDescent="0.35">
      <c r="A2171" s="223"/>
      <c r="B2171" s="88" t="s">
        <v>182</v>
      </c>
      <c r="C2171" s="89" t="s">
        <v>115</v>
      </c>
      <c r="D2171" s="90">
        <f>950*120</f>
        <v>114000</v>
      </c>
      <c r="E2171" s="91" t="s">
        <v>116</v>
      </c>
      <c r="F2171" s="92">
        <f>4100*2680</f>
        <v>10988000</v>
      </c>
    </row>
    <row r="2172" spans="1:7" s="53" customFormat="1" x14ac:dyDescent="0.35">
      <c r="A2172" s="223"/>
      <c r="B2172" s="88"/>
      <c r="C2172" s="89" t="s">
        <v>117</v>
      </c>
      <c r="D2172" s="90">
        <f>2000*120</f>
        <v>240000</v>
      </c>
      <c r="E2172" s="93" t="s">
        <v>118</v>
      </c>
      <c r="F2172" s="94">
        <f>(2460*2680)+(1640*2680)</f>
        <v>10988000</v>
      </c>
    </row>
    <row r="2173" spans="1:7" s="53" customFormat="1" ht="15" thickBot="1" x14ac:dyDescent="0.4">
      <c r="A2173" s="223"/>
      <c r="B2173" s="88" t="s">
        <v>119</v>
      </c>
      <c r="C2173" s="89" t="s">
        <v>120</v>
      </c>
      <c r="D2173" s="95">
        <v>30000</v>
      </c>
      <c r="E2173" s="96" t="s">
        <v>121</v>
      </c>
      <c r="F2173" s="97">
        <f>F2171-F2172</f>
        <v>0</v>
      </c>
      <c r="G2173" s="98">
        <f>F2173/2680</f>
        <v>0</v>
      </c>
    </row>
    <row r="2174" spans="1:7" s="53" customFormat="1" ht="15" thickTop="1" x14ac:dyDescent="0.35">
      <c r="A2174" s="223"/>
      <c r="B2174" s="88"/>
      <c r="C2174" s="89" t="s">
        <v>122</v>
      </c>
      <c r="D2174" s="90">
        <v>140000</v>
      </c>
      <c r="F2174" s="94"/>
    </row>
    <row r="2175" spans="1:7" s="53" customFormat="1" x14ac:dyDescent="0.35">
      <c r="A2175" s="223"/>
      <c r="B2175" s="88" t="s">
        <v>649</v>
      </c>
      <c r="C2175" s="99" t="s">
        <v>123</v>
      </c>
      <c r="D2175" s="90">
        <v>15000</v>
      </c>
      <c r="E2175" s="91" t="s">
        <v>124</v>
      </c>
      <c r="F2175" s="92"/>
    </row>
    <row r="2176" spans="1:7" s="53" customFormat="1" x14ac:dyDescent="0.35">
      <c r="A2176" s="223"/>
      <c r="B2176" s="101"/>
      <c r="C2176" s="99" t="s">
        <v>125</v>
      </c>
      <c r="D2176" s="100">
        <v>10000</v>
      </c>
      <c r="E2176" s="102"/>
      <c r="F2176" s="103"/>
    </row>
    <row r="2177" spans="1:6" s="53" customFormat="1" x14ac:dyDescent="0.35">
      <c r="A2177" s="223"/>
      <c r="B2177" s="101"/>
      <c r="C2177" s="99" t="s">
        <v>126</v>
      </c>
      <c r="D2177" s="100">
        <v>30000</v>
      </c>
      <c r="E2177" s="102" t="s">
        <v>127</v>
      </c>
      <c r="F2177" s="103"/>
    </row>
    <row r="2178" spans="1:6" s="53" customFormat="1" x14ac:dyDescent="0.35">
      <c r="A2178" s="223"/>
      <c r="B2178" s="101"/>
      <c r="C2178" s="89"/>
      <c r="D2178" s="104"/>
      <c r="E2178" s="102" t="s">
        <v>781</v>
      </c>
      <c r="F2178" s="103"/>
    </row>
    <row r="2179" spans="1:6" s="53" customFormat="1" ht="15" thickBot="1" x14ac:dyDescent="0.4">
      <c r="A2179" s="223"/>
      <c r="B2179" s="105"/>
      <c r="C2179" s="106"/>
      <c r="D2179" s="107"/>
      <c r="E2179" s="53" t="s">
        <v>859</v>
      </c>
      <c r="F2179" s="94"/>
    </row>
    <row r="2180" spans="1:6" s="53" customFormat="1" ht="15" thickBot="1" x14ac:dyDescent="0.4">
      <c r="A2180" s="223"/>
      <c r="B2180" s="108"/>
      <c r="C2180" s="109" t="s">
        <v>129</v>
      </c>
      <c r="D2180" s="110">
        <f>SUM(D2167:D2179)</f>
        <v>7664250</v>
      </c>
      <c r="F2180" s="94"/>
    </row>
    <row r="2181" spans="1:6" s="53" customFormat="1" ht="15.5" thickTop="1" thickBot="1" x14ac:dyDescent="0.4">
      <c r="A2181" s="224"/>
      <c r="B2181" s="226"/>
      <c r="C2181" s="226"/>
      <c r="D2181" s="226"/>
      <c r="F2181" s="94"/>
    </row>
    <row r="2182" spans="1:6" s="53" customFormat="1" x14ac:dyDescent="0.35">
      <c r="B2182" s="87"/>
      <c r="C2182" s="53" t="s">
        <v>130</v>
      </c>
      <c r="D2182" s="111">
        <f>D2164-D2180</f>
        <v>3323750</v>
      </c>
      <c r="F2182" s="94"/>
    </row>
    <row r="2183" spans="1:6" s="53" customFormat="1" x14ac:dyDescent="0.35">
      <c r="B2183" s="87"/>
      <c r="D2183" s="111"/>
      <c r="F2183" s="94"/>
    </row>
    <row r="2184" spans="1:6" s="53" customFormat="1" x14ac:dyDescent="0.35">
      <c r="A2184" s="112"/>
      <c r="B2184" s="113"/>
      <c r="C2184" s="112"/>
      <c r="D2184" s="114"/>
      <c r="E2184" s="112"/>
      <c r="F2184" s="178"/>
    </row>
    <row r="2187" spans="1:6" s="53" customFormat="1" ht="23.5" x14ac:dyDescent="0.55000000000000004">
      <c r="B2187" s="227" t="s">
        <v>0</v>
      </c>
      <c r="C2187" s="227"/>
      <c r="D2187" s="227"/>
      <c r="E2187" s="70"/>
      <c r="F2187" s="176"/>
    </row>
    <row r="2188" spans="1:6" s="53" customFormat="1" ht="20.5" x14ac:dyDescent="0.45">
      <c r="B2188" s="71"/>
      <c r="C2188" s="72" t="s">
        <v>654</v>
      </c>
      <c r="D2188" s="73"/>
      <c r="F2188" s="94"/>
    </row>
    <row r="2189" spans="1:6" s="53" customFormat="1" ht="21" thickBot="1" x14ac:dyDescent="0.5">
      <c r="B2189" s="71" t="s">
        <v>218</v>
      </c>
      <c r="C2189" s="74" t="s">
        <v>103</v>
      </c>
      <c r="D2189" s="73"/>
      <c r="F2189" s="94"/>
    </row>
    <row r="2190" spans="1:6" s="53" customFormat="1" ht="15" thickBot="1" x14ac:dyDescent="0.4">
      <c r="A2190" s="75" t="s">
        <v>104</v>
      </c>
      <c r="B2190" s="76" t="s">
        <v>81</v>
      </c>
      <c r="C2190" s="76" t="s">
        <v>105</v>
      </c>
      <c r="D2190" s="77" t="s">
        <v>84</v>
      </c>
      <c r="F2190" s="94"/>
    </row>
    <row r="2191" spans="1:6" s="53" customFormat="1" ht="14.5" customHeight="1" x14ac:dyDescent="0.35">
      <c r="A2191" s="222" t="s">
        <v>90</v>
      </c>
      <c r="B2191" s="78" t="s">
        <v>665</v>
      </c>
      <c r="C2191" s="79" t="s">
        <v>106</v>
      </c>
      <c r="D2191" s="80">
        <f>F2198</f>
        <v>10988000</v>
      </c>
      <c r="F2191" s="94"/>
    </row>
    <row r="2192" spans="1:6" s="53" customFormat="1" ht="21" thickBot="1" x14ac:dyDescent="0.5">
      <c r="A2192" s="223"/>
      <c r="B2192" s="71"/>
      <c r="C2192" s="71"/>
      <c r="D2192" s="73"/>
      <c r="F2192" s="94"/>
    </row>
    <row r="2193" spans="1:7" s="53" customFormat="1" ht="15" thickBot="1" x14ac:dyDescent="0.4">
      <c r="A2193" s="223"/>
      <c r="B2193" s="81" t="s">
        <v>81</v>
      </c>
      <c r="C2193" s="82" t="s">
        <v>107</v>
      </c>
      <c r="D2193" s="83" t="s">
        <v>108</v>
      </c>
      <c r="F2193" s="94"/>
    </row>
    <row r="2194" spans="1:7" s="87" customFormat="1" x14ac:dyDescent="0.35">
      <c r="A2194" s="223"/>
      <c r="B2194" s="84" t="str">
        <f>B2191</f>
        <v>03rd June,2025</v>
      </c>
      <c r="C2194" s="85" t="s">
        <v>712</v>
      </c>
      <c r="D2194" s="86"/>
      <c r="F2194" s="177"/>
    </row>
    <row r="2195" spans="1:7" s="53" customFormat="1" x14ac:dyDescent="0.35">
      <c r="A2195" s="223"/>
      <c r="B2195" s="88"/>
      <c r="C2195" s="89" t="s">
        <v>210</v>
      </c>
      <c r="D2195" s="90">
        <f>319*2650</f>
        <v>845350</v>
      </c>
      <c r="F2195" s="94"/>
    </row>
    <row r="2196" spans="1:7" s="53" customFormat="1" x14ac:dyDescent="0.35">
      <c r="A2196" s="223"/>
      <c r="B2196" s="88" t="s">
        <v>109</v>
      </c>
      <c r="C2196" s="89" t="s">
        <v>110</v>
      </c>
      <c r="D2196" s="90">
        <v>1000000</v>
      </c>
      <c r="F2196" s="94"/>
    </row>
    <row r="2197" spans="1:7" s="53" customFormat="1" x14ac:dyDescent="0.35">
      <c r="A2197" s="223"/>
      <c r="B2197" s="88" t="s">
        <v>111</v>
      </c>
      <c r="C2197" s="89" t="s">
        <v>112</v>
      </c>
      <c r="D2197" s="90">
        <v>40000</v>
      </c>
      <c r="E2197" s="225" t="s">
        <v>113</v>
      </c>
      <c r="F2197" s="225"/>
    </row>
    <row r="2198" spans="1:7" s="53" customFormat="1" x14ac:dyDescent="0.35">
      <c r="A2198" s="223"/>
      <c r="B2198" s="88" t="s">
        <v>206</v>
      </c>
      <c r="C2198" s="89" t="s">
        <v>115</v>
      </c>
      <c r="D2198" s="90">
        <f>400*123</f>
        <v>49200</v>
      </c>
      <c r="E2198" s="91" t="s">
        <v>116</v>
      </c>
      <c r="F2198" s="92">
        <f>4100*2680</f>
        <v>10988000</v>
      </c>
    </row>
    <row r="2199" spans="1:7" s="53" customFormat="1" x14ac:dyDescent="0.35">
      <c r="A2199" s="223"/>
      <c r="B2199" s="88"/>
      <c r="C2199" s="89" t="s">
        <v>117</v>
      </c>
      <c r="D2199" s="90">
        <f>2420*123</f>
        <v>297660</v>
      </c>
      <c r="E2199" s="93" t="s">
        <v>118</v>
      </c>
      <c r="F2199" s="94">
        <f>(2460*2680)+(1640*2680)</f>
        <v>10988000</v>
      </c>
    </row>
    <row r="2200" spans="1:7" s="53" customFormat="1" ht="15" thickBot="1" x14ac:dyDescent="0.4">
      <c r="A2200" s="223"/>
      <c r="B2200" s="88" t="s">
        <v>119</v>
      </c>
      <c r="C2200" s="89" t="s">
        <v>120</v>
      </c>
      <c r="D2200" s="95">
        <v>30000</v>
      </c>
      <c r="E2200" s="96" t="s">
        <v>121</v>
      </c>
      <c r="F2200" s="97">
        <f>F2198-F2199</f>
        <v>0</v>
      </c>
      <c r="G2200" s="98">
        <f>F2200/2680</f>
        <v>0</v>
      </c>
    </row>
    <row r="2201" spans="1:7" s="53" customFormat="1" ht="15" thickTop="1" x14ac:dyDescent="0.35">
      <c r="A2201" s="223"/>
      <c r="B2201" s="88"/>
      <c r="C2201" s="89" t="s">
        <v>122</v>
      </c>
      <c r="D2201" s="90">
        <v>140000</v>
      </c>
      <c r="F2201" s="94"/>
    </row>
    <row r="2202" spans="1:7" s="53" customFormat="1" x14ac:dyDescent="0.35">
      <c r="A2202" s="223"/>
      <c r="B2202" s="88" t="s">
        <v>617</v>
      </c>
      <c r="C2202" s="99" t="s">
        <v>123</v>
      </c>
      <c r="D2202" s="90">
        <v>15000</v>
      </c>
      <c r="E2202" s="91" t="s">
        <v>124</v>
      </c>
      <c r="F2202" s="92"/>
    </row>
    <row r="2203" spans="1:7" s="53" customFormat="1" x14ac:dyDescent="0.35">
      <c r="A2203" s="223"/>
      <c r="B2203" s="101"/>
      <c r="C2203" s="99" t="s">
        <v>125</v>
      </c>
      <c r="D2203" s="100">
        <v>10000</v>
      </c>
      <c r="E2203" s="102"/>
      <c r="F2203" s="103"/>
    </row>
    <row r="2204" spans="1:7" s="53" customFormat="1" x14ac:dyDescent="0.35">
      <c r="A2204" s="223"/>
      <c r="B2204" s="101"/>
      <c r="C2204" s="99" t="s">
        <v>126</v>
      </c>
      <c r="D2204" s="100">
        <v>20000</v>
      </c>
      <c r="E2204" s="102" t="s">
        <v>127</v>
      </c>
      <c r="F2204" s="103"/>
    </row>
    <row r="2205" spans="1:7" s="53" customFormat="1" x14ac:dyDescent="0.35">
      <c r="A2205" s="223"/>
      <c r="B2205" s="101"/>
      <c r="C2205" s="89"/>
      <c r="D2205" s="104"/>
      <c r="E2205" s="102" t="s">
        <v>631</v>
      </c>
      <c r="F2205" s="103"/>
    </row>
    <row r="2206" spans="1:7" s="53" customFormat="1" ht="15" thickBot="1" x14ac:dyDescent="0.4">
      <c r="A2206" s="223"/>
      <c r="B2206" s="105"/>
      <c r="C2206" s="106"/>
      <c r="D2206" s="107"/>
      <c r="E2206" s="53" t="s">
        <v>832</v>
      </c>
      <c r="F2206" s="94"/>
    </row>
    <row r="2207" spans="1:7" s="53" customFormat="1" ht="15" thickBot="1" x14ac:dyDescent="0.4">
      <c r="A2207" s="223"/>
      <c r="B2207" s="108"/>
      <c r="C2207" s="109" t="s">
        <v>129</v>
      </c>
      <c r="D2207" s="110">
        <f>SUM(D2194:D2206)</f>
        <v>2447210</v>
      </c>
      <c r="F2207" s="94"/>
    </row>
    <row r="2208" spans="1:7" s="53" customFormat="1" ht="15.5" thickTop="1" thickBot="1" x14ac:dyDescent="0.4">
      <c r="A2208" s="224"/>
      <c r="B2208" s="226"/>
      <c r="C2208" s="226"/>
      <c r="D2208" s="226"/>
      <c r="F2208" s="94"/>
    </row>
    <row r="2209" spans="1:6" s="53" customFormat="1" x14ac:dyDescent="0.35">
      <c r="B2209" s="87"/>
      <c r="C2209" s="53" t="s">
        <v>130</v>
      </c>
      <c r="D2209" s="111">
        <f>D2191-D2207</f>
        <v>8540790</v>
      </c>
      <c r="F2209" s="94"/>
    </row>
    <row r="2210" spans="1:6" s="53" customFormat="1" x14ac:dyDescent="0.35">
      <c r="B2210" s="87"/>
      <c r="D2210" s="111"/>
      <c r="F2210" s="94"/>
    </row>
    <row r="2211" spans="1:6" s="53" customFormat="1" x14ac:dyDescent="0.35">
      <c r="A2211" s="112"/>
      <c r="B2211" s="113"/>
      <c r="C2211" s="112"/>
      <c r="D2211" s="114"/>
      <c r="E2211" s="112"/>
      <c r="F2211" s="178"/>
    </row>
    <row r="2214" spans="1:6" s="53" customFormat="1" ht="23.5" x14ac:dyDescent="0.55000000000000004">
      <c r="B2214" s="227" t="s">
        <v>0</v>
      </c>
      <c r="C2214" s="227"/>
      <c r="D2214" s="227"/>
      <c r="E2214" s="70"/>
      <c r="F2214" s="176"/>
    </row>
    <row r="2215" spans="1:6" s="53" customFormat="1" ht="20.5" x14ac:dyDescent="0.45">
      <c r="B2215" s="71"/>
      <c r="C2215" s="72" t="s">
        <v>664</v>
      </c>
      <c r="D2215" s="73"/>
      <c r="F2215" s="94"/>
    </row>
    <row r="2216" spans="1:6" s="53" customFormat="1" ht="21" thickBot="1" x14ac:dyDescent="0.5">
      <c r="B2216" s="71" t="s">
        <v>227</v>
      </c>
      <c r="C2216" s="74" t="s">
        <v>103</v>
      </c>
      <c r="D2216" s="73"/>
      <c r="F2216" s="94"/>
    </row>
    <row r="2217" spans="1:6" s="53" customFormat="1" ht="15" thickBot="1" x14ac:dyDescent="0.4">
      <c r="A2217" s="75" t="s">
        <v>104</v>
      </c>
      <c r="B2217" s="76" t="s">
        <v>81</v>
      </c>
      <c r="C2217" s="76" t="s">
        <v>105</v>
      </c>
      <c r="D2217" s="77" t="s">
        <v>84</v>
      </c>
      <c r="F2217" s="94"/>
    </row>
    <row r="2218" spans="1:6" s="53" customFormat="1" ht="14.5" customHeight="1" x14ac:dyDescent="0.35">
      <c r="A2218" s="222" t="s">
        <v>90</v>
      </c>
      <c r="B2218" s="78" t="s">
        <v>672</v>
      </c>
      <c r="C2218" s="79" t="s">
        <v>106</v>
      </c>
      <c r="D2218" s="80">
        <f>F2225</f>
        <v>10988000</v>
      </c>
      <c r="F2218" s="94"/>
    </row>
    <row r="2219" spans="1:6" s="53" customFormat="1" ht="21" thickBot="1" x14ac:dyDescent="0.5">
      <c r="A2219" s="223"/>
      <c r="B2219" s="71"/>
      <c r="C2219" s="71"/>
      <c r="D2219" s="73"/>
      <c r="F2219" s="94"/>
    </row>
    <row r="2220" spans="1:6" s="53" customFormat="1" ht="15" thickBot="1" x14ac:dyDescent="0.4">
      <c r="A2220" s="223"/>
      <c r="B2220" s="81" t="s">
        <v>81</v>
      </c>
      <c r="C2220" s="82" t="s">
        <v>107</v>
      </c>
      <c r="D2220" s="83" t="s">
        <v>108</v>
      </c>
      <c r="F2220" s="94"/>
    </row>
    <row r="2221" spans="1:6" s="87" customFormat="1" x14ac:dyDescent="0.35">
      <c r="A2221" s="223"/>
      <c r="B2221" s="84" t="str">
        <f>B2218</f>
        <v>06th June,2025</v>
      </c>
      <c r="C2221" s="85" t="s">
        <v>707</v>
      </c>
      <c r="D2221" s="86">
        <f>1750*2880</f>
        <v>5040000</v>
      </c>
      <c r="F2221" s="177"/>
    </row>
    <row r="2222" spans="1:6" s="53" customFormat="1" x14ac:dyDescent="0.35">
      <c r="A2222" s="223"/>
      <c r="B2222" s="88"/>
      <c r="C2222" s="89" t="s">
        <v>188</v>
      </c>
      <c r="D2222" s="90">
        <f>325*2650</f>
        <v>861250</v>
      </c>
      <c r="F2222" s="94"/>
    </row>
    <row r="2223" spans="1:6" s="53" customFormat="1" x14ac:dyDescent="0.35">
      <c r="A2223" s="223"/>
      <c r="B2223" s="88" t="s">
        <v>109</v>
      </c>
      <c r="C2223" s="89" t="s">
        <v>110</v>
      </c>
      <c r="D2223" s="90">
        <v>1000000</v>
      </c>
      <c r="F2223" s="94"/>
    </row>
    <row r="2224" spans="1:6" s="53" customFormat="1" x14ac:dyDescent="0.35">
      <c r="A2224" s="223"/>
      <c r="B2224" s="88" t="s">
        <v>111</v>
      </c>
      <c r="C2224" s="89" t="s">
        <v>112</v>
      </c>
      <c r="D2224" s="90">
        <v>40000</v>
      </c>
      <c r="E2224" s="225" t="s">
        <v>113</v>
      </c>
      <c r="F2224" s="225"/>
    </row>
    <row r="2225" spans="1:7" s="53" customFormat="1" x14ac:dyDescent="0.35">
      <c r="A2225" s="223"/>
      <c r="B2225" s="88" t="s">
        <v>182</v>
      </c>
      <c r="C2225" s="89" t="s">
        <v>115</v>
      </c>
      <c r="D2225" s="90">
        <f>700*122</f>
        <v>85400</v>
      </c>
      <c r="E2225" s="91" t="s">
        <v>116</v>
      </c>
      <c r="F2225" s="92">
        <f>4100*2680</f>
        <v>10988000</v>
      </c>
    </row>
    <row r="2226" spans="1:7" s="53" customFormat="1" x14ac:dyDescent="0.35">
      <c r="A2226" s="223"/>
      <c r="B2226" s="88"/>
      <c r="C2226" s="89" t="s">
        <v>117</v>
      </c>
      <c r="D2226" s="90">
        <f>2000*122</f>
        <v>244000</v>
      </c>
      <c r="E2226" s="93" t="s">
        <v>118</v>
      </c>
      <c r="F2226" s="94">
        <f>(2460*2680)+(1640*2680)</f>
        <v>10988000</v>
      </c>
    </row>
    <row r="2227" spans="1:7" s="53" customFormat="1" ht="15" thickBot="1" x14ac:dyDescent="0.4">
      <c r="A2227" s="223"/>
      <c r="B2227" s="88" t="s">
        <v>119</v>
      </c>
      <c r="C2227" s="89" t="s">
        <v>120</v>
      </c>
      <c r="D2227" s="95">
        <v>30000</v>
      </c>
      <c r="E2227" s="96" t="s">
        <v>121</v>
      </c>
      <c r="F2227" s="97">
        <f>F2225-F2226</f>
        <v>0</v>
      </c>
      <c r="G2227" s="98">
        <f>F2227/2680</f>
        <v>0</v>
      </c>
    </row>
    <row r="2228" spans="1:7" s="53" customFormat="1" ht="15" thickTop="1" x14ac:dyDescent="0.35">
      <c r="A2228" s="223"/>
      <c r="B2228" s="88"/>
      <c r="C2228" s="89" t="s">
        <v>122</v>
      </c>
      <c r="D2228" s="90">
        <v>140000</v>
      </c>
      <c r="F2228" s="94"/>
    </row>
    <row r="2229" spans="1:7" s="53" customFormat="1" x14ac:dyDescent="0.35">
      <c r="A2229" s="223"/>
      <c r="B2229" s="88" t="s">
        <v>617</v>
      </c>
      <c r="C2229" s="99" t="s">
        <v>123</v>
      </c>
      <c r="D2229" s="90">
        <v>15000</v>
      </c>
      <c r="E2229" s="91" t="s">
        <v>124</v>
      </c>
      <c r="F2229" s="92"/>
    </row>
    <row r="2230" spans="1:7" s="53" customFormat="1" x14ac:dyDescent="0.35">
      <c r="A2230" s="223"/>
      <c r="B2230" s="101"/>
      <c r="C2230" s="99" t="s">
        <v>125</v>
      </c>
      <c r="D2230" s="100">
        <v>10000</v>
      </c>
      <c r="E2230" s="102"/>
      <c r="F2230" s="103"/>
    </row>
    <row r="2231" spans="1:7" s="53" customFormat="1" x14ac:dyDescent="0.35">
      <c r="A2231" s="223"/>
      <c r="B2231" s="101"/>
      <c r="C2231" s="99" t="s">
        <v>126</v>
      </c>
      <c r="D2231" s="100">
        <v>20000</v>
      </c>
      <c r="E2231" s="102" t="s">
        <v>127</v>
      </c>
      <c r="F2231" s="103"/>
    </row>
    <row r="2232" spans="1:7" s="53" customFormat="1" x14ac:dyDescent="0.35">
      <c r="A2232" s="223"/>
      <c r="B2232" s="101"/>
      <c r="C2232" s="89"/>
      <c r="D2232" s="104"/>
      <c r="E2232" s="102" t="s">
        <v>683</v>
      </c>
      <c r="F2232" s="103"/>
    </row>
    <row r="2233" spans="1:7" s="53" customFormat="1" ht="15" thickBot="1" x14ac:dyDescent="0.4">
      <c r="A2233" s="223"/>
      <c r="B2233" s="105"/>
      <c r="C2233" s="106"/>
      <c r="D2233" s="107"/>
      <c r="E2233" s="53" t="s">
        <v>859</v>
      </c>
      <c r="F2233" s="94"/>
    </row>
    <row r="2234" spans="1:7" s="53" customFormat="1" ht="15" thickBot="1" x14ac:dyDescent="0.4">
      <c r="A2234" s="223"/>
      <c r="B2234" s="108"/>
      <c r="C2234" s="109" t="s">
        <v>129</v>
      </c>
      <c r="D2234" s="110">
        <f>SUM(D2221:D2233)</f>
        <v>7485650</v>
      </c>
      <c r="F2234" s="94"/>
    </row>
    <row r="2235" spans="1:7" s="53" customFormat="1" ht="15.5" thickTop="1" thickBot="1" x14ac:dyDescent="0.4">
      <c r="A2235" s="224"/>
      <c r="B2235" s="226"/>
      <c r="C2235" s="226"/>
      <c r="D2235" s="226"/>
      <c r="F2235" s="94"/>
    </row>
    <row r="2236" spans="1:7" s="53" customFormat="1" x14ac:dyDescent="0.35">
      <c r="B2236" s="87"/>
      <c r="C2236" s="53" t="s">
        <v>130</v>
      </c>
      <c r="D2236" s="111">
        <f>D2218-D2234</f>
        <v>3502350</v>
      </c>
      <c r="F2236" s="94"/>
    </row>
    <row r="2237" spans="1:7" s="53" customFormat="1" x14ac:dyDescent="0.35">
      <c r="B2237" s="87"/>
      <c r="D2237" s="111"/>
      <c r="F2237" s="94"/>
    </row>
    <row r="2238" spans="1:7" s="53" customFormat="1" x14ac:dyDescent="0.35">
      <c r="A2238" s="112"/>
      <c r="B2238" s="113"/>
      <c r="C2238" s="112"/>
      <c r="D2238" s="114"/>
      <c r="E2238" s="112"/>
      <c r="F2238" s="178"/>
    </row>
    <row r="2240" spans="1:7" s="53" customFormat="1" ht="23.5" x14ac:dyDescent="0.55000000000000004">
      <c r="B2240" s="227" t="s">
        <v>0</v>
      </c>
      <c r="C2240" s="227"/>
      <c r="D2240" s="227"/>
      <c r="E2240" s="70"/>
      <c r="F2240" s="176"/>
    </row>
    <row r="2241" spans="1:7" s="53" customFormat="1" ht="20.5" x14ac:dyDescent="0.45">
      <c r="B2241" s="71"/>
      <c r="C2241" s="72" t="s">
        <v>670</v>
      </c>
      <c r="D2241" s="73"/>
      <c r="F2241" s="94"/>
    </row>
    <row r="2242" spans="1:7" s="53" customFormat="1" ht="21" thickBot="1" x14ac:dyDescent="0.5">
      <c r="B2242" s="71" t="s">
        <v>671</v>
      </c>
      <c r="C2242" s="74" t="s">
        <v>103</v>
      </c>
      <c r="D2242" s="73"/>
      <c r="F2242" s="94"/>
    </row>
    <row r="2243" spans="1:7" s="53" customFormat="1" ht="15" thickBot="1" x14ac:dyDescent="0.4">
      <c r="A2243" s="75" t="s">
        <v>104</v>
      </c>
      <c r="B2243" s="76" t="s">
        <v>81</v>
      </c>
      <c r="C2243" s="76" t="s">
        <v>105</v>
      </c>
      <c r="D2243" s="77" t="s">
        <v>84</v>
      </c>
      <c r="F2243" s="94"/>
    </row>
    <row r="2244" spans="1:7" s="53" customFormat="1" ht="14.5" customHeight="1" x14ac:dyDescent="0.35">
      <c r="A2244" s="222" t="s">
        <v>90</v>
      </c>
      <c r="B2244" s="78" t="s">
        <v>666</v>
      </c>
      <c r="C2244" s="79" t="s">
        <v>106</v>
      </c>
      <c r="D2244" s="80">
        <f>F2251</f>
        <v>11792000</v>
      </c>
      <c r="F2244" s="94"/>
    </row>
    <row r="2245" spans="1:7" s="53" customFormat="1" ht="21" thickBot="1" x14ac:dyDescent="0.5">
      <c r="A2245" s="223"/>
      <c r="B2245" s="71"/>
      <c r="C2245" s="71"/>
      <c r="D2245" s="73"/>
      <c r="F2245" s="94"/>
    </row>
    <row r="2246" spans="1:7" s="53" customFormat="1" ht="15" thickBot="1" x14ac:dyDescent="0.4">
      <c r="A2246" s="223"/>
      <c r="B2246" s="81" t="s">
        <v>81</v>
      </c>
      <c r="C2246" s="82" t="s">
        <v>107</v>
      </c>
      <c r="D2246" s="83" t="s">
        <v>108</v>
      </c>
      <c r="F2246" s="94"/>
    </row>
    <row r="2247" spans="1:7" s="87" customFormat="1" x14ac:dyDescent="0.35">
      <c r="A2247" s="223"/>
      <c r="B2247" s="84" t="str">
        <f>B2244</f>
        <v>09th June,2025</v>
      </c>
      <c r="C2247" s="85" t="s">
        <v>822</v>
      </c>
      <c r="D2247" s="86">
        <f>1850*2850</f>
        <v>5272500</v>
      </c>
      <c r="F2247" s="177"/>
    </row>
    <row r="2248" spans="1:7" s="53" customFormat="1" x14ac:dyDescent="0.35">
      <c r="A2248" s="223"/>
      <c r="B2248" s="88"/>
      <c r="C2248" s="89" t="s">
        <v>388</v>
      </c>
      <c r="D2248" s="90">
        <f>356*2650</f>
        <v>943400</v>
      </c>
      <c r="F2248" s="94"/>
    </row>
    <row r="2249" spans="1:7" s="53" customFormat="1" x14ac:dyDescent="0.35">
      <c r="A2249" s="223"/>
      <c r="B2249" s="88" t="s">
        <v>109</v>
      </c>
      <c r="C2249" s="89" t="s">
        <v>110</v>
      </c>
      <c r="D2249" s="90">
        <v>1000000</v>
      </c>
      <c r="F2249" s="94"/>
    </row>
    <row r="2250" spans="1:7" s="53" customFormat="1" x14ac:dyDescent="0.35">
      <c r="A2250" s="223"/>
      <c r="B2250" s="88" t="s">
        <v>111</v>
      </c>
      <c r="C2250" s="89" t="s">
        <v>112</v>
      </c>
      <c r="D2250" s="90">
        <v>40000</v>
      </c>
      <c r="E2250" s="225" t="s">
        <v>113</v>
      </c>
      <c r="F2250" s="225"/>
    </row>
    <row r="2251" spans="1:7" s="53" customFormat="1" x14ac:dyDescent="0.35">
      <c r="A2251" s="223"/>
      <c r="B2251" s="88" t="s">
        <v>415</v>
      </c>
      <c r="C2251" s="89" t="s">
        <v>115</v>
      </c>
      <c r="D2251" s="90">
        <f>950*128</f>
        <v>121600</v>
      </c>
      <c r="E2251" s="91" t="s">
        <v>116</v>
      </c>
      <c r="F2251" s="92">
        <f>4400*2680</f>
        <v>11792000</v>
      </c>
    </row>
    <row r="2252" spans="1:7" s="53" customFormat="1" x14ac:dyDescent="0.35">
      <c r="A2252" s="223"/>
      <c r="B2252" s="88"/>
      <c r="C2252" s="89" t="s">
        <v>117</v>
      </c>
      <c r="D2252" s="90">
        <f>3170*128</f>
        <v>405760</v>
      </c>
      <c r="E2252" s="93" t="s">
        <v>118</v>
      </c>
      <c r="F2252" s="94">
        <f>(2640*2680)+(1760*2680)</f>
        <v>11792000</v>
      </c>
    </row>
    <row r="2253" spans="1:7" s="53" customFormat="1" ht="15" thickBot="1" x14ac:dyDescent="0.4">
      <c r="A2253" s="223"/>
      <c r="B2253" s="88" t="s">
        <v>119</v>
      </c>
      <c r="C2253" s="89" t="s">
        <v>120</v>
      </c>
      <c r="D2253" s="95">
        <v>30000</v>
      </c>
      <c r="E2253" s="96" t="s">
        <v>121</v>
      </c>
      <c r="F2253" s="97">
        <f>F2251-F2252</f>
        <v>0</v>
      </c>
      <c r="G2253" s="98">
        <f>F2253/2680</f>
        <v>0</v>
      </c>
    </row>
    <row r="2254" spans="1:7" s="53" customFormat="1" ht="15" thickTop="1" x14ac:dyDescent="0.35">
      <c r="A2254" s="223"/>
      <c r="B2254" s="88"/>
      <c r="C2254" s="99" t="s">
        <v>123</v>
      </c>
      <c r="D2254" s="100">
        <v>15000</v>
      </c>
      <c r="F2254" s="94"/>
    </row>
    <row r="2255" spans="1:7" s="53" customFormat="1" x14ac:dyDescent="0.35">
      <c r="A2255" s="223"/>
      <c r="B2255" s="88" t="s">
        <v>669</v>
      </c>
      <c r="C2255" s="99" t="s">
        <v>126</v>
      </c>
      <c r="D2255" s="100">
        <v>40000</v>
      </c>
      <c r="E2255" s="91" t="s">
        <v>124</v>
      </c>
      <c r="F2255" s="92"/>
    </row>
    <row r="2256" spans="1:7" s="53" customFormat="1" x14ac:dyDescent="0.35">
      <c r="A2256" s="223"/>
      <c r="B2256" s="101"/>
      <c r="C2256" s="89" t="s">
        <v>122</v>
      </c>
      <c r="D2256" s="90">
        <v>140000</v>
      </c>
      <c r="E2256" s="102"/>
      <c r="F2256" s="103"/>
    </row>
    <row r="2257" spans="1:6" s="53" customFormat="1" x14ac:dyDescent="0.35">
      <c r="A2257" s="223"/>
      <c r="B2257" s="101"/>
      <c r="C2257" s="99"/>
      <c r="D2257" s="100"/>
      <c r="E2257" s="102" t="s">
        <v>127</v>
      </c>
      <c r="F2257" s="103"/>
    </row>
    <row r="2258" spans="1:6" s="53" customFormat="1" x14ac:dyDescent="0.35">
      <c r="A2258" s="223"/>
      <c r="B2258" s="101"/>
      <c r="C2258" s="89"/>
      <c r="D2258" s="90"/>
      <c r="E2258" s="102" t="s">
        <v>683</v>
      </c>
      <c r="F2258" s="103"/>
    </row>
    <row r="2259" spans="1:6" s="53" customFormat="1" ht="15" thickBot="1" x14ac:dyDescent="0.4">
      <c r="A2259" s="223"/>
      <c r="B2259" s="105"/>
      <c r="C2259" s="106"/>
      <c r="D2259" s="107"/>
      <c r="E2259" s="53" t="s">
        <v>917</v>
      </c>
      <c r="F2259" s="94"/>
    </row>
    <row r="2260" spans="1:6" s="53" customFormat="1" ht="15" thickBot="1" x14ac:dyDescent="0.4">
      <c r="A2260" s="223"/>
      <c r="B2260" s="108"/>
      <c r="C2260" s="109" t="s">
        <v>129</v>
      </c>
      <c r="D2260" s="110">
        <f>SUM(D2247:D2259)</f>
        <v>8008260</v>
      </c>
      <c r="F2260" s="94"/>
    </row>
    <row r="2261" spans="1:6" s="53" customFormat="1" ht="15.5" thickTop="1" thickBot="1" x14ac:dyDescent="0.4">
      <c r="A2261" s="224"/>
      <c r="B2261" s="226"/>
      <c r="C2261" s="226"/>
      <c r="D2261" s="226"/>
      <c r="F2261" s="94"/>
    </row>
    <row r="2262" spans="1:6" s="53" customFormat="1" x14ac:dyDescent="0.35">
      <c r="B2262" s="87"/>
      <c r="C2262" s="53" t="s">
        <v>130</v>
      </c>
      <c r="D2262" s="111">
        <f>D2244-D2260</f>
        <v>3783740</v>
      </c>
      <c r="F2262" s="94"/>
    </row>
    <row r="2263" spans="1:6" s="53" customFormat="1" x14ac:dyDescent="0.35">
      <c r="B2263" s="87"/>
      <c r="D2263" s="111"/>
      <c r="F2263" s="94"/>
    </row>
    <row r="2264" spans="1:6" s="53" customFormat="1" x14ac:dyDescent="0.35">
      <c r="A2264" s="112"/>
      <c r="B2264" s="113"/>
      <c r="C2264" s="112"/>
      <c r="D2264" s="114"/>
      <c r="E2264" s="112"/>
      <c r="F2264" s="178"/>
    </row>
    <row r="2266" spans="1:6" s="53" customFormat="1" ht="23.5" x14ac:dyDescent="0.55000000000000004">
      <c r="B2266" s="227" t="s">
        <v>0</v>
      </c>
      <c r="C2266" s="227"/>
      <c r="D2266" s="227"/>
      <c r="E2266" s="70"/>
      <c r="F2266" s="176"/>
    </row>
    <row r="2267" spans="1:6" s="53" customFormat="1" ht="20.5" x14ac:dyDescent="0.45">
      <c r="B2267" s="71"/>
      <c r="C2267" s="72" t="s">
        <v>679</v>
      </c>
      <c r="D2267" s="73"/>
      <c r="F2267" s="94"/>
    </row>
    <row r="2268" spans="1:6" s="53" customFormat="1" ht="21" thickBot="1" x14ac:dyDescent="0.5">
      <c r="B2268" s="71" t="s">
        <v>573</v>
      </c>
      <c r="C2268" s="74" t="s">
        <v>103</v>
      </c>
      <c r="D2268" s="73"/>
      <c r="F2268" s="94"/>
    </row>
    <row r="2269" spans="1:6" s="53" customFormat="1" ht="15" thickBot="1" x14ac:dyDescent="0.4">
      <c r="A2269" s="75" t="s">
        <v>104</v>
      </c>
      <c r="B2269" s="76" t="s">
        <v>81</v>
      </c>
      <c r="C2269" s="76" t="s">
        <v>105</v>
      </c>
      <c r="D2269" s="77" t="s">
        <v>84</v>
      </c>
      <c r="F2269" s="94"/>
    </row>
    <row r="2270" spans="1:6" s="53" customFormat="1" ht="14.5" customHeight="1" x14ac:dyDescent="0.35">
      <c r="A2270" s="222" t="s">
        <v>90</v>
      </c>
      <c r="B2270" s="78" t="s">
        <v>681</v>
      </c>
      <c r="C2270" s="79" t="s">
        <v>187</v>
      </c>
      <c r="D2270" s="80">
        <f>F2277</f>
        <v>11070000</v>
      </c>
      <c r="F2270" s="94"/>
    </row>
    <row r="2271" spans="1:6" s="53" customFormat="1" ht="21" thickBot="1" x14ac:dyDescent="0.5">
      <c r="A2271" s="223"/>
      <c r="B2271" s="71"/>
      <c r="C2271" s="71"/>
      <c r="D2271" s="73"/>
      <c r="F2271" s="94"/>
    </row>
    <row r="2272" spans="1:6" s="53" customFormat="1" ht="15" thickBot="1" x14ac:dyDescent="0.4">
      <c r="A2272" s="223"/>
      <c r="B2272" s="81" t="s">
        <v>81</v>
      </c>
      <c r="C2272" s="82" t="s">
        <v>107</v>
      </c>
      <c r="D2272" s="83" t="s">
        <v>108</v>
      </c>
      <c r="F2272" s="94"/>
    </row>
    <row r="2273" spans="1:7" s="87" customFormat="1" x14ac:dyDescent="0.35">
      <c r="A2273" s="223"/>
      <c r="B2273" s="84" t="str">
        <f>B2270</f>
        <v>11th June,2025</v>
      </c>
      <c r="C2273" s="85" t="s">
        <v>822</v>
      </c>
      <c r="D2273" s="86">
        <f>1850*2850</f>
        <v>5272500</v>
      </c>
      <c r="F2273" s="177"/>
    </row>
    <row r="2274" spans="1:7" s="53" customFormat="1" x14ac:dyDescent="0.35">
      <c r="A2274" s="223"/>
      <c r="B2274" s="88"/>
      <c r="C2274" s="89" t="s">
        <v>188</v>
      </c>
      <c r="D2274" s="90">
        <f>325*2650</f>
        <v>861250</v>
      </c>
      <c r="F2274" s="94"/>
    </row>
    <row r="2275" spans="1:7" s="53" customFormat="1" x14ac:dyDescent="0.35">
      <c r="A2275" s="223"/>
      <c r="B2275" s="88" t="s">
        <v>109</v>
      </c>
      <c r="C2275" s="89" t="s">
        <v>110</v>
      </c>
      <c r="D2275" s="90">
        <v>1000000</v>
      </c>
      <c r="F2275" s="94"/>
    </row>
    <row r="2276" spans="1:7" s="53" customFormat="1" x14ac:dyDescent="0.35">
      <c r="A2276" s="223"/>
      <c r="B2276" s="88" t="s">
        <v>111</v>
      </c>
      <c r="C2276" s="89" t="s">
        <v>112</v>
      </c>
      <c r="D2276" s="90">
        <v>40000</v>
      </c>
      <c r="E2276" s="225" t="s">
        <v>113</v>
      </c>
      <c r="F2276" s="225"/>
    </row>
    <row r="2277" spans="1:7" s="53" customFormat="1" x14ac:dyDescent="0.35">
      <c r="A2277" s="223"/>
      <c r="B2277" s="88" t="s">
        <v>182</v>
      </c>
      <c r="C2277" s="89" t="s">
        <v>115</v>
      </c>
      <c r="D2277" s="90">
        <f>1000*120</f>
        <v>120000</v>
      </c>
      <c r="E2277" s="91" t="s">
        <v>116</v>
      </c>
      <c r="F2277" s="92">
        <f>4100*2700</f>
        <v>11070000</v>
      </c>
    </row>
    <row r="2278" spans="1:7" s="53" customFormat="1" x14ac:dyDescent="0.35">
      <c r="A2278" s="223"/>
      <c r="B2278" s="88"/>
      <c r="C2278" s="89" t="s">
        <v>117</v>
      </c>
      <c r="D2278" s="90">
        <f>2000*120</f>
        <v>240000</v>
      </c>
      <c r="E2278" s="93" t="s">
        <v>118</v>
      </c>
      <c r="F2278" s="94">
        <f>(4100*2700)</f>
        <v>11070000</v>
      </c>
    </row>
    <row r="2279" spans="1:7" s="53" customFormat="1" ht="15" thickBot="1" x14ac:dyDescent="0.4">
      <c r="A2279" s="223"/>
      <c r="B2279" s="88" t="s">
        <v>119</v>
      </c>
      <c r="C2279" s="89" t="s">
        <v>120</v>
      </c>
      <c r="D2279" s="95">
        <v>30000</v>
      </c>
      <c r="E2279" s="96" t="s">
        <v>121</v>
      </c>
      <c r="F2279" s="97">
        <f>F2277-F2278</f>
        <v>0</v>
      </c>
      <c r="G2279" s="98">
        <f>F2279/2700</f>
        <v>0</v>
      </c>
    </row>
    <row r="2280" spans="1:7" s="53" customFormat="1" ht="15" thickTop="1" x14ac:dyDescent="0.35">
      <c r="A2280" s="223"/>
      <c r="B2280" s="88"/>
      <c r="C2280" s="99" t="s">
        <v>123</v>
      </c>
      <c r="D2280" s="90">
        <v>15000</v>
      </c>
      <c r="F2280" s="94"/>
    </row>
    <row r="2281" spans="1:7" s="53" customFormat="1" x14ac:dyDescent="0.35">
      <c r="A2281" s="223"/>
      <c r="B2281" s="88" t="s">
        <v>678</v>
      </c>
      <c r="C2281" s="99" t="s">
        <v>126</v>
      </c>
      <c r="D2281" s="100">
        <v>30000</v>
      </c>
      <c r="E2281" s="91" t="s">
        <v>124</v>
      </c>
      <c r="F2281" s="92"/>
    </row>
    <row r="2282" spans="1:7" s="53" customFormat="1" x14ac:dyDescent="0.35">
      <c r="A2282" s="223"/>
      <c r="B2282" s="101"/>
      <c r="C2282" s="99"/>
      <c r="D2282" s="100"/>
      <c r="E2282" s="102"/>
      <c r="F2282" s="103"/>
    </row>
    <row r="2283" spans="1:7" s="53" customFormat="1" x14ac:dyDescent="0.35">
      <c r="A2283" s="223"/>
      <c r="B2283" s="101"/>
      <c r="C2283" s="99"/>
      <c r="D2283" s="100"/>
      <c r="E2283" s="102" t="s">
        <v>127</v>
      </c>
      <c r="F2283" s="103"/>
    </row>
    <row r="2284" spans="1:7" s="53" customFormat="1" x14ac:dyDescent="0.35">
      <c r="A2284" s="223"/>
      <c r="B2284" s="101"/>
      <c r="C2284" s="89"/>
      <c r="D2284" s="104"/>
      <c r="E2284" s="102" t="s">
        <v>910</v>
      </c>
      <c r="F2284" s="103"/>
    </row>
    <row r="2285" spans="1:7" s="53" customFormat="1" ht="15" thickBot="1" x14ac:dyDescent="0.4">
      <c r="A2285" s="223"/>
      <c r="B2285" s="105"/>
      <c r="C2285" s="106"/>
      <c r="D2285" s="107"/>
      <c r="F2285" s="94"/>
    </row>
    <row r="2286" spans="1:7" s="53" customFormat="1" ht="15" thickBot="1" x14ac:dyDescent="0.4">
      <c r="A2286" s="223"/>
      <c r="B2286" s="108"/>
      <c r="C2286" s="109" t="s">
        <v>129</v>
      </c>
      <c r="D2286" s="110">
        <f>SUM(D2273:D2285)</f>
        <v>7608750</v>
      </c>
      <c r="F2286" s="94"/>
    </row>
    <row r="2287" spans="1:7" s="53" customFormat="1" ht="15.5" thickTop="1" thickBot="1" x14ac:dyDescent="0.4">
      <c r="A2287" s="224"/>
      <c r="B2287" s="226"/>
      <c r="C2287" s="226"/>
      <c r="D2287" s="226"/>
      <c r="F2287" s="94"/>
    </row>
    <row r="2288" spans="1:7" s="53" customFormat="1" x14ac:dyDescent="0.35">
      <c r="B2288" s="87"/>
      <c r="C2288" s="53" t="s">
        <v>130</v>
      </c>
      <c r="D2288" s="111">
        <f>D2270-D2286</f>
        <v>3461250</v>
      </c>
      <c r="F2288" s="94"/>
    </row>
    <row r="2289" spans="1:6" s="53" customFormat="1" x14ac:dyDescent="0.35">
      <c r="B2289" s="87"/>
      <c r="D2289" s="111"/>
      <c r="F2289" s="94"/>
    </row>
    <row r="2290" spans="1:6" s="53" customFormat="1" x14ac:dyDescent="0.35">
      <c r="A2290" s="112"/>
      <c r="B2290" s="113"/>
      <c r="C2290" s="112"/>
      <c r="D2290" s="114"/>
      <c r="E2290" s="112"/>
      <c r="F2290" s="178"/>
    </row>
    <row r="2292" spans="1:6" s="53" customFormat="1" ht="23.5" x14ac:dyDescent="0.55000000000000004">
      <c r="B2292" s="227" t="s">
        <v>0</v>
      </c>
      <c r="C2292" s="227"/>
      <c r="D2292" s="227"/>
      <c r="E2292" s="70"/>
      <c r="F2292" s="176"/>
    </row>
    <row r="2293" spans="1:6" s="53" customFormat="1" ht="20.5" x14ac:dyDescent="0.45">
      <c r="B2293" s="71"/>
      <c r="C2293" s="72" t="s">
        <v>680</v>
      </c>
      <c r="D2293" s="73"/>
      <c r="F2293" s="94"/>
    </row>
    <row r="2294" spans="1:6" s="53" customFormat="1" ht="21" thickBot="1" x14ac:dyDescent="0.5">
      <c r="B2294" s="71" t="s">
        <v>239</v>
      </c>
      <c r="C2294" s="74" t="s">
        <v>103</v>
      </c>
      <c r="D2294" s="73"/>
      <c r="F2294" s="94"/>
    </row>
    <row r="2295" spans="1:6" s="53" customFormat="1" ht="15" thickBot="1" x14ac:dyDescent="0.4">
      <c r="A2295" s="75" t="s">
        <v>104</v>
      </c>
      <c r="B2295" s="76" t="s">
        <v>81</v>
      </c>
      <c r="C2295" s="76" t="s">
        <v>105</v>
      </c>
      <c r="D2295" s="77" t="s">
        <v>84</v>
      </c>
      <c r="F2295" s="94"/>
    </row>
    <row r="2296" spans="1:6" s="53" customFormat="1" ht="14.5" customHeight="1" x14ac:dyDescent="0.35">
      <c r="A2296" s="222" t="s">
        <v>90</v>
      </c>
      <c r="B2296" s="78" t="s">
        <v>681</v>
      </c>
      <c r="C2296" s="79" t="s">
        <v>187</v>
      </c>
      <c r="D2296" s="80">
        <f>F2303</f>
        <v>12420000</v>
      </c>
      <c r="F2296" s="94"/>
    </row>
    <row r="2297" spans="1:6" s="53" customFormat="1" ht="21" thickBot="1" x14ac:dyDescent="0.5">
      <c r="A2297" s="223"/>
      <c r="B2297" s="71"/>
      <c r="C2297" s="71"/>
      <c r="D2297" s="73"/>
      <c r="F2297" s="94"/>
    </row>
    <row r="2298" spans="1:6" s="53" customFormat="1" ht="15" thickBot="1" x14ac:dyDescent="0.4">
      <c r="A2298" s="223"/>
      <c r="B2298" s="81" t="s">
        <v>81</v>
      </c>
      <c r="C2298" s="82" t="s">
        <v>107</v>
      </c>
      <c r="D2298" s="83" t="s">
        <v>108</v>
      </c>
      <c r="F2298" s="94"/>
    </row>
    <row r="2299" spans="1:6" s="87" customFormat="1" x14ac:dyDescent="0.35">
      <c r="A2299" s="223"/>
      <c r="B2299" s="84" t="str">
        <f>B2296</f>
        <v>11th June,2025</v>
      </c>
      <c r="C2299" s="85" t="s">
        <v>822</v>
      </c>
      <c r="D2299" s="86">
        <f>1850*2850</f>
        <v>5272500</v>
      </c>
      <c r="F2299" s="177"/>
    </row>
    <row r="2300" spans="1:6" s="53" customFormat="1" x14ac:dyDescent="0.35">
      <c r="A2300" s="223"/>
      <c r="B2300" s="88"/>
      <c r="C2300" s="89" t="s">
        <v>188</v>
      </c>
      <c r="D2300" s="90">
        <f>325*2650</f>
        <v>861250</v>
      </c>
      <c r="F2300" s="94"/>
    </row>
    <row r="2301" spans="1:6" s="53" customFormat="1" x14ac:dyDescent="0.35">
      <c r="A2301" s="223"/>
      <c r="B2301" s="88" t="s">
        <v>109</v>
      </c>
      <c r="C2301" s="89" t="s">
        <v>110</v>
      </c>
      <c r="D2301" s="90">
        <v>1000000</v>
      </c>
      <c r="F2301" s="94"/>
    </row>
    <row r="2302" spans="1:6" s="53" customFormat="1" x14ac:dyDescent="0.35">
      <c r="A2302" s="223"/>
      <c r="B2302" s="88" t="s">
        <v>111</v>
      </c>
      <c r="C2302" s="89" t="s">
        <v>112</v>
      </c>
      <c r="D2302" s="90">
        <v>40000</v>
      </c>
      <c r="E2302" s="225" t="s">
        <v>113</v>
      </c>
      <c r="F2302" s="225"/>
    </row>
    <row r="2303" spans="1:6" s="53" customFormat="1" x14ac:dyDescent="0.35">
      <c r="A2303" s="223"/>
      <c r="B2303" s="88" t="s">
        <v>182</v>
      </c>
      <c r="C2303" s="89" t="s">
        <v>115</v>
      </c>
      <c r="D2303" s="90">
        <f>1250*120</f>
        <v>150000</v>
      </c>
      <c r="E2303" s="91" t="s">
        <v>116</v>
      </c>
      <c r="F2303" s="92">
        <f>4600*2700</f>
        <v>12420000</v>
      </c>
    </row>
    <row r="2304" spans="1:6" s="53" customFormat="1" x14ac:dyDescent="0.35">
      <c r="A2304" s="223"/>
      <c r="B2304" s="88"/>
      <c r="C2304" s="89" t="s">
        <v>117</v>
      </c>
      <c r="D2304" s="90">
        <f>2500*120</f>
        <v>300000</v>
      </c>
      <c r="E2304" s="93" t="s">
        <v>118</v>
      </c>
      <c r="F2304" s="94">
        <f>4600*2700</f>
        <v>12420000</v>
      </c>
    </row>
    <row r="2305" spans="1:7" s="53" customFormat="1" ht="15" thickBot="1" x14ac:dyDescent="0.4">
      <c r="A2305" s="223"/>
      <c r="B2305" s="88" t="s">
        <v>119</v>
      </c>
      <c r="C2305" s="89" t="s">
        <v>120</v>
      </c>
      <c r="D2305" s="95">
        <v>30000</v>
      </c>
      <c r="E2305" s="96" t="s">
        <v>121</v>
      </c>
      <c r="F2305" s="97">
        <f>F2303-F2304</f>
        <v>0</v>
      </c>
      <c r="G2305" s="98">
        <f>F2305/2700</f>
        <v>0</v>
      </c>
    </row>
    <row r="2306" spans="1:7" s="53" customFormat="1" ht="15" thickTop="1" x14ac:dyDescent="0.35">
      <c r="A2306" s="223"/>
      <c r="B2306" s="88"/>
      <c r="C2306" s="89" t="s">
        <v>122</v>
      </c>
      <c r="D2306" s="90">
        <v>140000</v>
      </c>
      <c r="F2306" s="94"/>
    </row>
    <row r="2307" spans="1:7" s="53" customFormat="1" x14ac:dyDescent="0.35">
      <c r="A2307" s="223"/>
      <c r="B2307" s="88" t="s">
        <v>682</v>
      </c>
      <c r="C2307" s="99" t="s">
        <v>123</v>
      </c>
      <c r="D2307" s="90">
        <v>15000</v>
      </c>
      <c r="E2307" s="91" t="s">
        <v>124</v>
      </c>
      <c r="F2307" s="92"/>
    </row>
    <row r="2308" spans="1:7" s="53" customFormat="1" x14ac:dyDescent="0.35">
      <c r="A2308" s="223"/>
      <c r="B2308" s="101"/>
      <c r="C2308" s="99" t="s">
        <v>125</v>
      </c>
      <c r="D2308" s="100">
        <v>10000</v>
      </c>
      <c r="E2308" s="102"/>
      <c r="F2308" s="103"/>
    </row>
    <row r="2309" spans="1:7" s="53" customFormat="1" x14ac:dyDescent="0.35">
      <c r="A2309" s="223"/>
      <c r="B2309" s="101"/>
      <c r="C2309" s="99" t="s">
        <v>126</v>
      </c>
      <c r="D2309" s="100">
        <v>40000</v>
      </c>
      <c r="E2309" s="102" t="s">
        <v>127</v>
      </c>
      <c r="F2309" s="103"/>
    </row>
    <row r="2310" spans="1:7" s="53" customFormat="1" x14ac:dyDescent="0.35">
      <c r="A2310" s="223"/>
      <c r="B2310" s="101"/>
      <c r="C2310" s="89" t="s">
        <v>265</v>
      </c>
      <c r="D2310" s="104">
        <f>373*123</f>
        <v>45879</v>
      </c>
      <c r="E2310" s="102" t="s">
        <v>1106</v>
      </c>
      <c r="F2310" s="103"/>
    </row>
    <row r="2311" spans="1:7" s="53" customFormat="1" ht="15" thickBot="1" x14ac:dyDescent="0.4">
      <c r="A2311" s="223"/>
      <c r="B2311" s="105"/>
      <c r="C2311" s="106"/>
      <c r="D2311" s="107"/>
      <c r="F2311" s="94"/>
    </row>
    <row r="2312" spans="1:7" s="53" customFormat="1" ht="15" thickBot="1" x14ac:dyDescent="0.4">
      <c r="A2312" s="223"/>
      <c r="B2312" s="108"/>
      <c r="C2312" s="109" t="s">
        <v>129</v>
      </c>
      <c r="D2312" s="110">
        <f>SUM(D2299:D2311)</f>
        <v>7904629</v>
      </c>
      <c r="F2312" s="94"/>
    </row>
    <row r="2313" spans="1:7" s="53" customFormat="1" ht="15.5" thickTop="1" thickBot="1" x14ac:dyDescent="0.4">
      <c r="A2313" s="224"/>
      <c r="B2313" s="226"/>
      <c r="C2313" s="226"/>
      <c r="D2313" s="226"/>
      <c r="F2313" s="94"/>
    </row>
    <row r="2314" spans="1:7" s="53" customFormat="1" x14ac:dyDescent="0.35">
      <c r="B2314" s="87"/>
      <c r="C2314" s="53" t="s">
        <v>130</v>
      </c>
      <c r="D2314" s="111">
        <f>D2296-D2312</f>
        <v>4515371</v>
      </c>
      <c r="F2314" s="94"/>
    </row>
    <row r="2315" spans="1:7" s="53" customFormat="1" x14ac:dyDescent="0.35">
      <c r="B2315" s="87"/>
      <c r="D2315" s="111"/>
      <c r="F2315" s="94"/>
    </row>
    <row r="2316" spans="1:7" s="53" customFormat="1" x14ac:dyDescent="0.35">
      <c r="A2316" s="112"/>
      <c r="B2316" s="113"/>
      <c r="C2316" s="112"/>
      <c r="D2316" s="114"/>
      <c r="E2316" s="112"/>
      <c r="F2316" s="178"/>
    </row>
    <row r="2319" spans="1:7" s="53" customFormat="1" ht="23.5" x14ac:dyDescent="0.55000000000000004">
      <c r="B2319" s="227" t="s">
        <v>0</v>
      </c>
      <c r="C2319" s="227"/>
      <c r="D2319" s="227"/>
      <c r="E2319" s="70"/>
      <c r="F2319" s="176"/>
    </row>
    <row r="2320" spans="1:7" s="53" customFormat="1" ht="20.5" x14ac:dyDescent="0.45">
      <c r="B2320" s="71"/>
      <c r="C2320" s="72" t="s">
        <v>686</v>
      </c>
      <c r="D2320" s="73"/>
      <c r="F2320" s="94"/>
    </row>
    <row r="2321" spans="1:7" s="53" customFormat="1" ht="21" thickBot="1" x14ac:dyDescent="0.5">
      <c r="B2321" s="71" t="s">
        <v>296</v>
      </c>
      <c r="C2321" s="74" t="s">
        <v>103</v>
      </c>
      <c r="D2321" s="73"/>
      <c r="F2321" s="94"/>
    </row>
    <row r="2322" spans="1:7" s="53" customFormat="1" ht="15" thickBot="1" x14ac:dyDescent="0.4">
      <c r="A2322" s="75" t="s">
        <v>104</v>
      </c>
      <c r="B2322" s="76" t="s">
        <v>81</v>
      </c>
      <c r="C2322" s="76" t="s">
        <v>105</v>
      </c>
      <c r="D2322" s="77" t="s">
        <v>84</v>
      </c>
      <c r="F2322" s="94"/>
    </row>
    <row r="2323" spans="1:7" s="53" customFormat="1" ht="14.5" customHeight="1" x14ac:dyDescent="0.35">
      <c r="A2323" s="222" t="s">
        <v>90</v>
      </c>
      <c r="B2323" s="78" t="s">
        <v>687</v>
      </c>
      <c r="C2323" s="79" t="s">
        <v>319</v>
      </c>
      <c r="D2323" s="80">
        <f>F2330</f>
        <v>11070000</v>
      </c>
      <c r="F2323" s="94"/>
    </row>
    <row r="2324" spans="1:7" s="53" customFormat="1" ht="21" thickBot="1" x14ac:dyDescent="0.5">
      <c r="A2324" s="223"/>
      <c r="B2324" s="71"/>
      <c r="C2324" s="71"/>
      <c r="D2324" s="73"/>
      <c r="F2324" s="94"/>
    </row>
    <row r="2325" spans="1:7" s="53" customFormat="1" ht="15" thickBot="1" x14ac:dyDescent="0.4">
      <c r="A2325" s="223"/>
      <c r="B2325" s="81" t="s">
        <v>81</v>
      </c>
      <c r="C2325" s="82" t="s">
        <v>107</v>
      </c>
      <c r="D2325" s="83" t="s">
        <v>108</v>
      </c>
      <c r="F2325" s="94"/>
    </row>
    <row r="2326" spans="1:7" s="87" customFormat="1" x14ac:dyDescent="0.35">
      <c r="A2326" s="223"/>
      <c r="B2326" s="84" t="str">
        <f>B2323</f>
        <v>12th June,2025</v>
      </c>
      <c r="C2326" s="85" t="s">
        <v>846</v>
      </c>
      <c r="D2326" s="86">
        <f>1750*2850</f>
        <v>4987500</v>
      </c>
      <c r="F2326" s="177"/>
    </row>
    <row r="2327" spans="1:7" s="53" customFormat="1" x14ac:dyDescent="0.35">
      <c r="A2327" s="223"/>
      <c r="B2327" s="88"/>
      <c r="C2327" s="89" t="s">
        <v>210</v>
      </c>
      <c r="D2327" s="90">
        <f>319*2650</f>
        <v>845350</v>
      </c>
      <c r="F2327" s="94"/>
    </row>
    <row r="2328" spans="1:7" s="53" customFormat="1" x14ac:dyDescent="0.35">
      <c r="A2328" s="223"/>
      <c r="B2328" s="88" t="s">
        <v>109</v>
      </c>
      <c r="C2328" s="89" t="s">
        <v>110</v>
      </c>
      <c r="D2328" s="90">
        <v>1000000</v>
      </c>
      <c r="F2328" s="94"/>
    </row>
    <row r="2329" spans="1:7" s="53" customFormat="1" x14ac:dyDescent="0.35">
      <c r="A2329" s="223"/>
      <c r="B2329" s="88" t="s">
        <v>111</v>
      </c>
      <c r="C2329" s="89" t="s">
        <v>112</v>
      </c>
      <c r="D2329" s="90">
        <v>40000</v>
      </c>
      <c r="E2329" s="225" t="s">
        <v>113</v>
      </c>
      <c r="F2329" s="225"/>
    </row>
    <row r="2330" spans="1:7" s="53" customFormat="1" x14ac:dyDescent="0.35">
      <c r="A2330" s="223"/>
      <c r="B2330" s="88" t="s">
        <v>206</v>
      </c>
      <c r="C2330" s="89" t="s">
        <v>115</v>
      </c>
      <c r="D2330" s="90">
        <f>450*120</f>
        <v>54000</v>
      </c>
      <c r="E2330" s="91" t="s">
        <v>116</v>
      </c>
      <c r="F2330" s="92">
        <f>4100*2700</f>
        <v>11070000</v>
      </c>
    </row>
    <row r="2331" spans="1:7" s="53" customFormat="1" x14ac:dyDescent="0.35">
      <c r="A2331" s="223"/>
      <c r="B2331" s="88"/>
      <c r="C2331" s="89" t="s">
        <v>117</v>
      </c>
      <c r="D2331" s="90">
        <f>2420*120</f>
        <v>290400</v>
      </c>
      <c r="E2331" s="93" t="s">
        <v>118</v>
      </c>
      <c r="F2331" s="94">
        <v>11070000</v>
      </c>
    </row>
    <row r="2332" spans="1:7" s="53" customFormat="1" ht="15" thickBot="1" x14ac:dyDescent="0.4">
      <c r="A2332" s="223"/>
      <c r="B2332" s="88" t="s">
        <v>119</v>
      </c>
      <c r="C2332" s="89" t="s">
        <v>120</v>
      </c>
      <c r="D2332" s="95">
        <v>30000</v>
      </c>
      <c r="E2332" s="96" t="s">
        <v>121</v>
      </c>
      <c r="F2332" s="97">
        <f>F2330-F2331</f>
        <v>0</v>
      </c>
      <c r="G2332" s="98">
        <f>F2332/2700</f>
        <v>0</v>
      </c>
    </row>
    <row r="2333" spans="1:7" s="53" customFormat="1" ht="15" thickTop="1" x14ac:dyDescent="0.35">
      <c r="A2333" s="223"/>
      <c r="B2333" s="88"/>
      <c r="C2333" s="89" t="s">
        <v>122</v>
      </c>
      <c r="D2333" s="90">
        <v>140000</v>
      </c>
      <c r="F2333" s="94"/>
    </row>
    <row r="2334" spans="1:7" s="53" customFormat="1" x14ac:dyDescent="0.35">
      <c r="A2334" s="223"/>
      <c r="B2334" s="88" t="s">
        <v>685</v>
      </c>
      <c r="C2334" s="99" t="s">
        <v>123</v>
      </c>
      <c r="D2334" s="90">
        <v>15000</v>
      </c>
      <c r="E2334" s="91" t="s">
        <v>124</v>
      </c>
      <c r="F2334" s="92"/>
    </row>
    <row r="2335" spans="1:7" s="53" customFormat="1" x14ac:dyDescent="0.35">
      <c r="A2335" s="223"/>
      <c r="B2335" s="101"/>
      <c r="C2335" s="99" t="s">
        <v>125</v>
      </c>
      <c r="D2335" s="100">
        <v>10000</v>
      </c>
      <c r="E2335" s="102"/>
      <c r="F2335" s="103"/>
    </row>
    <row r="2336" spans="1:7" s="53" customFormat="1" x14ac:dyDescent="0.35">
      <c r="A2336" s="223"/>
      <c r="B2336" s="101"/>
      <c r="C2336" s="99" t="s">
        <v>126</v>
      </c>
      <c r="D2336" s="100">
        <v>70000</v>
      </c>
      <c r="E2336" s="102" t="s">
        <v>127</v>
      </c>
      <c r="F2336" s="103"/>
    </row>
    <row r="2337" spans="1:6" s="53" customFormat="1" x14ac:dyDescent="0.35">
      <c r="A2337" s="223"/>
      <c r="B2337" s="101"/>
      <c r="C2337" s="89"/>
      <c r="D2337" s="104"/>
      <c r="E2337" s="102" t="s">
        <v>909</v>
      </c>
      <c r="F2337" s="103"/>
    </row>
    <row r="2338" spans="1:6" s="53" customFormat="1" ht="15" thickBot="1" x14ac:dyDescent="0.4">
      <c r="A2338" s="223"/>
      <c r="B2338" s="105"/>
      <c r="C2338" s="106"/>
      <c r="D2338" s="107"/>
      <c r="F2338" s="94"/>
    </row>
    <row r="2339" spans="1:6" s="53" customFormat="1" ht="15" thickBot="1" x14ac:dyDescent="0.4">
      <c r="A2339" s="223"/>
      <c r="B2339" s="108"/>
      <c r="C2339" s="109" t="s">
        <v>129</v>
      </c>
      <c r="D2339" s="110">
        <f>SUM(D2326:D2338)</f>
        <v>7482250</v>
      </c>
      <c r="F2339" s="94"/>
    </row>
    <row r="2340" spans="1:6" s="53" customFormat="1" ht="15.5" thickTop="1" thickBot="1" x14ac:dyDescent="0.4">
      <c r="A2340" s="224"/>
      <c r="B2340" s="226"/>
      <c r="C2340" s="226"/>
      <c r="D2340" s="226"/>
      <c r="F2340" s="94"/>
    </row>
    <row r="2341" spans="1:6" s="53" customFormat="1" x14ac:dyDescent="0.35">
      <c r="B2341" s="87"/>
      <c r="C2341" s="53" t="s">
        <v>130</v>
      </c>
      <c r="D2341" s="111">
        <f>D2323-D2339</f>
        <v>3587750</v>
      </c>
      <c r="F2341" s="94"/>
    </row>
    <row r="2342" spans="1:6" s="53" customFormat="1" x14ac:dyDescent="0.35">
      <c r="B2342" s="87"/>
      <c r="D2342" s="111"/>
      <c r="F2342" s="94"/>
    </row>
    <row r="2343" spans="1:6" s="53" customFormat="1" x14ac:dyDescent="0.35">
      <c r="A2343" s="112"/>
      <c r="B2343" s="113"/>
      <c r="C2343" s="112"/>
      <c r="D2343" s="114"/>
      <c r="E2343" s="112"/>
      <c r="F2343" s="178"/>
    </row>
    <row r="2345" spans="1:6" s="53" customFormat="1" ht="23.5" x14ac:dyDescent="0.55000000000000004">
      <c r="B2345" s="227" t="s">
        <v>0</v>
      </c>
      <c r="C2345" s="227"/>
      <c r="D2345" s="227"/>
      <c r="E2345" s="70"/>
      <c r="F2345" s="176"/>
    </row>
    <row r="2346" spans="1:6" s="53" customFormat="1" ht="20.5" x14ac:dyDescent="0.45">
      <c r="B2346" s="71"/>
      <c r="C2346" s="72" t="s">
        <v>692</v>
      </c>
      <c r="D2346" s="73"/>
      <c r="F2346" s="94"/>
    </row>
    <row r="2347" spans="1:6" s="53" customFormat="1" ht="21" thickBot="1" x14ac:dyDescent="0.5">
      <c r="B2347" s="71" t="s">
        <v>208</v>
      </c>
      <c r="C2347" s="74" t="s">
        <v>103</v>
      </c>
      <c r="D2347" s="73"/>
      <c r="F2347" s="94"/>
    </row>
    <row r="2348" spans="1:6" s="53" customFormat="1" ht="15" thickBot="1" x14ac:dyDescent="0.4">
      <c r="A2348" s="75" t="s">
        <v>104</v>
      </c>
      <c r="B2348" s="76" t="s">
        <v>81</v>
      </c>
      <c r="C2348" s="76" t="s">
        <v>105</v>
      </c>
      <c r="D2348" s="77" t="s">
        <v>84</v>
      </c>
      <c r="F2348" s="94"/>
    </row>
    <row r="2349" spans="1:6" s="53" customFormat="1" ht="14.5" customHeight="1" x14ac:dyDescent="0.35">
      <c r="A2349" s="222" t="s">
        <v>90</v>
      </c>
      <c r="B2349" s="78" t="s">
        <v>693</v>
      </c>
      <c r="C2349" s="79" t="s">
        <v>187</v>
      </c>
      <c r="D2349" s="80">
        <f>F2356</f>
        <v>11880000</v>
      </c>
      <c r="F2349" s="94"/>
    </row>
    <row r="2350" spans="1:6" s="53" customFormat="1" ht="21" thickBot="1" x14ac:dyDescent="0.5">
      <c r="A2350" s="223"/>
      <c r="B2350" s="71"/>
      <c r="C2350" s="71"/>
      <c r="D2350" s="73"/>
      <c r="F2350" s="94"/>
    </row>
    <row r="2351" spans="1:6" s="53" customFormat="1" ht="15" thickBot="1" x14ac:dyDescent="0.4">
      <c r="A2351" s="223"/>
      <c r="B2351" s="81" t="s">
        <v>81</v>
      </c>
      <c r="C2351" s="82" t="s">
        <v>107</v>
      </c>
      <c r="D2351" s="83" t="s">
        <v>108</v>
      </c>
      <c r="F2351" s="94"/>
    </row>
    <row r="2352" spans="1:6" s="87" customFormat="1" x14ac:dyDescent="0.35">
      <c r="A2352" s="223"/>
      <c r="B2352" s="84" t="str">
        <f>B2349</f>
        <v>14th June,2025</v>
      </c>
      <c r="C2352" s="85" t="s">
        <v>822</v>
      </c>
      <c r="D2352" s="86">
        <f>1850*2850</f>
        <v>5272500</v>
      </c>
      <c r="F2352" s="177"/>
    </row>
    <row r="2353" spans="1:7" s="53" customFormat="1" x14ac:dyDescent="0.35">
      <c r="A2353" s="223"/>
      <c r="B2353" s="88"/>
      <c r="C2353" s="89" t="s">
        <v>188</v>
      </c>
      <c r="D2353" s="90">
        <f>325*2650</f>
        <v>861250</v>
      </c>
      <c r="F2353" s="94"/>
    </row>
    <row r="2354" spans="1:7" s="53" customFormat="1" x14ac:dyDescent="0.35">
      <c r="A2354" s="223"/>
      <c r="B2354" s="88" t="s">
        <v>109</v>
      </c>
      <c r="C2354" s="89" t="s">
        <v>110</v>
      </c>
      <c r="D2354" s="90">
        <v>1000000</v>
      </c>
      <c r="F2354" s="94"/>
    </row>
    <row r="2355" spans="1:7" s="53" customFormat="1" x14ac:dyDescent="0.35">
      <c r="A2355" s="223"/>
      <c r="B2355" s="88" t="s">
        <v>111</v>
      </c>
      <c r="C2355" s="89" t="s">
        <v>112</v>
      </c>
      <c r="D2355" s="90">
        <v>40000</v>
      </c>
      <c r="E2355" s="225" t="s">
        <v>113</v>
      </c>
      <c r="F2355" s="225"/>
    </row>
    <row r="2356" spans="1:7" s="53" customFormat="1" x14ac:dyDescent="0.35">
      <c r="A2356" s="223"/>
      <c r="B2356" s="88" t="s">
        <v>182</v>
      </c>
      <c r="C2356" s="89" t="s">
        <v>115</v>
      </c>
      <c r="D2356" s="90">
        <f>1250*120</f>
        <v>150000</v>
      </c>
      <c r="E2356" s="91" t="s">
        <v>116</v>
      </c>
      <c r="F2356" s="92">
        <f>4400*2700</f>
        <v>11880000</v>
      </c>
    </row>
    <row r="2357" spans="1:7" s="53" customFormat="1" x14ac:dyDescent="0.35">
      <c r="A2357" s="223"/>
      <c r="B2357" s="88"/>
      <c r="C2357" s="89" t="s">
        <v>117</v>
      </c>
      <c r="D2357" s="90">
        <f>2000*120</f>
        <v>240000</v>
      </c>
      <c r="E2357" s="93" t="s">
        <v>118</v>
      </c>
      <c r="F2357" s="94"/>
    </row>
    <row r="2358" spans="1:7" s="53" customFormat="1" ht="15" thickBot="1" x14ac:dyDescent="0.4">
      <c r="A2358" s="223"/>
      <c r="B2358" s="88" t="s">
        <v>119</v>
      </c>
      <c r="C2358" s="89" t="s">
        <v>120</v>
      </c>
      <c r="D2358" s="95">
        <v>30000</v>
      </c>
      <c r="E2358" s="96" t="s">
        <v>121</v>
      </c>
      <c r="F2358" s="97">
        <f>F2356-F2357</f>
        <v>11880000</v>
      </c>
      <c r="G2358" s="98">
        <f>F2358/2700</f>
        <v>4400</v>
      </c>
    </row>
    <row r="2359" spans="1:7" s="53" customFormat="1" ht="15" thickTop="1" x14ac:dyDescent="0.35">
      <c r="A2359" s="223"/>
      <c r="B2359" s="88"/>
      <c r="C2359" s="89" t="s">
        <v>122</v>
      </c>
      <c r="D2359" s="90">
        <v>140000</v>
      </c>
      <c r="F2359" s="94"/>
    </row>
    <row r="2360" spans="1:7" s="53" customFormat="1" x14ac:dyDescent="0.35">
      <c r="A2360" s="223"/>
      <c r="B2360" s="88" t="s">
        <v>691</v>
      </c>
      <c r="C2360" s="99" t="s">
        <v>123</v>
      </c>
      <c r="D2360" s="90">
        <v>15000</v>
      </c>
      <c r="E2360" s="91" t="s">
        <v>124</v>
      </c>
      <c r="F2360" s="92"/>
    </row>
    <row r="2361" spans="1:7" s="53" customFormat="1" x14ac:dyDescent="0.35">
      <c r="A2361" s="223"/>
      <c r="B2361" s="101"/>
      <c r="C2361" s="99" t="s">
        <v>125</v>
      </c>
      <c r="D2361" s="100">
        <v>10000</v>
      </c>
      <c r="E2361" s="102"/>
      <c r="F2361" s="103"/>
    </row>
    <row r="2362" spans="1:7" s="53" customFormat="1" x14ac:dyDescent="0.35">
      <c r="A2362" s="223"/>
      <c r="B2362" s="101"/>
      <c r="C2362" s="99" t="s">
        <v>126</v>
      </c>
      <c r="D2362" s="100">
        <v>40000</v>
      </c>
      <c r="E2362" s="102" t="s">
        <v>127</v>
      </c>
      <c r="F2362" s="103"/>
    </row>
    <row r="2363" spans="1:7" s="53" customFormat="1" x14ac:dyDescent="0.35">
      <c r="A2363" s="223"/>
      <c r="B2363" s="101"/>
      <c r="C2363" s="89"/>
      <c r="D2363" s="104"/>
      <c r="E2363" s="102"/>
      <c r="F2363" s="103"/>
    </row>
    <row r="2364" spans="1:7" s="53" customFormat="1" ht="15" thickBot="1" x14ac:dyDescent="0.4">
      <c r="A2364" s="223"/>
      <c r="B2364" s="105"/>
      <c r="C2364" s="106"/>
      <c r="D2364" s="107"/>
      <c r="F2364" s="94"/>
    </row>
    <row r="2365" spans="1:7" s="53" customFormat="1" ht="15" thickBot="1" x14ac:dyDescent="0.4">
      <c r="A2365" s="223"/>
      <c r="B2365" s="108"/>
      <c r="C2365" s="109" t="s">
        <v>129</v>
      </c>
      <c r="D2365" s="110">
        <f>SUM(D2352:D2364)</f>
        <v>7798750</v>
      </c>
      <c r="F2365" s="94"/>
    </row>
    <row r="2366" spans="1:7" s="53" customFormat="1" ht="15.5" thickTop="1" thickBot="1" x14ac:dyDescent="0.4">
      <c r="A2366" s="224"/>
      <c r="B2366" s="226"/>
      <c r="C2366" s="226"/>
      <c r="D2366" s="226"/>
      <c r="F2366" s="94"/>
    </row>
    <row r="2367" spans="1:7" s="53" customFormat="1" x14ac:dyDescent="0.35">
      <c r="B2367" s="87"/>
      <c r="C2367" s="53" t="s">
        <v>130</v>
      </c>
      <c r="D2367" s="111">
        <f>D2349-D2365</f>
        <v>4081250</v>
      </c>
      <c r="F2367" s="94"/>
    </row>
    <row r="2368" spans="1:7" s="53" customFormat="1" x14ac:dyDescent="0.35">
      <c r="B2368" s="87"/>
      <c r="D2368" s="111"/>
      <c r="F2368" s="94"/>
    </row>
    <row r="2369" spans="1:7" s="53" customFormat="1" x14ac:dyDescent="0.35">
      <c r="A2369" s="112"/>
      <c r="B2369" s="113"/>
      <c r="C2369" s="112"/>
      <c r="D2369" s="114"/>
      <c r="E2369" s="112"/>
      <c r="F2369" s="178"/>
    </row>
    <row r="2371" spans="1:7" s="53" customFormat="1" ht="23.5" x14ac:dyDescent="0.55000000000000004">
      <c r="B2371" s="227" t="s">
        <v>0</v>
      </c>
      <c r="C2371" s="227"/>
      <c r="D2371" s="227"/>
      <c r="E2371" s="70"/>
      <c r="F2371" s="176"/>
    </row>
    <row r="2372" spans="1:7" s="53" customFormat="1" ht="20.5" x14ac:dyDescent="0.45">
      <c r="B2372" s="71"/>
      <c r="C2372" s="72" t="s">
        <v>760</v>
      </c>
      <c r="D2372" s="73"/>
      <c r="F2372" s="94"/>
    </row>
    <row r="2373" spans="1:7" s="53" customFormat="1" ht="21" thickBot="1" x14ac:dyDescent="0.5">
      <c r="B2373" s="71" t="s">
        <v>102</v>
      </c>
      <c r="C2373" s="74" t="s">
        <v>103</v>
      </c>
      <c r="D2373" s="73"/>
      <c r="F2373" s="94"/>
    </row>
    <row r="2374" spans="1:7" s="53" customFormat="1" ht="15" thickBot="1" x14ac:dyDescent="0.4">
      <c r="A2374" s="75" t="s">
        <v>104</v>
      </c>
      <c r="B2374" s="76" t="s">
        <v>81</v>
      </c>
      <c r="C2374" s="76" t="s">
        <v>105</v>
      </c>
      <c r="D2374" s="77" t="s">
        <v>84</v>
      </c>
      <c r="F2374" s="94"/>
    </row>
    <row r="2375" spans="1:7" s="53" customFormat="1" ht="14.5" customHeight="1" x14ac:dyDescent="0.35">
      <c r="A2375" s="222" t="s">
        <v>90</v>
      </c>
      <c r="B2375" s="78" t="s">
        <v>699</v>
      </c>
      <c r="C2375" s="79" t="s">
        <v>319</v>
      </c>
      <c r="D2375" s="80">
        <f>F2382</f>
        <v>11070000</v>
      </c>
      <c r="F2375" s="94"/>
    </row>
    <row r="2376" spans="1:7" s="53" customFormat="1" ht="21" thickBot="1" x14ac:dyDescent="0.5">
      <c r="A2376" s="223"/>
      <c r="B2376" s="71"/>
      <c r="C2376" s="71"/>
      <c r="D2376" s="73"/>
      <c r="F2376" s="94"/>
    </row>
    <row r="2377" spans="1:7" s="53" customFormat="1" ht="15" thickBot="1" x14ac:dyDescent="0.4">
      <c r="A2377" s="223"/>
      <c r="B2377" s="81" t="s">
        <v>81</v>
      </c>
      <c r="C2377" s="82" t="s">
        <v>107</v>
      </c>
      <c r="D2377" s="83" t="s">
        <v>108</v>
      </c>
      <c r="F2377" s="94"/>
    </row>
    <row r="2378" spans="1:7" s="87" customFormat="1" x14ac:dyDescent="0.35">
      <c r="A2378" s="223"/>
      <c r="B2378" s="84" t="str">
        <f>B2375</f>
        <v>17th June,2025</v>
      </c>
      <c r="C2378" s="85" t="s">
        <v>822</v>
      </c>
      <c r="D2378" s="86">
        <f>1850*2850</f>
        <v>5272500</v>
      </c>
      <c r="F2378" s="177"/>
    </row>
    <row r="2379" spans="1:7" s="53" customFormat="1" x14ac:dyDescent="0.35">
      <c r="A2379" s="223"/>
      <c r="B2379" s="88"/>
      <c r="C2379" s="89" t="s">
        <v>159</v>
      </c>
      <c r="D2379" s="90">
        <f>299*2650</f>
        <v>792350</v>
      </c>
      <c r="F2379" s="94"/>
    </row>
    <row r="2380" spans="1:7" s="53" customFormat="1" x14ac:dyDescent="0.35">
      <c r="A2380" s="223"/>
      <c r="B2380" s="88" t="s">
        <v>109</v>
      </c>
      <c r="C2380" s="89" t="s">
        <v>110</v>
      </c>
      <c r="D2380" s="90">
        <v>1000000</v>
      </c>
      <c r="F2380" s="94"/>
    </row>
    <row r="2381" spans="1:7" s="53" customFormat="1" x14ac:dyDescent="0.35">
      <c r="A2381" s="223"/>
      <c r="B2381" s="88" t="s">
        <v>111</v>
      </c>
      <c r="C2381" s="89" t="s">
        <v>112</v>
      </c>
      <c r="D2381" s="90">
        <v>40000</v>
      </c>
      <c r="E2381" s="225" t="s">
        <v>113</v>
      </c>
      <c r="F2381" s="225"/>
    </row>
    <row r="2382" spans="1:7" s="53" customFormat="1" x14ac:dyDescent="0.35">
      <c r="A2382" s="223"/>
      <c r="B2382" s="88" t="s">
        <v>114</v>
      </c>
      <c r="C2382" s="89" t="s">
        <v>115</v>
      </c>
      <c r="D2382" s="90">
        <f>620*123</f>
        <v>76260</v>
      </c>
      <c r="E2382" s="91" t="s">
        <v>116</v>
      </c>
      <c r="F2382" s="92">
        <f>4100*2700</f>
        <v>11070000</v>
      </c>
    </row>
    <row r="2383" spans="1:7" s="53" customFormat="1" x14ac:dyDescent="0.35">
      <c r="A2383" s="223"/>
      <c r="B2383" s="88"/>
      <c r="C2383" s="89" t="s">
        <v>117</v>
      </c>
      <c r="D2383" s="90">
        <f>1500*123</f>
        <v>184500</v>
      </c>
      <c r="E2383" s="93" t="s">
        <v>118</v>
      </c>
      <c r="F2383" s="94">
        <f>(4100*2700)</f>
        <v>11070000</v>
      </c>
    </row>
    <row r="2384" spans="1:7" s="53" customFormat="1" ht="15" thickBot="1" x14ac:dyDescent="0.4">
      <c r="A2384" s="223"/>
      <c r="B2384" s="88" t="s">
        <v>119</v>
      </c>
      <c r="C2384" s="89" t="s">
        <v>120</v>
      </c>
      <c r="D2384" s="95">
        <v>30000</v>
      </c>
      <c r="E2384" s="96" t="s">
        <v>121</v>
      </c>
      <c r="F2384" s="97">
        <f>F2382-F2383</f>
        <v>0</v>
      </c>
      <c r="G2384" s="98">
        <f>F2384/2700</f>
        <v>0</v>
      </c>
    </row>
    <row r="2385" spans="1:6" s="53" customFormat="1" ht="15" thickTop="1" x14ac:dyDescent="0.35">
      <c r="A2385" s="223"/>
      <c r="B2385" s="88"/>
      <c r="C2385" s="89" t="s">
        <v>122</v>
      </c>
      <c r="D2385" s="90">
        <v>140000</v>
      </c>
      <c r="F2385" s="94"/>
    </row>
    <row r="2386" spans="1:6" s="53" customFormat="1" x14ac:dyDescent="0.35">
      <c r="A2386" s="223"/>
      <c r="B2386" s="88" t="s">
        <v>698</v>
      </c>
      <c r="C2386" s="99" t="s">
        <v>123</v>
      </c>
      <c r="D2386" s="90">
        <v>15000</v>
      </c>
      <c r="E2386" s="91" t="s">
        <v>124</v>
      </c>
      <c r="F2386" s="92"/>
    </row>
    <row r="2387" spans="1:6" s="53" customFormat="1" x14ac:dyDescent="0.35">
      <c r="A2387" s="223"/>
      <c r="B2387" s="101"/>
      <c r="C2387" s="99" t="s">
        <v>125</v>
      </c>
      <c r="D2387" s="100">
        <v>10000</v>
      </c>
      <c r="E2387" s="102"/>
      <c r="F2387" s="103"/>
    </row>
    <row r="2388" spans="1:6" s="53" customFormat="1" x14ac:dyDescent="0.35">
      <c r="A2388" s="223"/>
      <c r="B2388" s="101"/>
      <c r="C2388" s="99" t="s">
        <v>126</v>
      </c>
      <c r="D2388" s="100">
        <v>40000</v>
      </c>
      <c r="E2388" s="102" t="s">
        <v>127</v>
      </c>
      <c r="F2388" s="103"/>
    </row>
    <row r="2389" spans="1:6" s="53" customFormat="1" x14ac:dyDescent="0.35">
      <c r="A2389" s="223"/>
      <c r="B2389" s="101"/>
      <c r="C2389" s="89"/>
      <c r="D2389" s="104"/>
      <c r="E2389" s="102" t="s">
        <v>920</v>
      </c>
      <c r="F2389" s="103"/>
    </row>
    <row r="2390" spans="1:6" s="53" customFormat="1" ht="15" thickBot="1" x14ac:dyDescent="0.4">
      <c r="A2390" s="223"/>
      <c r="B2390" s="105"/>
      <c r="C2390" s="106"/>
      <c r="D2390" s="107"/>
      <c r="F2390" s="94"/>
    </row>
    <row r="2391" spans="1:6" s="53" customFormat="1" ht="15" thickBot="1" x14ac:dyDescent="0.4">
      <c r="A2391" s="223"/>
      <c r="B2391" s="108"/>
      <c r="C2391" s="109" t="s">
        <v>129</v>
      </c>
      <c r="D2391" s="110">
        <f>SUM(D2378:D2390)</f>
        <v>7600610</v>
      </c>
      <c r="F2391" s="94"/>
    </row>
    <row r="2392" spans="1:6" s="53" customFormat="1" ht="15.5" thickTop="1" thickBot="1" x14ac:dyDescent="0.4">
      <c r="A2392" s="224"/>
      <c r="B2392" s="226"/>
      <c r="C2392" s="226"/>
      <c r="D2392" s="226"/>
      <c r="F2392" s="94"/>
    </row>
    <row r="2393" spans="1:6" s="53" customFormat="1" x14ac:dyDescent="0.35">
      <c r="B2393" s="87"/>
      <c r="C2393" s="53" t="s">
        <v>130</v>
      </c>
      <c r="D2393" s="111">
        <f>D2375-D2391</f>
        <v>3469390</v>
      </c>
      <c r="F2393" s="94"/>
    </row>
    <row r="2394" spans="1:6" s="53" customFormat="1" x14ac:dyDescent="0.35">
      <c r="B2394" s="87"/>
      <c r="D2394" s="111"/>
      <c r="F2394" s="94"/>
    </row>
    <row r="2395" spans="1:6" s="53" customFormat="1" x14ac:dyDescent="0.35">
      <c r="A2395" s="112"/>
      <c r="B2395" s="113"/>
      <c r="C2395" s="112"/>
      <c r="D2395" s="114"/>
      <c r="E2395" s="112"/>
      <c r="F2395" s="178"/>
    </row>
    <row r="2397" spans="1:6" s="53" customFormat="1" ht="23.5" x14ac:dyDescent="0.55000000000000004">
      <c r="B2397" s="227" t="s">
        <v>0</v>
      </c>
      <c r="C2397" s="227"/>
      <c r="D2397" s="227"/>
      <c r="E2397" s="70"/>
      <c r="F2397" s="176"/>
    </row>
    <row r="2398" spans="1:6" s="53" customFormat="1" ht="20.5" x14ac:dyDescent="0.45">
      <c r="B2398" s="71"/>
      <c r="C2398" s="72" t="s">
        <v>703</v>
      </c>
      <c r="D2398" s="73"/>
      <c r="F2398" s="94"/>
    </row>
    <row r="2399" spans="1:6" s="53" customFormat="1" ht="21" thickBot="1" x14ac:dyDescent="0.5">
      <c r="B2399" s="71" t="s">
        <v>704</v>
      </c>
      <c r="C2399" s="74" t="s">
        <v>103</v>
      </c>
      <c r="D2399" s="73"/>
      <c r="F2399" s="94"/>
    </row>
    <row r="2400" spans="1:6" s="53" customFormat="1" ht="15" thickBot="1" x14ac:dyDescent="0.4">
      <c r="A2400" s="75" t="s">
        <v>104</v>
      </c>
      <c r="B2400" s="76" t="s">
        <v>81</v>
      </c>
      <c r="C2400" s="76" t="s">
        <v>105</v>
      </c>
      <c r="D2400" s="77" t="s">
        <v>84</v>
      </c>
      <c r="F2400" s="94"/>
    </row>
    <row r="2401" spans="1:7" s="53" customFormat="1" ht="14.5" customHeight="1" x14ac:dyDescent="0.35">
      <c r="A2401" s="222" t="s">
        <v>90</v>
      </c>
      <c r="B2401" s="78" t="s">
        <v>705</v>
      </c>
      <c r="C2401" s="79" t="s">
        <v>106</v>
      </c>
      <c r="D2401" s="80">
        <f>F2408</f>
        <v>10988000</v>
      </c>
      <c r="F2401" s="94"/>
    </row>
    <row r="2402" spans="1:7" s="53" customFormat="1" ht="21" thickBot="1" x14ac:dyDescent="0.5">
      <c r="A2402" s="223"/>
      <c r="B2402" s="71"/>
      <c r="C2402" s="71"/>
      <c r="D2402" s="73"/>
      <c r="F2402" s="94"/>
    </row>
    <row r="2403" spans="1:7" s="53" customFormat="1" ht="15" thickBot="1" x14ac:dyDescent="0.4">
      <c r="A2403" s="223"/>
      <c r="B2403" s="81" t="s">
        <v>81</v>
      </c>
      <c r="C2403" s="82" t="s">
        <v>107</v>
      </c>
      <c r="D2403" s="83" t="s">
        <v>108</v>
      </c>
      <c r="F2403" s="94"/>
    </row>
    <row r="2404" spans="1:7" s="87" customFormat="1" x14ac:dyDescent="0.35">
      <c r="A2404" s="223"/>
      <c r="B2404" s="84" t="str">
        <f>B2401</f>
        <v>20th June,2025</v>
      </c>
      <c r="C2404" s="85" t="s">
        <v>846</v>
      </c>
      <c r="D2404" s="86">
        <f>1750*2850</f>
        <v>4987500</v>
      </c>
      <c r="F2404" s="177"/>
    </row>
    <row r="2405" spans="1:7" s="53" customFormat="1" x14ac:dyDescent="0.35">
      <c r="A2405" s="223"/>
      <c r="B2405" s="88"/>
      <c r="C2405" s="89" t="s">
        <v>188</v>
      </c>
      <c r="D2405" s="90">
        <f>325*2650</f>
        <v>861250</v>
      </c>
      <c r="F2405" s="94"/>
    </row>
    <row r="2406" spans="1:7" s="53" customFormat="1" x14ac:dyDescent="0.35">
      <c r="A2406" s="223"/>
      <c r="B2406" s="88" t="s">
        <v>109</v>
      </c>
      <c r="C2406" s="89" t="s">
        <v>110</v>
      </c>
      <c r="D2406" s="90">
        <v>1000000</v>
      </c>
      <c r="F2406" s="94"/>
    </row>
    <row r="2407" spans="1:7" s="53" customFormat="1" x14ac:dyDescent="0.35">
      <c r="A2407" s="223"/>
      <c r="B2407" s="88" t="s">
        <v>111</v>
      </c>
      <c r="C2407" s="89" t="s">
        <v>112</v>
      </c>
      <c r="D2407" s="90">
        <v>40000</v>
      </c>
      <c r="E2407" s="225" t="s">
        <v>113</v>
      </c>
      <c r="F2407" s="225"/>
    </row>
    <row r="2408" spans="1:7" s="53" customFormat="1" x14ac:dyDescent="0.35">
      <c r="A2408" s="223"/>
      <c r="B2408" s="88" t="s">
        <v>182</v>
      </c>
      <c r="C2408" s="89" t="s">
        <v>115</v>
      </c>
      <c r="D2408" s="90">
        <f>800*122</f>
        <v>97600</v>
      </c>
      <c r="E2408" s="91" t="s">
        <v>116</v>
      </c>
      <c r="F2408" s="92">
        <f>4100*2680</f>
        <v>10988000</v>
      </c>
    </row>
    <row r="2409" spans="1:7" s="53" customFormat="1" x14ac:dyDescent="0.35">
      <c r="A2409" s="223"/>
      <c r="B2409" s="88"/>
      <c r="C2409" s="89" t="s">
        <v>117</v>
      </c>
      <c r="D2409" s="90">
        <f>2000*122</f>
        <v>244000</v>
      </c>
      <c r="E2409" s="93" t="s">
        <v>118</v>
      </c>
      <c r="F2409" s="94">
        <f>(2460*2680)+(1640*2680)</f>
        <v>10988000</v>
      </c>
    </row>
    <row r="2410" spans="1:7" s="53" customFormat="1" ht="15" thickBot="1" x14ac:dyDescent="0.4">
      <c r="A2410" s="223"/>
      <c r="B2410" s="88" t="s">
        <v>119</v>
      </c>
      <c r="C2410" s="89" t="s">
        <v>120</v>
      </c>
      <c r="D2410" s="95">
        <v>30000</v>
      </c>
      <c r="E2410" s="96" t="s">
        <v>121</v>
      </c>
      <c r="F2410" s="97">
        <f>F2408-F2409</f>
        <v>0</v>
      </c>
      <c r="G2410" s="98">
        <f>F2410/2680</f>
        <v>0</v>
      </c>
    </row>
    <row r="2411" spans="1:7" s="53" customFormat="1" ht="15" thickTop="1" x14ac:dyDescent="0.35">
      <c r="A2411" s="223"/>
      <c r="B2411" s="88"/>
      <c r="C2411" s="89" t="s">
        <v>122</v>
      </c>
      <c r="D2411" s="90">
        <v>140000</v>
      </c>
      <c r="F2411" s="94"/>
    </row>
    <row r="2412" spans="1:7" s="53" customFormat="1" x14ac:dyDescent="0.35">
      <c r="A2412" s="223"/>
      <c r="B2412" s="88" t="s">
        <v>702</v>
      </c>
      <c r="C2412" s="99" t="s">
        <v>123</v>
      </c>
      <c r="D2412" s="90">
        <v>15000</v>
      </c>
      <c r="E2412" s="91" t="s">
        <v>124</v>
      </c>
      <c r="F2412" s="92"/>
    </row>
    <row r="2413" spans="1:7" s="53" customFormat="1" x14ac:dyDescent="0.35">
      <c r="A2413" s="223"/>
      <c r="B2413" s="101"/>
      <c r="C2413" s="99" t="s">
        <v>125</v>
      </c>
      <c r="D2413" s="100">
        <v>10000</v>
      </c>
      <c r="E2413" s="102"/>
      <c r="F2413" s="103"/>
    </row>
    <row r="2414" spans="1:7" s="53" customFormat="1" x14ac:dyDescent="0.35">
      <c r="A2414" s="223"/>
      <c r="B2414" s="101"/>
      <c r="C2414" s="99" t="s">
        <v>126</v>
      </c>
      <c r="D2414" s="100">
        <v>60000</v>
      </c>
      <c r="E2414" s="102" t="s">
        <v>127</v>
      </c>
      <c r="F2414" s="103"/>
    </row>
    <row r="2415" spans="1:7" s="53" customFormat="1" x14ac:dyDescent="0.35">
      <c r="A2415" s="223"/>
      <c r="B2415" s="101"/>
      <c r="C2415" s="89"/>
      <c r="D2415" s="104"/>
      <c r="E2415" s="102" t="s">
        <v>748</v>
      </c>
      <c r="F2415" s="103"/>
    </row>
    <row r="2416" spans="1:7" s="53" customFormat="1" ht="15" thickBot="1" x14ac:dyDescent="0.4">
      <c r="A2416" s="223"/>
      <c r="B2416" s="105"/>
      <c r="C2416" s="106"/>
      <c r="D2416" s="107"/>
      <c r="E2416" s="53" t="s">
        <v>1038</v>
      </c>
      <c r="F2416" s="94"/>
    </row>
    <row r="2417" spans="1:6" s="53" customFormat="1" ht="15" thickBot="1" x14ac:dyDescent="0.4">
      <c r="A2417" s="223"/>
      <c r="B2417" s="108"/>
      <c r="C2417" s="109" t="s">
        <v>129</v>
      </c>
      <c r="D2417" s="110">
        <f>SUM(D2404:D2416)</f>
        <v>7485350</v>
      </c>
      <c r="F2417" s="94"/>
    </row>
    <row r="2418" spans="1:6" s="53" customFormat="1" ht="15.5" thickTop="1" thickBot="1" x14ac:dyDescent="0.4">
      <c r="A2418" s="224"/>
      <c r="B2418" s="226"/>
      <c r="C2418" s="226"/>
      <c r="D2418" s="226"/>
      <c r="F2418" s="94"/>
    </row>
    <row r="2419" spans="1:6" s="53" customFormat="1" x14ac:dyDescent="0.35">
      <c r="B2419" s="87"/>
      <c r="C2419" s="53" t="s">
        <v>130</v>
      </c>
      <c r="D2419" s="111">
        <f>D2401-D2417</f>
        <v>3502650</v>
      </c>
      <c r="F2419" s="94"/>
    </row>
    <row r="2420" spans="1:6" s="53" customFormat="1" x14ac:dyDescent="0.35">
      <c r="B2420" s="87"/>
      <c r="D2420" s="111"/>
      <c r="F2420" s="94"/>
    </row>
    <row r="2421" spans="1:6" s="53" customFormat="1" x14ac:dyDescent="0.35">
      <c r="A2421" s="112"/>
      <c r="B2421" s="113"/>
      <c r="C2421" s="112"/>
      <c r="D2421" s="114"/>
      <c r="E2421" s="112"/>
      <c r="F2421" s="178"/>
    </row>
    <row r="2423" spans="1:6" s="53" customFormat="1" ht="23.5" x14ac:dyDescent="0.55000000000000004">
      <c r="B2423" s="227" t="s">
        <v>0</v>
      </c>
      <c r="C2423" s="227"/>
      <c r="D2423" s="227"/>
      <c r="E2423" s="70"/>
      <c r="F2423" s="176"/>
    </row>
    <row r="2424" spans="1:6" s="53" customFormat="1" ht="20.5" x14ac:dyDescent="0.45">
      <c r="B2424" s="71"/>
      <c r="C2424" s="72" t="s">
        <v>719</v>
      </c>
      <c r="D2424" s="73"/>
      <c r="F2424" s="94"/>
    </row>
    <row r="2425" spans="1:6" s="53" customFormat="1" ht="21" thickBot="1" x14ac:dyDescent="0.5">
      <c r="B2425" s="71" t="s">
        <v>167</v>
      </c>
      <c r="C2425" s="74" t="s">
        <v>103</v>
      </c>
      <c r="D2425" s="73"/>
      <c r="F2425" s="94"/>
    </row>
    <row r="2426" spans="1:6" s="53" customFormat="1" ht="15" thickBot="1" x14ac:dyDescent="0.4">
      <c r="A2426" s="75" t="s">
        <v>104</v>
      </c>
      <c r="B2426" s="76" t="s">
        <v>81</v>
      </c>
      <c r="C2426" s="76" t="s">
        <v>105</v>
      </c>
      <c r="D2426" s="77" t="s">
        <v>84</v>
      </c>
      <c r="F2426" s="94"/>
    </row>
    <row r="2427" spans="1:6" s="53" customFormat="1" ht="14.5" customHeight="1" x14ac:dyDescent="0.35">
      <c r="A2427" s="222" t="s">
        <v>90</v>
      </c>
      <c r="B2427" s="78" t="s">
        <v>720</v>
      </c>
      <c r="C2427" s="79" t="s">
        <v>106</v>
      </c>
      <c r="D2427" s="80">
        <f>F2434</f>
        <v>10988000</v>
      </c>
      <c r="F2427" s="94"/>
    </row>
    <row r="2428" spans="1:6" s="53" customFormat="1" ht="21" thickBot="1" x14ac:dyDescent="0.5">
      <c r="A2428" s="223"/>
      <c r="B2428" s="71"/>
      <c r="C2428" s="71"/>
      <c r="D2428" s="73"/>
      <c r="F2428" s="94"/>
    </row>
    <row r="2429" spans="1:6" s="53" customFormat="1" ht="15" thickBot="1" x14ac:dyDescent="0.4">
      <c r="A2429" s="223"/>
      <c r="B2429" s="81" t="s">
        <v>81</v>
      </c>
      <c r="C2429" s="82" t="s">
        <v>107</v>
      </c>
      <c r="D2429" s="83" t="s">
        <v>108</v>
      </c>
      <c r="F2429" s="94"/>
    </row>
    <row r="2430" spans="1:6" s="87" customFormat="1" x14ac:dyDescent="0.35">
      <c r="A2430" s="223"/>
      <c r="B2430" s="84" t="str">
        <f>B2427</f>
        <v>24th June,2025</v>
      </c>
      <c r="C2430" s="85" t="s">
        <v>854</v>
      </c>
      <c r="D2430" s="86">
        <f>1830*2825</f>
        <v>5169750</v>
      </c>
      <c r="F2430" s="177"/>
    </row>
    <row r="2431" spans="1:6" s="53" customFormat="1" x14ac:dyDescent="0.35">
      <c r="A2431" s="223"/>
      <c r="B2431" s="88"/>
      <c r="C2431" s="89" t="s">
        <v>159</v>
      </c>
      <c r="D2431" s="90">
        <f>299*2650</f>
        <v>792350</v>
      </c>
      <c r="F2431" s="94"/>
    </row>
    <row r="2432" spans="1:6" s="53" customFormat="1" x14ac:dyDescent="0.35">
      <c r="A2432" s="223"/>
      <c r="B2432" s="88" t="s">
        <v>109</v>
      </c>
      <c r="C2432" s="89" t="s">
        <v>110</v>
      </c>
      <c r="D2432" s="90">
        <v>1000000</v>
      </c>
      <c r="F2432" s="94"/>
    </row>
    <row r="2433" spans="1:7" s="53" customFormat="1" x14ac:dyDescent="0.35">
      <c r="A2433" s="223"/>
      <c r="B2433" s="88" t="s">
        <v>111</v>
      </c>
      <c r="C2433" s="89" t="s">
        <v>112</v>
      </c>
      <c r="D2433" s="90">
        <v>40000</v>
      </c>
      <c r="E2433" s="225" t="s">
        <v>113</v>
      </c>
      <c r="F2433" s="225"/>
    </row>
    <row r="2434" spans="1:7" s="53" customFormat="1" x14ac:dyDescent="0.35">
      <c r="A2434" s="223"/>
      <c r="B2434" s="88" t="s">
        <v>114</v>
      </c>
      <c r="C2434" s="89" t="s">
        <v>115</v>
      </c>
      <c r="D2434" s="90">
        <f>500*123</f>
        <v>61500</v>
      </c>
      <c r="E2434" s="91" t="s">
        <v>116</v>
      </c>
      <c r="F2434" s="92">
        <f>4100*2680</f>
        <v>10988000</v>
      </c>
    </row>
    <row r="2435" spans="1:7" s="53" customFormat="1" x14ac:dyDescent="0.35">
      <c r="A2435" s="223"/>
      <c r="B2435" s="88"/>
      <c r="C2435" s="89" t="s">
        <v>117</v>
      </c>
      <c r="D2435" s="90">
        <f>1500*123</f>
        <v>184500</v>
      </c>
      <c r="E2435" s="93" t="s">
        <v>118</v>
      </c>
      <c r="F2435" s="94">
        <f>(2460*2680)+(1640*2680)</f>
        <v>10988000</v>
      </c>
    </row>
    <row r="2436" spans="1:7" s="53" customFormat="1" ht="15" thickBot="1" x14ac:dyDescent="0.4">
      <c r="A2436" s="223"/>
      <c r="B2436" s="88" t="s">
        <v>119</v>
      </c>
      <c r="C2436" s="89" t="s">
        <v>120</v>
      </c>
      <c r="D2436" s="95">
        <v>30000</v>
      </c>
      <c r="E2436" s="96" t="s">
        <v>121</v>
      </c>
      <c r="F2436" s="97">
        <f>F2434-F2435</f>
        <v>0</v>
      </c>
      <c r="G2436" s="98">
        <f>F2436/2680</f>
        <v>0</v>
      </c>
    </row>
    <row r="2437" spans="1:7" s="53" customFormat="1" ht="15" thickTop="1" x14ac:dyDescent="0.35">
      <c r="A2437" s="223"/>
      <c r="B2437" s="88"/>
      <c r="C2437" s="89" t="s">
        <v>122</v>
      </c>
      <c r="D2437" s="90">
        <f>56*2680</f>
        <v>150080</v>
      </c>
      <c r="F2437" s="94"/>
    </row>
    <row r="2438" spans="1:7" s="53" customFormat="1" x14ac:dyDescent="0.35">
      <c r="A2438" s="223"/>
      <c r="B2438" s="88" t="s">
        <v>718</v>
      </c>
      <c r="C2438" s="99" t="s">
        <v>123</v>
      </c>
      <c r="D2438" s="90">
        <v>15000</v>
      </c>
      <c r="E2438" s="91" t="s">
        <v>124</v>
      </c>
      <c r="F2438" s="92"/>
    </row>
    <row r="2439" spans="1:7" s="53" customFormat="1" x14ac:dyDescent="0.35">
      <c r="A2439" s="223"/>
      <c r="B2439" s="101"/>
      <c r="C2439" s="99" t="s">
        <v>125</v>
      </c>
      <c r="D2439" s="100">
        <v>10000</v>
      </c>
      <c r="E2439" s="102"/>
      <c r="F2439" s="103"/>
    </row>
    <row r="2440" spans="1:7" s="53" customFormat="1" x14ac:dyDescent="0.35">
      <c r="A2440" s="223"/>
      <c r="B2440" s="101"/>
      <c r="C2440" s="99" t="s">
        <v>126</v>
      </c>
      <c r="D2440" s="100">
        <v>70000</v>
      </c>
      <c r="E2440" s="102" t="s">
        <v>127</v>
      </c>
      <c r="F2440" s="103"/>
    </row>
    <row r="2441" spans="1:7" s="53" customFormat="1" x14ac:dyDescent="0.35">
      <c r="A2441" s="223"/>
      <c r="B2441" s="101"/>
      <c r="C2441" s="89"/>
      <c r="D2441" s="104"/>
      <c r="E2441" s="102" t="s">
        <v>748</v>
      </c>
      <c r="F2441" s="103"/>
    </row>
    <row r="2442" spans="1:7" s="53" customFormat="1" ht="15" thickBot="1" x14ac:dyDescent="0.4">
      <c r="A2442" s="223"/>
      <c r="B2442" s="105"/>
      <c r="C2442" s="106"/>
      <c r="D2442" s="107"/>
      <c r="E2442" s="53" t="s">
        <v>1038</v>
      </c>
      <c r="F2442" s="94"/>
    </row>
    <row r="2443" spans="1:7" s="53" customFormat="1" ht="15" thickBot="1" x14ac:dyDescent="0.4">
      <c r="A2443" s="223"/>
      <c r="B2443" s="108"/>
      <c r="C2443" s="109" t="s">
        <v>129</v>
      </c>
      <c r="D2443" s="110">
        <f>SUM(D2430:D2442)</f>
        <v>7523180</v>
      </c>
      <c r="F2443" s="94"/>
    </row>
    <row r="2444" spans="1:7" s="53" customFormat="1" ht="15.5" thickTop="1" thickBot="1" x14ac:dyDescent="0.4">
      <c r="A2444" s="224"/>
      <c r="B2444" s="226"/>
      <c r="C2444" s="226"/>
      <c r="D2444" s="226"/>
      <c r="F2444" s="94"/>
    </row>
    <row r="2445" spans="1:7" s="53" customFormat="1" x14ac:dyDescent="0.35">
      <c r="B2445" s="87"/>
      <c r="C2445" s="53" t="s">
        <v>130</v>
      </c>
      <c r="D2445" s="111">
        <f>D2427-D2443</f>
        <v>3464820</v>
      </c>
      <c r="F2445" s="94"/>
    </row>
    <row r="2446" spans="1:7" s="53" customFormat="1" x14ac:dyDescent="0.35">
      <c r="B2446" s="87"/>
      <c r="D2446" s="111"/>
      <c r="F2446" s="94"/>
    </row>
    <row r="2447" spans="1:7" s="53" customFormat="1" x14ac:dyDescent="0.35">
      <c r="A2447" s="112"/>
      <c r="B2447" s="113"/>
      <c r="C2447" s="112"/>
      <c r="D2447" s="114"/>
      <c r="E2447" s="112"/>
      <c r="F2447" s="178"/>
    </row>
    <row r="2449" spans="1:7" s="53" customFormat="1" ht="23.5" x14ac:dyDescent="0.55000000000000004">
      <c r="B2449" s="227" t="s">
        <v>0</v>
      </c>
      <c r="C2449" s="227"/>
      <c r="D2449" s="227"/>
      <c r="E2449" s="70"/>
      <c r="F2449" s="176"/>
    </row>
    <row r="2450" spans="1:7" s="53" customFormat="1" ht="20.5" x14ac:dyDescent="0.45">
      <c r="B2450" s="71"/>
      <c r="C2450" s="72" t="s">
        <v>723</v>
      </c>
      <c r="D2450" s="73"/>
      <c r="F2450" s="94"/>
    </row>
    <row r="2451" spans="1:7" s="53" customFormat="1" ht="21" thickBot="1" x14ac:dyDescent="0.5">
      <c r="B2451" s="71" t="s">
        <v>724</v>
      </c>
      <c r="C2451" s="74" t="s">
        <v>103</v>
      </c>
      <c r="D2451" s="73"/>
      <c r="F2451" s="94"/>
    </row>
    <row r="2452" spans="1:7" s="53" customFormat="1" ht="15" thickBot="1" x14ac:dyDescent="0.4">
      <c r="A2452" s="75" t="s">
        <v>104</v>
      </c>
      <c r="B2452" s="76" t="s">
        <v>81</v>
      </c>
      <c r="C2452" s="76" t="s">
        <v>105</v>
      </c>
      <c r="D2452" s="77" t="s">
        <v>84</v>
      </c>
      <c r="F2452" s="94"/>
    </row>
    <row r="2453" spans="1:7" s="53" customFormat="1" ht="14.5" customHeight="1" x14ac:dyDescent="0.35">
      <c r="A2453" s="222" t="s">
        <v>90</v>
      </c>
      <c r="B2453" s="78" t="s">
        <v>720</v>
      </c>
      <c r="C2453" s="79" t="s">
        <v>106</v>
      </c>
      <c r="D2453" s="80">
        <f>F2460</f>
        <v>12328000</v>
      </c>
      <c r="F2453" s="94"/>
    </row>
    <row r="2454" spans="1:7" s="53" customFormat="1" ht="21" thickBot="1" x14ac:dyDescent="0.5">
      <c r="A2454" s="223"/>
      <c r="B2454" s="71"/>
      <c r="C2454" s="71"/>
      <c r="D2454" s="73"/>
      <c r="F2454" s="94"/>
    </row>
    <row r="2455" spans="1:7" s="53" customFormat="1" ht="15" thickBot="1" x14ac:dyDescent="0.4">
      <c r="A2455" s="223"/>
      <c r="B2455" s="81" t="s">
        <v>81</v>
      </c>
      <c r="C2455" s="82" t="s">
        <v>107</v>
      </c>
      <c r="D2455" s="83" t="s">
        <v>108</v>
      </c>
      <c r="F2455" s="94"/>
    </row>
    <row r="2456" spans="1:7" s="87" customFormat="1" x14ac:dyDescent="0.35">
      <c r="A2456" s="223"/>
      <c r="B2456" s="84" t="str">
        <f>B2453</f>
        <v>24th June,2025</v>
      </c>
      <c r="C2456" s="85" t="s">
        <v>906</v>
      </c>
      <c r="D2456" s="86">
        <f>1950*2825</f>
        <v>5508750</v>
      </c>
      <c r="F2456" s="177"/>
    </row>
    <row r="2457" spans="1:7" s="53" customFormat="1" x14ac:dyDescent="0.35">
      <c r="A2457" s="223"/>
      <c r="B2457" s="88"/>
      <c r="C2457" s="89" t="s">
        <v>188</v>
      </c>
      <c r="D2457" s="90">
        <f>325*2650</f>
        <v>861250</v>
      </c>
      <c r="F2457" s="94"/>
    </row>
    <row r="2458" spans="1:7" s="53" customFormat="1" x14ac:dyDescent="0.35">
      <c r="A2458" s="223"/>
      <c r="B2458" s="88" t="s">
        <v>109</v>
      </c>
      <c r="C2458" s="89" t="s">
        <v>110</v>
      </c>
      <c r="D2458" s="90">
        <v>1000000</v>
      </c>
      <c r="F2458" s="94"/>
    </row>
    <row r="2459" spans="1:7" s="53" customFormat="1" x14ac:dyDescent="0.35">
      <c r="A2459" s="223"/>
      <c r="B2459" s="88" t="s">
        <v>111</v>
      </c>
      <c r="C2459" s="89" t="s">
        <v>112</v>
      </c>
      <c r="D2459" s="90">
        <v>40000</v>
      </c>
      <c r="E2459" s="225" t="s">
        <v>113</v>
      </c>
      <c r="F2459" s="225"/>
    </row>
    <row r="2460" spans="1:7" s="53" customFormat="1" x14ac:dyDescent="0.35">
      <c r="A2460" s="223"/>
      <c r="B2460" s="88" t="s">
        <v>114</v>
      </c>
      <c r="C2460" s="89" t="s">
        <v>115</v>
      </c>
      <c r="D2460" s="90">
        <f>250*122</f>
        <v>30500</v>
      </c>
      <c r="E2460" s="91" t="s">
        <v>116</v>
      </c>
      <c r="F2460" s="92">
        <f>4600*2680</f>
        <v>12328000</v>
      </c>
    </row>
    <row r="2461" spans="1:7" s="53" customFormat="1" x14ac:dyDescent="0.35">
      <c r="A2461" s="223"/>
      <c r="B2461" s="88"/>
      <c r="C2461" s="89" t="s">
        <v>117</v>
      </c>
      <c r="D2461" s="90">
        <f>2000*122</f>
        <v>244000</v>
      </c>
      <c r="E2461" s="93" t="s">
        <v>118</v>
      </c>
      <c r="F2461" s="94">
        <f>(2460*2680)+(1640*2680)+(500*2680)</f>
        <v>12328000</v>
      </c>
    </row>
    <row r="2462" spans="1:7" s="53" customFormat="1" ht="15" thickBot="1" x14ac:dyDescent="0.4">
      <c r="A2462" s="223"/>
      <c r="B2462" s="88" t="s">
        <v>119</v>
      </c>
      <c r="C2462" s="89" t="s">
        <v>120</v>
      </c>
      <c r="D2462" s="95">
        <v>30000</v>
      </c>
      <c r="E2462" s="96" t="s">
        <v>121</v>
      </c>
      <c r="F2462" s="97">
        <f>F2460-F2461</f>
        <v>0</v>
      </c>
      <c r="G2462" s="98">
        <f>F2462/2680</f>
        <v>0</v>
      </c>
    </row>
    <row r="2463" spans="1:7" s="53" customFormat="1" ht="15" thickTop="1" x14ac:dyDescent="0.35">
      <c r="A2463" s="223"/>
      <c r="B2463" s="88"/>
      <c r="C2463" s="89" t="s">
        <v>122</v>
      </c>
      <c r="D2463" s="90">
        <v>140000</v>
      </c>
      <c r="F2463" s="94"/>
    </row>
    <row r="2464" spans="1:7" s="53" customFormat="1" x14ac:dyDescent="0.35">
      <c r="A2464" s="223"/>
      <c r="B2464" s="88" t="s">
        <v>722</v>
      </c>
      <c r="C2464" s="99" t="s">
        <v>123</v>
      </c>
      <c r="D2464" s="90">
        <v>15000</v>
      </c>
      <c r="E2464" s="91" t="s">
        <v>124</v>
      </c>
      <c r="F2464" s="92"/>
    </row>
    <row r="2465" spans="1:6" s="53" customFormat="1" x14ac:dyDescent="0.35">
      <c r="A2465" s="223"/>
      <c r="B2465" s="101"/>
      <c r="C2465" s="99" t="s">
        <v>125</v>
      </c>
      <c r="D2465" s="100">
        <v>10000</v>
      </c>
      <c r="E2465" s="102"/>
      <c r="F2465" s="103"/>
    </row>
    <row r="2466" spans="1:6" s="53" customFormat="1" x14ac:dyDescent="0.35">
      <c r="A2466" s="223"/>
      <c r="B2466" s="101"/>
      <c r="C2466" s="99" t="s">
        <v>126</v>
      </c>
      <c r="D2466" s="100">
        <v>40000</v>
      </c>
      <c r="E2466" s="102" t="s">
        <v>127</v>
      </c>
      <c r="F2466" s="103"/>
    </row>
    <row r="2467" spans="1:6" s="53" customFormat="1" x14ac:dyDescent="0.35">
      <c r="A2467" s="223"/>
      <c r="B2467" s="101"/>
      <c r="C2467" s="89"/>
      <c r="D2467" s="104"/>
      <c r="E2467" s="102" t="s">
        <v>748</v>
      </c>
      <c r="F2467" s="103"/>
    </row>
    <row r="2468" spans="1:6" s="53" customFormat="1" ht="15" thickBot="1" x14ac:dyDescent="0.4">
      <c r="A2468" s="223"/>
      <c r="B2468" s="105"/>
      <c r="C2468" s="106"/>
      <c r="D2468" s="107"/>
      <c r="E2468" s="53" t="s">
        <v>1165</v>
      </c>
      <c r="F2468" s="94"/>
    </row>
    <row r="2469" spans="1:6" s="53" customFormat="1" ht="15" thickBot="1" x14ac:dyDescent="0.4">
      <c r="A2469" s="223"/>
      <c r="B2469" s="108"/>
      <c r="C2469" s="109" t="s">
        <v>129</v>
      </c>
      <c r="D2469" s="110">
        <f>SUM(D2456:D2468)</f>
        <v>7919500</v>
      </c>
      <c r="E2469" s="53" t="s">
        <v>1229</v>
      </c>
      <c r="F2469" s="94"/>
    </row>
    <row r="2470" spans="1:6" s="53" customFormat="1" ht="15.5" thickTop="1" thickBot="1" x14ac:dyDescent="0.4">
      <c r="A2470" s="224"/>
      <c r="B2470" s="226"/>
      <c r="C2470" s="226"/>
      <c r="D2470" s="226"/>
      <c r="F2470" s="94"/>
    </row>
    <row r="2471" spans="1:6" s="53" customFormat="1" x14ac:dyDescent="0.35">
      <c r="B2471" s="87"/>
      <c r="C2471" s="53" t="s">
        <v>130</v>
      </c>
      <c r="D2471" s="111">
        <f>D2453-D2469</f>
        <v>4408500</v>
      </c>
      <c r="F2471" s="94"/>
    </row>
    <row r="2472" spans="1:6" s="53" customFormat="1" x14ac:dyDescent="0.35">
      <c r="B2472" s="87"/>
      <c r="D2472" s="111"/>
      <c r="F2472" s="94"/>
    </row>
    <row r="2473" spans="1:6" s="53" customFormat="1" x14ac:dyDescent="0.35">
      <c r="A2473" s="112"/>
      <c r="B2473" s="113"/>
      <c r="C2473" s="112"/>
      <c r="D2473" s="114"/>
      <c r="E2473" s="112"/>
      <c r="F2473" s="178"/>
    </row>
    <row r="2475" spans="1:6" s="53" customFormat="1" ht="23.5" x14ac:dyDescent="0.55000000000000004">
      <c r="B2475" s="227" t="s">
        <v>0</v>
      </c>
      <c r="C2475" s="227"/>
      <c r="D2475" s="227"/>
      <c r="E2475" s="70"/>
      <c r="F2475" s="176"/>
    </row>
    <row r="2476" spans="1:6" s="53" customFormat="1" ht="20.5" x14ac:dyDescent="0.45">
      <c r="B2476" s="71"/>
      <c r="C2476" s="72" t="s">
        <v>727</v>
      </c>
      <c r="D2476" s="73"/>
      <c r="F2476" s="94"/>
    </row>
    <row r="2477" spans="1:6" s="53" customFormat="1" ht="21" thickBot="1" x14ac:dyDescent="0.5">
      <c r="B2477" s="71" t="s">
        <v>396</v>
      </c>
      <c r="C2477" s="74" t="s">
        <v>103</v>
      </c>
      <c r="D2477" s="73"/>
      <c r="F2477" s="94"/>
    </row>
    <row r="2478" spans="1:6" s="53" customFormat="1" ht="15" thickBot="1" x14ac:dyDescent="0.4">
      <c r="A2478" s="75" t="s">
        <v>104</v>
      </c>
      <c r="B2478" s="76" t="s">
        <v>81</v>
      </c>
      <c r="C2478" s="76" t="s">
        <v>105</v>
      </c>
      <c r="D2478" s="77" t="s">
        <v>84</v>
      </c>
      <c r="F2478" s="94"/>
    </row>
    <row r="2479" spans="1:6" s="53" customFormat="1" ht="14.5" customHeight="1" x14ac:dyDescent="0.35">
      <c r="A2479" s="222" t="s">
        <v>90</v>
      </c>
      <c r="B2479" s="78" t="s">
        <v>720</v>
      </c>
      <c r="C2479" s="79" t="s">
        <v>106</v>
      </c>
      <c r="D2479" s="80">
        <f>F2486</f>
        <v>10988000</v>
      </c>
      <c r="F2479" s="94"/>
    </row>
    <row r="2480" spans="1:6" s="53" customFormat="1" ht="21" thickBot="1" x14ac:dyDescent="0.5">
      <c r="A2480" s="223"/>
      <c r="B2480" s="71"/>
      <c r="C2480" s="71"/>
      <c r="D2480" s="73"/>
      <c r="F2480" s="94"/>
    </row>
    <row r="2481" spans="1:7" s="53" customFormat="1" ht="15" thickBot="1" x14ac:dyDescent="0.4">
      <c r="A2481" s="223"/>
      <c r="B2481" s="81" t="s">
        <v>81</v>
      </c>
      <c r="C2481" s="82" t="s">
        <v>107</v>
      </c>
      <c r="D2481" s="83" t="s">
        <v>108</v>
      </c>
      <c r="F2481" s="94"/>
    </row>
    <row r="2482" spans="1:7" s="87" customFormat="1" x14ac:dyDescent="0.35">
      <c r="A2482" s="223"/>
      <c r="B2482" s="84" t="str">
        <f>B2479</f>
        <v>24th June,2025</v>
      </c>
      <c r="C2482" s="85" t="s">
        <v>867</v>
      </c>
      <c r="D2482" s="86">
        <f>1800*2850</f>
        <v>5130000</v>
      </c>
      <c r="F2482" s="177"/>
    </row>
    <row r="2483" spans="1:7" s="53" customFormat="1" x14ac:dyDescent="0.35">
      <c r="A2483" s="223"/>
      <c r="B2483" s="88"/>
      <c r="C2483" s="89" t="s">
        <v>188</v>
      </c>
      <c r="D2483" s="90">
        <f>325*2650</f>
        <v>861250</v>
      </c>
      <c r="F2483" s="94"/>
    </row>
    <row r="2484" spans="1:7" s="53" customFormat="1" x14ac:dyDescent="0.35">
      <c r="A2484" s="223"/>
      <c r="B2484" s="88" t="s">
        <v>109</v>
      </c>
      <c r="C2484" s="89" t="s">
        <v>110</v>
      </c>
      <c r="D2484" s="90">
        <v>1000000</v>
      </c>
      <c r="F2484" s="94"/>
    </row>
    <row r="2485" spans="1:7" s="53" customFormat="1" x14ac:dyDescent="0.35">
      <c r="A2485" s="223"/>
      <c r="B2485" s="88" t="s">
        <v>111</v>
      </c>
      <c r="C2485" s="89" t="s">
        <v>112</v>
      </c>
      <c r="D2485" s="90">
        <v>40000</v>
      </c>
      <c r="E2485" s="225" t="s">
        <v>113</v>
      </c>
      <c r="F2485" s="225"/>
    </row>
    <row r="2486" spans="1:7" s="53" customFormat="1" x14ac:dyDescent="0.35">
      <c r="A2486" s="223"/>
      <c r="B2486" s="88" t="s">
        <v>182</v>
      </c>
      <c r="C2486" s="89" t="s">
        <v>115</v>
      </c>
      <c r="D2486" s="90">
        <f>500*122</f>
        <v>61000</v>
      </c>
      <c r="E2486" s="91" t="s">
        <v>116</v>
      </c>
      <c r="F2486" s="92">
        <f>4100*2680</f>
        <v>10988000</v>
      </c>
    </row>
    <row r="2487" spans="1:7" s="53" customFormat="1" x14ac:dyDescent="0.35">
      <c r="A2487" s="223"/>
      <c r="B2487" s="88"/>
      <c r="C2487" s="89" t="s">
        <v>117</v>
      </c>
      <c r="D2487" s="90">
        <f>2500*122</f>
        <v>305000</v>
      </c>
      <c r="E2487" s="93" t="s">
        <v>118</v>
      </c>
      <c r="F2487" s="94">
        <f>(2460*2680)+(1640*2680)</f>
        <v>10988000</v>
      </c>
    </row>
    <row r="2488" spans="1:7" s="53" customFormat="1" ht="15" thickBot="1" x14ac:dyDescent="0.4">
      <c r="A2488" s="223"/>
      <c r="B2488" s="88" t="s">
        <v>119</v>
      </c>
      <c r="C2488" s="89" t="s">
        <v>120</v>
      </c>
      <c r="D2488" s="95">
        <v>30000</v>
      </c>
      <c r="E2488" s="96" t="s">
        <v>121</v>
      </c>
      <c r="F2488" s="97">
        <f>F2486-F2487</f>
        <v>0</v>
      </c>
      <c r="G2488" s="98">
        <f>F2488/2680</f>
        <v>0</v>
      </c>
    </row>
    <row r="2489" spans="1:7" s="53" customFormat="1" ht="15" thickTop="1" x14ac:dyDescent="0.35">
      <c r="A2489" s="223"/>
      <c r="B2489" s="88"/>
      <c r="C2489" s="89" t="s">
        <v>122</v>
      </c>
      <c r="D2489" s="90">
        <v>140000</v>
      </c>
      <c r="F2489" s="94"/>
    </row>
    <row r="2490" spans="1:7" s="53" customFormat="1" x14ac:dyDescent="0.35">
      <c r="A2490" s="223"/>
      <c r="B2490" s="88" t="s">
        <v>725</v>
      </c>
      <c r="C2490" s="99" t="s">
        <v>123</v>
      </c>
      <c r="D2490" s="90">
        <v>15000</v>
      </c>
      <c r="E2490" s="91" t="s">
        <v>124</v>
      </c>
      <c r="F2490" s="92"/>
    </row>
    <row r="2491" spans="1:7" s="53" customFormat="1" x14ac:dyDescent="0.35">
      <c r="A2491" s="223"/>
      <c r="B2491" s="101"/>
      <c r="C2491" s="99" t="s">
        <v>125</v>
      </c>
      <c r="D2491" s="100">
        <v>10000</v>
      </c>
      <c r="E2491" s="102"/>
      <c r="F2491" s="103"/>
    </row>
    <row r="2492" spans="1:7" s="53" customFormat="1" x14ac:dyDescent="0.35">
      <c r="A2492" s="223"/>
      <c r="B2492" s="101"/>
      <c r="C2492" s="99" t="s">
        <v>126</v>
      </c>
      <c r="D2492" s="100">
        <v>40000</v>
      </c>
      <c r="E2492" s="102" t="s">
        <v>127</v>
      </c>
      <c r="F2492" s="103"/>
    </row>
    <row r="2493" spans="1:7" s="53" customFormat="1" x14ac:dyDescent="0.35">
      <c r="A2493" s="223"/>
      <c r="B2493" s="101"/>
      <c r="C2493" s="89" t="s">
        <v>265</v>
      </c>
      <c r="D2493" s="104">
        <f>902*122</f>
        <v>110044</v>
      </c>
      <c r="E2493" s="102" t="s">
        <v>749</v>
      </c>
      <c r="F2493" s="103"/>
    </row>
    <row r="2494" spans="1:7" s="53" customFormat="1" ht="15" thickBot="1" x14ac:dyDescent="0.4">
      <c r="A2494" s="223"/>
      <c r="B2494" s="105"/>
      <c r="C2494" s="106"/>
      <c r="D2494" s="107"/>
      <c r="E2494" s="53" t="s">
        <v>1165</v>
      </c>
      <c r="F2494" s="94"/>
    </row>
    <row r="2495" spans="1:7" s="53" customFormat="1" ht="15" thickBot="1" x14ac:dyDescent="0.4">
      <c r="A2495" s="223"/>
      <c r="B2495" s="108"/>
      <c r="C2495" s="109" t="s">
        <v>129</v>
      </c>
      <c r="D2495" s="110">
        <f>SUM(D2482:D2494)</f>
        <v>7742294</v>
      </c>
      <c r="F2495" s="94"/>
    </row>
    <row r="2496" spans="1:7" s="53" customFormat="1" ht="15.5" thickTop="1" thickBot="1" x14ac:dyDescent="0.4">
      <c r="A2496" s="224"/>
      <c r="B2496" s="226"/>
      <c r="C2496" s="226"/>
      <c r="D2496" s="226"/>
      <c r="F2496" s="94"/>
    </row>
    <row r="2497" spans="1:6" s="53" customFormat="1" x14ac:dyDescent="0.35">
      <c r="B2497" s="87"/>
      <c r="C2497" s="53" t="s">
        <v>130</v>
      </c>
      <c r="D2497" s="111">
        <f>D2479-D2495</f>
        <v>3245706</v>
      </c>
      <c r="F2497" s="94"/>
    </row>
    <row r="2498" spans="1:6" s="53" customFormat="1" x14ac:dyDescent="0.35">
      <c r="B2498" s="87"/>
      <c r="D2498" s="111"/>
      <c r="F2498" s="94"/>
    </row>
    <row r="2499" spans="1:6" s="53" customFormat="1" x14ac:dyDescent="0.35">
      <c r="A2499" s="112"/>
      <c r="B2499" s="113"/>
      <c r="C2499" s="112"/>
      <c r="D2499" s="114"/>
      <c r="E2499" s="112"/>
      <c r="F2499" s="178"/>
    </row>
    <row r="2501" spans="1:6" s="53" customFormat="1" ht="23.5" x14ac:dyDescent="0.55000000000000004">
      <c r="B2501" s="227" t="s">
        <v>0</v>
      </c>
      <c r="C2501" s="227"/>
      <c r="D2501" s="227"/>
      <c r="E2501" s="70"/>
      <c r="F2501" s="176"/>
    </row>
    <row r="2502" spans="1:6" s="53" customFormat="1" ht="20.5" x14ac:dyDescent="0.45">
      <c r="B2502" s="71"/>
      <c r="C2502" s="72" t="s">
        <v>730</v>
      </c>
      <c r="D2502" s="73"/>
      <c r="F2502" s="94"/>
    </row>
    <row r="2503" spans="1:6" s="53" customFormat="1" ht="21" thickBot="1" x14ac:dyDescent="0.5">
      <c r="B2503" s="71" t="s">
        <v>235</v>
      </c>
      <c r="C2503" s="74" t="s">
        <v>103</v>
      </c>
      <c r="D2503" s="73"/>
      <c r="F2503" s="94"/>
    </row>
    <row r="2504" spans="1:6" s="53" customFormat="1" ht="15" thickBot="1" x14ac:dyDescent="0.4">
      <c r="A2504" s="75" t="s">
        <v>104</v>
      </c>
      <c r="B2504" s="76" t="s">
        <v>81</v>
      </c>
      <c r="C2504" s="76" t="s">
        <v>105</v>
      </c>
      <c r="D2504" s="77" t="s">
        <v>84</v>
      </c>
      <c r="F2504" s="94"/>
    </row>
    <row r="2505" spans="1:6" s="53" customFormat="1" ht="14.5" customHeight="1" x14ac:dyDescent="0.35">
      <c r="A2505" s="222" t="s">
        <v>90</v>
      </c>
      <c r="B2505" s="78" t="s">
        <v>720</v>
      </c>
      <c r="C2505" s="79" t="s">
        <v>106</v>
      </c>
      <c r="D2505" s="80">
        <f>F2512</f>
        <v>10988000</v>
      </c>
      <c r="F2505" s="94"/>
    </row>
    <row r="2506" spans="1:6" s="53" customFormat="1" ht="21" thickBot="1" x14ac:dyDescent="0.5">
      <c r="A2506" s="223"/>
      <c r="B2506" s="71"/>
      <c r="C2506" s="71"/>
      <c r="D2506" s="73"/>
      <c r="F2506" s="94"/>
    </row>
    <row r="2507" spans="1:6" s="53" customFormat="1" ht="15" thickBot="1" x14ac:dyDescent="0.4">
      <c r="A2507" s="223"/>
      <c r="B2507" s="81" t="s">
        <v>81</v>
      </c>
      <c r="C2507" s="82" t="s">
        <v>107</v>
      </c>
      <c r="D2507" s="83" t="s">
        <v>108</v>
      </c>
      <c r="F2507" s="94"/>
    </row>
    <row r="2508" spans="1:6" s="87" customFormat="1" x14ac:dyDescent="0.35">
      <c r="A2508" s="223"/>
      <c r="B2508" s="84" t="str">
        <f>B2505</f>
        <v>24th June,2025</v>
      </c>
      <c r="C2508" s="85" t="s">
        <v>822</v>
      </c>
      <c r="D2508" s="86">
        <f>1850*2850</f>
        <v>5272500</v>
      </c>
      <c r="F2508" s="177"/>
    </row>
    <row r="2509" spans="1:6" s="53" customFormat="1" x14ac:dyDescent="0.35">
      <c r="A2509" s="223"/>
      <c r="B2509" s="88"/>
      <c r="C2509" s="89" t="s">
        <v>188</v>
      </c>
      <c r="D2509" s="90">
        <f>325*2650</f>
        <v>861250</v>
      </c>
      <c r="F2509" s="94"/>
    </row>
    <row r="2510" spans="1:6" s="53" customFormat="1" x14ac:dyDescent="0.35">
      <c r="A2510" s="223"/>
      <c r="B2510" s="88" t="s">
        <v>109</v>
      </c>
      <c r="C2510" s="89" t="s">
        <v>110</v>
      </c>
      <c r="D2510" s="90">
        <v>1000000</v>
      </c>
      <c r="F2510" s="94"/>
    </row>
    <row r="2511" spans="1:6" s="53" customFormat="1" x14ac:dyDescent="0.35">
      <c r="A2511" s="223"/>
      <c r="B2511" s="88" t="s">
        <v>111</v>
      </c>
      <c r="C2511" s="89" t="s">
        <v>112</v>
      </c>
      <c r="D2511" s="90">
        <v>40000</v>
      </c>
      <c r="E2511" s="225" t="s">
        <v>113</v>
      </c>
      <c r="F2511" s="225"/>
    </row>
    <row r="2512" spans="1:6" s="53" customFormat="1" x14ac:dyDescent="0.35">
      <c r="A2512" s="223"/>
      <c r="B2512" s="88" t="s">
        <v>182</v>
      </c>
      <c r="C2512" s="89" t="s">
        <v>115</v>
      </c>
      <c r="D2512" s="90">
        <f>900*122</f>
        <v>109800</v>
      </c>
      <c r="E2512" s="91" t="s">
        <v>116</v>
      </c>
      <c r="F2512" s="92">
        <f>4100*2680</f>
        <v>10988000</v>
      </c>
    </row>
    <row r="2513" spans="1:7" s="53" customFormat="1" x14ac:dyDescent="0.35">
      <c r="A2513" s="223"/>
      <c r="B2513" s="88"/>
      <c r="C2513" s="89" t="s">
        <v>117</v>
      </c>
      <c r="D2513" s="90">
        <f>2000*122</f>
        <v>244000</v>
      </c>
      <c r="E2513" s="93" t="s">
        <v>118</v>
      </c>
      <c r="F2513" s="94">
        <f>(2460*2680)+(1640*2680)</f>
        <v>10988000</v>
      </c>
    </row>
    <row r="2514" spans="1:7" s="53" customFormat="1" ht="15" thickBot="1" x14ac:dyDescent="0.4">
      <c r="A2514" s="223"/>
      <c r="B2514" s="88" t="s">
        <v>119</v>
      </c>
      <c r="C2514" s="89" t="s">
        <v>120</v>
      </c>
      <c r="D2514" s="95">
        <v>30000</v>
      </c>
      <c r="E2514" s="96" t="s">
        <v>121</v>
      </c>
      <c r="F2514" s="97">
        <f>F2512-F2513</f>
        <v>0</v>
      </c>
      <c r="G2514" s="98">
        <f>F2514/2680</f>
        <v>0</v>
      </c>
    </row>
    <row r="2515" spans="1:7" s="53" customFormat="1" ht="15" thickTop="1" x14ac:dyDescent="0.35">
      <c r="A2515" s="223"/>
      <c r="B2515" s="88"/>
      <c r="C2515" s="89" t="s">
        <v>122</v>
      </c>
      <c r="D2515" s="90">
        <v>140000</v>
      </c>
      <c r="F2515" s="94"/>
    </row>
    <row r="2516" spans="1:7" s="53" customFormat="1" x14ac:dyDescent="0.35">
      <c r="A2516" s="223"/>
      <c r="B2516" s="88" t="s">
        <v>728</v>
      </c>
      <c r="C2516" s="99" t="s">
        <v>123</v>
      </c>
      <c r="D2516" s="90">
        <v>15000</v>
      </c>
      <c r="E2516" s="91" t="s">
        <v>124</v>
      </c>
      <c r="F2516" s="92"/>
    </row>
    <row r="2517" spans="1:7" s="53" customFormat="1" x14ac:dyDescent="0.35">
      <c r="A2517" s="223"/>
      <c r="B2517" s="101"/>
      <c r="C2517" s="99" t="s">
        <v>125</v>
      </c>
      <c r="D2517" s="100">
        <v>10000</v>
      </c>
      <c r="E2517" s="102"/>
      <c r="F2517" s="103"/>
    </row>
    <row r="2518" spans="1:7" s="53" customFormat="1" x14ac:dyDescent="0.35">
      <c r="A2518" s="223"/>
      <c r="B2518" s="101"/>
      <c r="C2518" s="99" t="s">
        <v>126</v>
      </c>
      <c r="D2518" s="100">
        <v>40000</v>
      </c>
      <c r="E2518" s="102" t="s">
        <v>127</v>
      </c>
      <c r="F2518" s="103"/>
    </row>
    <row r="2519" spans="1:7" s="53" customFormat="1" x14ac:dyDescent="0.35">
      <c r="A2519" s="223"/>
      <c r="B2519" s="101"/>
      <c r="C2519" s="89"/>
      <c r="D2519" s="104"/>
      <c r="E2519" s="102" t="s">
        <v>749</v>
      </c>
      <c r="F2519" s="103"/>
    </row>
    <row r="2520" spans="1:7" s="53" customFormat="1" ht="15" thickBot="1" x14ac:dyDescent="0.4">
      <c r="A2520" s="223"/>
      <c r="B2520" s="105"/>
      <c r="C2520" s="106"/>
      <c r="D2520" s="107"/>
      <c r="E2520" s="53" t="s">
        <v>1166</v>
      </c>
      <c r="F2520" s="94"/>
    </row>
    <row r="2521" spans="1:7" s="53" customFormat="1" ht="15" thickBot="1" x14ac:dyDescent="0.4">
      <c r="A2521" s="223"/>
      <c r="B2521" s="108"/>
      <c r="C2521" s="109" t="s">
        <v>129</v>
      </c>
      <c r="D2521" s="110">
        <f>SUM(D2508:D2520)</f>
        <v>7762550</v>
      </c>
      <c r="F2521" s="94"/>
    </row>
    <row r="2522" spans="1:7" s="53" customFormat="1" ht="15.5" thickTop="1" thickBot="1" x14ac:dyDescent="0.4">
      <c r="A2522" s="224"/>
      <c r="B2522" s="226"/>
      <c r="C2522" s="226"/>
      <c r="D2522" s="226"/>
      <c r="F2522" s="94"/>
    </row>
    <row r="2523" spans="1:7" s="53" customFormat="1" x14ac:dyDescent="0.35">
      <c r="B2523" s="87"/>
      <c r="C2523" s="53" t="s">
        <v>130</v>
      </c>
      <c r="D2523" s="111">
        <f>D2505-D2521</f>
        <v>3225450</v>
      </c>
      <c r="F2523" s="94"/>
    </row>
    <row r="2524" spans="1:7" s="53" customFormat="1" x14ac:dyDescent="0.35">
      <c r="B2524" s="87"/>
      <c r="D2524" s="111"/>
      <c r="F2524" s="94"/>
    </row>
    <row r="2525" spans="1:7" s="53" customFormat="1" x14ac:dyDescent="0.35">
      <c r="A2525" s="112"/>
      <c r="B2525" s="113"/>
      <c r="C2525" s="112"/>
      <c r="D2525" s="114"/>
      <c r="E2525" s="112"/>
      <c r="F2525" s="178"/>
    </row>
    <row r="2528" spans="1:7" s="53" customFormat="1" ht="23.5" x14ac:dyDescent="0.55000000000000004">
      <c r="B2528" s="227" t="s">
        <v>0</v>
      </c>
      <c r="C2528" s="227"/>
      <c r="D2528" s="227"/>
      <c r="E2528" s="70"/>
      <c r="F2528" s="176"/>
    </row>
    <row r="2529" spans="1:7" s="53" customFormat="1" ht="20.5" x14ac:dyDescent="0.45">
      <c r="B2529" s="71"/>
      <c r="C2529" s="72" t="s">
        <v>734</v>
      </c>
      <c r="D2529" s="73"/>
      <c r="F2529" s="94"/>
    </row>
    <row r="2530" spans="1:7" s="53" customFormat="1" ht="21" thickBot="1" x14ac:dyDescent="0.5">
      <c r="B2530" s="71" t="s">
        <v>735</v>
      </c>
      <c r="C2530" s="74" t="s">
        <v>103</v>
      </c>
      <c r="D2530" s="73"/>
      <c r="F2530" s="94"/>
    </row>
    <row r="2531" spans="1:7" s="53" customFormat="1" ht="15" thickBot="1" x14ac:dyDescent="0.4">
      <c r="A2531" s="75" t="s">
        <v>104</v>
      </c>
      <c r="B2531" s="76" t="s">
        <v>81</v>
      </c>
      <c r="C2531" s="76" t="s">
        <v>105</v>
      </c>
      <c r="D2531" s="77" t="s">
        <v>84</v>
      </c>
      <c r="F2531" s="94"/>
    </row>
    <row r="2532" spans="1:7" s="53" customFormat="1" ht="14.5" customHeight="1" x14ac:dyDescent="0.35">
      <c r="A2532" s="222" t="s">
        <v>90</v>
      </c>
      <c r="B2532" s="78" t="s">
        <v>720</v>
      </c>
      <c r="C2532" s="79" t="s">
        <v>106</v>
      </c>
      <c r="D2532" s="80">
        <f>F2539</f>
        <v>10988000</v>
      </c>
      <c r="F2532" s="94"/>
    </row>
    <row r="2533" spans="1:7" s="53" customFormat="1" ht="21" thickBot="1" x14ac:dyDescent="0.5">
      <c r="A2533" s="223"/>
      <c r="B2533" s="71"/>
      <c r="C2533" s="71"/>
      <c r="D2533" s="73"/>
      <c r="F2533" s="94"/>
    </row>
    <row r="2534" spans="1:7" s="53" customFormat="1" ht="15" thickBot="1" x14ac:dyDescent="0.4">
      <c r="A2534" s="223"/>
      <c r="B2534" s="81" t="s">
        <v>81</v>
      </c>
      <c r="C2534" s="82" t="s">
        <v>107</v>
      </c>
      <c r="D2534" s="83" t="s">
        <v>108</v>
      </c>
      <c r="F2534" s="94"/>
    </row>
    <row r="2535" spans="1:7" s="87" customFormat="1" x14ac:dyDescent="0.35">
      <c r="A2535" s="223"/>
      <c r="B2535" s="84" t="str">
        <f>B2532</f>
        <v>24th June,2025</v>
      </c>
      <c r="C2535" s="85" t="s">
        <v>822</v>
      </c>
      <c r="D2535" s="86">
        <f>1850*2850</f>
        <v>5272500</v>
      </c>
      <c r="F2535" s="177"/>
    </row>
    <row r="2536" spans="1:7" s="53" customFormat="1" x14ac:dyDescent="0.35">
      <c r="A2536" s="223"/>
      <c r="B2536" s="88"/>
      <c r="C2536" s="89" t="s">
        <v>188</v>
      </c>
      <c r="D2536" s="90">
        <f>325*2650</f>
        <v>861250</v>
      </c>
      <c r="F2536" s="94"/>
    </row>
    <row r="2537" spans="1:7" s="53" customFormat="1" x14ac:dyDescent="0.35">
      <c r="A2537" s="223"/>
      <c r="B2537" s="88" t="s">
        <v>109</v>
      </c>
      <c r="C2537" s="89" t="s">
        <v>110</v>
      </c>
      <c r="D2537" s="90">
        <v>1000000</v>
      </c>
      <c r="F2537" s="94"/>
    </row>
    <row r="2538" spans="1:7" s="53" customFormat="1" x14ac:dyDescent="0.35">
      <c r="A2538" s="223"/>
      <c r="B2538" s="88" t="s">
        <v>111</v>
      </c>
      <c r="C2538" s="89" t="s">
        <v>112</v>
      </c>
      <c r="D2538" s="90">
        <v>40000</v>
      </c>
      <c r="E2538" s="225" t="s">
        <v>113</v>
      </c>
      <c r="F2538" s="225"/>
    </row>
    <row r="2539" spans="1:7" s="53" customFormat="1" x14ac:dyDescent="0.35">
      <c r="A2539" s="223"/>
      <c r="B2539" s="88" t="s">
        <v>182</v>
      </c>
      <c r="C2539" s="89" t="s">
        <v>115</v>
      </c>
      <c r="D2539" s="90">
        <f>500*122</f>
        <v>61000</v>
      </c>
      <c r="E2539" s="91" t="s">
        <v>116</v>
      </c>
      <c r="F2539" s="92">
        <f>4100*2680</f>
        <v>10988000</v>
      </c>
    </row>
    <row r="2540" spans="1:7" s="53" customFormat="1" x14ac:dyDescent="0.35">
      <c r="A2540" s="223"/>
      <c r="B2540" s="88"/>
      <c r="C2540" s="89" t="s">
        <v>117</v>
      </c>
      <c r="D2540" s="90">
        <f>2500*122</f>
        <v>305000</v>
      </c>
      <c r="E2540" s="93" t="s">
        <v>118</v>
      </c>
      <c r="F2540" s="94">
        <f>(2460*2680)+(1640*2680)</f>
        <v>10988000</v>
      </c>
    </row>
    <row r="2541" spans="1:7" s="53" customFormat="1" ht="15" thickBot="1" x14ac:dyDescent="0.4">
      <c r="A2541" s="223"/>
      <c r="B2541" s="88" t="s">
        <v>119</v>
      </c>
      <c r="C2541" s="89" t="s">
        <v>120</v>
      </c>
      <c r="D2541" s="95">
        <v>30000</v>
      </c>
      <c r="E2541" s="96" t="s">
        <v>121</v>
      </c>
      <c r="F2541" s="97">
        <f>F2539-F2540</f>
        <v>0</v>
      </c>
      <c r="G2541" s="98">
        <f>F2541/2680</f>
        <v>0</v>
      </c>
    </row>
    <row r="2542" spans="1:7" s="53" customFormat="1" ht="15" thickTop="1" x14ac:dyDescent="0.35">
      <c r="A2542" s="223"/>
      <c r="B2542" s="88"/>
      <c r="C2542" s="89" t="s">
        <v>122</v>
      </c>
      <c r="D2542" s="90">
        <v>140000</v>
      </c>
      <c r="F2542" s="94"/>
    </row>
    <row r="2543" spans="1:7" s="53" customFormat="1" x14ac:dyDescent="0.35">
      <c r="A2543" s="223"/>
      <c r="B2543" s="88" t="s">
        <v>731</v>
      </c>
      <c r="C2543" s="99" t="s">
        <v>123</v>
      </c>
      <c r="D2543" s="90">
        <v>15000</v>
      </c>
      <c r="E2543" s="91" t="s">
        <v>124</v>
      </c>
      <c r="F2543" s="92"/>
    </row>
    <row r="2544" spans="1:7" s="53" customFormat="1" x14ac:dyDescent="0.35">
      <c r="A2544" s="223"/>
      <c r="B2544" s="101"/>
      <c r="C2544" s="99" t="s">
        <v>125</v>
      </c>
      <c r="D2544" s="100">
        <v>10000</v>
      </c>
      <c r="E2544" s="102"/>
      <c r="F2544" s="103"/>
    </row>
    <row r="2545" spans="1:6" s="53" customFormat="1" x14ac:dyDescent="0.35">
      <c r="A2545" s="223"/>
      <c r="B2545" s="101"/>
      <c r="C2545" s="99" t="s">
        <v>126</v>
      </c>
      <c r="D2545" s="100">
        <v>40000</v>
      </c>
      <c r="E2545" s="102" t="s">
        <v>127</v>
      </c>
      <c r="F2545" s="103"/>
    </row>
    <row r="2546" spans="1:6" s="53" customFormat="1" x14ac:dyDescent="0.35">
      <c r="A2546" s="223"/>
      <c r="B2546" s="101"/>
      <c r="C2546" s="89" t="s">
        <v>265</v>
      </c>
      <c r="D2546" s="104">
        <f>902*122</f>
        <v>110044</v>
      </c>
      <c r="E2546" s="102" t="s">
        <v>749</v>
      </c>
      <c r="F2546" s="103"/>
    </row>
    <row r="2547" spans="1:6" s="53" customFormat="1" ht="15" thickBot="1" x14ac:dyDescent="0.4">
      <c r="A2547" s="223"/>
      <c r="B2547" s="105"/>
      <c r="C2547" s="106"/>
      <c r="D2547" s="107"/>
      <c r="E2547" s="53" t="s">
        <v>1165</v>
      </c>
      <c r="F2547" s="94"/>
    </row>
    <row r="2548" spans="1:6" s="53" customFormat="1" ht="15" thickBot="1" x14ac:dyDescent="0.4">
      <c r="A2548" s="223"/>
      <c r="B2548" s="108"/>
      <c r="C2548" s="109" t="s">
        <v>129</v>
      </c>
      <c r="D2548" s="110">
        <f>SUM(D2535:D2547)</f>
        <v>7884794</v>
      </c>
      <c r="F2548" s="94"/>
    </row>
    <row r="2549" spans="1:6" s="53" customFormat="1" ht="15.5" thickTop="1" thickBot="1" x14ac:dyDescent="0.4">
      <c r="A2549" s="224"/>
      <c r="B2549" s="226"/>
      <c r="C2549" s="226"/>
      <c r="D2549" s="226"/>
      <c r="F2549" s="94"/>
    </row>
    <row r="2550" spans="1:6" s="53" customFormat="1" x14ac:dyDescent="0.35">
      <c r="B2550" s="87"/>
      <c r="C2550" s="53" t="s">
        <v>130</v>
      </c>
      <c r="D2550" s="111">
        <f>D2532-D2548</f>
        <v>3103206</v>
      </c>
      <c r="F2550" s="94"/>
    </row>
    <row r="2551" spans="1:6" s="53" customFormat="1" x14ac:dyDescent="0.35">
      <c r="B2551" s="87"/>
      <c r="D2551" s="111"/>
      <c r="F2551" s="94"/>
    </row>
    <row r="2552" spans="1:6" s="53" customFormat="1" x14ac:dyDescent="0.35">
      <c r="A2552" s="112"/>
      <c r="B2552" s="113"/>
      <c r="C2552" s="112"/>
      <c r="D2552" s="114"/>
      <c r="E2552" s="112"/>
      <c r="F2552" s="178"/>
    </row>
    <row r="2555" spans="1:6" s="53" customFormat="1" ht="23.5" x14ac:dyDescent="0.55000000000000004">
      <c r="B2555" s="227" t="s">
        <v>0</v>
      </c>
      <c r="C2555" s="227"/>
      <c r="D2555" s="227"/>
      <c r="E2555" s="70"/>
      <c r="F2555" s="176"/>
    </row>
    <row r="2556" spans="1:6" s="53" customFormat="1" ht="20.5" x14ac:dyDescent="0.45">
      <c r="B2556" s="71"/>
      <c r="C2556" s="72" t="s">
        <v>739</v>
      </c>
      <c r="D2556" s="73"/>
      <c r="F2556" s="94"/>
    </row>
    <row r="2557" spans="1:6" s="53" customFormat="1" ht="21" thickBot="1" x14ac:dyDescent="0.5">
      <c r="B2557" s="71" t="s">
        <v>163</v>
      </c>
      <c r="C2557" s="74" t="s">
        <v>103</v>
      </c>
      <c r="D2557" s="73"/>
      <c r="F2557" s="94"/>
    </row>
    <row r="2558" spans="1:6" s="53" customFormat="1" ht="15" thickBot="1" x14ac:dyDescent="0.4">
      <c r="A2558" s="75" t="s">
        <v>104</v>
      </c>
      <c r="B2558" s="76" t="s">
        <v>81</v>
      </c>
      <c r="C2558" s="76" t="s">
        <v>105</v>
      </c>
      <c r="D2558" s="77" t="s">
        <v>84</v>
      </c>
      <c r="F2558" s="94"/>
    </row>
    <row r="2559" spans="1:6" s="53" customFormat="1" ht="14.5" customHeight="1" x14ac:dyDescent="0.35">
      <c r="A2559" s="222" t="s">
        <v>90</v>
      </c>
      <c r="B2559" s="78" t="s">
        <v>720</v>
      </c>
      <c r="C2559" s="79" t="s">
        <v>106</v>
      </c>
      <c r="D2559" s="80">
        <f>F2566</f>
        <v>10988000</v>
      </c>
      <c r="F2559" s="94"/>
    </row>
    <row r="2560" spans="1:6" s="53" customFormat="1" ht="21" thickBot="1" x14ac:dyDescent="0.5">
      <c r="A2560" s="223"/>
      <c r="B2560" s="71"/>
      <c r="C2560" s="71"/>
      <c r="D2560" s="73"/>
      <c r="F2560" s="94"/>
    </row>
    <row r="2561" spans="1:7" s="53" customFormat="1" ht="15" thickBot="1" x14ac:dyDescent="0.4">
      <c r="A2561" s="223"/>
      <c r="B2561" s="81" t="s">
        <v>81</v>
      </c>
      <c r="C2561" s="82" t="s">
        <v>107</v>
      </c>
      <c r="D2561" s="83" t="s">
        <v>108</v>
      </c>
      <c r="F2561" s="94"/>
    </row>
    <row r="2562" spans="1:7" s="87" customFormat="1" x14ac:dyDescent="0.35">
      <c r="A2562" s="223"/>
      <c r="B2562" s="84" t="str">
        <f>B2559</f>
        <v>24th June,2025</v>
      </c>
      <c r="C2562" s="85" t="s">
        <v>846</v>
      </c>
      <c r="D2562" s="86">
        <f>1750*2850</f>
        <v>4987500</v>
      </c>
      <c r="F2562" s="177"/>
    </row>
    <row r="2563" spans="1:7" s="53" customFormat="1" x14ac:dyDescent="0.35">
      <c r="A2563" s="223"/>
      <c r="B2563" s="88"/>
      <c r="C2563" s="89" t="s">
        <v>188</v>
      </c>
      <c r="D2563" s="90">
        <f>325*2650</f>
        <v>861250</v>
      </c>
      <c r="F2563" s="94"/>
    </row>
    <row r="2564" spans="1:7" s="53" customFormat="1" x14ac:dyDescent="0.35">
      <c r="A2564" s="223"/>
      <c r="B2564" s="88" t="s">
        <v>109</v>
      </c>
      <c r="C2564" s="89" t="s">
        <v>110</v>
      </c>
      <c r="D2564" s="90">
        <v>1000000</v>
      </c>
      <c r="F2564" s="94"/>
    </row>
    <row r="2565" spans="1:7" s="53" customFormat="1" x14ac:dyDescent="0.35">
      <c r="A2565" s="223"/>
      <c r="B2565" s="88" t="s">
        <v>111</v>
      </c>
      <c r="C2565" s="89" t="s">
        <v>112</v>
      </c>
      <c r="D2565" s="90">
        <v>40000</v>
      </c>
      <c r="E2565" s="225" t="s">
        <v>113</v>
      </c>
      <c r="F2565" s="225"/>
    </row>
    <row r="2566" spans="1:7" s="53" customFormat="1" x14ac:dyDescent="0.35">
      <c r="A2566" s="223"/>
      <c r="B2566" s="88" t="s">
        <v>182</v>
      </c>
      <c r="C2566" s="89" t="s">
        <v>115</v>
      </c>
      <c r="D2566" s="90">
        <f>900*122</f>
        <v>109800</v>
      </c>
      <c r="E2566" s="91" t="s">
        <v>116</v>
      </c>
      <c r="F2566" s="92">
        <f>4100*2680</f>
        <v>10988000</v>
      </c>
    </row>
    <row r="2567" spans="1:7" s="53" customFormat="1" x14ac:dyDescent="0.35">
      <c r="A2567" s="223"/>
      <c r="B2567" s="88"/>
      <c r="C2567" s="89" t="s">
        <v>117</v>
      </c>
      <c r="D2567" s="90">
        <f>2000*122</f>
        <v>244000</v>
      </c>
      <c r="E2567" s="93" t="s">
        <v>118</v>
      </c>
      <c r="F2567" s="94">
        <f>(2460*2680)+(1640*2680)</f>
        <v>10988000</v>
      </c>
    </row>
    <row r="2568" spans="1:7" s="53" customFormat="1" ht="15" thickBot="1" x14ac:dyDescent="0.4">
      <c r="A2568" s="223"/>
      <c r="B2568" s="88" t="s">
        <v>119</v>
      </c>
      <c r="C2568" s="89" t="s">
        <v>120</v>
      </c>
      <c r="D2568" s="95">
        <v>30000</v>
      </c>
      <c r="E2568" s="96" t="s">
        <v>121</v>
      </c>
      <c r="F2568" s="97">
        <f>F2566-F2567</f>
        <v>0</v>
      </c>
      <c r="G2568" s="98">
        <f>F2568/2680</f>
        <v>0</v>
      </c>
    </row>
    <row r="2569" spans="1:7" s="53" customFormat="1" ht="15" thickTop="1" x14ac:dyDescent="0.35">
      <c r="A2569" s="223"/>
      <c r="B2569" s="88"/>
      <c r="C2569" s="89" t="s">
        <v>122</v>
      </c>
      <c r="D2569" s="90">
        <v>140000</v>
      </c>
      <c r="F2569" s="94"/>
    </row>
    <row r="2570" spans="1:7" s="53" customFormat="1" x14ac:dyDescent="0.35">
      <c r="A2570" s="223"/>
      <c r="B2570" s="88" t="s">
        <v>738</v>
      </c>
      <c r="C2570" s="99" t="s">
        <v>123</v>
      </c>
      <c r="D2570" s="90">
        <v>15000</v>
      </c>
      <c r="E2570" s="91" t="s">
        <v>124</v>
      </c>
      <c r="F2570" s="92"/>
    </row>
    <row r="2571" spans="1:7" s="53" customFormat="1" x14ac:dyDescent="0.35">
      <c r="A2571" s="223"/>
      <c r="B2571" s="101"/>
      <c r="C2571" s="99" t="s">
        <v>125</v>
      </c>
      <c r="D2571" s="100">
        <v>10000</v>
      </c>
      <c r="E2571" s="102"/>
      <c r="F2571" s="103"/>
    </row>
    <row r="2572" spans="1:7" s="53" customFormat="1" x14ac:dyDescent="0.35">
      <c r="A2572" s="223"/>
      <c r="B2572" s="101"/>
      <c r="C2572" s="99" t="s">
        <v>126</v>
      </c>
      <c r="D2572" s="100">
        <v>40000</v>
      </c>
      <c r="E2572" s="102" t="s">
        <v>127</v>
      </c>
      <c r="F2572" s="103"/>
    </row>
    <row r="2573" spans="1:7" s="53" customFormat="1" x14ac:dyDescent="0.35">
      <c r="A2573" s="223"/>
      <c r="B2573" s="101"/>
      <c r="C2573" s="89"/>
      <c r="D2573" s="104"/>
      <c r="E2573" s="102" t="s">
        <v>749</v>
      </c>
      <c r="F2573" s="103"/>
    </row>
    <row r="2574" spans="1:7" s="53" customFormat="1" ht="15" thickBot="1" x14ac:dyDescent="0.4">
      <c r="A2574" s="223"/>
      <c r="B2574" s="105"/>
      <c r="C2574" s="106"/>
      <c r="D2574" s="107"/>
      <c r="E2574" s="53" t="s">
        <v>1038</v>
      </c>
      <c r="F2574" s="94"/>
    </row>
    <row r="2575" spans="1:7" s="53" customFormat="1" ht="15" thickBot="1" x14ac:dyDescent="0.4">
      <c r="A2575" s="223"/>
      <c r="B2575" s="108"/>
      <c r="C2575" s="109" t="s">
        <v>129</v>
      </c>
      <c r="D2575" s="110">
        <f>SUM(D2562:D2574)</f>
        <v>7477550</v>
      </c>
      <c r="F2575" s="94"/>
    </row>
    <row r="2576" spans="1:7" s="53" customFormat="1" ht="15.5" thickTop="1" thickBot="1" x14ac:dyDescent="0.4">
      <c r="A2576" s="224"/>
      <c r="B2576" s="226"/>
      <c r="C2576" s="226"/>
      <c r="D2576" s="226"/>
      <c r="F2576" s="94"/>
    </row>
    <row r="2577" spans="1:6" s="53" customFormat="1" x14ac:dyDescent="0.35">
      <c r="B2577" s="87"/>
      <c r="C2577" s="53" t="s">
        <v>130</v>
      </c>
      <c r="D2577" s="111">
        <f>D2559-D2575</f>
        <v>3510450</v>
      </c>
      <c r="F2577" s="94"/>
    </row>
    <row r="2578" spans="1:6" s="53" customFormat="1" x14ac:dyDescent="0.35">
      <c r="B2578" s="87"/>
      <c r="D2578" s="111"/>
      <c r="F2578" s="94"/>
    </row>
    <row r="2579" spans="1:6" s="53" customFormat="1" x14ac:dyDescent="0.35">
      <c r="A2579" s="112"/>
      <c r="B2579" s="113"/>
      <c r="C2579" s="112"/>
      <c r="D2579" s="114"/>
      <c r="E2579" s="112"/>
      <c r="F2579" s="178"/>
    </row>
    <row r="2582" spans="1:6" s="53" customFormat="1" ht="23.5" x14ac:dyDescent="0.55000000000000004">
      <c r="B2582" s="227" t="s">
        <v>0</v>
      </c>
      <c r="C2582" s="227"/>
      <c r="D2582" s="227"/>
      <c r="E2582" s="70"/>
      <c r="F2582" s="176"/>
    </row>
    <row r="2583" spans="1:6" s="53" customFormat="1" ht="20.5" x14ac:dyDescent="0.45">
      <c r="B2583" s="71"/>
      <c r="C2583" s="72" t="s">
        <v>745</v>
      </c>
      <c r="D2583" s="73"/>
      <c r="F2583" s="94"/>
    </row>
    <row r="2584" spans="1:6" s="53" customFormat="1" ht="21" thickBot="1" x14ac:dyDescent="0.5">
      <c r="B2584" s="71" t="s">
        <v>218</v>
      </c>
      <c r="C2584" s="74" t="s">
        <v>103</v>
      </c>
      <c r="D2584" s="73"/>
      <c r="F2584" s="94"/>
    </row>
    <row r="2585" spans="1:6" s="53" customFormat="1" ht="15" thickBot="1" x14ac:dyDescent="0.4">
      <c r="A2585" s="75" t="s">
        <v>104</v>
      </c>
      <c r="B2585" s="76" t="s">
        <v>81</v>
      </c>
      <c r="C2585" s="76" t="s">
        <v>105</v>
      </c>
      <c r="D2585" s="77" t="s">
        <v>84</v>
      </c>
      <c r="F2585" s="94"/>
    </row>
    <row r="2586" spans="1:6" s="53" customFormat="1" ht="14.5" customHeight="1" x14ac:dyDescent="0.35">
      <c r="A2586" s="222" t="s">
        <v>90</v>
      </c>
      <c r="B2586" s="78" t="s">
        <v>746</v>
      </c>
      <c r="C2586" s="79" t="s">
        <v>106</v>
      </c>
      <c r="D2586" s="80">
        <f>F2593</f>
        <v>11792000</v>
      </c>
      <c r="F2586" s="94"/>
    </row>
    <row r="2587" spans="1:6" s="53" customFormat="1" ht="21" thickBot="1" x14ac:dyDescent="0.5">
      <c r="A2587" s="223"/>
      <c r="B2587" s="71"/>
      <c r="C2587" s="71"/>
      <c r="D2587" s="73"/>
      <c r="F2587" s="94"/>
    </row>
    <row r="2588" spans="1:6" s="53" customFormat="1" ht="15" thickBot="1" x14ac:dyDescent="0.4">
      <c r="A2588" s="223"/>
      <c r="B2588" s="81" t="s">
        <v>81</v>
      </c>
      <c r="C2588" s="82" t="s">
        <v>107</v>
      </c>
      <c r="D2588" s="83" t="s">
        <v>108</v>
      </c>
      <c r="F2588" s="94"/>
    </row>
    <row r="2589" spans="1:6" s="87" customFormat="1" x14ac:dyDescent="0.35">
      <c r="A2589" s="223"/>
      <c r="B2589" s="84" t="str">
        <f>B2586</f>
        <v>25th June,2025</v>
      </c>
      <c r="C2589" s="85" t="s">
        <v>821</v>
      </c>
      <c r="D2589" s="86">
        <f>2000*2850</f>
        <v>5700000</v>
      </c>
      <c r="F2589" s="177"/>
    </row>
    <row r="2590" spans="1:6" s="53" customFormat="1" x14ac:dyDescent="0.35">
      <c r="A2590" s="223"/>
      <c r="B2590" s="88"/>
      <c r="C2590" s="89" t="s">
        <v>747</v>
      </c>
      <c r="D2590" s="90">
        <f>356*2700</f>
        <v>961200</v>
      </c>
      <c r="F2590" s="94"/>
    </row>
    <row r="2591" spans="1:6" s="53" customFormat="1" x14ac:dyDescent="0.35">
      <c r="A2591" s="223"/>
      <c r="B2591" s="88" t="s">
        <v>109</v>
      </c>
      <c r="C2591" s="89" t="s">
        <v>110</v>
      </c>
      <c r="D2591" s="90">
        <v>1000000</v>
      </c>
      <c r="F2591" s="94"/>
    </row>
    <row r="2592" spans="1:6" s="53" customFormat="1" x14ac:dyDescent="0.35">
      <c r="A2592" s="223"/>
      <c r="B2592" s="88" t="s">
        <v>111</v>
      </c>
      <c r="C2592" s="89" t="s">
        <v>112</v>
      </c>
      <c r="D2592" s="90">
        <v>40000</v>
      </c>
      <c r="E2592" s="225" t="s">
        <v>113</v>
      </c>
      <c r="F2592" s="225"/>
    </row>
    <row r="2593" spans="1:7" s="53" customFormat="1" x14ac:dyDescent="0.35">
      <c r="A2593" s="223"/>
      <c r="B2593" s="88" t="s">
        <v>383</v>
      </c>
      <c r="C2593" s="89" t="s">
        <v>115</v>
      </c>
      <c r="D2593" s="90">
        <f>600*128</f>
        <v>76800</v>
      </c>
      <c r="E2593" s="91" t="s">
        <v>116</v>
      </c>
      <c r="F2593" s="92">
        <f>4400*2680</f>
        <v>11792000</v>
      </c>
    </row>
    <row r="2594" spans="1:7" s="53" customFormat="1" x14ac:dyDescent="0.35">
      <c r="A2594" s="223"/>
      <c r="B2594" s="88"/>
      <c r="C2594" s="89" t="s">
        <v>117</v>
      </c>
      <c r="D2594" s="90">
        <f>6250*128</f>
        <v>800000</v>
      </c>
      <c r="E2594" s="93" t="s">
        <v>118</v>
      </c>
      <c r="F2594" s="94">
        <f>(2640*2680)+(1760*2680)</f>
        <v>11792000</v>
      </c>
    </row>
    <row r="2595" spans="1:7" s="53" customFormat="1" ht="15" thickBot="1" x14ac:dyDescent="0.4">
      <c r="A2595" s="223"/>
      <c r="B2595" s="88" t="s">
        <v>119</v>
      </c>
      <c r="C2595" s="89" t="s">
        <v>120</v>
      </c>
      <c r="D2595" s="95">
        <v>30000</v>
      </c>
      <c r="E2595" s="96" t="s">
        <v>121</v>
      </c>
      <c r="F2595" s="97">
        <f>F2593-F2594</f>
        <v>0</v>
      </c>
      <c r="G2595" s="98">
        <f>F2595/2680</f>
        <v>0</v>
      </c>
    </row>
    <row r="2596" spans="1:7" s="53" customFormat="1" ht="15" thickTop="1" x14ac:dyDescent="0.35">
      <c r="A2596" s="223"/>
      <c r="B2596" s="88"/>
      <c r="C2596" s="99" t="s">
        <v>123</v>
      </c>
      <c r="D2596" s="100">
        <v>15000</v>
      </c>
      <c r="F2596" s="94"/>
    </row>
    <row r="2597" spans="1:7" s="53" customFormat="1" x14ac:dyDescent="0.35">
      <c r="A2597" s="223"/>
      <c r="B2597" s="88" t="s">
        <v>744</v>
      </c>
      <c r="C2597" s="99" t="s">
        <v>126</v>
      </c>
      <c r="D2597" s="100">
        <v>40000</v>
      </c>
      <c r="E2597" s="91" t="s">
        <v>124</v>
      </c>
      <c r="F2597" s="92"/>
    </row>
    <row r="2598" spans="1:7" s="53" customFormat="1" x14ac:dyDescent="0.35">
      <c r="A2598" s="223"/>
      <c r="B2598" s="101"/>
      <c r="C2598" s="89" t="s">
        <v>122</v>
      </c>
      <c r="D2598" s="100">
        <v>140000</v>
      </c>
      <c r="E2598" s="102"/>
      <c r="F2598" s="103"/>
    </row>
    <row r="2599" spans="1:7" s="53" customFormat="1" x14ac:dyDescent="0.35">
      <c r="A2599" s="223"/>
      <c r="B2599" s="101"/>
      <c r="C2599" s="99"/>
      <c r="D2599" s="100"/>
      <c r="E2599" s="102" t="s">
        <v>127</v>
      </c>
      <c r="F2599" s="103"/>
    </row>
    <row r="2600" spans="1:7" s="53" customFormat="1" x14ac:dyDescent="0.35">
      <c r="A2600" s="223"/>
      <c r="B2600" s="101"/>
      <c r="C2600" s="89"/>
      <c r="D2600" s="90"/>
      <c r="E2600" s="102" t="s">
        <v>763</v>
      </c>
      <c r="F2600" s="103"/>
    </row>
    <row r="2601" spans="1:7" s="53" customFormat="1" ht="15" thickBot="1" x14ac:dyDescent="0.4">
      <c r="A2601" s="223"/>
      <c r="B2601" s="105"/>
      <c r="C2601" s="106"/>
      <c r="D2601" s="107"/>
      <c r="E2601" s="53" t="s">
        <v>1067</v>
      </c>
      <c r="F2601" s="94"/>
    </row>
    <row r="2602" spans="1:7" s="53" customFormat="1" ht="15" thickBot="1" x14ac:dyDescent="0.4">
      <c r="A2602" s="223"/>
      <c r="B2602" s="108"/>
      <c r="C2602" s="109" t="s">
        <v>129</v>
      </c>
      <c r="D2602" s="110">
        <f>SUM(D2589:D2601)</f>
        <v>8803000</v>
      </c>
      <c r="F2602" s="94"/>
    </row>
    <row r="2603" spans="1:7" s="53" customFormat="1" ht="15.5" thickTop="1" thickBot="1" x14ac:dyDescent="0.4">
      <c r="A2603" s="224"/>
      <c r="B2603" s="226"/>
      <c r="C2603" s="226"/>
      <c r="D2603" s="226"/>
      <c r="F2603" s="94"/>
    </row>
    <row r="2604" spans="1:7" s="53" customFormat="1" x14ac:dyDescent="0.35">
      <c r="B2604" s="87"/>
      <c r="C2604" s="53" t="s">
        <v>130</v>
      </c>
      <c r="D2604" s="111">
        <f>D2586-D2602</f>
        <v>2989000</v>
      </c>
      <c r="F2604" s="94"/>
    </row>
    <row r="2605" spans="1:7" s="53" customFormat="1" x14ac:dyDescent="0.35">
      <c r="B2605" s="87"/>
      <c r="D2605" s="111"/>
      <c r="F2605" s="94"/>
    </row>
    <row r="2606" spans="1:7" s="53" customFormat="1" x14ac:dyDescent="0.35">
      <c r="A2606" s="112"/>
      <c r="B2606" s="113"/>
      <c r="C2606" s="112"/>
      <c r="D2606" s="114"/>
      <c r="E2606" s="112"/>
      <c r="F2606" s="178"/>
    </row>
    <row r="2608" spans="1:7" s="53" customFormat="1" ht="23.5" x14ac:dyDescent="0.55000000000000004">
      <c r="B2608" s="227" t="s">
        <v>0</v>
      </c>
      <c r="C2608" s="227"/>
      <c r="D2608" s="227"/>
      <c r="E2608" s="70"/>
      <c r="F2608" s="176"/>
    </row>
    <row r="2609" spans="1:7" s="53" customFormat="1" ht="20.5" x14ac:dyDescent="0.45">
      <c r="B2609" s="71"/>
      <c r="C2609" s="72" t="s">
        <v>753</v>
      </c>
      <c r="D2609" s="73"/>
      <c r="F2609" s="94"/>
    </row>
    <row r="2610" spans="1:7" s="53" customFormat="1" ht="21" thickBot="1" x14ac:dyDescent="0.5">
      <c r="B2610" s="71" t="s">
        <v>761</v>
      </c>
      <c r="C2610" s="74" t="s">
        <v>103</v>
      </c>
      <c r="D2610" s="73"/>
      <c r="F2610" s="94"/>
    </row>
    <row r="2611" spans="1:7" s="53" customFormat="1" ht="15" thickBot="1" x14ac:dyDescent="0.4">
      <c r="A2611" s="75" t="s">
        <v>104</v>
      </c>
      <c r="B2611" s="76" t="s">
        <v>81</v>
      </c>
      <c r="C2611" s="76" t="s">
        <v>105</v>
      </c>
      <c r="D2611" s="77" t="s">
        <v>84</v>
      </c>
      <c r="F2611" s="94"/>
    </row>
    <row r="2612" spans="1:7" s="53" customFormat="1" ht="14.5" customHeight="1" x14ac:dyDescent="0.35">
      <c r="A2612" s="222" t="s">
        <v>90</v>
      </c>
      <c r="B2612" s="78" t="s">
        <v>754</v>
      </c>
      <c r="C2612" s="79" t="s">
        <v>187</v>
      </c>
      <c r="D2612" s="80">
        <f>F2619</f>
        <v>11070000</v>
      </c>
      <c r="F2612" s="94"/>
    </row>
    <row r="2613" spans="1:7" s="53" customFormat="1" ht="21" thickBot="1" x14ac:dyDescent="0.5">
      <c r="A2613" s="223"/>
      <c r="B2613" s="71"/>
      <c r="C2613" s="71"/>
      <c r="D2613" s="73"/>
      <c r="F2613" s="94"/>
    </row>
    <row r="2614" spans="1:7" s="53" customFormat="1" ht="15" thickBot="1" x14ac:dyDescent="0.4">
      <c r="A2614" s="223"/>
      <c r="B2614" s="81" t="s">
        <v>81</v>
      </c>
      <c r="C2614" s="82" t="s">
        <v>107</v>
      </c>
      <c r="D2614" s="83" t="s">
        <v>108</v>
      </c>
      <c r="F2614" s="94"/>
    </row>
    <row r="2615" spans="1:7" s="87" customFormat="1" x14ac:dyDescent="0.35">
      <c r="A2615" s="223"/>
      <c r="B2615" s="84" t="str">
        <f>B2612</f>
        <v>27th June,2025</v>
      </c>
      <c r="C2615" s="85" t="s">
        <v>867</v>
      </c>
      <c r="D2615" s="86">
        <f>1800*2850</f>
        <v>5130000</v>
      </c>
      <c r="F2615" s="177"/>
    </row>
    <row r="2616" spans="1:7" s="53" customFormat="1" x14ac:dyDescent="0.35">
      <c r="A2616" s="223"/>
      <c r="B2616" s="88"/>
      <c r="C2616" s="89" t="s">
        <v>188</v>
      </c>
      <c r="D2616" s="90">
        <f>325*2650</f>
        <v>861250</v>
      </c>
      <c r="F2616" s="94"/>
    </row>
    <row r="2617" spans="1:7" s="53" customFormat="1" x14ac:dyDescent="0.35">
      <c r="A2617" s="223"/>
      <c r="B2617" s="88" t="s">
        <v>109</v>
      </c>
      <c r="C2617" s="89" t="s">
        <v>110</v>
      </c>
      <c r="D2617" s="90">
        <v>1000000</v>
      </c>
      <c r="F2617" s="94"/>
    </row>
    <row r="2618" spans="1:7" s="53" customFormat="1" x14ac:dyDescent="0.35">
      <c r="A2618" s="223"/>
      <c r="B2618" s="88" t="s">
        <v>111</v>
      </c>
      <c r="C2618" s="89" t="s">
        <v>112</v>
      </c>
      <c r="D2618" s="90">
        <v>40000</v>
      </c>
      <c r="E2618" s="225" t="s">
        <v>113</v>
      </c>
      <c r="F2618" s="225"/>
    </row>
    <row r="2619" spans="1:7" s="53" customFormat="1" x14ac:dyDescent="0.35">
      <c r="A2619" s="223"/>
      <c r="B2619" s="88" t="s">
        <v>182</v>
      </c>
      <c r="C2619" s="89" t="s">
        <v>115</v>
      </c>
      <c r="D2619" s="90">
        <f>250*120</f>
        <v>30000</v>
      </c>
      <c r="E2619" s="91" t="s">
        <v>116</v>
      </c>
      <c r="F2619" s="92">
        <f>4100*2700</f>
        <v>11070000</v>
      </c>
    </row>
    <row r="2620" spans="1:7" s="53" customFormat="1" x14ac:dyDescent="0.35">
      <c r="A2620" s="223"/>
      <c r="B2620" s="88"/>
      <c r="C2620" s="89" t="s">
        <v>117</v>
      </c>
      <c r="D2620" s="90">
        <f>2500*120</f>
        <v>300000</v>
      </c>
      <c r="E2620" s="93" t="s">
        <v>118</v>
      </c>
      <c r="F2620" s="94">
        <f>4100*2700</f>
        <v>11070000</v>
      </c>
    </row>
    <row r="2621" spans="1:7" s="53" customFormat="1" ht="15" thickBot="1" x14ac:dyDescent="0.4">
      <c r="A2621" s="223"/>
      <c r="B2621" s="88" t="s">
        <v>119</v>
      </c>
      <c r="C2621" s="89" t="s">
        <v>120</v>
      </c>
      <c r="D2621" s="95">
        <v>30000</v>
      </c>
      <c r="E2621" s="96" t="s">
        <v>121</v>
      </c>
      <c r="F2621" s="97">
        <f>F2619-F2620</f>
        <v>0</v>
      </c>
      <c r="G2621" s="98">
        <f>F2621/2700</f>
        <v>0</v>
      </c>
    </row>
    <row r="2622" spans="1:7" s="53" customFormat="1" ht="15" thickTop="1" x14ac:dyDescent="0.35">
      <c r="A2622" s="223"/>
      <c r="B2622" s="88"/>
      <c r="C2622" s="89" t="s">
        <v>122</v>
      </c>
      <c r="D2622" s="90">
        <v>140000</v>
      </c>
      <c r="F2622" s="94"/>
    </row>
    <row r="2623" spans="1:7" s="53" customFormat="1" x14ac:dyDescent="0.35">
      <c r="A2623" s="223"/>
      <c r="B2623" s="88" t="s">
        <v>759</v>
      </c>
      <c r="C2623" s="99" t="s">
        <v>123</v>
      </c>
      <c r="D2623" s="90">
        <v>15000</v>
      </c>
      <c r="E2623" s="91" t="s">
        <v>124</v>
      </c>
      <c r="F2623" s="92"/>
    </row>
    <row r="2624" spans="1:7" s="53" customFormat="1" x14ac:dyDescent="0.35">
      <c r="A2624" s="223"/>
      <c r="B2624" s="101"/>
      <c r="C2624" s="99" t="s">
        <v>125</v>
      </c>
      <c r="D2624" s="100">
        <v>10000</v>
      </c>
      <c r="E2624" s="102"/>
      <c r="F2624" s="103"/>
    </row>
    <row r="2625" spans="1:6" s="53" customFormat="1" x14ac:dyDescent="0.35">
      <c r="A2625" s="223"/>
      <c r="B2625" s="101"/>
      <c r="C2625" s="99" t="s">
        <v>126</v>
      </c>
      <c r="D2625" s="100">
        <v>40000</v>
      </c>
      <c r="E2625" s="102" t="s">
        <v>127</v>
      </c>
      <c r="F2625" s="103"/>
    </row>
    <row r="2626" spans="1:6" s="53" customFormat="1" x14ac:dyDescent="0.35">
      <c r="A2626" s="223"/>
      <c r="B2626" s="101"/>
      <c r="C2626" s="89" t="s">
        <v>265</v>
      </c>
      <c r="D2626" s="104">
        <f>902*122</f>
        <v>110044</v>
      </c>
      <c r="E2626" s="102" t="s">
        <v>1107</v>
      </c>
      <c r="F2626" s="103"/>
    </row>
    <row r="2627" spans="1:6" s="53" customFormat="1" ht="15" thickBot="1" x14ac:dyDescent="0.4">
      <c r="A2627" s="223"/>
      <c r="B2627" s="105"/>
      <c r="C2627" s="106"/>
      <c r="D2627" s="107"/>
      <c r="F2627" s="94"/>
    </row>
    <row r="2628" spans="1:6" s="53" customFormat="1" ht="15" thickBot="1" x14ac:dyDescent="0.4">
      <c r="A2628" s="223"/>
      <c r="B2628" s="108"/>
      <c r="C2628" s="109" t="s">
        <v>129</v>
      </c>
      <c r="D2628" s="110">
        <f>SUM(D2615:D2627)</f>
        <v>7706294</v>
      </c>
      <c r="F2628" s="94"/>
    </row>
    <row r="2629" spans="1:6" s="53" customFormat="1" ht="15.5" thickTop="1" thickBot="1" x14ac:dyDescent="0.4">
      <c r="A2629" s="224"/>
      <c r="B2629" s="226"/>
      <c r="C2629" s="226"/>
      <c r="D2629" s="226"/>
      <c r="F2629" s="94"/>
    </row>
    <row r="2630" spans="1:6" s="53" customFormat="1" x14ac:dyDescent="0.35">
      <c r="B2630" s="87"/>
      <c r="C2630" s="53" t="s">
        <v>130</v>
      </c>
      <c r="D2630" s="111">
        <f>D2612-D2628</f>
        <v>3363706</v>
      </c>
      <c r="F2630" s="94"/>
    </row>
    <row r="2631" spans="1:6" s="53" customFormat="1" x14ac:dyDescent="0.35">
      <c r="B2631" s="87"/>
      <c r="D2631" s="111"/>
      <c r="F2631" s="94"/>
    </row>
    <row r="2632" spans="1:6" s="53" customFormat="1" x14ac:dyDescent="0.35">
      <c r="A2632" s="112"/>
      <c r="B2632" s="113"/>
      <c r="C2632" s="112"/>
      <c r="D2632" s="114"/>
      <c r="E2632" s="112"/>
      <c r="F2632" s="178"/>
    </row>
    <row r="2634" spans="1:6" s="53" customFormat="1" ht="23.5" x14ac:dyDescent="0.55000000000000004">
      <c r="B2634" s="227" t="s">
        <v>0</v>
      </c>
      <c r="C2634" s="227"/>
      <c r="D2634" s="227"/>
      <c r="E2634" s="70"/>
      <c r="F2634" s="176"/>
    </row>
    <row r="2635" spans="1:6" s="53" customFormat="1" ht="20.5" x14ac:dyDescent="0.45">
      <c r="B2635" s="71"/>
      <c r="C2635" s="72" t="s">
        <v>756</v>
      </c>
      <c r="D2635" s="73"/>
      <c r="F2635" s="94"/>
    </row>
    <row r="2636" spans="1:6" s="53" customFormat="1" ht="21" thickBot="1" x14ac:dyDescent="0.5">
      <c r="B2636" s="71" t="s">
        <v>178</v>
      </c>
      <c r="C2636" s="74" t="s">
        <v>103</v>
      </c>
      <c r="D2636" s="73"/>
      <c r="F2636" s="94"/>
    </row>
    <row r="2637" spans="1:6" s="53" customFormat="1" ht="15" thickBot="1" x14ac:dyDescent="0.4">
      <c r="A2637" s="75" t="s">
        <v>104</v>
      </c>
      <c r="B2637" s="76" t="s">
        <v>81</v>
      </c>
      <c r="C2637" s="76" t="s">
        <v>105</v>
      </c>
      <c r="D2637" s="77" t="s">
        <v>84</v>
      </c>
      <c r="F2637" s="94"/>
    </row>
    <row r="2638" spans="1:6" s="53" customFormat="1" ht="14.5" customHeight="1" x14ac:dyDescent="0.35">
      <c r="A2638" s="222" t="s">
        <v>90</v>
      </c>
      <c r="B2638" s="78" t="s">
        <v>754</v>
      </c>
      <c r="C2638" s="79" t="s">
        <v>106</v>
      </c>
      <c r="D2638" s="80">
        <f>F2645</f>
        <v>11792000</v>
      </c>
      <c r="F2638" s="94"/>
    </row>
    <row r="2639" spans="1:6" s="53" customFormat="1" ht="21" thickBot="1" x14ac:dyDescent="0.5">
      <c r="A2639" s="223"/>
      <c r="B2639" s="71"/>
      <c r="C2639" s="71"/>
      <c r="D2639" s="73"/>
      <c r="F2639" s="94"/>
    </row>
    <row r="2640" spans="1:6" s="53" customFormat="1" ht="15" thickBot="1" x14ac:dyDescent="0.4">
      <c r="A2640" s="223"/>
      <c r="B2640" s="81" t="s">
        <v>81</v>
      </c>
      <c r="C2640" s="82" t="s">
        <v>107</v>
      </c>
      <c r="D2640" s="83" t="s">
        <v>108</v>
      </c>
      <c r="F2640" s="94"/>
    </row>
    <row r="2641" spans="1:7" s="87" customFormat="1" x14ac:dyDescent="0.35">
      <c r="A2641" s="223"/>
      <c r="B2641" s="84" t="str">
        <f>B2638</f>
        <v>27th June,2025</v>
      </c>
      <c r="C2641" s="85" t="s">
        <v>822</v>
      </c>
      <c r="D2641" s="86">
        <f>1850*2850</f>
        <v>5272500</v>
      </c>
      <c r="F2641" s="177"/>
    </row>
    <row r="2642" spans="1:7" s="53" customFormat="1" x14ac:dyDescent="0.35">
      <c r="A2642" s="223"/>
      <c r="B2642" s="88"/>
      <c r="C2642" s="89" t="s">
        <v>747</v>
      </c>
      <c r="D2642" s="90">
        <f>356*2700</f>
        <v>961200</v>
      </c>
      <c r="F2642" s="94"/>
    </row>
    <row r="2643" spans="1:7" s="53" customFormat="1" x14ac:dyDescent="0.35">
      <c r="A2643" s="223"/>
      <c r="B2643" s="88" t="s">
        <v>109</v>
      </c>
      <c r="C2643" s="89" t="s">
        <v>110</v>
      </c>
      <c r="D2643" s="90">
        <v>1000000</v>
      </c>
      <c r="F2643" s="94"/>
    </row>
    <row r="2644" spans="1:7" s="53" customFormat="1" x14ac:dyDescent="0.35">
      <c r="A2644" s="223"/>
      <c r="B2644" s="88" t="s">
        <v>111</v>
      </c>
      <c r="C2644" s="89" t="s">
        <v>112</v>
      </c>
      <c r="D2644" s="90">
        <v>40000</v>
      </c>
      <c r="E2644" s="225" t="s">
        <v>113</v>
      </c>
      <c r="F2644" s="225"/>
    </row>
    <row r="2645" spans="1:7" s="53" customFormat="1" x14ac:dyDescent="0.35">
      <c r="A2645" s="223"/>
      <c r="B2645" s="88" t="s">
        <v>383</v>
      </c>
      <c r="C2645" s="89" t="s">
        <v>115</v>
      </c>
      <c r="D2645" s="90">
        <f>1700*128</f>
        <v>217600</v>
      </c>
      <c r="E2645" s="91" t="s">
        <v>116</v>
      </c>
      <c r="F2645" s="92">
        <f>4400*2680</f>
        <v>11792000</v>
      </c>
    </row>
    <row r="2646" spans="1:7" s="53" customFormat="1" x14ac:dyDescent="0.35">
      <c r="A2646" s="223"/>
      <c r="B2646" s="88"/>
      <c r="C2646" s="89" t="s">
        <v>117</v>
      </c>
      <c r="D2646" s="90">
        <f>6250*128</f>
        <v>800000</v>
      </c>
      <c r="E2646" s="93" t="s">
        <v>118</v>
      </c>
      <c r="F2646" s="94">
        <f>(2640*2680)+(1760*2680)</f>
        <v>11792000</v>
      </c>
    </row>
    <row r="2647" spans="1:7" s="53" customFormat="1" ht="15" thickBot="1" x14ac:dyDescent="0.4">
      <c r="A2647" s="223"/>
      <c r="B2647" s="88" t="s">
        <v>119</v>
      </c>
      <c r="C2647" s="89" t="s">
        <v>120</v>
      </c>
      <c r="D2647" s="95">
        <v>30000</v>
      </c>
      <c r="E2647" s="96" t="s">
        <v>121</v>
      </c>
      <c r="F2647" s="97">
        <f>F2645-F2646</f>
        <v>0</v>
      </c>
      <c r="G2647" s="98">
        <f>F2647/2680</f>
        <v>0</v>
      </c>
    </row>
    <row r="2648" spans="1:7" s="53" customFormat="1" ht="15" thickTop="1" x14ac:dyDescent="0.35">
      <c r="A2648" s="223"/>
      <c r="B2648" s="88"/>
      <c r="C2648" s="99" t="s">
        <v>123</v>
      </c>
      <c r="D2648" s="100">
        <v>15000</v>
      </c>
      <c r="F2648" s="94"/>
    </row>
    <row r="2649" spans="1:7" s="53" customFormat="1" x14ac:dyDescent="0.35">
      <c r="A2649" s="223"/>
      <c r="B2649" s="88" t="s">
        <v>752</v>
      </c>
      <c r="C2649" s="99" t="s">
        <v>126</v>
      </c>
      <c r="D2649" s="100">
        <v>30000</v>
      </c>
      <c r="E2649" s="91" t="s">
        <v>124</v>
      </c>
      <c r="F2649" s="92"/>
    </row>
    <row r="2650" spans="1:7" s="53" customFormat="1" x14ac:dyDescent="0.35">
      <c r="A2650" s="223"/>
      <c r="B2650" s="101"/>
      <c r="C2650" s="89" t="s">
        <v>122</v>
      </c>
      <c r="D2650" s="100">
        <v>75000</v>
      </c>
      <c r="E2650" s="102"/>
      <c r="F2650" s="103"/>
    </row>
    <row r="2651" spans="1:7" s="53" customFormat="1" x14ac:dyDescent="0.35">
      <c r="A2651" s="223"/>
      <c r="B2651" s="101"/>
      <c r="C2651" s="99"/>
      <c r="D2651" s="100"/>
      <c r="E2651" s="102" t="s">
        <v>127</v>
      </c>
      <c r="F2651" s="103"/>
    </row>
    <row r="2652" spans="1:7" s="53" customFormat="1" x14ac:dyDescent="0.35">
      <c r="A2652" s="223"/>
      <c r="B2652" s="101"/>
      <c r="C2652" s="89"/>
      <c r="D2652" s="90"/>
      <c r="E2652" s="102" t="s">
        <v>764</v>
      </c>
      <c r="F2652" s="103"/>
    </row>
    <row r="2653" spans="1:7" s="53" customFormat="1" ht="15" thickBot="1" x14ac:dyDescent="0.4">
      <c r="A2653" s="223"/>
      <c r="B2653" s="105"/>
      <c r="C2653" s="106"/>
      <c r="D2653" s="107"/>
      <c r="E2653" s="53" t="s">
        <v>1231</v>
      </c>
      <c r="F2653" s="94"/>
    </row>
    <row r="2654" spans="1:7" s="53" customFormat="1" ht="15" thickBot="1" x14ac:dyDescent="0.4">
      <c r="A2654" s="223"/>
      <c r="B2654" s="108"/>
      <c r="C2654" s="109" t="s">
        <v>129</v>
      </c>
      <c r="D2654" s="110">
        <f>SUM(D2641:D2653)</f>
        <v>8441300</v>
      </c>
      <c r="F2654" s="94"/>
    </row>
    <row r="2655" spans="1:7" s="53" customFormat="1" ht="15.5" thickTop="1" thickBot="1" x14ac:dyDescent="0.4">
      <c r="A2655" s="224"/>
      <c r="B2655" s="226"/>
      <c r="C2655" s="226"/>
      <c r="D2655" s="226"/>
      <c r="F2655" s="94"/>
    </row>
    <row r="2656" spans="1:7" s="53" customFormat="1" x14ac:dyDescent="0.35">
      <c r="B2656" s="87"/>
      <c r="C2656" s="53" t="s">
        <v>130</v>
      </c>
      <c r="D2656" s="111">
        <f>D2638-D2654</f>
        <v>3350700</v>
      </c>
      <c r="F2656" s="94"/>
    </row>
    <row r="2657" spans="1:6" s="53" customFormat="1" x14ac:dyDescent="0.35">
      <c r="B2657" s="87"/>
      <c r="D2657" s="111"/>
      <c r="F2657" s="94"/>
    </row>
    <row r="2658" spans="1:6" s="53" customFormat="1" x14ac:dyDescent="0.35">
      <c r="A2658" s="112"/>
      <c r="B2658" s="113"/>
      <c r="C2658" s="112"/>
      <c r="D2658" s="114"/>
      <c r="E2658" s="112"/>
      <c r="F2658" s="178"/>
    </row>
    <row r="2660" spans="1:6" s="53" customFormat="1" ht="23.5" x14ac:dyDescent="0.55000000000000004">
      <c r="B2660" s="227" t="s">
        <v>0</v>
      </c>
      <c r="C2660" s="227"/>
      <c r="D2660" s="227"/>
      <c r="E2660" s="70"/>
      <c r="F2660" s="176"/>
    </row>
    <row r="2661" spans="1:6" s="53" customFormat="1" ht="20.5" x14ac:dyDescent="0.45">
      <c r="B2661" s="71"/>
      <c r="C2661" s="72" t="s">
        <v>762</v>
      </c>
      <c r="D2661" s="73"/>
      <c r="F2661" s="94"/>
    </row>
    <row r="2662" spans="1:6" s="53" customFormat="1" ht="21" thickBot="1" x14ac:dyDescent="0.5">
      <c r="B2662" s="71" t="s">
        <v>401</v>
      </c>
      <c r="C2662" s="74" t="s">
        <v>103</v>
      </c>
      <c r="D2662" s="73"/>
      <c r="F2662" s="94"/>
    </row>
    <row r="2663" spans="1:6" s="53" customFormat="1" ht="15" thickBot="1" x14ac:dyDescent="0.4">
      <c r="A2663" s="75" t="s">
        <v>104</v>
      </c>
      <c r="B2663" s="76" t="s">
        <v>81</v>
      </c>
      <c r="C2663" s="76" t="s">
        <v>105</v>
      </c>
      <c r="D2663" s="77" t="s">
        <v>84</v>
      </c>
      <c r="F2663" s="94"/>
    </row>
    <row r="2664" spans="1:6" s="53" customFormat="1" ht="14.5" customHeight="1" x14ac:dyDescent="0.35">
      <c r="A2664" s="222" t="s">
        <v>90</v>
      </c>
      <c r="B2664" s="78" t="s">
        <v>754</v>
      </c>
      <c r="C2664" s="79" t="s">
        <v>106</v>
      </c>
      <c r="D2664" s="80">
        <f>F2671</f>
        <v>11792000</v>
      </c>
      <c r="F2664" s="94"/>
    </row>
    <row r="2665" spans="1:6" s="53" customFormat="1" ht="21" thickBot="1" x14ac:dyDescent="0.5">
      <c r="A2665" s="223"/>
      <c r="B2665" s="71"/>
      <c r="C2665" s="71"/>
      <c r="D2665" s="73"/>
      <c r="F2665" s="94"/>
    </row>
    <row r="2666" spans="1:6" s="53" customFormat="1" ht="15" thickBot="1" x14ac:dyDescent="0.4">
      <c r="A2666" s="223"/>
      <c r="B2666" s="81" t="s">
        <v>81</v>
      </c>
      <c r="C2666" s="82" t="s">
        <v>107</v>
      </c>
      <c r="D2666" s="83" t="s">
        <v>108</v>
      </c>
      <c r="F2666" s="94"/>
    </row>
    <row r="2667" spans="1:6" s="87" customFormat="1" x14ac:dyDescent="0.35">
      <c r="A2667" s="223"/>
      <c r="B2667" s="84" t="str">
        <f>B2664</f>
        <v>27th June,2025</v>
      </c>
      <c r="C2667" s="85" t="s">
        <v>941</v>
      </c>
      <c r="D2667" s="86">
        <f>1900*2850</f>
        <v>5415000</v>
      </c>
      <c r="F2667" s="177"/>
    </row>
    <row r="2668" spans="1:6" s="53" customFormat="1" x14ac:dyDescent="0.35">
      <c r="A2668" s="223"/>
      <c r="B2668" s="88"/>
      <c r="C2668" s="89" t="s">
        <v>747</v>
      </c>
      <c r="D2668" s="90">
        <f>356*2700</f>
        <v>961200</v>
      </c>
      <c r="F2668" s="94"/>
    </row>
    <row r="2669" spans="1:6" s="53" customFormat="1" x14ac:dyDescent="0.35">
      <c r="A2669" s="223"/>
      <c r="B2669" s="88" t="s">
        <v>109</v>
      </c>
      <c r="C2669" s="89" t="s">
        <v>110</v>
      </c>
      <c r="D2669" s="90">
        <v>1000000</v>
      </c>
      <c r="F2669" s="94"/>
    </row>
    <row r="2670" spans="1:6" s="53" customFormat="1" x14ac:dyDescent="0.35">
      <c r="A2670" s="223"/>
      <c r="B2670" s="88" t="s">
        <v>111</v>
      </c>
      <c r="C2670" s="89" t="s">
        <v>112</v>
      </c>
      <c r="D2670" s="90">
        <v>40000</v>
      </c>
      <c r="E2670" s="225" t="s">
        <v>113</v>
      </c>
      <c r="F2670" s="225"/>
    </row>
    <row r="2671" spans="1:6" s="53" customFormat="1" x14ac:dyDescent="0.35">
      <c r="A2671" s="223"/>
      <c r="B2671" s="88" t="s">
        <v>383</v>
      </c>
      <c r="C2671" s="89" t="s">
        <v>115</v>
      </c>
      <c r="D2671" s="90">
        <f>750*128</f>
        <v>96000</v>
      </c>
      <c r="E2671" s="91" t="s">
        <v>116</v>
      </c>
      <c r="F2671" s="92">
        <f>4400*2680</f>
        <v>11792000</v>
      </c>
    </row>
    <row r="2672" spans="1:6" s="53" customFormat="1" x14ac:dyDescent="0.35">
      <c r="A2672" s="223"/>
      <c r="B2672" s="88"/>
      <c r="C2672" s="89" t="s">
        <v>117</v>
      </c>
      <c r="D2672" s="90">
        <f>6250*128</f>
        <v>800000</v>
      </c>
      <c r="E2672" s="93" t="s">
        <v>118</v>
      </c>
      <c r="F2672" s="94">
        <f>(2640*2680)+(1760*2680)</f>
        <v>11792000</v>
      </c>
    </row>
    <row r="2673" spans="1:7" s="53" customFormat="1" ht="15" thickBot="1" x14ac:dyDescent="0.4">
      <c r="A2673" s="223"/>
      <c r="B2673" s="88" t="s">
        <v>119</v>
      </c>
      <c r="C2673" s="89" t="s">
        <v>120</v>
      </c>
      <c r="D2673" s="95">
        <v>30000</v>
      </c>
      <c r="E2673" s="96" t="s">
        <v>121</v>
      </c>
      <c r="F2673" s="97">
        <f>F2671-F2672</f>
        <v>0</v>
      </c>
      <c r="G2673" s="98">
        <f>F2673/2680</f>
        <v>0</v>
      </c>
    </row>
    <row r="2674" spans="1:7" s="53" customFormat="1" ht="15" thickTop="1" x14ac:dyDescent="0.35">
      <c r="A2674" s="223"/>
      <c r="B2674" s="88"/>
      <c r="C2674" s="99" t="s">
        <v>123</v>
      </c>
      <c r="D2674" s="100">
        <v>15000</v>
      </c>
      <c r="F2674" s="94"/>
    </row>
    <row r="2675" spans="1:7" s="53" customFormat="1" x14ac:dyDescent="0.35">
      <c r="A2675" s="223"/>
      <c r="B2675" s="88" t="s">
        <v>755</v>
      </c>
      <c r="C2675" s="99" t="s">
        <v>126</v>
      </c>
      <c r="D2675" s="100">
        <v>30000</v>
      </c>
      <c r="E2675" s="91" t="s">
        <v>124</v>
      </c>
      <c r="F2675" s="92"/>
    </row>
    <row r="2676" spans="1:7" s="53" customFormat="1" x14ac:dyDescent="0.35">
      <c r="A2676" s="223"/>
      <c r="B2676" s="101"/>
      <c r="C2676" s="89" t="s">
        <v>122</v>
      </c>
      <c r="D2676" s="100">
        <v>140000</v>
      </c>
      <c r="E2676" s="102"/>
      <c r="F2676" s="103"/>
    </row>
    <row r="2677" spans="1:7" s="53" customFormat="1" x14ac:dyDescent="0.35">
      <c r="A2677" s="223"/>
      <c r="B2677" s="101"/>
      <c r="C2677" s="99"/>
      <c r="D2677" s="100"/>
      <c r="E2677" s="102" t="s">
        <v>127</v>
      </c>
      <c r="F2677" s="103"/>
    </row>
    <row r="2678" spans="1:7" s="53" customFormat="1" x14ac:dyDescent="0.35">
      <c r="A2678" s="223"/>
      <c r="B2678" s="101"/>
      <c r="C2678" s="89"/>
      <c r="D2678" s="90"/>
      <c r="E2678" s="102" t="s">
        <v>764</v>
      </c>
      <c r="F2678" s="103"/>
    </row>
    <row r="2679" spans="1:7" s="53" customFormat="1" ht="15" thickBot="1" x14ac:dyDescent="0.4">
      <c r="A2679" s="223"/>
      <c r="B2679" s="105"/>
      <c r="C2679" s="106"/>
      <c r="D2679" s="107"/>
      <c r="E2679" s="53" t="s">
        <v>1165</v>
      </c>
      <c r="F2679" s="94"/>
    </row>
    <row r="2680" spans="1:7" s="53" customFormat="1" ht="15" thickBot="1" x14ac:dyDescent="0.4">
      <c r="A2680" s="223"/>
      <c r="B2680" s="108"/>
      <c r="C2680" s="109" t="s">
        <v>129</v>
      </c>
      <c r="D2680" s="110">
        <f>SUM(D2667:D2679)</f>
        <v>8527200</v>
      </c>
      <c r="F2680" s="94"/>
    </row>
    <row r="2681" spans="1:7" s="53" customFormat="1" ht="15.5" thickTop="1" thickBot="1" x14ac:dyDescent="0.4">
      <c r="A2681" s="224"/>
      <c r="B2681" s="226"/>
      <c r="C2681" s="226"/>
      <c r="D2681" s="226"/>
      <c r="F2681" s="94"/>
    </row>
    <row r="2682" spans="1:7" s="53" customFormat="1" x14ac:dyDescent="0.35">
      <c r="B2682" s="87"/>
      <c r="C2682" s="53" t="s">
        <v>130</v>
      </c>
      <c r="D2682" s="111">
        <f>D2664-D2680</f>
        <v>3264800</v>
      </c>
      <c r="F2682" s="94"/>
    </row>
    <row r="2683" spans="1:7" s="53" customFormat="1" x14ac:dyDescent="0.35">
      <c r="B2683" s="87"/>
      <c r="D2683" s="111"/>
      <c r="F2683" s="94"/>
    </row>
    <row r="2684" spans="1:7" s="53" customFormat="1" x14ac:dyDescent="0.35">
      <c r="A2684" s="112"/>
      <c r="B2684" s="113"/>
      <c r="C2684" s="112"/>
      <c r="D2684" s="114"/>
      <c r="E2684" s="112"/>
      <c r="F2684" s="178"/>
    </row>
    <row r="2686" spans="1:7" s="53" customFormat="1" ht="23.5" x14ac:dyDescent="0.55000000000000004">
      <c r="B2686" s="227" t="s">
        <v>0</v>
      </c>
      <c r="C2686" s="227"/>
      <c r="D2686" s="227"/>
      <c r="E2686" s="70"/>
      <c r="F2686" s="176"/>
    </row>
    <row r="2687" spans="1:7" s="53" customFormat="1" ht="20.5" x14ac:dyDescent="0.45">
      <c r="B2687" s="71"/>
      <c r="C2687" s="72" t="s">
        <v>768</v>
      </c>
      <c r="D2687" s="73"/>
      <c r="F2687" s="94"/>
    </row>
    <row r="2688" spans="1:7" s="53" customFormat="1" ht="21" thickBot="1" x14ac:dyDescent="0.5">
      <c r="B2688" s="71" t="s">
        <v>222</v>
      </c>
      <c r="C2688" s="74" t="s">
        <v>103</v>
      </c>
      <c r="D2688" s="73"/>
      <c r="F2688" s="94"/>
    </row>
    <row r="2689" spans="1:7" s="53" customFormat="1" ht="15" thickBot="1" x14ac:dyDescent="0.4">
      <c r="A2689" s="75" t="s">
        <v>104</v>
      </c>
      <c r="B2689" s="76" t="s">
        <v>81</v>
      </c>
      <c r="C2689" s="76" t="s">
        <v>105</v>
      </c>
      <c r="D2689" s="77" t="s">
        <v>84</v>
      </c>
      <c r="F2689" s="94"/>
    </row>
    <row r="2690" spans="1:7" s="53" customFormat="1" ht="14.5" customHeight="1" x14ac:dyDescent="0.35">
      <c r="A2690" s="222" t="s">
        <v>90</v>
      </c>
      <c r="B2690" s="78" t="s">
        <v>769</v>
      </c>
      <c r="C2690" s="79" t="s">
        <v>106</v>
      </c>
      <c r="D2690" s="80">
        <f>F2697</f>
        <v>11792000</v>
      </c>
      <c r="F2690" s="94"/>
    </row>
    <row r="2691" spans="1:7" s="53" customFormat="1" ht="21" thickBot="1" x14ac:dyDescent="0.5">
      <c r="A2691" s="223"/>
      <c r="B2691" s="71"/>
      <c r="C2691" s="71"/>
      <c r="D2691" s="73"/>
      <c r="F2691" s="94"/>
    </row>
    <row r="2692" spans="1:7" s="53" customFormat="1" ht="15" thickBot="1" x14ac:dyDescent="0.4">
      <c r="A2692" s="223"/>
      <c r="B2692" s="81" t="s">
        <v>81</v>
      </c>
      <c r="C2692" s="82" t="s">
        <v>107</v>
      </c>
      <c r="D2692" s="83" t="s">
        <v>108</v>
      </c>
      <c r="F2692" s="94"/>
    </row>
    <row r="2693" spans="1:7" s="87" customFormat="1" x14ac:dyDescent="0.35">
      <c r="A2693" s="223"/>
      <c r="B2693" s="84" t="str">
        <f>B2690</f>
        <v>30th June,2025</v>
      </c>
      <c r="C2693" s="85" t="s">
        <v>867</v>
      </c>
      <c r="D2693" s="86">
        <f>1800*2850</f>
        <v>5130000</v>
      </c>
      <c r="F2693" s="177"/>
    </row>
    <row r="2694" spans="1:7" s="53" customFormat="1" x14ac:dyDescent="0.35">
      <c r="A2694" s="223"/>
      <c r="B2694" s="88"/>
      <c r="C2694" s="89" t="s">
        <v>388</v>
      </c>
      <c r="D2694" s="90">
        <f>356*2650</f>
        <v>943400</v>
      </c>
      <c r="F2694" s="94"/>
    </row>
    <row r="2695" spans="1:7" s="53" customFormat="1" x14ac:dyDescent="0.35">
      <c r="A2695" s="223"/>
      <c r="B2695" s="88" t="s">
        <v>109</v>
      </c>
      <c r="C2695" s="89" t="s">
        <v>110</v>
      </c>
      <c r="D2695" s="90">
        <v>1000000</v>
      </c>
      <c r="F2695" s="94"/>
    </row>
    <row r="2696" spans="1:7" s="53" customFormat="1" x14ac:dyDescent="0.35">
      <c r="A2696" s="223"/>
      <c r="B2696" s="88" t="s">
        <v>111</v>
      </c>
      <c r="C2696" s="89" t="s">
        <v>112</v>
      </c>
      <c r="D2696" s="90">
        <v>40000</v>
      </c>
      <c r="E2696" s="225" t="s">
        <v>113</v>
      </c>
      <c r="F2696" s="225"/>
    </row>
    <row r="2697" spans="1:7" s="53" customFormat="1" x14ac:dyDescent="0.35">
      <c r="A2697" s="223"/>
      <c r="B2697" s="88" t="s">
        <v>415</v>
      </c>
      <c r="C2697" s="89" t="s">
        <v>115</v>
      </c>
      <c r="D2697" s="90">
        <f>250*128</f>
        <v>32000</v>
      </c>
      <c r="E2697" s="91" t="s">
        <v>116</v>
      </c>
      <c r="F2697" s="92">
        <f>4400*2680</f>
        <v>11792000</v>
      </c>
    </row>
    <row r="2698" spans="1:7" s="53" customFormat="1" x14ac:dyDescent="0.35">
      <c r="A2698" s="223"/>
      <c r="B2698" s="88"/>
      <c r="C2698" s="89" t="s">
        <v>117</v>
      </c>
      <c r="D2698" s="90">
        <f>3400*128</f>
        <v>435200</v>
      </c>
      <c r="E2698" s="93" t="s">
        <v>118</v>
      </c>
      <c r="F2698" s="94">
        <f>(2640*2680)+(1760*2680)</f>
        <v>11792000</v>
      </c>
    </row>
    <row r="2699" spans="1:7" s="53" customFormat="1" ht="15" thickBot="1" x14ac:dyDescent="0.4">
      <c r="A2699" s="223"/>
      <c r="B2699" s="88" t="s">
        <v>119</v>
      </c>
      <c r="C2699" s="89" t="s">
        <v>120</v>
      </c>
      <c r="D2699" s="95">
        <v>30000</v>
      </c>
      <c r="E2699" s="96" t="s">
        <v>121</v>
      </c>
      <c r="F2699" s="97">
        <f>F2697-F2698</f>
        <v>0</v>
      </c>
      <c r="G2699" s="98">
        <f>F2699/2680</f>
        <v>0</v>
      </c>
    </row>
    <row r="2700" spans="1:7" s="53" customFormat="1" ht="15" thickTop="1" x14ac:dyDescent="0.35">
      <c r="A2700" s="223"/>
      <c r="B2700" s="88"/>
      <c r="C2700" s="99" t="s">
        <v>123</v>
      </c>
      <c r="D2700" s="100">
        <v>15000</v>
      </c>
      <c r="F2700" s="94"/>
    </row>
    <row r="2701" spans="1:7" s="53" customFormat="1" x14ac:dyDescent="0.35">
      <c r="A2701" s="223"/>
      <c r="B2701" s="88" t="s">
        <v>767</v>
      </c>
      <c r="C2701" s="99" t="s">
        <v>126</v>
      </c>
      <c r="D2701" s="100">
        <v>30000</v>
      </c>
      <c r="E2701" s="91" t="s">
        <v>124</v>
      </c>
      <c r="F2701" s="92"/>
    </row>
    <row r="2702" spans="1:7" s="53" customFormat="1" x14ac:dyDescent="0.35">
      <c r="A2702" s="223"/>
      <c r="B2702" s="101"/>
      <c r="C2702" s="89" t="s">
        <v>122</v>
      </c>
      <c r="D2702" s="100">
        <v>140000</v>
      </c>
      <c r="E2702" s="102"/>
      <c r="F2702" s="103"/>
    </row>
    <row r="2703" spans="1:7" s="53" customFormat="1" x14ac:dyDescent="0.35">
      <c r="A2703" s="223"/>
      <c r="B2703" s="101"/>
      <c r="C2703" s="99"/>
      <c r="D2703" s="100"/>
      <c r="E2703" s="102" t="s">
        <v>127</v>
      </c>
      <c r="F2703" s="103"/>
    </row>
    <row r="2704" spans="1:7" s="53" customFormat="1" x14ac:dyDescent="0.35">
      <c r="A2704" s="223"/>
      <c r="B2704" s="101"/>
      <c r="C2704" s="89"/>
      <c r="D2704" s="90"/>
      <c r="E2704" s="102" t="s">
        <v>784</v>
      </c>
      <c r="F2704" s="103"/>
    </row>
    <row r="2705" spans="1:6" s="53" customFormat="1" ht="15" thickBot="1" x14ac:dyDescent="0.4">
      <c r="A2705" s="223"/>
      <c r="B2705" s="105"/>
      <c r="C2705" s="106"/>
      <c r="D2705" s="107"/>
      <c r="E2705" s="53" t="s">
        <v>1067</v>
      </c>
      <c r="F2705" s="94"/>
    </row>
    <row r="2706" spans="1:6" s="53" customFormat="1" ht="15" thickBot="1" x14ac:dyDescent="0.4">
      <c r="A2706" s="223"/>
      <c r="B2706" s="108"/>
      <c r="C2706" s="109" t="s">
        <v>129</v>
      </c>
      <c r="D2706" s="110">
        <f>SUM(D2693:D2705)</f>
        <v>7795600</v>
      </c>
      <c r="F2706" s="94"/>
    </row>
    <row r="2707" spans="1:6" s="53" customFormat="1" ht="15.5" thickTop="1" thickBot="1" x14ac:dyDescent="0.4">
      <c r="A2707" s="224"/>
      <c r="B2707" s="226"/>
      <c r="C2707" s="226"/>
      <c r="D2707" s="226"/>
      <c r="F2707" s="94"/>
    </row>
    <row r="2708" spans="1:6" s="53" customFormat="1" x14ac:dyDescent="0.35">
      <c r="B2708" s="87"/>
      <c r="C2708" s="53" t="s">
        <v>130</v>
      </c>
      <c r="D2708" s="111">
        <f>D2690-D2706</f>
        <v>3996400</v>
      </c>
      <c r="F2708" s="94"/>
    </row>
    <row r="2709" spans="1:6" s="53" customFormat="1" x14ac:dyDescent="0.35">
      <c r="B2709" s="87"/>
      <c r="D2709" s="111"/>
      <c r="F2709" s="94"/>
    </row>
    <row r="2710" spans="1:6" s="53" customFormat="1" x14ac:dyDescent="0.35">
      <c r="A2710" s="112"/>
      <c r="B2710" s="113"/>
      <c r="C2710" s="112"/>
      <c r="D2710" s="114"/>
      <c r="E2710" s="112"/>
      <c r="F2710" s="178"/>
    </row>
    <row r="2712" spans="1:6" s="53" customFormat="1" ht="23.5" x14ac:dyDescent="0.55000000000000004">
      <c r="B2712" s="227" t="s">
        <v>0</v>
      </c>
      <c r="C2712" s="227"/>
      <c r="D2712" s="227"/>
      <c r="E2712" s="70"/>
      <c r="F2712" s="176"/>
    </row>
    <row r="2713" spans="1:6" s="53" customFormat="1" ht="20.5" x14ac:dyDescent="0.45">
      <c r="B2713" s="71"/>
      <c r="C2713" s="72" t="s">
        <v>772</v>
      </c>
      <c r="D2713" s="73"/>
      <c r="F2713" s="94"/>
    </row>
    <row r="2714" spans="1:6" s="53" customFormat="1" ht="21" thickBot="1" x14ac:dyDescent="0.5">
      <c r="B2714" s="71" t="s">
        <v>518</v>
      </c>
      <c r="C2714" s="74" t="s">
        <v>103</v>
      </c>
      <c r="D2714" s="73"/>
      <c r="F2714" s="94"/>
    </row>
    <row r="2715" spans="1:6" s="53" customFormat="1" ht="15" thickBot="1" x14ac:dyDescent="0.4">
      <c r="A2715" s="75" t="s">
        <v>104</v>
      </c>
      <c r="B2715" s="76" t="s">
        <v>81</v>
      </c>
      <c r="C2715" s="76" t="s">
        <v>105</v>
      </c>
      <c r="D2715" s="77" t="s">
        <v>84</v>
      </c>
      <c r="F2715" s="94"/>
    </row>
    <row r="2716" spans="1:6" s="53" customFormat="1" ht="14.5" customHeight="1" x14ac:dyDescent="0.35">
      <c r="A2716" s="222" t="s">
        <v>90</v>
      </c>
      <c r="B2716" s="78" t="s">
        <v>769</v>
      </c>
      <c r="C2716" s="79" t="s">
        <v>187</v>
      </c>
      <c r="D2716" s="80">
        <f>F2723</f>
        <v>11070000</v>
      </c>
      <c r="F2716" s="94"/>
    </row>
    <row r="2717" spans="1:6" s="53" customFormat="1" ht="21" thickBot="1" x14ac:dyDescent="0.5">
      <c r="A2717" s="223"/>
      <c r="B2717" s="71"/>
      <c r="C2717" s="71"/>
      <c r="D2717" s="73"/>
      <c r="F2717" s="94"/>
    </row>
    <row r="2718" spans="1:6" s="53" customFormat="1" ht="15" thickBot="1" x14ac:dyDescent="0.4">
      <c r="A2718" s="223"/>
      <c r="B2718" s="81" t="s">
        <v>81</v>
      </c>
      <c r="C2718" s="82" t="s">
        <v>107</v>
      </c>
      <c r="D2718" s="83" t="s">
        <v>108</v>
      </c>
      <c r="F2718" s="94"/>
    </row>
    <row r="2719" spans="1:6" s="87" customFormat="1" x14ac:dyDescent="0.35">
      <c r="A2719" s="223"/>
      <c r="B2719" s="84" t="str">
        <f>B2716</f>
        <v>30th June,2025</v>
      </c>
      <c r="C2719" s="85" t="s">
        <v>867</v>
      </c>
      <c r="D2719" s="86">
        <f>1800*2850</f>
        <v>5130000</v>
      </c>
      <c r="F2719" s="177"/>
    </row>
    <row r="2720" spans="1:6" s="53" customFormat="1" x14ac:dyDescent="0.35">
      <c r="A2720" s="223"/>
      <c r="B2720" s="88"/>
      <c r="C2720" s="89" t="s">
        <v>188</v>
      </c>
      <c r="D2720" s="90">
        <f>325*2650</f>
        <v>861250</v>
      </c>
      <c r="F2720" s="94"/>
    </row>
    <row r="2721" spans="1:7" s="53" customFormat="1" x14ac:dyDescent="0.35">
      <c r="A2721" s="223"/>
      <c r="B2721" s="88" t="s">
        <v>109</v>
      </c>
      <c r="C2721" s="89" t="s">
        <v>110</v>
      </c>
      <c r="D2721" s="90">
        <v>1000000</v>
      </c>
      <c r="F2721" s="94"/>
    </row>
    <row r="2722" spans="1:7" s="53" customFormat="1" x14ac:dyDescent="0.35">
      <c r="A2722" s="223"/>
      <c r="B2722" s="88" t="s">
        <v>111</v>
      </c>
      <c r="C2722" s="89" t="s">
        <v>112</v>
      </c>
      <c r="D2722" s="90">
        <v>40000</v>
      </c>
      <c r="E2722" s="225" t="s">
        <v>113</v>
      </c>
      <c r="F2722" s="225"/>
    </row>
    <row r="2723" spans="1:7" s="53" customFormat="1" x14ac:dyDescent="0.35">
      <c r="A2723" s="223"/>
      <c r="B2723" s="88" t="s">
        <v>182</v>
      </c>
      <c r="C2723" s="89" t="s">
        <v>115</v>
      </c>
      <c r="D2723" s="90">
        <f>500*120</f>
        <v>60000</v>
      </c>
      <c r="E2723" s="91" t="s">
        <v>116</v>
      </c>
      <c r="F2723" s="92">
        <f>4100*2700</f>
        <v>11070000</v>
      </c>
    </row>
    <row r="2724" spans="1:7" s="53" customFormat="1" x14ac:dyDescent="0.35">
      <c r="A2724" s="223"/>
      <c r="B2724" s="88"/>
      <c r="C2724" s="89" t="s">
        <v>117</v>
      </c>
      <c r="D2724" s="90">
        <f>2500*120</f>
        <v>300000</v>
      </c>
      <c r="E2724" s="93" t="s">
        <v>118</v>
      </c>
      <c r="F2724" s="94">
        <f>4100*2700</f>
        <v>11070000</v>
      </c>
    </row>
    <row r="2725" spans="1:7" s="53" customFormat="1" ht="15" thickBot="1" x14ac:dyDescent="0.4">
      <c r="A2725" s="223"/>
      <c r="B2725" s="88" t="s">
        <v>119</v>
      </c>
      <c r="C2725" s="89" t="s">
        <v>120</v>
      </c>
      <c r="D2725" s="95">
        <v>30000</v>
      </c>
      <c r="E2725" s="96" t="s">
        <v>121</v>
      </c>
      <c r="F2725" s="97">
        <f>F2723-F2724</f>
        <v>0</v>
      </c>
      <c r="G2725" s="98">
        <f>F2725/2700</f>
        <v>0</v>
      </c>
    </row>
    <row r="2726" spans="1:7" s="53" customFormat="1" ht="15" thickTop="1" x14ac:dyDescent="0.35">
      <c r="A2726" s="223"/>
      <c r="B2726" s="88"/>
      <c r="C2726" s="89" t="s">
        <v>122</v>
      </c>
      <c r="D2726" s="90">
        <v>140000</v>
      </c>
      <c r="F2726" s="94"/>
    </row>
    <row r="2727" spans="1:7" s="53" customFormat="1" x14ac:dyDescent="0.35">
      <c r="A2727" s="223"/>
      <c r="B2727" s="88" t="s">
        <v>771</v>
      </c>
      <c r="C2727" s="99" t="s">
        <v>123</v>
      </c>
      <c r="D2727" s="90">
        <v>15000</v>
      </c>
      <c r="E2727" s="91" t="s">
        <v>124</v>
      </c>
      <c r="F2727" s="92"/>
    </row>
    <row r="2728" spans="1:7" s="53" customFormat="1" x14ac:dyDescent="0.35">
      <c r="A2728" s="223"/>
      <c r="B2728" s="101"/>
      <c r="C2728" s="99" t="s">
        <v>125</v>
      </c>
      <c r="D2728" s="100">
        <v>10000</v>
      </c>
      <c r="E2728" s="102"/>
      <c r="F2728" s="103"/>
    </row>
    <row r="2729" spans="1:7" s="53" customFormat="1" x14ac:dyDescent="0.35">
      <c r="A2729" s="223"/>
      <c r="B2729" s="101"/>
      <c r="C2729" s="99" t="s">
        <v>126</v>
      </c>
      <c r="D2729" s="100">
        <v>30000</v>
      </c>
      <c r="E2729" s="102" t="s">
        <v>127</v>
      </c>
      <c r="F2729" s="103"/>
    </row>
    <row r="2730" spans="1:7" s="53" customFormat="1" x14ac:dyDescent="0.35">
      <c r="A2730" s="223"/>
      <c r="B2730" s="101"/>
      <c r="C2730" s="89" t="s">
        <v>265</v>
      </c>
      <c r="D2730" s="104">
        <f>902*123</f>
        <v>110946</v>
      </c>
      <c r="E2730" s="102" t="s">
        <v>1107</v>
      </c>
      <c r="F2730" s="103"/>
    </row>
    <row r="2731" spans="1:7" s="53" customFormat="1" ht="15" thickBot="1" x14ac:dyDescent="0.4">
      <c r="A2731" s="223"/>
      <c r="B2731" s="105"/>
      <c r="C2731" s="106"/>
      <c r="D2731" s="107"/>
      <c r="F2731" s="94"/>
    </row>
    <row r="2732" spans="1:7" s="53" customFormat="1" ht="15" thickBot="1" x14ac:dyDescent="0.4">
      <c r="A2732" s="223"/>
      <c r="B2732" s="108"/>
      <c r="C2732" s="109" t="s">
        <v>129</v>
      </c>
      <c r="D2732" s="110">
        <f>SUM(D2719:D2731)</f>
        <v>7727196</v>
      </c>
      <c r="F2732" s="94"/>
    </row>
    <row r="2733" spans="1:7" s="53" customFormat="1" ht="15.5" thickTop="1" thickBot="1" x14ac:dyDescent="0.4">
      <c r="A2733" s="224"/>
      <c r="B2733" s="226"/>
      <c r="C2733" s="226"/>
      <c r="D2733" s="226"/>
      <c r="F2733" s="94"/>
    </row>
    <row r="2734" spans="1:7" s="53" customFormat="1" x14ac:dyDescent="0.35">
      <c r="B2734" s="87"/>
      <c r="C2734" s="53" t="s">
        <v>130</v>
      </c>
      <c r="D2734" s="111">
        <f>D2716-D2732</f>
        <v>3342804</v>
      </c>
      <c r="F2734" s="94"/>
    </row>
    <row r="2735" spans="1:7" s="53" customFormat="1" x14ac:dyDescent="0.35">
      <c r="B2735" s="87"/>
      <c r="D2735" s="111"/>
      <c r="F2735" s="94"/>
    </row>
    <row r="2736" spans="1:7" s="53" customFormat="1" x14ac:dyDescent="0.35">
      <c r="A2736" s="112"/>
      <c r="B2736" s="113"/>
      <c r="C2736" s="112"/>
      <c r="D2736" s="114"/>
      <c r="E2736" s="112"/>
      <c r="F2736" s="178"/>
    </row>
    <row r="2738" spans="1:7" s="53" customFormat="1" ht="23.5" x14ac:dyDescent="0.55000000000000004">
      <c r="B2738" s="227" t="s">
        <v>0</v>
      </c>
      <c r="C2738" s="227"/>
      <c r="D2738" s="227"/>
      <c r="E2738" s="70"/>
      <c r="F2738" s="176"/>
    </row>
    <row r="2739" spans="1:7" s="53" customFormat="1" ht="20.5" x14ac:dyDescent="0.45">
      <c r="B2739" s="71"/>
      <c r="C2739" s="72" t="s">
        <v>802</v>
      </c>
      <c r="D2739" s="73"/>
      <c r="F2739" s="94"/>
    </row>
    <row r="2740" spans="1:7" s="53" customFormat="1" ht="21" thickBot="1" x14ac:dyDescent="0.5">
      <c r="B2740" s="71" t="s">
        <v>334</v>
      </c>
      <c r="C2740" s="74" t="s">
        <v>103</v>
      </c>
      <c r="D2740" s="73"/>
      <c r="F2740" s="94"/>
    </row>
    <row r="2741" spans="1:7" s="53" customFormat="1" ht="15" thickBot="1" x14ac:dyDescent="0.4">
      <c r="A2741" s="75" t="s">
        <v>104</v>
      </c>
      <c r="B2741" s="76" t="s">
        <v>81</v>
      </c>
      <c r="C2741" s="76" t="s">
        <v>105</v>
      </c>
      <c r="D2741" s="77" t="s">
        <v>84</v>
      </c>
      <c r="F2741" s="94"/>
    </row>
    <row r="2742" spans="1:7" s="53" customFormat="1" ht="14.5" customHeight="1" x14ac:dyDescent="0.35">
      <c r="A2742" s="222" t="s">
        <v>91</v>
      </c>
      <c r="B2742" s="78" t="s">
        <v>803</v>
      </c>
      <c r="C2742" s="79" t="s">
        <v>106</v>
      </c>
      <c r="D2742" s="80">
        <f>F2749</f>
        <v>11256000</v>
      </c>
      <c r="F2742" s="94"/>
    </row>
    <row r="2743" spans="1:7" s="53" customFormat="1" ht="21" thickBot="1" x14ac:dyDescent="0.5">
      <c r="A2743" s="223"/>
      <c r="B2743" s="71"/>
      <c r="C2743" s="71"/>
      <c r="D2743" s="73"/>
      <c r="F2743" s="94"/>
    </row>
    <row r="2744" spans="1:7" s="53" customFormat="1" ht="15" thickBot="1" x14ac:dyDescent="0.4">
      <c r="A2744" s="223"/>
      <c r="B2744" s="81" t="s">
        <v>81</v>
      </c>
      <c r="C2744" s="82" t="s">
        <v>107</v>
      </c>
      <c r="D2744" s="83" t="s">
        <v>108</v>
      </c>
      <c r="F2744" s="94"/>
    </row>
    <row r="2745" spans="1:7" s="87" customFormat="1" x14ac:dyDescent="0.35">
      <c r="A2745" s="223"/>
      <c r="B2745" s="84" t="str">
        <f>B2742</f>
        <v>05th July,2025</v>
      </c>
      <c r="C2745" s="85" t="s">
        <v>787</v>
      </c>
      <c r="D2745" s="86"/>
      <c r="F2745" s="177"/>
    </row>
    <row r="2746" spans="1:7" s="53" customFormat="1" x14ac:dyDescent="0.35">
      <c r="A2746" s="223"/>
      <c r="B2746" s="88"/>
      <c r="C2746" s="89" t="s">
        <v>575</v>
      </c>
      <c r="D2746" s="90">
        <f>333*2650</f>
        <v>882450</v>
      </c>
      <c r="F2746" s="94"/>
    </row>
    <row r="2747" spans="1:7" s="53" customFormat="1" x14ac:dyDescent="0.35">
      <c r="A2747" s="223"/>
      <c r="B2747" s="88" t="s">
        <v>109</v>
      </c>
      <c r="C2747" s="89" t="s">
        <v>110</v>
      </c>
      <c r="D2747" s="90">
        <v>1000000</v>
      </c>
      <c r="F2747" s="94"/>
    </row>
    <row r="2748" spans="1:7" s="53" customFormat="1" x14ac:dyDescent="0.35">
      <c r="A2748" s="223"/>
      <c r="B2748" s="88" t="s">
        <v>111</v>
      </c>
      <c r="C2748" s="89" t="s">
        <v>112</v>
      </c>
      <c r="D2748" s="90">
        <v>40000</v>
      </c>
      <c r="E2748" s="225" t="s">
        <v>113</v>
      </c>
      <c r="F2748" s="225"/>
    </row>
    <row r="2749" spans="1:7" s="53" customFormat="1" x14ac:dyDescent="0.35">
      <c r="A2749" s="223"/>
      <c r="B2749" s="88" t="s">
        <v>564</v>
      </c>
      <c r="C2749" s="89" t="s">
        <v>115</v>
      </c>
      <c r="D2749" s="90">
        <f>500*123</f>
        <v>61500</v>
      </c>
      <c r="E2749" s="91" t="s">
        <v>116</v>
      </c>
      <c r="F2749" s="92">
        <f>(4200*2680)</f>
        <v>11256000</v>
      </c>
    </row>
    <row r="2750" spans="1:7" s="53" customFormat="1" x14ac:dyDescent="0.35">
      <c r="A2750" s="223"/>
      <c r="B2750" s="88"/>
      <c r="C2750" s="89" t="s">
        <v>117</v>
      </c>
      <c r="D2750" s="90">
        <f>3100*123</f>
        <v>381300</v>
      </c>
      <c r="E2750" s="93" t="s">
        <v>118</v>
      </c>
      <c r="F2750" s="94">
        <f>(2520*2680)+(1680*2680)</f>
        <v>11256000</v>
      </c>
    </row>
    <row r="2751" spans="1:7" s="53" customFormat="1" ht="15" thickBot="1" x14ac:dyDescent="0.4">
      <c r="A2751" s="223"/>
      <c r="B2751" s="88" t="s">
        <v>119</v>
      </c>
      <c r="C2751" s="89" t="s">
        <v>120</v>
      </c>
      <c r="D2751" s="95">
        <v>30000</v>
      </c>
      <c r="E2751" s="96" t="s">
        <v>121</v>
      </c>
      <c r="F2751" s="97">
        <f>F2749-F2750</f>
        <v>0</v>
      </c>
      <c r="G2751" s="98">
        <f>F2751/2680</f>
        <v>0</v>
      </c>
    </row>
    <row r="2752" spans="1:7" s="53" customFormat="1" ht="15" thickTop="1" x14ac:dyDescent="0.35">
      <c r="A2752" s="223"/>
      <c r="B2752" s="88"/>
      <c r="C2752" s="89" t="s">
        <v>122</v>
      </c>
      <c r="D2752" s="90">
        <v>140000</v>
      </c>
      <c r="F2752" s="94"/>
    </row>
    <row r="2753" spans="1:6" s="53" customFormat="1" x14ac:dyDescent="0.35">
      <c r="A2753" s="223"/>
      <c r="B2753" s="88" t="s">
        <v>801</v>
      </c>
      <c r="C2753" s="99" t="s">
        <v>123</v>
      </c>
      <c r="D2753" s="90">
        <v>15000</v>
      </c>
      <c r="E2753" s="91" t="s">
        <v>124</v>
      </c>
      <c r="F2753" s="92"/>
    </row>
    <row r="2754" spans="1:6" s="53" customFormat="1" x14ac:dyDescent="0.35">
      <c r="A2754" s="223"/>
      <c r="B2754" s="101"/>
      <c r="C2754" s="99" t="s">
        <v>125</v>
      </c>
      <c r="D2754" s="100">
        <v>10000</v>
      </c>
      <c r="E2754" s="102"/>
      <c r="F2754" s="103"/>
    </row>
    <row r="2755" spans="1:6" s="53" customFormat="1" x14ac:dyDescent="0.35">
      <c r="A2755" s="223"/>
      <c r="B2755" s="101"/>
      <c r="C2755" s="99" t="s">
        <v>126</v>
      </c>
      <c r="D2755" s="100">
        <v>40000</v>
      </c>
      <c r="E2755" s="102" t="s">
        <v>127</v>
      </c>
      <c r="F2755" s="103"/>
    </row>
    <row r="2756" spans="1:6" s="53" customFormat="1" x14ac:dyDescent="0.35">
      <c r="A2756" s="223"/>
      <c r="B2756" s="101"/>
      <c r="C2756" s="89" t="s">
        <v>710</v>
      </c>
      <c r="D2756" s="104">
        <v>20000</v>
      </c>
      <c r="E2756" s="102" t="s">
        <v>826</v>
      </c>
      <c r="F2756" s="103"/>
    </row>
    <row r="2757" spans="1:6" s="53" customFormat="1" ht="15" thickBot="1" x14ac:dyDescent="0.4">
      <c r="A2757" s="223"/>
      <c r="B2757" s="105"/>
      <c r="C2757" s="106"/>
      <c r="D2757" s="107"/>
      <c r="E2757" s="53" t="s">
        <v>1165</v>
      </c>
      <c r="F2757" s="94"/>
    </row>
    <row r="2758" spans="1:6" s="53" customFormat="1" ht="15" thickBot="1" x14ac:dyDescent="0.4">
      <c r="A2758" s="223"/>
      <c r="B2758" s="108"/>
      <c r="C2758" s="109" t="s">
        <v>129</v>
      </c>
      <c r="D2758" s="110">
        <f>SUM(D2745:D2757)</f>
        <v>2620250</v>
      </c>
      <c r="F2758" s="94"/>
    </row>
    <row r="2759" spans="1:6" s="53" customFormat="1" ht="15.5" thickTop="1" thickBot="1" x14ac:dyDescent="0.4">
      <c r="A2759" s="224"/>
      <c r="B2759" s="226"/>
      <c r="C2759" s="226"/>
      <c r="D2759" s="226"/>
      <c r="F2759" s="94"/>
    </row>
    <row r="2760" spans="1:6" s="53" customFormat="1" x14ac:dyDescent="0.35">
      <c r="B2760" s="87"/>
      <c r="C2760" s="53" t="s">
        <v>130</v>
      </c>
      <c r="D2760" s="111">
        <f>D2742-D2758</f>
        <v>8635750</v>
      </c>
      <c r="F2760" s="94"/>
    </row>
    <row r="2761" spans="1:6" s="53" customFormat="1" x14ac:dyDescent="0.35">
      <c r="B2761" s="87"/>
      <c r="D2761" s="111"/>
      <c r="F2761" s="94"/>
    </row>
    <row r="2762" spans="1:6" s="53" customFormat="1" x14ac:dyDescent="0.35">
      <c r="A2762" s="112"/>
      <c r="B2762" s="113"/>
      <c r="C2762" s="112"/>
      <c r="D2762" s="114"/>
      <c r="E2762" s="112"/>
      <c r="F2762" s="178"/>
    </row>
    <row r="2764" spans="1:6" s="53" customFormat="1" ht="23.5" x14ac:dyDescent="0.55000000000000004">
      <c r="B2764" s="227" t="s">
        <v>0</v>
      </c>
      <c r="C2764" s="227"/>
      <c r="D2764" s="227"/>
      <c r="E2764" s="70"/>
      <c r="F2764" s="176"/>
    </row>
    <row r="2765" spans="1:6" s="53" customFormat="1" ht="20.5" x14ac:dyDescent="0.45">
      <c r="B2765" s="71"/>
      <c r="C2765" s="72" t="s">
        <v>793</v>
      </c>
      <c r="D2765" s="73"/>
      <c r="F2765" s="94"/>
    </row>
    <row r="2766" spans="1:6" s="53" customFormat="1" ht="21" thickBot="1" x14ac:dyDescent="0.5">
      <c r="B2766" s="71" t="s">
        <v>898</v>
      </c>
      <c r="C2766" s="74" t="s">
        <v>103</v>
      </c>
      <c r="D2766" s="73"/>
      <c r="F2766" s="94"/>
    </row>
    <row r="2767" spans="1:6" s="53" customFormat="1" ht="15" thickBot="1" x14ac:dyDescent="0.4">
      <c r="A2767" s="75" t="s">
        <v>104</v>
      </c>
      <c r="B2767" s="76" t="s">
        <v>81</v>
      </c>
      <c r="C2767" s="76" t="s">
        <v>105</v>
      </c>
      <c r="D2767" s="77" t="s">
        <v>84</v>
      </c>
      <c r="F2767" s="94"/>
    </row>
    <row r="2768" spans="1:6" s="53" customFormat="1" ht="14.5" customHeight="1" x14ac:dyDescent="0.35">
      <c r="A2768" s="222" t="s">
        <v>91</v>
      </c>
      <c r="B2768" s="78" t="s">
        <v>794</v>
      </c>
      <c r="C2768" s="79" t="s">
        <v>319</v>
      </c>
      <c r="D2768" s="80">
        <f>F2775</f>
        <v>10865000</v>
      </c>
      <c r="F2768" s="94"/>
    </row>
    <row r="2769" spans="1:7" s="53" customFormat="1" ht="21" thickBot="1" x14ac:dyDescent="0.5">
      <c r="A2769" s="223"/>
      <c r="B2769" s="71"/>
      <c r="C2769" s="71"/>
      <c r="D2769" s="73"/>
      <c r="F2769" s="94"/>
    </row>
    <row r="2770" spans="1:7" s="53" customFormat="1" ht="15" thickBot="1" x14ac:dyDescent="0.4">
      <c r="A2770" s="223"/>
      <c r="B2770" s="81" t="s">
        <v>81</v>
      </c>
      <c r="C2770" s="82" t="s">
        <v>107</v>
      </c>
      <c r="D2770" s="83" t="s">
        <v>108</v>
      </c>
      <c r="F2770" s="94"/>
    </row>
    <row r="2771" spans="1:7" s="87" customFormat="1" x14ac:dyDescent="0.35">
      <c r="A2771" s="223"/>
      <c r="B2771" s="84" t="str">
        <f>B2768</f>
        <v>04th July,2025</v>
      </c>
      <c r="C2771" s="85" t="s">
        <v>899</v>
      </c>
      <c r="D2771" s="86">
        <f>1850*2790</f>
        <v>5161500</v>
      </c>
      <c r="F2771" s="177"/>
    </row>
    <row r="2772" spans="1:7" s="53" customFormat="1" x14ac:dyDescent="0.35">
      <c r="A2772" s="223"/>
      <c r="B2772" s="88"/>
      <c r="C2772" s="89" t="s">
        <v>188</v>
      </c>
      <c r="D2772" s="90">
        <f>325*2650</f>
        <v>861250</v>
      </c>
      <c r="F2772" s="94"/>
    </row>
    <row r="2773" spans="1:7" s="53" customFormat="1" x14ac:dyDescent="0.35">
      <c r="A2773" s="223"/>
      <c r="B2773" s="88" t="s">
        <v>109</v>
      </c>
      <c r="C2773" s="89" t="s">
        <v>110</v>
      </c>
      <c r="D2773" s="90">
        <v>1000000</v>
      </c>
      <c r="F2773" s="94"/>
    </row>
    <row r="2774" spans="1:7" s="53" customFormat="1" x14ac:dyDescent="0.35">
      <c r="A2774" s="223"/>
      <c r="B2774" s="88" t="s">
        <v>111</v>
      </c>
      <c r="C2774" s="89" t="s">
        <v>112</v>
      </c>
      <c r="D2774" s="90">
        <v>40000</v>
      </c>
      <c r="E2774" s="225" t="s">
        <v>113</v>
      </c>
      <c r="F2774" s="225"/>
    </row>
    <row r="2775" spans="1:7" s="53" customFormat="1" x14ac:dyDescent="0.35">
      <c r="A2775" s="223"/>
      <c r="B2775" s="88" t="s">
        <v>182</v>
      </c>
      <c r="C2775" s="89" t="s">
        <v>115</v>
      </c>
      <c r="D2775" s="90">
        <f>350*120</f>
        <v>42000</v>
      </c>
      <c r="E2775" s="91" t="s">
        <v>116</v>
      </c>
      <c r="F2775" s="92">
        <f>4100*2650</f>
        <v>10865000</v>
      </c>
    </row>
    <row r="2776" spans="1:7" s="53" customFormat="1" x14ac:dyDescent="0.35">
      <c r="A2776" s="223"/>
      <c r="B2776" s="88"/>
      <c r="C2776" s="89" t="s">
        <v>117</v>
      </c>
      <c r="D2776" s="90">
        <f>2000*120</f>
        <v>240000</v>
      </c>
      <c r="E2776" s="93" t="s">
        <v>118</v>
      </c>
      <c r="F2776" s="94">
        <f>4100*2650</f>
        <v>10865000</v>
      </c>
    </row>
    <row r="2777" spans="1:7" s="53" customFormat="1" ht="15" thickBot="1" x14ac:dyDescent="0.4">
      <c r="A2777" s="223"/>
      <c r="B2777" s="88" t="s">
        <v>119</v>
      </c>
      <c r="C2777" s="89" t="s">
        <v>120</v>
      </c>
      <c r="D2777" s="95">
        <v>30000</v>
      </c>
      <c r="E2777" s="96" t="s">
        <v>121</v>
      </c>
      <c r="F2777" s="97">
        <f>F2775-F2776</f>
        <v>0</v>
      </c>
      <c r="G2777" s="98">
        <f>F2777/2650</f>
        <v>0</v>
      </c>
    </row>
    <row r="2778" spans="1:7" s="53" customFormat="1" ht="15" thickTop="1" x14ac:dyDescent="0.35">
      <c r="A2778" s="223"/>
      <c r="B2778" s="88"/>
      <c r="C2778" s="89" t="s">
        <v>122</v>
      </c>
      <c r="D2778" s="90">
        <v>140000</v>
      </c>
      <c r="F2778" s="94"/>
    </row>
    <row r="2779" spans="1:7" s="53" customFormat="1" x14ac:dyDescent="0.35">
      <c r="A2779" s="223"/>
      <c r="B2779" s="88" t="s">
        <v>797</v>
      </c>
      <c r="C2779" s="99" t="s">
        <v>123</v>
      </c>
      <c r="D2779" s="90">
        <v>15000</v>
      </c>
      <c r="E2779" s="91" t="s">
        <v>124</v>
      </c>
      <c r="F2779" s="92"/>
    </row>
    <row r="2780" spans="1:7" s="53" customFormat="1" x14ac:dyDescent="0.35">
      <c r="A2780" s="223"/>
      <c r="B2780" s="101"/>
      <c r="C2780" s="99" t="s">
        <v>125</v>
      </c>
      <c r="D2780" s="100">
        <v>10000</v>
      </c>
      <c r="E2780" s="102"/>
      <c r="F2780" s="103"/>
    </row>
    <row r="2781" spans="1:7" s="53" customFormat="1" x14ac:dyDescent="0.35">
      <c r="A2781" s="223"/>
      <c r="B2781" s="101"/>
      <c r="C2781" s="99" t="s">
        <v>126</v>
      </c>
      <c r="D2781" s="100">
        <v>30000</v>
      </c>
      <c r="E2781" s="102" t="s">
        <v>127</v>
      </c>
      <c r="F2781" s="103"/>
    </row>
    <row r="2782" spans="1:7" s="53" customFormat="1" x14ac:dyDescent="0.35">
      <c r="A2782" s="223"/>
      <c r="B2782" s="101"/>
      <c r="C2782" s="89"/>
      <c r="D2782" s="104"/>
      <c r="E2782" s="102" t="s">
        <v>1036</v>
      </c>
      <c r="F2782" s="103"/>
    </row>
    <row r="2783" spans="1:7" s="53" customFormat="1" ht="15" thickBot="1" x14ac:dyDescent="0.4">
      <c r="A2783" s="223"/>
      <c r="B2783" s="105"/>
      <c r="C2783" s="106"/>
      <c r="D2783" s="107"/>
      <c r="F2783" s="94"/>
    </row>
    <row r="2784" spans="1:7" s="53" customFormat="1" ht="15" thickBot="1" x14ac:dyDescent="0.4">
      <c r="A2784" s="223"/>
      <c r="B2784" s="108"/>
      <c r="C2784" s="109" t="s">
        <v>129</v>
      </c>
      <c r="D2784" s="110">
        <f>SUM(D2771:D2783)</f>
        <v>7569750</v>
      </c>
      <c r="F2784" s="94"/>
    </row>
    <row r="2785" spans="1:6" s="53" customFormat="1" ht="15.5" thickTop="1" thickBot="1" x14ac:dyDescent="0.4">
      <c r="A2785" s="224"/>
      <c r="B2785" s="226"/>
      <c r="C2785" s="226"/>
      <c r="D2785" s="226"/>
      <c r="F2785" s="94"/>
    </row>
    <row r="2786" spans="1:6" s="53" customFormat="1" x14ac:dyDescent="0.35">
      <c r="B2786" s="87"/>
      <c r="C2786" s="53" t="s">
        <v>130</v>
      </c>
      <c r="D2786" s="111">
        <f>D2768-D2784</f>
        <v>3295250</v>
      </c>
      <c r="F2786" s="94"/>
    </row>
    <row r="2787" spans="1:6" s="53" customFormat="1" x14ac:dyDescent="0.35">
      <c r="B2787" s="87"/>
      <c r="D2787" s="111"/>
      <c r="F2787" s="94"/>
    </row>
    <row r="2788" spans="1:6" s="53" customFormat="1" x14ac:dyDescent="0.35">
      <c r="A2788" s="112"/>
      <c r="B2788" s="113"/>
      <c r="C2788" s="112"/>
      <c r="D2788" s="114"/>
      <c r="E2788" s="112"/>
      <c r="F2788" s="178"/>
    </row>
    <row r="2790" spans="1:6" s="53" customFormat="1" ht="23.5" x14ac:dyDescent="0.55000000000000004">
      <c r="B2790" s="227" t="s">
        <v>0</v>
      </c>
      <c r="C2790" s="227"/>
      <c r="D2790" s="227"/>
      <c r="E2790" s="70"/>
      <c r="F2790" s="176"/>
    </row>
    <row r="2791" spans="1:6" s="53" customFormat="1" ht="20.5" x14ac:dyDescent="0.45">
      <c r="B2791" s="71"/>
      <c r="C2791" s="72" t="s">
        <v>800</v>
      </c>
      <c r="D2791" s="73"/>
      <c r="F2791" s="94"/>
    </row>
    <row r="2792" spans="1:6" s="53" customFormat="1" ht="21" thickBot="1" x14ac:dyDescent="0.5">
      <c r="B2792" s="71" t="s">
        <v>227</v>
      </c>
      <c r="C2792" s="74" t="s">
        <v>103</v>
      </c>
      <c r="D2792" s="73"/>
      <c r="F2792" s="94"/>
    </row>
    <row r="2793" spans="1:6" s="53" customFormat="1" ht="15" thickBot="1" x14ac:dyDescent="0.4">
      <c r="A2793" s="75" t="s">
        <v>104</v>
      </c>
      <c r="B2793" s="76" t="s">
        <v>81</v>
      </c>
      <c r="C2793" s="76" t="s">
        <v>105</v>
      </c>
      <c r="D2793" s="77" t="s">
        <v>84</v>
      </c>
      <c r="F2793" s="94"/>
    </row>
    <row r="2794" spans="1:6" s="53" customFormat="1" ht="14.5" customHeight="1" x14ac:dyDescent="0.35">
      <c r="A2794" s="222" t="s">
        <v>91</v>
      </c>
      <c r="B2794" s="78" t="s">
        <v>794</v>
      </c>
      <c r="C2794" s="79" t="s">
        <v>106</v>
      </c>
      <c r="D2794" s="80">
        <f>F2801</f>
        <v>11792000</v>
      </c>
      <c r="F2794" s="94"/>
    </row>
    <row r="2795" spans="1:6" s="53" customFormat="1" ht="21" thickBot="1" x14ac:dyDescent="0.5">
      <c r="A2795" s="223"/>
      <c r="B2795" s="71"/>
      <c r="C2795" s="71"/>
      <c r="D2795" s="73"/>
      <c r="F2795" s="94"/>
    </row>
    <row r="2796" spans="1:6" s="53" customFormat="1" ht="15" thickBot="1" x14ac:dyDescent="0.4">
      <c r="A2796" s="223"/>
      <c r="B2796" s="81" t="s">
        <v>81</v>
      </c>
      <c r="C2796" s="82" t="s">
        <v>107</v>
      </c>
      <c r="D2796" s="83" t="s">
        <v>108</v>
      </c>
      <c r="F2796" s="94"/>
    </row>
    <row r="2797" spans="1:6" s="87" customFormat="1" x14ac:dyDescent="0.35">
      <c r="A2797" s="223"/>
      <c r="B2797" s="84" t="str">
        <f>B2794</f>
        <v>04th July,2025</v>
      </c>
      <c r="C2797" s="85" t="s">
        <v>899</v>
      </c>
      <c r="D2797" s="86">
        <f>1850*2790</f>
        <v>5161500</v>
      </c>
      <c r="F2797" s="177"/>
    </row>
    <row r="2798" spans="1:6" s="53" customFormat="1" x14ac:dyDescent="0.35">
      <c r="A2798" s="223"/>
      <c r="B2798" s="88"/>
      <c r="C2798" s="89" t="s">
        <v>747</v>
      </c>
      <c r="D2798" s="90">
        <f>356*2700</f>
        <v>961200</v>
      </c>
      <c r="F2798" s="94"/>
    </row>
    <row r="2799" spans="1:6" s="53" customFormat="1" x14ac:dyDescent="0.35">
      <c r="A2799" s="223"/>
      <c r="B2799" s="88" t="s">
        <v>109</v>
      </c>
      <c r="C2799" s="89" t="s">
        <v>110</v>
      </c>
      <c r="D2799" s="90">
        <v>1000000</v>
      </c>
      <c r="F2799" s="94"/>
    </row>
    <row r="2800" spans="1:6" s="53" customFormat="1" x14ac:dyDescent="0.35">
      <c r="A2800" s="223"/>
      <c r="B2800" s="88" t="s">
        <v>111</v>
      </c>
      <c r="C2800" s="89" t="s">
        <v>112</v>
      </c>
      <c r="D2800" s="90">
        <v>40000</v>
      </c>
      <c r="E2800" s="225" t="s">
        <v>113</v>
      </c>
      <c r="F2800" s="225"/>
    </row>
    <row r="2801" spans="1:7" s="53" customFormat="1" x14ac:dyDescent="0.35">
      <c r="A2801" s="223"/>
      <c r="B2801" s="88" t="s">
        <v>383</v>
      </c>
      <c r="C2801" s="89" t="s">
        <v>115</v>
      </c>
      <c r="D2801" s="90">
        <f>900*128</f>
        <v>115200</v>
      </c>
      <c r="E2801" s="91" t="s">
        <v>116</v>
      </c>
      <c r="F2801" s="92">
        <f>4400*2680</f>
        <v>11792000</v>
      </c>
    </row>
    <row r="2802" spans="1:7" s="53" customFormat="1" x14ac:dyDescent="0.35">
      <c r="A2802" s="223"/>
      <c r="B2802" s="88"/>
      <c r="C2802" s="89" t="s">
        <v>117</v>
      </c>
      <c r="D2802" s="90">
        <f>6750*128</f>
        <v>864000</v>
      </c>
      <c r="E2802" s="93" t="s">
        <v>118</v>
      </c>
      <c r="F2802" s="94">
        <f>(2640*2680)+(1760*2680)</f>
        <v>11792000</v>
      </c>
    </row>
    <row r="2803" spans="1:7" s="53" customFormat="1" ht="15" thickBot="1" x14ac:dyDescent="0.4">
      <c r="A2803" s="223"/>
      <c r="B2803" s="88" t="s">
        <v>119</v>
      </c>
      <c r="C2803" s="89" t="s">
        <v>120</v>
      </c>
      <c r="D2803" s="95">
        <v>30000</v>
      </c>
      <c r="E2803" s="96" t="s">
        <v>121</v>
      </c>
      <c r="F2803" s="97">
        <f>F2801-F2802</f>
        <v>0</v>
      </c>
      <c r="G2803" s="98">
        <f>F2803/2680</f>
        <v>0</v>
      </c>
    </row>
    <row r="2804" spans="1:7" s="53" customFormat="1" ht="15" thickTop="1" x14ac:dyDescent="0.35">
      <c r="A2804" s="223"/>
      <c r="B2804" s="88"/>
      <c r="C2804" s="99" t="s">
        <v>123</v>
      </c>
      <c r="D2804" s="100">
        <v>15000</v>
      </c>
      <c r="F2804" s="94"/>
    </row>
    <row r="2805" spans="1:7" s="53" customFormat="1" x14ac:dyDescent="0.35">
      <c r="A2805" s="223"/>
      <c r="B2805" s="88" t="s">
        <v>799</v>
      </c>
      <c r="C2805" s="99" t="s">
        <v>126</v>
      </c>
      <c r="D2805" s="100">
        <v>30000</v>
      </c>
      <c r="E2805" s="91" t="s">
        <v>124</v>
      </c>
      <c r="F2805" s="92"/>
    </row>
    <row r="2806" spans="1:7" s="53" customFormat="1" x14ac:dyDescent="0.35">
      <c r="A2806" s="223"/>
      <c r="B2806" s="101"/>
      <c r="C2806" s="89" t="s">
        <v>122</v>
      </c>
      <c r="D2806" s="100">
        <v>75000</v>
      </c>
      <c r="E2806" s="102"/>
      <c r="F2806" s="103"/>
    </row>
    <row r="2807" spans="1:7" s="53" customFormat="1" x14ac:dyDescent="0.35">
      <c r="A2807" s="223"/>
      <c r="B2807" s="101"/>
      <c r="C2807" s="99" t="s">
        <v>265</v>
      </c>
      <c r="D2807" s="100">
        <f>1300*129</f>
        <v>167700</v>
      </c>
      <c r="E2807" s="102" t="s">
        <v>127</v>
      </c>
      <c r="F2807" s="103"/>
    </row>
    <row r="2808" spans="1:7" s="53" customFormat="1" x14ac:dyDescent="0.35">
      <c r="A2808" s="223"/>
      <c r="B2808" s="101"/>
      <c r="C2808" s="89"/>
      <c r="D2808" s="90">
        <v>0</v>
      </c>
      <c r="E2808" s="102" t="s">
        <v>819</v>
      </c>
      <c r="F2808" s="103"/>
    </row>
    <row r="2809" spans="1:7" s="53" customFormat="1" ht="15" thickBot="1" x14ac:dyDescent="0.4">
      <c r="A2809" s="223"/>
      <c r="B2809" s="105"/>
      <c r="C2809" s="106"/>
      <c r="D2809" s="107"/>
      <c r="E2809" s="53" t="s">
        <v>1166</v>
      </c>
      <c r="F2809" s="94"/>
    </row>
    <row r="2810" spans="1:7" s="53" customFormat="1" ht="15" thickBot="1" x14ac:dyDescent="0.4">
      <c r="A2810" s="223"/>
      <c r="B2810" s="108"/>
      <c r="C2810" s="109" t="s">
        <v>129</v>
      </c>
      <c r="D2810" s="110">
        <f>SUM(D2797:D2809)</f>
        <v>8459600</v>
      </c>
      <c r="F2810" s="94"/>
    </row>
    <row r="2811" spans="1:7" s="53" customFormat="1" ht="15.5" thickTop="1" thickBot="1" x14ac:dyDescent="0.4">
      <c r="A2811" s="224"/>
      <c r="B2811" s="226"/>
      <c r="C2811" s="226"/>
      <c r="D2811" s="226"/>
      <c r="F2811" s="94"/>
    </row>
    <row r="2812" spans="1:7" s="53" customFormat="1" x14ac:dyDescent="0.35">
      <c r="B2812" s="87"/>
      <c r="C2812" s="53" t="s">
        <v>130</v>
      </c>
      <c r="D2812" s="111">
        <f>D2794-D2810</f>
        <v>3332400</v>
      </c>
      <c r="F2812" s="94"/>
    </row>
    <row r="2813" spans="1:7" s="53" customFormat="1" x14ac:dyDescent="0.35">
      <c r="B2813" s="87"/>
      <c r="D2813" s="111"/>
      <c r="F2813" s="94"/>
    </row>
    <row r="2814" spans="1:7" s="53" customFormat="1" x14ac:dyDescent="0.35">
      <c r="A2814" s="112"/>
      <c r="B2814" s="113"/>
      <c r="C2814" s="112"/>
      <c r="D2814" s="114"/>
      <c r="E2814" s="112"/>
      <c r="F2814" s="178"/>
    </row>
    <row r="2816" spans="1:7" s="53" customFormat="1" ht="23.5" x14ac:dyDescent="0.55000000000000004">
      <c r="B2816" s="227" t="s">
        <v>0</v>
      </c>
      <c r="C2816" s="227"/>
      <c r="D2816" s="227"/>
      <c r="E2816" s="70"/>
      <c r="F2816" s="176"/>
    </row>
    <row r="2817" spans="1:7" s="53" customFormat="1" ht="20.5" x14ac:dyDescent="0.45">
      <c r="B2817" s="71"/>
      <c r="C2817" s="72" t="s">
        <v>806</v>
      </c>
      <c r="D2817" s="73"/>
      <c r="F2817" s="94"/>
    </row>
    <row r="2818" spans="1:7" s="53" customFormat="1" ht="21" thickBot="1" x14ac:dyDescent="0.5">
      <c r="B2818" s="71" t="s">
        <v>173</v>
      </c>
      <c r="C2818" s="74" t="s">
        <v>103</v>
      </c>
      <c r="D2818" s="73"/>
      <c r="F2818" s="94"/>
    </row>
    <row r="2819" spans="1:7" s="53" customFormat="1" ht="15" thickBot="1" x14ac:dyDescent="0.4">
      <c r="A2819" s="75" t="s">
        <v>104</v>
      </c>
      <c r="B2819" s="76" t="s">
        <v>81</v>
      </c>
      <c r="C2819" s="76" t="s">
        <v>105</v>
      </c>
      <c r="D2819" s="77" t="s">
        <v>84</v>
      </c>
      <c r="F2819" s="94"/>
    </row>
    <row r="2820" spans="1:7" s="53" customFormat="1" ht="14.5" customHeight="1" x14ac:dyDescent="0.35">
      <c r="A2820" s="222" t="s">
        <v>91</v>
      </c>
      <c r="B2820" s="78" t="s">
        <v>807</v>
      </c>
      <c r="C2820" s="79" t="s">
        <v>106</v>
      </c>
      <c r="D2820" s="80">
        <f>F2827</f>
        <v>11792000</v>
      </c>
      <c r="F2820" s="94"/>
    </row>
    <row r="2821" spans="1:7" s="53" customFormat="1" ht="21" thickBot="1" x14ac:dyDescent="0.5">
      <c r="A2821" s="223"/>
      <c r="B2821" s="71"/>
      <c r="C2821" s="71"/>
      <c r="D2821" s="73"/>
      <c r="F2821" s="94"/>
    </row>
    <row r="2822" spans="1:7" s="53" customFormat="1" ht="15" thickBot="1" x14ac:dyDescent="0.4">
      <c r="A2822" s="223"/>
      <c r="B2822" s="81" t="s">
        <v>81</v>
      </c>
      <c r="C2822" s="82" t="s">
        <v>107</v>
      </c>
      <c r="D2822" s="83" t="s">
        <v>108</v>
      </c>
      <c r="F2822" s="94"/>
    </row>
    <row r="2823" spans="1:7" s="87" customFormat="1" x14ac:dyDescent="0.35">
      <c r="A2823" s="223"/>
      <c r="B2823" s="84" t="str">
        <f>B2820</f>
        <v>07th July,2025</v>
      </c>
      <c r="C2823" s="85" t="s">
        <v>899</v>
      </c>
      <c r="D2823" s="86">
        <f>1850*2790</f>
        <v>5161500</v>
      </c>
      <c r="F2823" s="177"/>
    </row>
    <row r="2824" spans="1:7" s="53" customFormat="1" x14ac:dyDescent="0.35">
      <c r="A2824" s="223"/>
      <c r="B2824" s="88"/>
      <c r="C2824" s="89" t="s">
        <v>747</v>
      </c>
      <c r="D2824" s="90">
        <f>356*2700</f>
        <v>961200</v>
      </c>
      <c r="F2824" s="94"/>
    </row>
    <row r="2825" spans="1:7" s="53" customFormat="1" x14ac:dyDescent="0.35">
      <c r="A2825" s="223"/>
      <c r="B2825" s="88" t="s">
        <v>109</v>
      </c>
      <c r="C2825" s="89" t="s">
        <v>110</v>
      </c>
      <c r="D2825" s="90">
        <v>1000000</v>
      </c>
      <c r="F2825" s="94"/>
    </row>
    <row r="2826" spans="1:7" s="53" customFormat="1" x14ac:dyDescent="0.35">
      <c r="A2826" s="223"/>
      <c r="B2826" s="88" t="s">
        <v>111</v>
      </c>
      <c r="C2826" s="89" t="s">
        <v>112</v>
      </c>
      <c r="D2826" s="90">
        <v>40000</v>
      </c>
      <c r="E2826" s="225" t="s">
        <v>113</v>
      </c>
      <c r="F2826" s="225"/>
    </row>
    <row r="2827" spans="1:7" s="53" customFormat="1" x14ac:dyDescent="0.35">
      <c r="A2827" s="223"/>
      <c r="B2827" s="88" t="s">
        <v>383</v>
      </c>
      <c r="C2827" s="89" t="s">
        <v>115</v>
      </c>
      <c r="D2827" s="90">
        <f>600*128</f>
        <v>76800</v>
      </c>
      <c r="E2827" s="91" t="s">
        <v>116</v>
      </c>
      <c r="F2827" s="92">
        <f>4400*2680</f>
        <v>11792000</v>
      </c>
    </row>
    <row r="2828" spans="1:7" s="53" customFormat="1" x14ac:dyDescent="0.35">
      <c r="A2828" s="223"/>
      <c r="B2828" s="88"/>
      <c r="C2828" s="89" t="s">
        <v>117</v>
      </c>
      <c r="D2828" s="90">
        <f>6750*128</f>
        <v>864000</v>
      </c>
      <c r="E2828" s="93" t="s">
        <v>118</v>
      </c>
      <c r="F2828" s="94">
        <f>(2640*2680)+(1760*2680)</f>
        <v>11792000</v>
      </c>
    </row>
    <row r="2829" spans="1:7" s="53" customFormat="1" ht="15" thickBot="1" x14ac:dyDescent="0.4">
      <c r="A2829" s="223"/>
      <c r="B2829" s="88" t="s">
        <v>119</v>
      </c>
      <c r="C2829" s="89" t="s">
        <v>120</v>
      </c>
      <c r="D2829" s="95">
        <v>30000</v>
      </c>
      <c r="E2829" s="96" t="s">
        <v>121</v>
      </c>
      <c r="F2829" s="97">
        <f>F2827-F2828</f>
        <v>0</v>
      </c>
      <c r="G2829" s="98">
        <f>F2829/2680</f>
        <v>0</v>
      </c>
    </row>
    <row r="2830" spans="1:7" s="53" customFormat="1" ht="15" thickTop="1" x14ac:dyDescent="0.35">
      <c r="A2830" s="223"/>
      <c r="B2830" s="88"/>
      <c r="C2830" s="99" t="s">
        <v>123</v>
      </c>
      <c r="D2830" s="100">
        <v>15000</v>
      </c>
      <c r="F2830" s="94"/>
    </row>
    <row r="2831" spans="1:7" s="53" customFormat="1" x14ac:dyDescent="0.35">
      <c r="A2831" s="223"/>
      <c r="B2831" s="88" t="s">
        <v>805</v>
      </c>
      <c r="C2831" s="99" t="s">
        <v>126</v>
      </c>
      <c r="D2831" s="100">
        <v>40000</v>
      </c>
      <c r="E2831" s="91" t="s">
        <v>124</v>
      </c>
      <c r="F2831" s="92"/>
    </row>
    <row r="2832" spans="1:7" s="53" customFormat="1" x14ac:dyDescent="0.35">
      <c r="A2832" s="223"/>
      <c r="B2832" s="101"/>
      <c r="C2832" s="89" t="s">
        <v>122</v>
      </c>
      <c r="D2832" s="100">
        <v>75000</v>
      </c>
      <c r="E2832" s="102"/>
      <c r="F2832" s="103"/>
    </row>
    <row r="2833" spans="1:6" s="53" customFormat="1" x14ac:dyDescent="0.35">
      <c r="A2833" s="223"/>
      <c r="B2833" s="101"/>
      <c r="C2833" s="99" t="s">
        <v>265</v>
      </c>
      <c r="D2833" s="100">
        <f>1300*128</f>
        <v>166400</v>
      </c>
      <c r="E2833" s="102" t="s">
        <v>127</v>
      </c>
      <c r="F2833" s="103"/>
    </row>
    <row r="2834" spans="1:6" s="53" customFormat="1" x14ac:dyDescent="0.35">
      <c r="A2834" s="223"/>
      <c r="B2834" s="101"/>
      <c r="C2834" s="89"/>
      <c r="D2834" s="90">
        <v>0</v>
      </c>
      <c r="E2834" s="102" t="s">
        <v>819</v>
      </c>
      <c r="F2834" s="103"/>
    </row>
    <row r="2835" spans="1:6" s="53" customFormat="1" ht="15" thickBot="1" x14ac:dyDescent="0.4">
      <c r="A2835" s="223"/>
      <c r="B2835" s="105"/>
      <c r="C2835" s="106"/>
      <c r="D2835" s="107"/>
      <c r="E2835" s="53" t="s">
        <v>1166</v>
      </c>
      <c r="F2835" s="94"/>
    </row>
    <row r="2836" spans="1:6" s="53" customFormat="1" ht="15" thickBot="1" x14ac:dyDescent="0.4">
      <c r="A2836" s="223"/>
      <c r="B2836" s="108"/>
      <c r="C2836" s="109" t="s">
        <v>129</v>
      </c>
      <c r="D2836" s="110">
        <f>SUM(D2823:D2835)</f>
        <v>8429900</v>
      </c>
      <c r="F2836" s="94"/>
    </row>
    <row r="2837" spans="1:6" s="53" customFormat="1" ht="15.5" thickTop="1" thickBot="1" x14ac:dyDescent="0.4">
      <c r="A2837" s="224"/>
      <c r="B2837" s="226"/>
      <c r="C2837" s="226"/>
      <c r="D2837" s="226"/>
      <c r="F2837" s="94"/>
    </row>
    <row r="2838" spans="1:6" s="53" customFormat="1" x14ac:dyDescent="0.35">
      <c r="B2838" s="87"/>
      <c r="C2838" s="53" t="s">
        <v>130</v>
      </c>
      <c r="D2838" s="111">
        <f>D2820-D2836</f>
        <v>3362100</v>
      </c>
      <c r="F2838" s="94"/>
    </row>
    <row r="2839" spans="1:6" s="53" customFormat="1" x14ac:dyDescent="0.35">
      <c r="B2839" s="87"/>
      <c r="D2839" s="111"/>
      <c r="F2839" s="94"/>
    </row>
    <row r="2840" spans="1:6" s="53" customFormat="1" x14ac:dyDescent="0.35">
      <c r="A2840" s="112"/>
      <c r="B2840" s="113"/>
      <c r="C2840" s="112"/>
      <c r="D2840" s="114"/>
      <c r="E2840" s="112"/>
      <c r="F2840" s="178"/>
    </row>
    <row r="2842" spans="1:6" s="53" customFormat="1" ht="23.5" x14ac:dyDescent="0.55000000000000004">
      <c r="B2842" s="227" t="s">
        <v>0</v>
      </c>
      <c r="C2842" s="227"/>
      <c r="D2842" s="227"/>
      <c r="E2842" s="70"/>
      <c r="F2842" s="176"/>
    </row>
    <row r="2843" spans="1:6" s="53" customFormat="1" ht="20.5" x14ac:dyDescent="0.45">
      <c r="B2843" s="71"/>
      <c r="C2843" s="72" t="s">
        <v>811</v>
      </c>
      <c r="D2843" s="73"/>
      <c r="F2843" s="94"/>
    </row>
    <row r="2844" spans="1:6" s="53" customFormat="1" ht="21" thickBot="1" x14ac:dyDescent="0.5">
      <c r="B2844" s="71" t="s">
        <v>812</v>
      </c>
      <c r="C2844" s="74" t="s">
        <v>103</v>
      </c>
      <c r="D2844" s="73"/>
      <c r="F2844" s="94"/>
    </row>
    <row r="2845" spans="1:6" s="53" customFormat="1" ht="15" thickBot="1" x14ac:dyDescent="0.4">
      <c r="A2845" s="75" t="s">
        <v>104</v>
      </c>
      <c r="B2845" s="76" t="s">
        <v>81</v>
      </c>
      <c r="C2845" s="76" t="s">
        <v>105</v>
      </c>
      <c r="D2845" s="77" t="s">
        <v>84</v>
      </c>
      <c r="F2845" s="94"/>
    </row>
    <row r="2846" spans="1:6" s="53" customFormat="1" ht="14.5" customHeight="1" x14ac:dyDescent="0.35">
      <c r="A2846" s="222" t="s">
        <v>91</v>
      </c>
      <c r="B2846" s="78" t="s">
        <v>794</v>
      </c>
      <c r="C2846" s="79" t="s">
        <v>187</v>
      </c>
      <c r="D2846" s="80">
        <f>F2853</f>
        <v>10865000</v>
      </c>
      <c r="F2846" s="94"/>
    </row>
    <row r="2847" spans="1:6" s="53" customFormat="1" ht="21" thickBot="1" x14ac:dyDescent="0.5">
      <c r="A2847" s="223"/>
      <c r="B2847" s="71"/>
      <c r="C2847" s="71"/>
      <c r="D2847" s="73"/>
      <c r="F2847" s="94"/>
    </row>
    <row r="2848" spans="1:6" s="53" customFormat="1" ht="15" thickBot="1" x14ac:dyDescent="0.4">
      <c r="A2848" s="223"/>
      <c r="B2848" s="81" t="s">
        <v>81</v>
      </c>
      <c r="C2848" s="82" t="s">
        <v>107</v>
      </c>
      <c r="D2848" s="83" t="s">
        <v>108</v>
      </c>
      <c r="F2848" s="94"/>
    </row>
    <row r="2849" spans="1:7" s="87" customFormat="1" x14ac:dyDescent="0.35">
      <c r="A2849" s="223"/>
      <c r="B2849" s="84" t="str">
        <f>B2846</f>
        <v>04th July,2025</v>
      </c>
      <c r="C2849" s="85" t="s">
        <v>944</v>
      </c>
      <c r="D2849" s="86">
        <f>1850*2757</f>
        <v>5100450</v>
      </c>
      <c r="F2849" s="177"/>
    </row>
    <row r="2850" spans="1:7" s="53" customFormat="1" x14ac:dyDescent="0.35">
      <c r="A2850" s="223"/>
      <c r="B2850" s="88"/>
      <c r="C2850" s="89" t="s">
        <v>188</v>
      </c>
      <c r="D2850" s="90">
        <f>325*2650</f>
        <v>861250</v>
      </c>
      <c r="F2850" s="94"/>
    </row>
    <row r="2851" spans="1:7" s="53" customFormat="1" x14ac:dyDescent="0.35">
      <c r="A2851" s="223"/>
      <c r="B2851" s="88" t="s">
        <v>109</v>
      </c>
      <c r="C2851" s="89" t="s">
        <v>110</v>
      </c>
      <c r="D2851" s="90">
        <v>1000000</v>
      </c>
      <c r="F2851" s="94"/>
    </row>
    <row r="2852" spans="1:7" s="53" customFormat="1" x14ac:dyDescent="0.35">
      <c r="A2852" s="223"/>
      <c r="B2852" s="88" t="s">
        <v>111</v>
      </c>
      <c r="C2852" s="89" t="s">
        <v>112</v>
      </c>
      <c r="D2852" s="90">
        <v>40000</v>
      </c>
      <c r="E2852" s="225" t="s">
        <v>113</v>
      </c>
      <c r="F2852" s="225"/>
    </row>
    <row r="2853" spans="1:7" s="53" customFormat="1" x14ac:dyDescent="0.35">
      <c r="A2853" s="223"/>
      <c r="B2853" s="88" t="s">
        <v>182</v>
      </c>
      <c r="C2853" s="89" t="s">
        <v>115</v>
      </c>
      <c r="D2853" s="90">
        <f>400*120</f>
        <v>48000</v>
      </c>
      <c r="E2853" s="91" t="s">
        <v>116</v>
      </c>
      <c r="F2853" s="92">
        <f>4100*2650</f>
        <v>10865000</v>
      </c>
    </row>
    <row r="2854" spans="1:7" s="53" customFormat="1" x14ac:dyDescent="0.35">
      <c r="A2854" s="223"/>
      <c r="B2854" s="88"/>
      <c r="C2854" s="89" t="s">
        <v>117</v>
      </c>
      <c r="D2854" s="90">
        <f>2000*120</f>
        <v>240000</v>
      </c>
      <c r="E2854" s="93" t="s">
        <v>118</v>
      </c>
      <c r="F2854" s="94"/>
    </row>
    <row r="2855" spans="1:7" s="53" customFormat="1" ht="15" thickBot="1" x14ac:dyDescent="0.4">
      <c r="A2855" s="223"/>
      <c r="B2855" s="88" t="s">
        <v>119</v>
      </c>
      <c r="C2855" s="89" t="s">
        <v>120</v>
      </c>
      <c r="D2855" s="95">
        <v>30000</v>
      </c>
      <c r="E2855" s="96" t="s">
        <v>121</v>
      </c>
      <c r="F2855" s="97">
        <f>F2853-F2854</f>
        <v>10865000</v>
      </c>
      <c r="G2855" s="98">
        <f>F2855/2650</f>
        <v>4100</v>
      </c>
    </row>
    <row r="2856" spans="1:7" s="53" customFormat="1" ht="15" thickTop="1" x14ac:dyDescent="0.35">
      <c r="A2856" s="223"/>
      <c r="B2856" s="88"/>
      <c r="C2856" s="89" t="s">
        <v>122</v>
      </c>
      <c r="D2856" s="90">
        <f>56*2680</f>
        <v>150080</v>
      </c>
      <c r="F2856" s="94"/>
    </row>
    <row r="2857" spans="1:7" s="53" customFormat="1" x14ac:dyDescent="0.35">
      <c r="A2857" s="223"/>
      <c r="B2857" s="88" t="s">
        <v>797</v>
      </c>
      <c r="C2857" s="99" t="s">
        <v>123</v>
      </c>
      <c r="D2857" s="90">
        <v>15000</v>
      </c>
      <c r="E2857" s="91" t="s">
        <v>124</v>
      </c>
      <c r="F2857" s="92"/>
    </row>
    <row r="2858" spans="1:7" s="53" customFormat="1" x14ac:dyDescent="0.35">
      <c r="A2858" s="223"/>
      <c r="B2858" s="101"/>
      <c r="C2858" s="99" t="s">
        <v>125</v>
      </c>
      <c r="D2858" s="100">
        <v>10000</v>
      </c>
      <c r="E2858" s="102"/>
      <c r="F2858" s="103"/>
    </row>
    <row r="2859" spans="1:7" s="53" customFormat="1" x14ac:dyDescent="0.35">
      <c r="A2859" s="223"/>
      <c r="B2859" s="101"/>
      <c r="C2859" s="99" t="s">
        <v>126</v>
      </c>
      <c r="D2859" s="100">
        <v>40000</v>
      </c>
      <c r="E2859" s="102" t="s">
        <v>127</v>
      </c>
      <c r="F2859" s="103"/>
    </row>
    <row r="2860" spans="1:7" s="53" customFormat="1" x14ac:dyDescent="0.35">
      <c r="A2860" s="223"/>
      <c r="B2860" s="101"/>
      <c r="C2860" s="89"/>
      <c r="D2860" s="104"/>
      <c r="E2860" s="102"/>
      <c r="F2860" s="103"/>
    </row>
    <row r="2861" spans="1:7" s="53" customFormat="1" ht="15" thickBot="1" x14ac:dyDescent="0.4">
      <c r="A2861" s="223"/>
      <c r="B2861" s="105"/>
      <c r="C2861" s="106"/>
      <c r="D2861" s="107"/>
      <c r="F2861" s="94"/>
    </row>
    <row r="2862" spans="1:7" s="53" customFormat="1" ht="15" thickBot="1" x14ac:dyDescent="0.4">
      <c r="A2862" s="223"/>
      <c r="B2862" s="108"/>
      <c r="C2862" s="109" t="s">
        <v>129</v>
      </c>
      <c r="D2862" s="110">
        <f>SUM(D2849:D2861)</f>
        <v>7534780</v>
      </c>
      <c r="F2862" s="94"/>
    </row>
    <row r="2863" spans="1:7" s="53" customFormat="1" ht="15.5" thickTop="1" thickBot="1" x14ac:dyDescent="0.4">
      <c r="A2863" s="224"/>
      <c r="B2863" s="226"/>
      <c r="C2863" s="226"/>
      <c r="D2863" s="226"/>
      <c r="F2863" s="94"/>
    </row>
    <row r="2864" spans="1:7" s="53" customFormat="1" x14ac:dyDescent="0.35">
      <c r="B2864" s="87"/>
      <c r="C2864" s="53" t="s">
        <v>130</v>
      </c>
      <c r="D2864" s="111">
        <f>D2846-D2862</f>
        <v>3330220</v>
      </c>
      <c r="F2864" s="94"/>
    </row>
    <row r="2865" spans="1:6" s="53" customFormat="1" x14ac:dyDescent="0.35">
      <c r="B2865" s="87"/>
      <c r="D2865" s="111"/>
      <c r="F2865" s="94"/>
    </row>
    <row r="2866" spans="1:6" s="53" customFormat="1" x14ac:dyDescent="0.35">
      <c r="A2866" s="112"/>
      <c r="B2866" s="113"/>
      <c r="C2866" s="112"/>
      <c r="D2866" s="114"/>
      <c r="E2866" s="112"/>
      <c r="F2866" s="178"/>
    </row>
    <row r="2868" spans="1:6" s="53" customFormat="1" ht="23.5" x14ac:dyDescent="0.55000000000000004">
      <c r="B2868" s="227" t="s">
        <v>0</v>
      </c>
      <c r="C2868" s="227"/>
      <c r="D2868" s="227"/>
      <c r="E2868" s="70"/>
      <c r="F2868" s="176"/>
    </row>
    <row r="2869" spans="1:6" s="53" customFormat="1" ht="20.5" x14ac:dyDescent="0.45">
      <c r="B2869" s="71"/>
      <c r="C2869" s="72" t="s">
        <v>815</v>
      </c>
      <c r="D2869" s="73"/>
      <c r="F2869" s="94"/>
    </row>
    <row r="2870" spans="1:6" s="53" customFormat="1" ht="21" thickBot="1" x14ac:dyDescent="0.5">
      <c r="B2870" s="71" t="s">
        <v>185</v>
      </c>
      <c r="C2870" s="74" t="s">
        <v>103</v>
      </c>
      <c r="D2870" s="73"/>
      <c r="F2870" s="94"/>
    </row>
    <row r="2871" spans="1:6" s="53" customFormat="1" ht="15" thickBot="1" x14ac:dyDescent="0.4">
      <c r="A2871" s="75" t="s">
        <v>104</v>
      </c>
      <c r="B2871" s="76" t="s">
        <v>81</v>
      </c>
      <c r="C2871" s="76" t="s">
        <v>105</v>
      </c>
      <c r="D2871" s="77" t="s">
        <v>84</v>
      </c>
      <c r="F2871" s="94"/>
    </row>
    <row r="2872" spans="1:6" s="53" customFormat="1" ht="14.5" customHeight="1" x14ac:dyDescent="0.35">
      <c r="A2872" s="222" t="s">
        <v>91</v>
      </c>
      <c r="B2872" s="78" t="s">
        <v>807</v>
      </c>
      <c r="C2872" s="79" t="s">
        <v>106</v>
      </c>
      <c r="D2872" s="80">
        <f>F2879</f>
        <v>11792000</v>
      </c>
      <c r="F2872" s="94"/>
    </row>
    <row r="2873" spans="1:6" s="53" customFormat="1" ht="21" thickBot="1" x14ac:dyDescent="0.5">
      <c r="A2873" s="223"/>
      <c r="B2873" s="71"/>
      <c r="C2873" s="71"/>
      <c r="D2873" s="73"/>
      <c r="F2873" s="94"/>
    </row>
    <row r="2874" spans="1:6" s="53" customFormat="1" ht="15" thickBot="1" x14ac:dyDescent="0.4">
      <c r="A2874" s="223"/>
      <c r="B2874" s="81" t="s">
        <v>81</v>
      </c>
      <c r="C2874" s="82" t="s">
        <v>107</v>
      </c>
      <c r="D2874" s="83" t="s">
        <v>108</v>
      </c>
      <c r="F2874" s="94"/>
    </row>
    <row r="2875" spans="1:6" s="87" customFormat="1" x14ac:dyDescent="0.35">
      <c r="A2875" s="223"/>
      <c r="B2875" s="84" t="str">
        <f>B2872</f>
        <v>07th July,2025</v>
      </c>
      <c r="C2875" s="85" t="s">
        <v>944</v>
      </c>
      <c r="D2875" s="86">
        <f>1850*2757</f>
        <v>5100450</v>
      </c>
      <c r="F2875" s="177"/>
    </row>
    <row r="2876" spans="1:6" s="53" customFormat="1" x14ac:dyDescent="0.35">
      <c r="A2876" s="223"/>
      <c r="B2876" s="88"/>
      <c r="C2876" s="89" t="s">
        <v>747</v>
      </c>
      <c r="D2876" s="90">
        <f>356*2700</f>
        <v>961200</v>
      </c>
      <c r="F2876" s="94"/>
    </row>
    <row r="2877" spans="1:6" s="53" customFormat="1" x14ac:dyDescent="0.35">
      <c r="A2877" s="223"/>
      <c r="B2877" s="88" t="s">
        <v>109</v>
      </c>
      <c r="C2877" s="89" t="s">
        <v>110</v>
      </c>
      <c r="D2877" s="90">
        <v>1000000</v>
      </c>
      <c r="F2877" s="94"/>
    </row>
    <row r="2878" spans="1:6" s="53" customFormat="1" x14ac:dyDescent="0.35">
      <c r="A2878" s="223"/>
      <c r="B2878" s="88" t="s">
        <v>111</v>
      </c>
      <c r="C2878" s="89" t="s">
        <v>112</v>
      </c>
      <c r="D2878" s="90">
        <v>40000</v>
      </c>
      <c r="E2878" s="225" t="s">
        <v>113</v>
      </c>
      <c r="F2878" s="225"/>
    </row>
    <row r="2879" spans="1:6" s="53" customFormat="1" x14ac:dyDescent="0.35">
      <c r="A2879" s="223"/>
      <c r="B2879" s="88" t="s">
        <v>383</v>
      </c>
      <c r="C2879" s="89" t="s">
        <v>115</v>
      </c>
      <c r="D2879" s="90">
        <f>700*128</f>
        <v>89600</v>
      </c>
      <c r="E2879" s="91" t="s">
        <v>116</v>
      </c>
      <c r="F2879" s="92">
        <f>4400*2680</f>
        <v>11792000</v>
      </c>
    </row>
    <row r="2880" spans="1:6" s="53" customFormat="1" x14ac:dyDescent="0.35">
      <c r="A2880" s="223"/>
      <c r="B2880" s="88"/>
      <c r="C2880" s="89" t="s">
        <v>117</v>
      </c>
      <c r="D2880" s="90">
        <f>6750*128</f>
        <v>864000</v>
      </c>
      <c r="E2880" s="93" t="s">
        <v>118</v>
      </c>
      <c r="F2880" s="94">
        <f>(2640*2680)+(1760*2680)</f>
        <v>11792000</v>
      </c>
    </row>
    <row r="2881" spans="1:7" s="53" customFormat="1" ht="15" thickBot="1" x14ac:dyDescent="0.4">
      <c r="A2881" s="223"/>
      <c r="B2881" s="88" t="s">
        <v>119</v>
      </c>
      <c r="C2881" s="89" t="s">
        <v>120</v>
      </c>
      <c r="D2881" s="95">
        <v>30000</v>
      </c>
      <c r="E2881" s="96" t="s">
        <v>121</v>
      </c>
      <c r="F2881" s="97">
        <f>F2879-F2880</f>
        <v>0</v>
      </c>
      <c r="G2881" s="98">
        <f>F2881/2680</f>
        <v>0</v>
      </c>
    </row>
    <row r="2882" spans="1:7" s="53" customFormat="1" ht="15" thickTop="1" x14ac:dyDescent="0.35">
      <c r="A2882" s="223"/>
      <c r="B2882" s="88"/>
      <c r="C2882" s="99" t="s">
        <v>123</v>
      </c>
      <c r="D2882" s="100">
        <v>15000</v>
      </c>
      <c r="F2882" s="94"/>
    </row>
    <row r="2883" spans="1:7" s="53" customFormat="1" x14ac:dyDescent="0.35">
      <c r="A2883" s="223"/>
      <c r="B2883" s="88" t="s">
        <v>814</v>
      </c>
      <c r="C2883" s="99" t="s">
        <v>126</v>
      </c>
      <c r="D2883" s="100">
        <v>20000</v>
      </c>
      <c r="E2883" s="91" t="s">
        <v>124</v>
      </c>
      <c r="F2883" s="92"/>
    </row>
    <row r="2884" spans="1:7" s="53" customFormat="1" x14ac:dyDescent="0.35">
      <c r="A2884" s="223"/>
      <c r="B2884" s="101"/>
      <c r="C2884" s="89" t="s">
        <v>122</v>
      </c>
      <c r="D2884" s="100">
        <v>75000</v>
      </c>
      <c r="E2884" s="102"/>
      <c r="F2884" s="103"/>
    </row>
    <row r="2885" spans="1:7" s="53" customFormat="1" x14ac:dyDescent="0.35">
      <c r="A2885" s="223"/>
      <c r="B2885" s="101"/>
      <c r="C2885" s="99" t="s">
        <v>265</v>
      </c>
      <c r="D2885" s="100">
        <f>1300*128</f>
        <v>166400</v>
      </c>
      <c r="E2885" s="102" t="s">
        <v>127</v>
      </c>
      <c r="F2885" s="103"/>
    </row>
    <row r="2886" spans="1:7" s="53" customFormat="1" x14ac:dyDescent="0.35">
      <c r="A2886" s="223"/>
      <c r="B2886" s="101"/>
      <c r="C2886" s="89"/>
      <c r="D2886" s="90">
        <v>0</v>
      </c>
      <c r="E2886" s="102" t="s">
        <v>820</v>
      </c>
      <c r="F2886" s="103"/>
    </row>
    <row r="2887" spans="1:7" s="53" customFormat="1" ht="15" thickBot="1" x14ac:dyDescent="0.4">
      <c r="A2887" s="223"/>
      <c r="B2887" s="105"/>
      <c r="C2887" s="106"/>
      <c r="D2887" s="107"/>
      <c r="E2887" s="53" t="s">
        <v>1166</v>
      </c>
      <c r="F2887" s="94"/>
    </row>
    <row r="2888" spans="1:7" s="53" customFormat="1" ht="15" thickBot="1" x14ac:dyDescent="0.4">
      <c r="A2888" s="223"/>
      <c r="B2888" s="108"/>
      <c r="C2888" s="109" t="s">
        <v>129</v>
      </c>
      <c r="D2888" s="110">
        <f>SUM(D2875:D2887)</f>
        <v>8361650</v>
      </c>
      <c r="F2888" s="94"/>
    </row>
    <row r="2889" spans="1:7" s="53" customFormat="1" ht="15.5" thickTop="1" thickBot="1" x14ac:dyDescent="0.4">
      <c r="A2889" s="224"/>
      <c r="B2889" s="226"/>
      <c r="C2889" s="226"/>
      <c r="D2889" s="226"/>
      <c r="F2889" s="94"/>
    </row>
    <row r="2890" spans="1:7" s="53" customFormat="1" x14ac:dyDescent="0.35">
      <c r="B2890" s="87"/>
      <c r="C2890" s="53" t="s">
        <v>130</v>
      </c>
      <c r="D2890" s="111">
        <f>D2872-D2888</f>
        <v>3430350</v>
      </c>
      <c r="F2890" s="94"/>
    </row>
    <row r="2891" spans="1:7" s="53" customFormat="1" x14ac:dyDescent="0.35">
      <c r="B2891" s="87"/>
      <c r="D2891" s="111"/>
      <c r="F2891" s="94"/>
    </row>
    <row r="2892" spans="1:7" s="53" customFormat="1" x14ac:dyDescent="0.35">
      <c r="A2892" s="112"/>
      <c r="B2892" s="113"/>
      <c r="C2892" s="112"/>
      <c r="D2892" s="114"/>
      <c r="E2892" s="112"/>
      <c r="F2892" s="178"/>
    </row>
    <row r="2894" spans="1:7" s="53" customFormat="1" ht="23.5" x14ac:dyDescent="0.55000000000000004">
      <c r="B2894" s="227" t="s">
        <v>0</v>
      </c>
      <c r="C2894" s="227"/>
      <c r="D2894" s="227"/>
      <c r="E2894" s="70"/>
      <c r="F2894" s="176"/>
    </row>
    <row r="2895" spans="1:7" s="53" customFormat="1" ht="20.5" x14ac:dyDescent="0.45">
      <c r="B2895" s="71"/>
      <c r="C2895" s="72" t="s">
        <v>818</v>
      </c>
      <c r="D2895" s="73"/>
      <c r="F2895" s="94"/>
    </row>
    <row r="2896" spans="1:7" s="53" customFormat="1" ht="21" thickBot="1" x14ac:dyDescent="0.5">
      <c r="B2896" s="71" t="s">
        <v>193</v>
      </c>
      <c r="C2896" s="74" t="s">
        <v>103</v>
      </c>
      <c r="D2896" s="73"/>
      <c r="F2896" s="94"/>
    </row>
    <row r="2897" spans="1:7" s="53" customFormat="1" ht="15" thickBot="1" x14ac:dyDescent="0.4">
      <c r="A2897" s="75" t="s">
        <v>104</v>
      </c>
      <c r="B2897" s="76" t="s">
        <v>81</v>
      </c>
      <c r="C2897" s="76" t="s">
        <v>105</v>
      </c>
      <c r="D2897" s="77" t="s">
        <v>84</v>
      </c>
      <c r="F2897" s="94"/>
    </row>
    <row r="2898" spans="1:7" s="53" customFormat="1" ht="14.5" customHeight="1" x14ac:dyDescent="0.35">
      <c r="A2898" s="222" t="s">
        <v>91</v>
      </c>
      <c r="B2898" s="78" t="s">
        <v>807</v>
      </c>
      <c r="C2898" s="79" t="s">
        <v>106</v>
      </c>
      <c r="D2898" s="80">
        <f>F2905</f>
        <v>11792000</v>
      </c>
      <c r="F2898" s="94"/>
    </row>
    <row r="2899" spans="1:7" s="53" customFormat="1" ht="21" thickBot="1" x14ac:dyDescent="0.5">
      <c r="A2899" s="223"/>
      <c r="B2899" s="71"/>
      <c r="C2899" s="71"/>
      <c r="D2899" s="73"/>
      <c r="F2899" s="94"/>
    </row>
    <row r="2900" spans="1:7" s="53" customFormat="1" ht="15" thickBot="1" x14ac:dyDescent="0.4">
      <c r="A2900" s="223"/>
      <c r="B2900" s="81" t="s">
        <v>81</v>
      </c>
      <c r="C2900" s="82" t="s">
        <v>107</v>
      </c>
      <c r="D2900" s="83" t="s">
        <v>108</v>
      </c>
      <c r="F2900" s="94"/>
    </row>
    <row r="2901" spans="1:7" s="87" customFormat="1" x14ac:dyDescent="0.35">
      <c r="A2901" s="223"/>
      <c r="B2901" s="84" t="str">
        <f>B2898</f>
        <v>07th July,2025</v>
      </c>
      <c r="C2901" s="85" t="s">
        <v>944</v>
      </c>
      <c r="D2901" s="86">
        <f>1850*2757</f>
        <v>5100450</v>
      </c>
      <c r="F2901" s="177"/>
    </row>
    <row r="2902" spans="1:7" s="53" customFormat="1" x14ac:dyDescent="0.35">
      <c r="A2902" s="223"/>
      <c r="B2902" s="88"/>
      <c r="C2902" s="89" t="s">
        <v>747</v>
      </c>
      <c r="D2902" s="90">
        <f>356*2700</f>
        <v>961200</v>
      </c>
      <c r="F2902" s="94"/>
    </row>
    <row r="2903" spans="1:7" s="53" customFormat="1" x14ac:dyDescent="0.35">
      <c r="A2903" s="223"/>
      <c r="B2903" s="88" t="s">
        <v>109</v>
      </c>
      <c r="C2903" s="89" t="s">
        <v>110</v>
      </c>
      <c r="D2903" s="90">
        <v>1000000</v>
      </c>
      <c r="F2903" s="94"/>
    </row>
    <row r="2904" spans="1:7" s="53" customFormat="1" x14ac:dyDescent="0.35">
      <c r="A2904" s="223"/>
      <c r="B2904" s="88" t="s">
        <v>111</v>
      </c>
      <c r="C2904" s="89" t="s">
        <v>112</v>
      </c>
      <c r="D2904" s="90">
        <v>40000</v>
      </c>
      <c r="E2904" s="225" t="s">
        <v>113</v>
      </c>
      <c r="F2904" s="225"/>
    </row>
    <row r="2905" spans="1:7" s="53" customFormat="1" x14ac:dyDescent="0.35">
      <c r="A2905" s="223"/>
      <c r="B2905" s="88" t="s">
        <v>383</v>
      </c>
      <c r="C2905" s="89" t="s">
        <v>115</v>
      </c>
      <c r="D2905" s="90">
        <f>700*128</f>
        <v>89600</v>
      </c>
      <c r="E2905" s="91" t="s">
        <v>116</v>
      </c>
      <c r="F2905" s="92">
        <f>4400*2680</f>
        <v>11792000</v>
      </c>
    </row>
    <row r="2906" spans="1:7" s="53" customFormat="1" x14ac:dyDescent="0.35">
      <c r="A2906" s="223"/>
      <c r="B2906" s="88"/>
      <c r="C2906" s="89" t="s">
        <v>117</v>
      </c>
      <c r="D2906" s="90">
        <f>6750*128</f>
        <v>864000</v>
      </c>
      <c r="E2906" s="93" t="s">
        <v>118</v>
      </c>
      <c r="F2906" s="94">
        <f>(2640*2680)+(1760*2680)</f>
        <v>11792000</v>
      </c>
    </row>
    <row r="2907" spans="1:7" s="53" customFormat="1" ht="15" thickBot="1" x14ac:dyDescent="0.4">
      <c r="A2907" s="223"/>
      <c r="B2907" s="88" t="s">
        <v>119</v>
      </c>
      <c r="C2907" s="89" t="s">
        <v>120</v>
      </c>
      <c r="D2907" s="95">
        <v>30000</v>
      </c>
      <c r="E2907" s="96" t="s">
        <v>121</v>
      </c>
      <c r="F2907" s="97">
        <f>F2905-F2906</f>
        <v>0</v>
      </c>
      <c r="G2907" s="98">
        <f>F2907/2680</f>
        <v>0</v>
      </c>
    </row>
    <row r="2908" spans="1:7" s="53" customFormat="1" ht="15" thickTop="1" x14ac:dyDescent="0.35">
      <c r="A2908" s="223"/>
      <c r="B2908" s="88"/>
      <c r="C2908" s="99" t="s">
        <v>123</v>
      </c>
      <c r="D2908" s="100">
        <v>15000</v>
      </c>
      <c r="F2908" s="94"/>
    </row>
    <row r="2909" spans="1:7" s="53" customFormat="1" x14ac:dyDescent="0.35">
      <c r="A2909" s="223"/>
      <c r="B2909" s="88" t="s">
        <v>817</v>
      </c>
      <c r="C2909" s="99" t="s">
        <v>126</v>
      </c>
      <c r="D2909" s="100">
        <v>20000</v>
      </c>
      <c r="E2909" s="91" t="s">
        <v>124</v>
      </c>
      <c r="F2909" s="92"/>
    </row>
    <row r="2910" spans="1:7" s="53" customFormat="1" x14ac:dyDescent="0.35">
      <c r="A2910" s="223"/>
      <c r="B2910" s="101"/>
      <c r="C2910" s="89" t="s">
        <v>122</v>
      </c>
      <c r="D2910" s="100">
        <v>75000</v>
      </c>
      <c r="E2910" s="102"/>
      <c r="F2910" s="103"/>
    </row>
    <row r="2911" spans="1:7" s="53" customFormat="1" x14ac:dyDescent="0.35">
      <c r="A2911" s="223"/>
      <c r="B2911" s="101"/>
      <c r="C2911" s="99" t="s">
        <v>265</v>
      </c>
      <c r="D2911" s="100">
        <f>1300*128</f>
        <v>166400</v>
      </c>
      <c r="E2911" s="102" t="s">
        <v>127</v>
      </c>
      <c r="F2911" s="103"/>
    </row>
    <row r="2912" spans="1:7" s="53" customFormat="1" x14ac:dyDescent="0.35">
      <c r="A2912" s="223"/>
      <c r="B2912" s="101"/>
      <c r="C2912" s="89"/>
      <c r="D2912" s="90"/>
      <c r="E2912" s="102" t="s">
        <v>820</v>
      </c>
      <c r="F2912" s="103"/>
    </row>
    <row r="2913" spans="1:6" s="53" customFormat="1" ht="15" thickBot="1" x14ac:dyDescent="0.4">
      <c r="A2913" s="223"/>
      <c r="B2913" s="105"/>
      <c r="C2913" s="106"/>
      <c r="D2913" s="107"/>
      <c r="E2913" s="53" t="s">
        <v>1166</v>
      </c>
      <c r="F2913" s="94"/>
    </row>
    <row r="2914" spans="1:6" s="53" customFormat="1" ht="15" thickBot="1" x14ac:dyDescent="0.4">
      <c r="A2914" s="223"/>
      <c r="B2914" s="108"/>
      <c r="C2914" s="109" t="s">
        <v>129</v>
      </c>
      <c r="D2914" s="110">
        <f>SUM(D2901:D2913)</f>
        <v>8361650</v>
      </c>
      <c r="F2914" s="94"/>
    </row>
    <row r="2915" spans="1:6" s="53" customFormat="1" ht="15.5" thickTop="1" thickBot="1" x14ac:dyDescent="0.4">
      <c r="A2915" s="224"/>
      <c r="B2915" s="226"/>
      <c r="C2915" s="226"/>
      <c r="D2915" s="226"/>
      <c r="F2915" s="94"/>
    </row>
    <row r="2916" spans="1:6" s="53" customFormat="1" x14ac:dyDescent="0.35">
      <c r="B2916" s="87"/>
      <c r="C2916" s="53" t="s">
        <v>130</v>
      </c>
      <c r="D2916" s="111">
        <f>D2898-D2914</f>
        <v>3430350</v>
      </c>
      <c r="F2916" s="94"/>
    </row>
    <row r="2917" spans="1:6" s="53" customFormat="1" x14ac:dyDescent="0.35">
      <c r="B2917" s="87"/>
      <c r="D2917" s="111"/>
      <c r="F2917" s="94"/>
    </row>
    <row r="2918" spans="1:6" s="53" customFormat="1" x14ac:dyDescent="0.35">
      <c r="A2918" s="112"/>
      <c r="B2918" s="113"/>
      <c r="C2918" s="112"/>
      <c r="D2918" s="114"/>
      <c r="E2918" s="112"/>
      <c r="F2918" s="178"/>
    </row>
    <row r="2920" spans="1:6" s="53" customFormat="1" ht="23.5" x14ac:dyDescent="0.55000000000000004">
      <c r="B2920" s="227" t="s">
        <v>0</v>
      </c>
      <c r="C2920" s="227"/>
      <c r="D2920" s="227"/>
      <c r="E2920" s="70"/>
      <c r="F2920" s="176"/>
    </row>
    <row r="2921" spans="1:6" s="53" customFormat="1" ht="20.5" x14ac:dyDescent="0.45">
      <c r="B2921" s="71"/>
      <c r="C2921" s="72" t="s">
        <v>830</v>
      </c>
      <c r="D2921" s="73"/>
      <c r="F2921" s="94"/>
    </row>
    <row r="2922" spans="1:6" s="53" customFormat="1" ht="21" thickBot="1" x14ac:dyDescent="0.5">
      <c r="B2922" s="71" t="s">
        <v>156</v>
      </c>
      <c r="C2922" s="74" t="s">
        <v>103</v>
      </c>
      <c r="D2922" s="73"/>
      <c r="F2922" s="94"/>
    </row>
    <row r="2923" spans="1:6" s="53" customFormat="1" ht="15" thickBot="1" x14ac:dyDescent="0.4">
      <c r="A2923" s="75" t="s">
        <v>104</v>
      </c>
      <c r="B2923" s="76" t="s">
        <v>81</v>
      </c>
      <c r="C2923" s="76" t="s">
        <v>105</v>
      </c>
      <c r="D2923" s="77" t="s">
        <v>84</v>
      </c>
      <c r="F2923" s="94"/>
    </row>
    <row r="2924" spans="1:6" s="53" customFormat="1" ht="14.5" customHeight="1" x14ac:dyDescent="0.35">
      <c r="A2924" s="222" t="s">
        <v>91</v>
      </c>
      <c r="B2924" s="78" t="s">
        <v>831</v>
      </c>
      <c r="C2924" s="79" t="s">
        <v>319</v>
      </c>
      <c r="D2924" s="80">
        <f>F2931</f>
        <v>10865000</v>
      </c>
      <c r="F2924" s="94"/>
    </row>
    <row r="2925" spans="1:6" s="53" customFormat="1" ht="21" thickBot="1" x14ac:dyDescent="0.5">
      <c r="A2925" s="223"/>
      <c r="B2925" s="71"/>
      <c r="C2925" s="71"/>
      <c r="D2925" s="73"/>
      <c r="F2925" s="94"/>
    </row>
    <row r="2926" spans="1:6" s="53" customFormat="1" ht="15" thickBot="1" x14ac:dyDescent="0.4">
      <c r="A2926" s="223"/>
      <c r="B2926" s="81" t="s">
        <v>81</v>
      </c>
      <c r="C2926" s="82" t="s">
        <v>107</v>
      </c>
      <c r="D2926" s="83" t="s">
        <v>108</v>
      </c>
      <c r="F2926" s="94"/>
    </row>
    <row r="2927" spans="1:6" s="87" customFormat="1" x14ac:dyDescent="0.35">
      <c r="A2927" s="223"/>
      <c r="B2927" s="84" t="str">
        <f>B2924</f>
        <v>12th July,2025</v>
      </c>
      <c r="C2927" s="85" t="s">
        <v>1055</v>
      </c>
      <c r="D2927" s="86">
        <f>1850*2777</f>
        <v>5137450</v>
      </c>
      <c r="F2927" s="177"/>
    </row>
    <row r="2928" spans="1:6" s="53" customFormat="1" x14ac:dyDescent="0.35">
      <c r="A2928" s="223"/>
      <c r="B2928" s="88"/>
      <c r="C2928" s="89" t="s">
        <v>188</v>
      </c>
      <c r="D2928" s="90">
        <f>325*2650</f>
        <v>861250</v>
      </c>
      <c r="F2928" s="94"/>
    </row>
    <row r="2929" spans="1:7" s="53" customFormat="1" x14ac:dyDescent="0.35">
      <c r="A2929" s="223"/>
      <c r="B2929" s="88" t="s">
        <v>109</v>
      </c>
      <c r="C2929" s="89" t="s">
        <v>110</v>
      </c>
      <c r="D2929" s="90">
        <v>1000000</v>
      </c>
      <c r="F2929" s="94"/>
    </row>
    <row r="2930" spans="1:7" s="53" customFormat="1" x14ac:dyDescent="0.35">
      <c r="A2930" s="223"/>
      <c r="B2930" s="88" t="s">
        <v>111</v>
      </c>
      <c r="C2930" s="89" t="s">
        <v>112</v>
      </c>
      <c r="D2930" s="90">
        <v>40000</v>
      </c>
      <c r="E2930" s="225" t="s">
        <v>113</v>
      </c>
      <c r="F2930" s="225"/>
    </row>
    <row r="2931" spans="1:7" s="53" customFormat="1" x14ac:dyDescent="0.35">
      <c r="A2931" s="223"/>
      <c r="B2931" s="88" t="s">
        <v>182</v>
      </c>
      <c r="C2931" s="89" t="s">
        <v>115</v>
      </c>
      <c r="D2931" s="90">
        <f>550*120</f>
        <v>66000</v>
      </c>
      <c r="E2931" s="91" t="s">
        <v>116</v>
      </c>
      <c r="F2931" s="92">
        <f>4100*2650</f>
        <v>10865000</v>
      </c>
    </row>
    <row r="2932" spans="1:7" s="53" customFormat="1" x14ac:dyDescent="0.35">
      <c r="A2932" s="223"/>
      <c r="B2932" s="88"/>
      <c r="C2932" s="89" t="s">
        <v>117</v>
      </c>
      <c r="D2932" s="90">
        <f>4400*120</f>
        <v>528000</v>
      </c>
      <c r="E2932" s="93" t="s">
        <v>118</v>
      </c>
      <c r="F2932" s="94">
        <f>4100*2650</f>
        <v>10865000</v>
      </c>
    </row>
    <row r="2933" spans="1:7" s="53" customFormat="1" ht="15" thickBot="1" x14ac:dyDescent="0.4">
      <c r="A2933" s="223"/>
      <c r="B2933" s="88" t="s">
        <v>119</v>
      </c>
      <c r="C2933" s="89" t="s">
        <v>120</v>
      </c>
      <c r="D2933" s="95">
        <v>30000</v>
      </c>
      <c r="E2933" s="96" t="s">
        <v>121</v>
      </c>
      <c r="F2933" s="97">
        <f>F2931-F2932</f>
        <v>0</v>
      </c>
      <c r="G2933" s="98">
        <f>F2933/2650</f>
        <v>0</v>
      </c>
    </row>
    <row r="2934" spans="1:7" s="53" customFormat="1" ht="15" thickTop="1" x14ac:dyDescent="0.35">
      <c r="A2934" s="223"/>
      <c r="B2934" s="88"/>
      <c r="C2934" s="89" t="s">
        <v>122</v>
      </c>
      <c r="D2934" s="90">
        <v>140000</v>
      </c>
      <c r="F2934" s="94"/>
    </row>
    <row r="2935" spans="1:7" s="53" customFormat="1" x14ac:dyDescent="0.35">
      <c r="A2935" s="223"/>
      <c r="B2935" s="88" t="s">
        <v>829</v>
      </c>
      <c r="C2935" s="99" t="s">
        <v>123</v>
      </c>
      <c r="D2935" s="90">
        <v>15000</v>
      </c>
      <c r="E2935" s="91" t="s">
        <v>124</v>
      </c>
      <c r="F2935" s="92"/>
    </row>
    <row r="2936" spans="1:7" s="53" customFormat="1" x14ac:dyDescent="0.35">
      <c r="A2936" s="223"/>
      <c r="B2936" s="101"/>
      <c r="C2936" s="99" t="s">
        <v>125</v>
      </c>
      <c r="D2936" s="100">
        <v>10000</v>
      </c>
      <c r="E2936" s="102"/>
      <c r="F2936" s="103"/>
    </row>
    <row r="2937" spans="1:7" s="53" customFormat="1" x14ac:dyDescent="0.35">
      <c r="A2937" s="223"/>
      <c r="B2937" s="101"/>
      <c r="C2937" s="99" t="s">
        <v>126</v>
      </c>
      <c r="D2937" s="100">
        <v>40000</v>
      </c>
      <c r="E2937" s="102" t="s">
        <v>127</v>
      </c>
      <c r="F2937" s="103"/>
    </row>
    <row r="2938" spans="1:7" s="53" customFormat="1" x14ac:dyDescent="0.35">
      <c r="A2938" s="223"/>
      <c r="B2938" s="101"/>
      <c r="C2938" s="89" t="s">
        <v>265</v>
      </c>
      <c r="D2938" s="104">
        <f>2870*123</f>
        <v>353010</v>
      </c>
      <c r="E2938" s="102" t="s">
        <v>1204</v>
      </c>
      <c r="F2938" s="103"/>
    </row>
    <row r="2939" spans="1:7" s="53" customFormat="1" ht="15" thickBot="1" x14ac:dyDescent="0.4">
      <c r="A2939" s="223"/>
      <c r="B2939" s="105"/>
      <c r="C2939" s="106"/>
      <c r="D2939" s="107"/>
      <c r="F2939" s="94"/>
    </row>
    <row r="2940" spans="1:7" s="53" customFormat="1" ht="15" thickBot="1" x14ac:dyDescent="0.4">
      <c r="A2940" s="223"/>
      <c r="B2940" s="108"/>
      <c r="C2940" s="109" t="s">
        <v>129</v>
      </c>
      <c r="D2940" s="110">
        <f>SUM(D2927:D2939)</f>
        <v>8220710</v>
      </c>
      <c r="F2940" s="94"/>
    </row>
    <row r="2941" spans="1:7" s="53" customFormat="1" ht="15.5" thickTop="1" thickBot="1" x14ac:dyDescent="0.4">
      <c r="A2941" s="224"/>
      <c r="B2941" s="226"/>
      <c r="C2941" s="226"/>
      <c r="D2941" s="226"/>
      <c r="F2941" s="94"/>
    </row>
    <row r="2942" spans="1:7" s="53" customFormat="1" x14ac:dyDescent="0.35">
      <c r="B2942" s="87"/>
      <c r="C2942" s="53" t="s">
        <v>130</v>
      </c>
      <c r="D2942" s="111">
        <f>D2924-D2940</f>
        <v>2644290</v>
      </c>
      <c r="F2942" s="94"/>
    </row>
    <row r="2943" spans="1:7" s="53" customFormat="1" x14ac:dyDescent="0.35">
      <c r="B2943" s="87"/>
      <c r="D2943" s="111"/>
      <c r="F2943" s="94"/>
    </row>
    <row r="2944" spans="1:7" s="53" customFormat="1" x14ac:dyDescent="0.35">
      <c r="A2944" s="112"/>
      <c r="B2944" s="113"/>
      <c r="C2944" s="112"/>
      <c r="D2944" s="114"/>
      <c r="E2944" s="112"/>
      <c r="F2944" s="178"/>
    </row>
    <row r="2946" spans="1:7" s="53" customFormat="1" ht="23.5" x14ac:dyDescent="0.55000000000000004">
      <c r="B2946" s="227" t="s">
        <v>0</v>
      </c>
      <c r="C2946" s="227"/>
      <c r="D2946" s="227"/>
      <c r="E2946" s="70"/>
      <c r="F2946" s="176"/>
    </row>
    <row r="2947" spans="1:7" s="53" customFormat="1" ht="20.5" x14ac:dyDescent="0.45">
      <c r="B2947" s="71"/>
      <c r="C2947" s="72" t="s">
        <v>838</v>
      </c>
      <c r="D2947" s="73"/>
      <c r="F2947" s="94"/>
    </row>
    <row r="2948" spans="1:7" s="53" customFormat="1" ht="21" thickBot="1" x14ac:dyDescent="0.5">
      <c r="B2948" s="71" t="s">
        <v>671</v>
      </c>
      <c r="C2948" s="74" t="s">
        <v>103</v>
      </c>
      <c r="D2948" s="73"/>
      <c r="F2948" s="94"/>
    </row>
    <row r="2949" spans="1:7" s="53" customFormat="1" ht="15" thickBot="1" x14ac:dyDescent="0.4">
      <c r="A2949" s="75" t="s">
        <v>104</v>
      </c>
      <c r="B2949" s="76" t="s">
        <v>81</v>
      </c>
      <c r="C2949" s="76" t="s">
        <v>105</v>
      </c>
      <c r="D2949" s="77" t="s">
        <v>84</v>
      </c>
      <c r="F2949" s="94"/>
    </row>
    <row r="2950" spans="1:7" s="53" customFormat="1" ht="14.5" customHeight="1" x14ac:dyDescent="0.35">
      <c r="A2950" s="222" t="s">
        <v>91</v>
      </c>
      <c r="B2950" s="78" t="s">
        <v>839</v>
      </c>
      <c r="C2950" s="79" t="s">
        <v>319</v>
      </c>
      <c r="D2950" s="80">
        <f>F2957</f>
        <v>10865000</v>
      </c>
      <c r="F2950" s="94"/>
    </row>
    <row r="2951" spans="1:7" s="53" customFormat="1" ht="21" thickBot="1" x14ac:dyDescent="0.5">
      <c r="A2951" s="223"/>
      <c r="B2951" s="71"/>
      <c r="C2951" s="71"/>
      <c r="D2951" s="73"/>
      <c r="F2951" s="94"/>
    </row>
    <row r="2952" spans="1:7" s="53" customFormat="1" ht="15" thickBot="1" x14ac:dyDescent="0.4">
      <c r="A2952" s="223"/>
      <c r="B2952" s="81" t="s">
        <v>81</v>
      </c>
      <c r="C2952" s="82" t="s">
        <v>107</v>
      </c>
      <c r="D2952" s="83" t="s">
        <v>108</v>
      </c>
      <c r="F2952" s="94"/>
    </row>
    <row r="2953" spans="1:7" s="87" customFormat="1" x14ac:dyDescent="0.35">
      <c r="A2953" s="223"/>
      <c r="B2953" s="84" t="str">
        <f>B2950</f>
        <v>14th July,2025</v>
      </c>
      <c r="C2953" s="85" t="s">
        <v>1055</v>
      </c>
      <c r="D2953" s="86">
        <f>1850*2777</f>
        <v>5137450</v>
      </c>
      <c r="F2953" s="177"/>
    </row>
    <row r="2954" spans="1:7" s="53" customFormat="1" x14ac:dyDescent="0.35">
      <c r="A2954" s="223"/>
      <c r="B2954" s="88"/>
      <c r="C2954" s="89" t="s">
        <v>188</v>
      </c>
      <c r="D2954" s="90">
        <f>325*2650</f>
        <v>861250</v>
      </c>
      <c r="F2954" s="94"/>
    </row>
    <row r="2955" spans="1:7" s="53" customFormat="1" x14ac:dyDescent="0.35">
      <c r="A2955" s="223"/>
      <c r="B2955" s="88" t="s">
        <v>109</v>
      </c>
      <c r="C2955" s="89" t="s">
        <v>110</v>
      </c>
      <c r="D2955" s="90">
        <v>1000000</v>
      </c>
      <c r="F2955" s="94"/>
    </row>
    <row r="2956" spans="1:7" s="53" customFormat="1" x14ac:dyDescent="0.35">
      <c r="A2956" s="223"/>
      <c r="B2956" s="88" t="s">
        <v>111</v>
      </c>
      <c r="C2956" s="89" t="s">
        <v>112</v>
      </c>
      <c r="D2956" s="90">
        <v>40000</v>
      </c>
      <c r="E2956" s="225" t="s">
        <v>113</v>
      </c>
      <c r="F2956" s="225"/>
    </row>
    <row r="2957" spans="1:7" s="53" customFormat="1" x14ac:dyDescent="0.35">
      <c r="A2957" s="223"/>
      <c r="B2957" s="88" t="s">
        <v>182</v>
      </c>
      <c r="C2957" s="89" t="s">
        <v>115</v>
      </c>
      <c r="D2957" s="90">
        <f>550*120</f>
        <v>66000</v>
      </c>
      <c r="E2957" s="91" t="s">
        <v>116</v>
      </c>
      <c r="F2957" s="92">
        <f>4100*2650</f>
        <v>10865000</v>
      </c>
    </row>
    <row r="2958" spans="1:7" s="53" customFormat="1" x14ac:dyDescent="0.35">
      <c r="A2958" s="223"/>
      <c r="B2958" s="88"/>
      <c r="C2958" s="89" t="s">
        <v>117</v>
      </c>
      <c r="D2958" s="90">
        <f>4400*120</f>
        <v>528000</v>
      </c>
      <c r="E2958" s="93" t="s">
        <v>118</v>
      </c>
      <c r="F2958" s="94">
        <f>4100*2650</f>
        <v>10865000</v>
      </c>
    </row>
    <row r="2959" spans="1:7" s="53" customFormat="1" ht="15" thickBot="1" x14ac:dyDescent="0.4">
      <c r="A2959" s="223"/>
      <c r="B2959" s="88" t="s">
        <v>119</v>
      </c>
      <c r="C2959" s="89" t="s">
        <v>120</v>
      </c>
      <c r="D2959" s="95">
        <v>30000</v>
      </c>
      <c r="E2959" s="96" t="s">
        <v>121</v>
      </c>
      <c r="F2959" s="97">
        <f>F2957-F2958</f>
        <v>0</v>
      </c>
      <c r="G2959" s="98">
        <f>F2959/2650</f>
        <v>0</v>
      </c>
    </row>
    <row r="2960" spans="1:7" s="53" customFormat="1" ht="15" thickTop="1" x14ac:dyDescent="0.35">
      <c r="A2960" s="223"/>
      <c r="B2960" s="88"/>
      <c r="C2960" s="89" t="s">
        <v>122</v>
      </c>
      <c r="D2960" s="90">
        <v>140000</v>
      </c>
      <c r="F2960" s="94"/>
    </row>
    <row r="2961" spans="1:6" s="53" customFormat="1" x14ac:dyDescent="0.35">
      <c r="A2961" s="223"/>
      <c r="B2961" s="88" t="s">
        <v>837</v>
      </c>
      <c r="C2961" s="99" t="s">
        <v>123</v>
      </c>
      <c r="D2961" s="90">
        <v>15000</v>
      </c>
      <c r="E2961" s="91" t="s">
        <v>124</v>
      </c>
      <c r="F2961" s="92"/>
    </row>
    <row r="2962" spans="1:6" s="53" customFormat="1" x14ac:dyDescent="0.35">
      <c r="A2962" s="223"/>
      <c r="B2962" s="101"/>
      <c r="C2962" s="99" t="s">
        <v>125</v>
      </c>
      <c r="D2962" s="100">
        <v>10000</v>
      </c>
      <c r="E2962" s="102"/>
      <c r="F2962" s="103"/>
    </row>
    <row r="2963" spans="1:6" s="53" customFormat="1" x14ac:dyDescent="0.35">
      <c r="A2963" s="223"/>
      <c r="B2963" s="101"/>
      <c r="C2963" s="99" t="s">
        <v>126</v>
      </c>
      <c r="D2963" s="100">
        <v>40000</v>
      </c>
      <c r="E2963" s="102" t="s">
        <v>127</v>
      </c>
      <c r="F2963" s="103"/>
    </row>
    <row r="2964" spans="1:6" s="53" customFormat="1" x14ac:dyDescent="0.35">
      <c r="A2964" s="223"/>
      <c r="B2964" s="101"/>
      <c r="C2964" s="89" t="s">
        <v>265</v>
      </c>
      <c r="D2964" s="104">
        <f>2870*123</f>
        <v>353010</v>
      </c>
      <c r="E2964" s="102" t="s">
        <v>1204</v>
      </c>
      <c r="F2964" s="103"/>
    </row>
    <row r="2965" spans="1:6" s="53" customFormat="1" ht="15" thickBot="1" x14ac:dyDescent="0.4">
      <c r="A2965" s="223"/>
      <c r="B2965" s="105"/>
      <c r="C2965" s="106"/>
      <c r="D2965" s="107"/>
      <c r="F2965" s="94"/>
    </row>
    <row r="2966" spans="1:6" s="53" customFormat="1" ht="15" thickBot="1" x14ac:dyDescent="0.4">
      <c r="A2966" s="223"/>
      <c r="B2966" s="108"/>
      <c r="C2966" s="109" t="s">
        <v>129</v>
      </c>
      <c r="D2966" s="110">
        <f>SUM(D2953:D2965)</f>
        <v>8220710</v>
      </c>
      <c r="F2966" s="94"/>
    </row>
    <row r="2967" spans="1:6" s="53" customFormat="1" ht="15.5" thickTop="1" thickBot="1" x14ac:dyDescent="0.4">
      <c r="A2967" s="224"/>
      <c r="B2967" s="226"/>
      <c r="C2967" s="226"/>
      <c r="D2967" s="226"/>
      <c r="F2967" s="94"/>
    </row>
    <row r="2968" spans="1:6" s="53" customFormat="1" x14ac:dyDescent="0.35">
      <c r="B2968" s="87"/>
      <c r="C2968" s="53" t="s">
        <v>130</v>
      </c>
      <c r="D2968" s="111">
        <f>D2950-D2966</f>
        <v>2644290</v>
      </c>
      <c r="F2968" s="94"/>
    </row>
    <row r="2969" spans="1:6" s="53" customFormat="1" x14ac:dyDescent="0.35">
      <c r="B2969" s="87"/>
      <c r="D2969" s="111"/>
      <c r="F2969" s="94"/>
    </row>
    <row r="2970" spans="1:6" s="53" customFormat="1" x14ac:dyDescent="0.35">
      <c r="A2970" s="112"/>
      <c r="B2970" s="113"/>
      <c r="C2970" s="112"/>
      <c r="D2970" s="114"/>
      <c r="E2970" s="112"/>
      <c r="F2970" s="178"/>
    </row>
    <row r="2973" spans="1:6" s="53" customFormat="1" ht="23.5" x14ac:dyDescent="0.55000000000000004">
      <c r="B2973" s="227" t="s">
        <v>0</v>
      </c>
      <c r="C2973" s="227"/>
      <c r="D2973" s="227"/>
      <c r="E2973" s="70"/>
      <c r="F2973" s="176"/>
    </row>
    <row r="2974" spans="1:6" s="53" customFormat="1" ht="20.5" x14ac:dyDescent="0.45">
      <c r="B2974" s="71"/>
      <c r="C2974" s="72" t="s">
        <v>843</v>
      </c>
      <c r="D2974" s="73"/>
      <c r="F2974" s="94"/>
    </row>
    <row r="2975" spans="1:6" s="53" customFormat="1" ht="21" thickBot="1" x14ac:dyDescent="0.5">
      <c r="B2975" s="71" t="s">
        <v>844</v>
      </c>
      <c r="C2975" s="74" t="s">
        <v>103</v>
      </c>
      <c r="D2975" s="73"/>
      <c r="F2975" s="94"/>
    </row>
    <row r="2976" spans="1:6" s="53" customFormat="1" ht="15" thickBot="1" x14ac:dyDescent="0.4">
      <c r="A2976" s="75" t="s">
        <v>104</v>
      </c>
      <c r="B2976" s="76" t="s">
        <v>81</v>
      </c>
      <c r="C2976" s="76" t="s">
        <v>105</v>
      </c>
      <c r="D2976" s="77" t="s">
        <v>84</v>
      </c>
      <c r="F2976" s="94"/>
    </row>
    <row r="2977" spans="1:7" s="53" customFormat="1" ht="14.5" customHeight="1" x14ac:dyDescent="0.35">
      <c r="A2977" s="222" t="s">
        <v>91</v>
      </c>
      <c r="B2977" s="78" t="s">
        <v>845</v>
      </c>
      <c r="C2977" s="79" t="s">
        <v>319</v>
      </c>
      <c r="D2977" s="80">
        <f>F2984</f>
        <v>10865000</v>
      </c>
      <c r="F2977" s="94"/>
    </row>
    <row r="2978" spans="1:7" s="53" customFormat="1" ht="21" thickBot="1" x14ac:dyDescent="0.5">
      <c r="A2978" s="223"/>
      <c r="B2978" s="71"/>
      <c r="C2978" s="71"/>
      <c r="D2978" s="73"/>
      <c r="F2978" s="94"/>
    </row>
    <row r="2979" spans="1:7" s="53" customFormat="1" ht="15" thickBot="1" x14ac:dyDescent="0.4">
      <c r="A2979" s="223"/>
      <c r="B2979" s="81" t="s">
        <v>81</v>
      </c>
      <c r="C2979" s="82" t="s">
        <v>107</v>
      </c>
      <c r="D2979" s="83" t="s">
        <v>108</v>
      </c>
      <c r="F2979" s="94"/>
    </row>
    <row r="2980" spans="1:7" s="87" customFormat="1" x14ac:dyDescent="0.35">
      <c r="A2980" s="223"/>
      <c r="B2980" s="84" t="str">
        <f>B2977</f>
        <v>16th July,2025</v>
      </c>
      <c r="C2980" s="85" t="s">
        <v>944</v>
      </c>
      <c r="D2980" s="86">
        <f>1850*2757</f>
        <v>5100450</v>
      </c>
      <c r="F2980" s="177"/>
    </row>
    <row r="2981" spans="1:7" s="53" customFormat="1" x14ac:dyDescent="0.35">
      <c r="A2981" s="223"/>
      <c r="B2981" s="88"/>
      <c r="C2981" s="89" t="s">
        <v>159</v>
      </c>
      <c r="D2981" s="90">
        <f>299*2650</f>
        <v>792350</v>
      </c>
      <c r="F2981" s="94"/>
    </row>
    <row r="2982" spans="1:7" s="53" customFormat="1" x14ac:dyDescent="0.35">
      <c r="A2982" s="223"/>
      <c r="B2982" s="88" t="s">
        <v>109</v>
      </c>
      <c r="C2982" s="89" t="s">
        <v>110</v>
      </c>
      <c r="D2982" s="90">
        <v>1000000</v>
      </c>
      <c r="F2982" s="94"/>
    </row>
    <row r="2983" spans="1:7" s="53" customFormat="1" x14ac:dyDescent="0.35">
      <c r="A2983" s="223"/>
      <c r="B2983" s="88" t="s">
        <v>111</v>
      </c>
      <c r="C2983" s="89" t="s">
        <v>112</v>
      </c>
      <c r="D2983" s="90">
        <v>40000</v>
      </c>
      <c r="E2983" s="225" t="s">
        <v>113</v>
      </c>
      <c r="F2983" s="225"/>
    </row>
    <row r="2984" spans="1:7" s="53" customFormat="1" x14ac:dyDescent="0.35">
      <c r="A2984" s="223"/>
      <c r="B2984" s="88" t="s">
        <v>114</v>
      </c>
      <c r="C2984" s="89" t="s">
        <v>115</v>
      </c>
      <c r="D2984" s="90">
        <f>400*120</f>
        <v>48000</v>
      </c>
      <c r="E2984" s="91" t="s">
        <v>116</v>
      </c>
      <c r="F2984" s="92">
        <f>4100*2650</f>
        <v>10865000</v>
      </c>
    </row>
    <row r="2985" spans="1:7" s="53" customFormat="1" x14ac:dyDescent="0.35">
      <c r="A2985" s="223"/>
      <c r="B2985" s="88"/>
      <c r="C2985" s="89" t="s">
        <v>117</v>
      </c>
      <c r="D2985" s="90">
        <f>3420*120</f>
        <v>410400</v>
      </c>
      <c r="E2985" s="93" t="s">
        <v>118</v>
      </c>
      <c r="F2985" s="94">
        <f>(4100*2650)</f>
        <v>10865000</v>
      </c>
    </row>
    <row r="2986" spans="1:7" s="53" customFormat="1" ht="15" thickBot="1" x14ac:dyDescent="0.4">
      <c r="A2986" s="223"/>
      <c r="B2986" s="88" t="s">
        <v>119</v>
      </c>
      <c r="C2986" s="89" t="s">
        <v>120</v>
      </c>
      <c r="D2986" s="95">
        <v>30000</v>
      </c>
      <c r="E2986" s="96" t="s">
        <v>121</v>
      </c>
      <c r="F2986" s="97">
        <f>F2984-F2985</f>
        <v>0</v>
      </c>
      <c r="G2986" s="98">
        <f>F2986/2650</f>
        <v>0</v>
      </c>
    </row>
    <row r="2987" spans="1:7" s="53" customFormat="1" ht="15" thickTop="1" x14ac:dyDescent="0.35">
      <c r="A2987" s="223"/>
      <c r="B2987" s="88"/>
      <c r="C2987" s="89" t="s">
        <v>122</v>
      </c>
      <c r="D2987" s="90">
        <v>140000</v>
      </c>
      <c r="F2987" s="94"/>
    </row>
    <row r="2988" spans="1:7" s="53" customFormat="1" x14ac:dyDescent="0.35">
      <c r="A2988" s="223"/>
      <c r="B2988" s="88" t="s">
        <v>842</v>
      </c>
      <c r="C2988" s="99" t="s">
        <v>123</v>
      </c>
      <c r="D2988" s="90">
        <v>15000</v>
      </c>
      <c r="E2988" s="91" t="s">
        <v>124</v>
      </c>
      <c r="F2988" s="92"/>
    </row>
    <row r="2989" spans="1:7" s="53" customFormat="1" x14ac:dyDescent="0.35">
      <c r="A2989" s="223"/>
      <c r="B2989" s="101"/>
      <c r="C2989" s="99" t="s">
        <v>125</v>
      </c>
      <c r="D2989" s="100">
        <v>10000</v>
      </c>
      <c r="E2989" s="102"/>
      <c r="F2989" s="103"/>
    </row>
    <row r="2990" spans="1:7" s="53" customFormat="1" x14ac:dyDescent="0.35">
      <c r="A2990" s="223"/>
      <c r="B2990" s="101"/>
      <c r="C2990" s="99" t="s">
        <v>126</v>
      </c>
      <c r="D2990" s="100">
        <v>40000</v>
      </c>
      <c r="E2990" s="102" t="s">
        <v>127</v>
      </c>
      <c r="F2990" s="103"/>
    </row>
    <row r="2991" spans="1:7" s="53" customFormat="1" x14ac:dyDescent="0.35">
      <c r="A2991" s="223"/>
      <c r="B2991" s="101"/>
      <c r="C2991" s="89" t="s">
        <v>265</v>
      </c>
      <c r="D2991" s="104">
        <f>2155*125</f>
        <v>269375</v>
      </c>
      <c r="E2991" s="102" t="s">
        <v>1167</v>
      </c>
      <c r="F2991" s="103"/>
    </row>
    <row r="2992" spans="1:7" s="53" customFormat="1" ht="15" thickBot="1" x14ac:dyDescent="0.4">
      <c r="A2992" s="223"/>
      <c r="B2992" s="105"/>
      <c r="C2992" s="106"/>
      <c r="D2992" s="107"/>
      <c r="F2992" s="94"/>
    </row>
    <row r="2993" spans="1:6" s="53" customFormat="1" ht="15" thickBot="1" x14ac:dyDescent="0.4">
      <c r="A2993" s="223"/>
      <c r="B2993" s="108"/>
      <c r="C2993" s="109" t="s">
        <v>129</v>
      </c>
      <c r="D2993" s="110">
        <f>SUM(D2980:D2992)</f>
        <v>7895575</v>
      </c>
      <c r="F2993" s="94"/>
    </row>
    <row r="2994" spans="1:6" s="53" customFormat="1" ht="15.5" thickTop="1" thickBot="1" x14ac:dyDescent="0.4">
      <c r="A2994" s="224"/>
      <c r="B2994" s="226"/>
      <c r="C2994" s="226"/>
      <c r="D2994" s="226"/>
      <c r="F2994" s="94"/>
    </row>
    <row r="2995" spans="1:6" s="53" customFormat="1" x14ac:dyDescent="0.35">
      <c r="B2995" s="87"/>
      <c r="C2995" s="53" t="s">
        <v>130</v>
      </c>
      <c r="D2995" s="111">
        <f>D2977-D2993</f>
        <v>2969425</v>
      </c>
      <c r="F2995" s="94"/>
    </row>
    <row r="2996" spans="1:6" s="53" customFormat="1" x14ac:dyDescent="0.35">
      <c r="B2996" s="87"/>
      <c r="D2996" s="111"/>
      <c r="F2996" s="94"/>
    </row>
    <row r="2997" spans="1:6" s="53" customFormat="1" x14ac:dyDescent="0.35">
      <c r="A2997" s="112"/>
      <c r="B2997" s="113"/>
      <c r="C2997" s="112"/>
      <c r="D2997" s="114"/>
      <c r="E2997" s="112"/>
      <c r="F2997" s="178"/>
    </row>
    <row r="2999" spans="1:6" s="53" customFormat="1" ht="23.5" x14ac:dyDescent="0.55000000000000004">
      <c r="B2999" s="227" t="s">
        <v>0</v>
      </c>
      <c r="C2999" s="227"/>
      <c r="D2999" s="227"/>
      <c r="E2999" s="70"/>
      <c r="F2999" s="176"/>
    </row>
    <row r="3000" spans="1:6" s="53" customFormat="1" ht="20.5" x14ac:dyDescent="0.45">
      <c r="B3000" s="71"/>
      <c r="C3000" s="72" t="s">
        <v>851</v>
      </c>
      <c r="D3000" s="73"/>
      <c r="F3000" s="94"/>
    </row>
    <row r="3001" spans="1:6" s="53" customFormat="1" ht="21" thickBot="1" x14ac:dyDescent="0.5">
      <c r="B3001" s="71" t="s">
        <v>296</v>
      </c>
      <c r="C3001" s="74" t="s">
        <v>103</v>
      </c>
      <c r="D3001" s="73"/>
      <c r="F3001" s="94"/>
    </row>
    <row r="3002" spans="1:6" s="53" customFormat="1" ht="15" thickBot="1" x14ac:dyDescent="0.4">
      <c r="A3002" s="75" t="s">
        <v>104</v>
      </c>
      <c r="B3002" s="76" t="s">
        <v>81</v>
      </c>
      <c r="C3002" s="76" t="s">
        <v>105</v>
      </c>
      <c r="D3002" s="77" t="s">
        <v>84</v>
      </c>
      <c r="F3002" s="94"/>
    </row>
    <row r="3003" spans="1:6" s="53" customFormat="1" ht="14.5" customHeight="1" x14ac:dyDescent="0.35">
      <c r="A3003" s="222" t="s">
        <v>91</v>
      </c>
      <c r="B3003" s="78" t="s">
        <v>852</v>
      </c>
      <c r="C3003" s="79" t="s">
        <v>319</v>
      </c>
      <c r="D3003" s="80">
        <f>F3010</f>
        <v>10865000</v>
      </c>
      <c r="F3003" s="94"/>
    </row>
    <row r="3004" spans="1:6" s="53" customFormat="1" ht="21" thickBot="1" x14ac:dyDescent="0.5">
      <c r="A3004" s="223"/>
      <c r="B3004" s="71"/>
      <c r="C3004" s="71"/>
      <c r="D3004" s="73"/>
      <c r="F3004" s="94"/>
    </row>
    <row r="3005" spans="1:6" s="53" customFormat="1" ht="15" thickBot="1" x14ac:dyDescent="0.4">
      <c r="A3005" s="223"/>
      <c r="B3005" s="81" t="s">
        <v>81</v>
      </c>
      <c r="C3005" s="82" t="s">
        <v>107</v>
      </c>
      <c r="D3005" s="83" t="s">
        <v>108</v>
      </c>
      <c r="F3005" s="94"/>
    </row>
    <row r="3006" spans="1:6" s="87" customFormat="1" x14ac:dyDescent="0.35">
      <c r="A3006" s="223"/>
      <c r="B3006" s="84" t="str">
        <f>B3003</f>
        <v>17th July,2025</v>
      </c>
      <c r="C3006" s="85" t="s">
        <v>944</v>
      </c>
      <c r="D3006" s="86">
        <f>1850*2757</f>
        <v>5100450</v>
      </c>
      <c r="F3006" s="177"/>
    </row>
    <row r="3007" spans="1:6" s="53" customFormat="1" x14ac:dyDescent="0.35">
      <c r="A3007" s="223"/>
      <c r="B3007" s="88"/>
      <c r="C3007" s="89" t="s">
        <v>159</v>
      </c>
      <c r="D3007" s="90">
        <f>299*2650</f>
        <v>792350</v>
      </c>
      <c r="F3007" s="94"/>
    </row>
    <row r="3008" spans="1:6" s="53" customFormat="1" x14ac:dyDescent="0.35">
      <c r="A3008" s="223"/>
      <c r="B3008" s="88" t="s">
        <v>109</v>
      </c>
      <c r="C3008" s="89" t="s">
        <v>110</v>
      </c>
      <c r="D3008" s="90">
        <v>1000000</v>
      </c>
      <c r="F3008" s="94"/>
    </row>
    <row r="3009" spans="1:7" s="53" customFormat="1" x14ac:dyDescent="0.35">
      <c r="A3009" s="223"/>
      <c r="B3009" s="88" t="s">
        <v>111</v>
      </c>
      <c r="C3009" s="89" t="s">
        <v>112</v>
      </c>
      <c r="D3009" s="90">
        <v>40000</v>
      </c>
      <c r="E3009" s="225" t="s">
        <v>113</v>
      </c>
      <c r="F3009" s="225"/>
    </row>
    <row r="3010" spans="1:7" s="53" customFormat="1" x14ac:dyDescent="0.35">
      <c r="A3010" s="223"/>
      <c r="B3010" s="88" t="s">
        <v>114</v>
      </c>
      <c r="C3010" s="89" t="s">
        <v>115</v>
      </c>
      <c r="D3010" s="90">
        <f>400*120</f>
        <v>48000</v>
      </c>
      <c r="E3010" s="91" t="s">
        <v>116</v>
      </c>
      <c r="F3010" s="92">
        <f>4100*2650</f>
        <v>10865000</v>
      </c>
    </row>
    <row r="3011" spans="1:7" s="53" customFormat="1" x14ac:dyDescent="0.35">
      <c r="A3011" s="223"/>
      <c r="B3011" s="88"/>
      <c r="C3011" s="89" t="s">
        <v>117</v>
      </c>
      <c r="D3011" s="90">
        <f>3420*120</f>
        <v>410400</v>
      </c>
      <c r="E3011" s="93" t="s">
        <v>118</v>
      </c>
      <c r="F3011" s="94">
        <f>(4100*2650)</f>
        <v>10865000</v>
      </c>
    </row>
    <row r="3012" spans="1:7" s="53" customFormat="1" ht="15" thickBot="1" x14ac:dyDescent="0.4">
      <c r="A3012" s="223"/>
      <c r="B3012" s="88" t="s">
        <v>119</v>
      </c>
      <c r="C3012" s="89" t="s">
        <v>120</v>
      </c>
      <c r="D3012" s="95">
        <v>30000</v>
      </c>
      <c r="E3012" s="96" t="s">
        <v>121</v>
      </c>
      <c r="F3012" s="97">
        <f>F3010-F3011</f>
        <v>0</v>
      </c>
      <c r="G3012" s="98">
        <f>F3012/2650</f>
        <v>0</v>
      </c>
    </row>
    <row r="3013" spans="1:7" s="53" customFormat="1" ht="15" thickTop="1" x14ac:dyDescent="0.35">
      <c r="A3013" s="223"/>
      <c r="B3013" s="88"/>
      <c r="C3013" s="89" t="s">
        <v>122</v>
      </c>
      <c r="D3013" s="90">
        <v>140000</v>
      </c>
      <c r="F3013" s="94"/>
    </row>
    <row r="3014" spans="1:7" s="53" customFormat="1" x14ac:dyDescent="0.35">
      <c r="A3014" s="223"/>
      <c r="B3014" s="88" t="s">
        <v>850</v>
      </c>
      <c r="C3014" s="99" t="s">
        <v>123</v>
      </c>
      <c r="D3014" s="90">
        <v>15000</v>
      </c>
      <c r="E3014" s="91" t="s">
        <v>124</v>
      </c>
      <c r="F3014" s="92"/>
    </row>
    <row r="3015" spans="1:7" s="53" customFormat="1" x14ac:dyDescent="0.35">
      <c r="A3015" s="223"/>
      <c r="B3015" s="101"/>
      <c r="C3015" s="99" t="s">
        <v>125</v>
      </c>
      <c r="D3015" s="100">
        <v>10000</v>
      </c>
      <c r="E3015" s="102"/>
      <c r="F3015" s="103"/>
    </row>
    <row r="3016" spans="1:7" s="53" customFormat="1" x14ac:dyDescent="0.35">
      <c r="A3016" s="223"/>
      <c r="B3016" s="101"/>
      <c r="C3016" s="99" t="s">
        <v>126</v>
      </c>
      <c r="D3016" s="100">
        <v>40000</v>
      </c>
      <c r="E3016" s="102" t="s">
        <v>127</v>
      </c>
      <c r="F3016" s="103"/>
    </row>
    <row r="3017" spans="1:7" s="53" customFormat="1" x14ac:dyDescent="0.35">
      <c r="A3017" s="223"/>
      <c r="B3017" s="101"/>
      <c r="C3017" s="89" t="s">
        <v>265</v>
      </c>
      <c r="D3017" s="104">
        <f>2155*125</f>
        <v>269375</v>
      </c>
      <c r="E3017" s="102" t="s">
        <v>1167</v>
      </c>
      <c r="F3017" s="103"/>
    </row>
    <row r="3018" spans="1:7" s="53" customFormat="1" ht="15" thickBot="1" x14ac:dyDescent="0.4">
      <c r="A3018" s="223"/>
      <c r="B3018" s="105"/>
      <c r="C3018" s="106"/>
      <c r="D3018" s="107"/>
      <c r="F3018" s="94"/>
    </row>
    <row r="3019" spans="1:7" s="53" customFormat="1" ht="15" thickBot="1" x14ac:dyDescent="0.4">
      <c r="A3019" s="223"/>
      <c r="B3019" s="108"/>
      <c r="C3019" s="109" t="s">
        <v>129</v>
      </c>
      <c r="D3019" s="110">
        <f>SUM(D3006:D3018)</f>
        <v>7895575</v>
      </c>
      <c r="F3019" s="94"/>
    </row>
    <row r="3020" spans="1:7" s="53" customFormat="1" ht="15.5" thickTop="1" thickBot="1" x14ac:dyDescent="0.4">
      <c r="A3020" s="224"/>
      <c r="B3020" s="226"/>
      <c r="C3020" s="226"/>
      <c r="D3020" s="226"/>
      <c r="F3020" s="94"/>
    </row>
    <row r="3021" spans="1:7" s="53" customFormat="1" x14ac:dyDescent="0.35">
      <c r="B3021" s="87"/>
      <c r="C3021" s="53" t="s">
        <v>130</v>
      </c>
      <c r="D3021" s="111">
        <f>D3003-D3019</f>
        <v>2969425</v>
      </c>
      <c r="F3021" s="94"/>
    </row>
    <row r="3022" spans="1:7" s="53" customFormat="1" x14ac:dyDescent="0.35">
      <c r="B3022" s="87"/>
      <c r="D3022" s="111"/>
      <c r="F3022" s="94"/>
    </row>
    <row r="3023" spans="1:7" s="53" customFormat="1" x14ac:dyDescent="0.35">
      <c r="A3023" s="112"/>
      <c r="B3023" s="113"/>
      <c r="C3023" s="112"/>
      <c r="D3023" s="114"/>
      <c r="E3023" s="112"/>
      <c r="F3023" s="178"/>
    </row>
    <row r="3025" spans="1:7" s="53" customFormat="1" ht="23.5" x14ac:dyDescent="0.55000000000000004">
      <c r="B3025" s="227" t="s">
        <v>0</v>
      </c>
      <c r="C3025" s="227"/>
      <c r="D3025" s="227"/>
      <c r="E3025" s="70"/>
      <c r="F3025" s="176"/>
    </row>
    <row r="3026" spans="1:7" s="53" customFormat="1" ht="20.5" x14ac:dyDescent="0.45">
      <c r="B3026" s="71"/>
      <c r="C3026" s="72" t="s">
        <v>856</v>
      </c>
      <c r="D3026" s="73"/>
      <c r="F3026" s="94"/>
    </row>
    <row r="3027" spans="1:7" s="53" customFormat="1" ht="21" thickBot="1" x14ac:dyDescent="0.5">
      <c r="B3027" s="71" t="s">
        <v>163</v>
      </c>
      <c r="C3027" s="74" t="s">
        <v>103</v>
      </c>
      <c r="D3027" s="73"/>
      <c r="F3027" s="94"/>
    </row>
    <row r="3028" spans="1:7" s="53" customFormat="1" ht="15" thickBot="1" x14ac:dyDescent="0.4">
      <c r="A3028" s="75" t="s">
        <v>104</v>
      </c>
      <c r="B3028" s="76" t="s">
        <v>81</v>
      </c>
      <c r="C3028" s="76" t="s">
        <v>105</v>
      </c>
      <c r="D3028" s="77" t="s">
        <v>84</v>
      </c>
      <c r="F3028" s="94"/>
    </row>
    <row r="3029" spans="1:7" s="53" customFormat="1" ht="14.5" customHeight="1" x14ac:dyDescent="0.35">
      <c r="A3029" s="222" t="s">
        <v>91</v>
      </c>
      <c r="B3029" s="78" t="s">
        <v>857</v>
      </c>
      <c r="C3029" s="79" t="s">
        <v>106</v>
      </c>
      <c r="D3029" s="80">
        <f>F3036</f>
        <v>11792000</v>
      </c>
      <c r="F3029" s="94"/>
    </row>
    <row r="3030" spans="1:7" s="53" customFormat="1" ht="21" thickBot="1" x14ac:dyDescent="0.5">
      <c r="A3030" s="223"/>
      <c r="B3030" s="71"/>
      <c r="C3030" s="71"/>
      <c r="D3030" s="73"/>
      <c r="F3030" s="94"/>
    </row>
    <row r="3031" spans="1:7" s="53" customFormat="1" ht="15" thickBot="1" x14ac:dyDescent="0.4">
      <c r="A3031" s="223"/>
      <c r="B3031" s="81" t="s">
        <v>81</v>
      </c>
      <c r="C3031" s="82" t="s">
        <v>107</v>
      </c>
      <c r="D3031" s="83" t="s">
        <v>108</v>
      </c>
      <c r="F3031" s="94"/>
    </row>
    <row r="3032" spans="1:7" s="87" customFormat="1" x14ac:dyDescent="0.35">
      <c r="A3032" s="223"/>
      <c r="B3032" s="84" t="str">
        <f>B3029</f>
        <v>21st July,2025</v>
      </c>
      <c r="C3032" s="85" t="s">
        <v>1055</v>
      </c>
      <c r="D3032" s="86">
        <f>1850*2777</f>
        <v>5137450</v>
      </c>
      <c r="F3032" s="177"/>
    </row>
    <row r="3033" spans="1:7" s="53" customFormat="1" x14ac:dyDescent="0.35">
      <c r="A3033" s="223"/>
      <c r="B3033" s="88"/>
      <c r="C3033" s="89" t="s">
        <v>388</v>
      </c>
      <c r="D3033" s="90">
        <f>356*2650</f>
        <v>943400</v>
      </c>
      <c r="F3033" s="94"/>
    </row>
    <row r="3034" spans="1:7" s="53" customFormat="1" x14ac:dyDescent="0.35">
      <c r="A3034" s="223"/>
      <c r="B3034" s="88" t="s">
        <v>109</v>
      </c>
      <c r="C3034" s="89" t="s">
        <v>110</v>
      </c>
      <c r="D3034" s="90">
        <v>1000000</v>
      </c>
      <c r="F3034" s="94"/>
    </row>
    <row r="3035" spans="1:7" s="53" customFormat="1" x14ac:dyDescent="0.35">
      <c r="A3035" s="223"/>
      <c r="B3035" s="88" t="s">
        <v>111</v>
      </c>
      <c r="C3035" s="89" t="s">
        <v>112</v>
      </c>
      <c r="D3035" s="90">
        <v>40000</v>
      </c>
      <c r="E3035" s="225" t="s">
        <v>113</v>
      </c>
      <c r="F3035" s="225"/>
    </row>
    <row r="3036" spans="1:7" s="53" customFormat="1" x14ac:dyDescent="0.35">
      <c r="A3036" s="223"/>
      <c r="B3036" s="88" t="s">
        <v>415</v>
      </c>
      <c r="C3036" s="89" t="s">
        <v>115</v>
      </c>
      <c r="D3036" s="90">
        <f>720*128</f>
        <v>92160</v>
      </c>
      <c r="E3036" s="91" t="s">
        <v>116</v>
      </c>
      <c r="F3036" s="92">
        <f>4400*2680</f>
        <v>11792000</v>
      </c>
    </row>
    <row r="3037" spans="1:7" s="53" customFormat="1" x14ac:dyDescent="0.35">
      <c r="A3037" s="223"/>
      <c r="B3037" s="88"/>
      <c r="C3037" s="89" t="s">
        <v>117</v>
      </c>
      <c r="D3037" s="90">
        <f>3400*128</f>
        <v>435200</v>
      </c>
      <c r="E3037" s="93" t="s">
        <v>118</v>
      </c>
      <c r="F3037" s="94">
        <f>(2640*2680)+(1760*2680)</f>
        <v>11792000</v>
      </c>
    </row>
    <row r="3038" spans="1:7" s="53" customFormat="1" ht="15" thickBot="1" x14ac:dyDescent="0.4">
      <c r="A3038" s="223"/>
      <c r="B3038" s="88" t="s">
        <v>119</v>
      </c>
      <c r="C3038" s="89" t="s">
        <v>120</v>
      </c>
      <c r="D3038" s="95">
        <v>30000</v>
      </c>
      <c r="E3038" s="96" t="s">
        <v>121</v>
      </c>
      <c r="F3038" s="97">
        <f>F3036-F3037</f>
        <v>0</v>
      </c>
      <c r="G3038" s="98">
        <f>F3038/2680</f>
        <v>0</v>
      </c>
    </row>
    <row r="3039" spans="1:7" s="53" customFormat="1" ht="15" thickTop="1" x14ac:dyDescent="0.35">
      <c r="A3039" s="223"/>
      <c r="B3039" s="88"/>
      <c r="C3039" s="99" t="s">
        <v>123</v>
      </c>
      <c r="D3039" s="100">
        <v>15000</v>
      </c>
      <c r="F3039" s="94"/>
    </row>
    <row r="3040" spans="1:7" s="53" customFormat="1" x14ac:dyDescent="0.35">
      <c r="A3040" s="223"/>
      <c r="B3040" s="88" t="s">
        <v>213</v>
      </c>
      <c r="C3040" s="99" t="s">
        <v>126</v>
      </c>
      <c r="D3040" s="100">
        <v>30000</v>
      </c>
      <c r="E3040" s="91" t="s">
        <v>124</v>
      </c>
      <c r="F3040" s="92"/>
    </row>
    <row r="3041" spans="1:6" s="53" customFormat="1" x14ac:dyDescent="0.35">
      <c r="A3041" s="223"/>
      <c r="B3041" s="101"/>
      <c r="C3041" s="99"/>
      <c r="D3041" s="100"/>
      <c r="E3041" s="102"/>
      <c r="F3041" s="103"/>
    </row>
    <row r="3042" spans="1:6" s="53" customFormat="1" x14ac:dyDescent="0.35">
      <c r="A3042" s="223"/>
      <c r="B3042" s="101"/>
      <c r="C3042" s="99"/>
      <c r="D3042" s="100"/>
      <c r="E3042" s="102" t="s">
        <v>127</v>
      </c>
      <c r="F3042" s="103"/>
    </row>
    <row r="3043" spans="1:6" s="53" customFormat="1" x14ac:dyDescent="0.35">
      <c r="A3043" s="223"/>
      <c r="B3043" s="101"/>
      <c r="C3043" s="89"/>
      <c r="D3043" s="90"/>
      <c r="E3043" s="102" t="s">
        <v>907</v>
      </c>
      <c r="F3043" s="103"/>
    </row>
    <row r="3044" spans="1:6" s="53" customFormat="1" ht="15" thickBot="1" x14ac:dyDescent="0.4">
      <c r="A3044" s="223"/>
      <c r="B3044" s="105"/>
      <c r="C3044" s="106"/>
      <c r="D3044" s="107"/>
      <c r="E3044" s="53" t="s">
        <v>1389</v>
      </c>
      <c r="F3044" s="94"/>
    </row>
    <row r="3045" spans="1:6" s="53" customFormat="1" ht="15" thickBot="1" x14ac:dyDescent="0.4">
      <c r="A3045" s="223"/>
      <c r="B3045" s="108"/>
      <c r="C3045" s="109" t="s">
        <v>129</v>
      </c>
      <c r="D3045" s="110">
        <f>SUM(D3032:D3044)</f>
        <v>7723210</v>
      </c>
      <c r="F3045" s="94"/>
    </row>
    <row r="3046" spans="1:6" s="53" customFormat="1" ht="15.5" thickTop="1" thickBot="1" x14ac:dyDescent="0.4">
      <c r="A3046" s="224"/>
      <c r="B3046" s="226"/>
      <c r="C3046" s="226"/>
      <c r="D3046" s="226"/>
      <c r="F3046" s="94"/>
    </row>
    <row r="3047" spans="1:6" s="53" customFormat="1" x14ac:dyDescent="0.35">
      <c r="B3047" s="87"/>
      <c r="C3047" s="53" t="s">
        <v>130</v>
      </c>
      <c r="D3047" s="111">
        <f>D3029-D3045</f>
        <v>4068790</v>
      </c>
      <c r="F3047" s="94"/>
    </row>
    <row r="3048" spans="1:6" s="53" customFormat="1" x14ac:dyDescent="0.35">
      <c r="B3048" s="87"/>
      <c r="D3048" s="111"/>
      <c r="F3048" s="94"/>
    </row>
    <row r="3049" spans="1:6" s="53" customFormat="1" x14ac:dyDescent="0.35">
      <c r="A3049" s="112"/>
      <c r="B3049" s="113"/>
      <c r="C3049" s="112"/>
      <c r="D3049" s="114"/>
      <c r="E3049" s="112"/>
      <c r="F3049" s="178"/>
    </row>
    <row r="3051" spans="1:6" s="53" customFormat="1" ht="23.5" x14ac:dyDescent="0.55000000000000004">
      <c r="B3051" s="227" t="s">
        <v>0</v>
      </c>
      <c r="C3051" s="227"/>
      <c r="D3051" s="227"/>
      <c r="E3051" s="70"/>
      <c r="F3051" s="176"/>
    </row>
    <row r="3052" spans="1:6" s="53" customFormat="1" ht="20.5" x14ac:dyDescent="0.45">
      <c r="B3052" s="71"/>
      <c r="C3052" s="72" t="s">
        <v>864</v>
      </c>
      <c r="D3052" s="73"/>
      <c r="F3052" s="94"/>
    </row>
    <row r="3053" spans="1:6" s="53" customFormat="1" ht="21" thickBot="1" x14ac:dyDescent="0.5">
      <c r="B3053" s="71" t="s">
        <v>704</v>
      </c>
      <c r="C3053" s="74" t="s">
        <v>103</v>
      </c>
      <c r="D3053" s="73"/>
      <c r="F3053" s="94"/>
    </row>
    <row r="3054" spans="1:6" s="53" customFormat="1" ht="15" thickBot="1" x14ac:dyDescent="0.4">
      <c r="A3054" s="75" t="s">
        <v>104</v>
      </c>
      <c r="B3054" s="76" t="s">
        <v>81</v>
      </c>
      <c r="C3054" s="76" t="s">
        <v>105</v>
      </c>
      <c r="D3054" s="77" t="s">
        <v>84</v>
      </c>
      <c r="F3054" s="94"/>
    </row>
    <row r="3055" spans="1:6" s="53" customFormat="1" ht="14.5" customHeight="1" x14ac:dyDescent="0.35">
      <c r="A3055" s="222" t="s">
        <v>91</v>
      </c>
      <c r="B3055" s="78" t="s">
        <v>871</v>
      </c>
      <c r="C3055" s="79" t="s">
        <v>106</v>
      </c>
      <c r="D3055" s="80">
        <f>F3062</f>
        <v>11792000</v>
      </c>
      <c r="F3055" s="94"/>
    </row>
    <row r="3056" spans="1:6" s="53" customFormat="1" ht="21" thickBot="1" x14ac:dyDescent="0.5">
      <c r="A3056" s="223"/>
      <c r="B3056" s="71"/>
      <c r="C3056" s="71"/>
      <c r="D3056" s="73"/>
      <c r="F3056" s="94"/>
    </row>
    <row r="3057" spans="1:7" s="53" customFormat="1" ht="15" thickBot="1" x14ac:dyDescent="0.4">
      <c r="A3057" s="223"/>
      <c r="B3057" s="81" t="s">
        <v>81</v>
      </c>
      <c r="C3057" s="82" t="s">
        <v>107</v>
      </c>
      <c r="D3057" s="83" t="s">
        <v>108</v>
      </c>
      <c r="F3057" s="94"/>
    </row>
    <row r="3058" spans="1:7" s="87" customFormat="1" x14ac:dyDescent="0.35">
      <c r="A3058" s="223"/>
      <c r="B3058" s="84" t="str">
        <f>B3055</f>
        <v>23rd July,2025</v>
      </c>
      <c r="C3058" s="85" t="s">
        <v>1055</v>
      </c>
      <c r="D3058" s="86">
        <f>1850*2777</f>
        <v>5137450</v>
      </c>
      <c r="F3058" s="177"/>
    </row>
    <row r="3059" spans="1:7" s="53" customFormat="1" x14ac:dyDescent="0.35">
      <c r="A3059" s="223"/>
      <c r="B3059" s="88"/>
      <c r="C3059" s="89" t="s">
        <v>388</v>
      </c>
      <c r="D3059" s="90">
        <f>356*2650</f>
        <v>943400</v>
      </c>
      <c r="F3059" s="94"/>
    </row>
    <row r="3060" spans="1:7" s="53" customFormat="1" x14ac:dyDescent="0.35">
      <c r="A3060" s="223"/>
      <c r="B3060" s="88" t="s">
        <v>109</v>
      </c>
      <c r="C3060" s="89" t="s">
        <v>110</v>
      </c>
      <c r="D3060" s="90">
        <v>1000000</v>
      </c>
      <c r="F3060" s="94"/>
    </row>
    <row r="3061" spans="1:7" s="53" customFormat="1" x14ac:dyDescent="0.35">
      <c r="A3061" s="223"/>
      <c r="B3061" s="88" t="s">
        <v>111</v>
      </c>
      <c r="C3061" s="89" t="s">
        <v>112</v>
      </c>
      <c r="D3061" s="90">
        <v>40000</v>
      </c>
      <c r="E3061" s="225" t="s">
        <v>113</v>
      </c>
      <c r="F3061" s="225"/>
    </row>
    <row r="3062" spans="1:7" s="53" customFormat="1" x14ac:dyDescent="0.35">
      <c r="A3062" s="223"/>
      <c r="B3062" s="88" t="s">
        <v>415</v>
      </c>
      <c r="C3062" s="89" t="s">
        <v>115</v>
      </c>
      <c r="D3062" s="90">
        <f>720*128</f>
        <v>92160</v>
      </c>
      <c r="E3062" s="91" t="s">
        <v>116</v>
      </c>
      <c r="F3062" s="92">
        <f>4400*2680</f>
        <v>11792000</v>
      </c>
    </row>
    <row r="3063" spans="1:7" s="53" customFormat="1" x14ac:dyDescent="0.35">
      <c r="A3063" s="223"/>
      <c r="B3063" s="88"/>
      <c r="C3063" s="89" t="s">
        <v>117</v>
      </c>
      <c r="D3063" s="90">
        <f>3400*128</f>
        <v>435200</v>
      </c>
      <c r="E3063" s="93" t="s">
        <v>118</v>
      </c>
      <c r="F3063" s="94">
        <f>(2640*2680)+(1760*2680)</f>
        <v>11792000</v>
      </c>
    </row>
    <row r="3064" spans="1:7" s="53" customFormat="1" ht="15" thickBot="1" x14ac:dyDescent="0.4">
      <c r="A3064" s="223"/>
      <c r="B3064" s="88" t="s">
        <v>119</v>
      </c>
      <c r="C3064" s="89" t="s">
        <v>120</v>
      </c>
      <c r="D3064" s="95">
        <v>30000</v>
      </c>
      <c r="E3064" s="96" t="s">
        <v>121</v>
      </c>
      <c r="F3064" s="97">
        <f>F3062-F3063</f>
        <v>0</v>
      </c>
      <c r="G3064" s="98">
        <f>F3064/2680</f>
        <v>0</v>
      </c>
    </row>
    <row r="3065" spans="1:7" s="53" customFormat="1" ht="15" thickTop="1" x14ac:dyDescent="0.35">
      <c r="A3065" s="223"/>
      <c r="B3065" s="88"/>
      <c r="C3065" s="99" t="s">
        <v>123</v>
      </c>
      <c r="D3065" s="100">
        <v>15000</v>
      </c>
      <c r="F3065" s="94"/>
    </row>
    <row r="3066" spans="1:7" s="53" customFormat="1" x14ac:dyDescent="0.35">
      <c r="A3066" s="223"/>
      <c r="B3066" s="88" t="s">
        <v>213</v>
      </c>
      <c r="C3066" s="99" t="s">
        <v>126</v>
      </c>
      <c r="D3066" s="100">
        <v>30000</v>
      </c>
      <c r="E3066" s="91" t="s">
        <v>124</v>
      </c>
      <c r="F3066" s="92"/>
    </row>
    <row r="3067" spans="1:7" s="53" customFormat="1" x14ac:dyDescent="0.35">
      <c r="A3067" s="223"/>
      <c r="B3067" s="101"/>
      <c r="C3067" s="99"/>
      <c r="D3067" s="100"/>
      <c r="E3067" s="102"/>
      <c r="F3067" s="103"/>
    </row>
    <row r="3068" spans="1:7" s="53" customFormat="1" x14ac:dyDescent="0.35">
      <c r="A3068" s="223"/>
      <c r="B3068" s="101"/>
      <c r="C3068" s="99"/>
      <c r="D3068" s="100"/>
      <c r="E3068" s="102" t="s">
        <v>127</v>
      </c>
      <c r="F3068" s="103"/>
    </row>
    <row r="3069" spans="1:7" s="53" customFormat="1" x14ac:dyDescent="0.35">
      <c r="A3069" s="223"/>
      <c r="B3069" s="101"/>
      <c r="C3069" s="89"/>
      <c r="D3069" s="90"/>
      <c r="E3069" s="102" t="s">
        <v>907</v>
      </c>
      <c r="F3069" s="103"/>
    </row>
    <row r="3070" spans="1:7" s="53" customFormat="1" ht="15" thickBot="1" x14ac:dyDescent="0.4">
      <c r="A3070" s="223"/>
      <c r="B3070" s="105"/>
      <c r="C3070" s="106"/>
      <c r="D3070" s="107"/>
      <c r="E3070" s="53" t="s">
        <v>1389</v>
      </c>
      <c r="F3070" s="94"/>
    </row>
    <row r="3071" spans="1:7" s="53" customFormat="1" ht="15" thickBot="1" x14ac:dyDescent="0.4">
      <c r="A3071" s="223"/>
      <c r="B3071" s="108"/>
      <c r="C3071" s="109" t="s">
        <v>129</v>
      </c>
      <c r="D3071" s="110">
        <f>SUM(D3058:D3070)</f>
        <v>7723210</v>
      </c>
      <c r="F3071" s="94"/>
    </row>
    <row r="3072" spans="1:7" s="53" customFormat="1" ht="15.5" thickTop="1" thickBot="1" x14ac:dyDescent="0.4">
      <c r="A3072" s="224"/>
      <c r="B3072" s="226"/>
      <c r="C3072" s="226"/>
      <c r="D3072" s="226"/>
      <c r="F3072" s="94"/>
    </row>
    <row r="3073" spans="1:6" s="53" customFormat="1" x14ac:dyDescent="0.35">
      <c r="B3073" s="87"/>
      <c r="C3073" s="53" t="s">
        <v>130</v>
      </c>
      <c r="D3073" s="111">
        <f>D3055-D3071</f>
        <v>4068790</v>
      </c>
      <c r="F3073" s="94"/>
    </row>
    <row r="3074" spans="1:6" s="53" customFormat="1" x14ac:dyDescent="0.35">
      <c r="B3074" s="87"/>
      <c r="D3074" s="111"/>
      <c r="F3074" s="94"/>
    </row>
    <row r="3075" spans="1:6" s="53" customFormat="1" x14ac:dyDescent="0.35">
      <c r="A3075" s="112"/>
      <c r="B3075" s="113"/>
      <c r="C3075" s="112"/>
      <c r="D3075" s="114"/>
      <c r="E3075" s="112"/>
      <c r="F3075" s="178"/>
    </row>
    <row r="3077" spans="1:6" s="53" customFormat="1" ht="23.5" x14ac:dyDescent="0.55000000000000004">
      <c r="B3077" s="227" t="s">
        <v>0</v>
      </c>
      <c r="C3077" s="227"/>
      <c r="D3077" s="227"/>
      <c r="E3077" s="70"/>
      <c r="F3077" s="176"/>
    </row>
    <row r="3078" spans="1:6" s="53" customFormat="1" ht="20.5" x14ac:dyDescent="0.45">
      <c r="B3078" s="71"/>
      <c r="C3078" s="72" t="s">
        <v>869</v>
      </c>
      <c r="D3078" s="73"/>
      <c r="F3078" s="94"/>
    </row>
    <row r="3079" spans="1:6" s="53" customFormat="1" ht="21" thickBot="1" x14ac:dyDescent="0.5">
      <c r="B3079" s="71" t="s">
        <v>167</v>
      </c>
      <c r="C3079" s="74" t="s">
        <v>103</v>
      </c>
      <c r="D3079" s="73"/>
      <c r="F3079" s="94"/>
    </row>
    <row r="3080" spans="1:6" s="53" customFormat="1" ht="15" thickBot="1" x14ac:dyDescent="0.4">
      <c r="A3080" s="75" t="s">
        <v>104</v>
      </c>
      <c r="B3080" s="76" t="s">
        <v>81</v>
      </c>
      <c r="C3080" s="76" t="s">
        <v>105</v>
      </c>
      <c r="D3080" s="77" t="s">
        <v>84</v>
      </c>
      <c r="F3080" s="94"/>
    </row>
    <row r="3081" spans="1:6" s="53" customFormat="1" ht="14.5" customHeight="1" x14ac:dyDescent="0.35">
      <c r="A3081" s="222" t="s">
        <v>91</v>
      </c>
      <c r="B3081" s="78" t="s">
        <v>870</v>
      </c>
      <c r="C3081" s="79" t="s">
        <v>106</v>
      </c>
      <c r="D3081" s="80">
        <f>F3088</f>
        <v>11792000</v>
      </c>
      <c r="F3081" s="94"/>
    </row>
    <row r="3082" spans="1:6" s="53" customFormat="1" ht="21" thickBot="1" x14ac:dyDescent="0.5">
      <c r="A3082" s="223"/>
      <c r="B3082" s="71"/>
      <c r="C3082" s="71"/>
      <c r="D3082" s="73"/>
      <c r="F3082" s="94"/>
    </row>
    <row r="3083" spans="1:6" s="53" customFormat="1" ht="15" thickBot="1" x14ac:dyDescent="0.4">
      <c r="A3083" s="223"/>
      <c r="B3083" s="81" t="s">
        <v>81</v>
      </c>
      <c r="C3083" s="82" t="s">
        <v>107</v>
      </c>
      <c r="D3083" s="83" t="s">
        <v>108</v>
      </c>
      <c r="F3083" s="94"/>
    </row>
    <row r="3084" spans="1:6" s="87" customFormat="1" x14ac:dyDescent="0.35">
      <c r="A3084" s="223"/>
      <c r="B3084" s="84" t="str">
        <f>B3081</f>
        <v>24th July,2025</v>
      </c>
      <c r="C3084" s="85" t="s">
        <v>1055</v>
      </c>
      <c r="D3084" s="86">
        <f>1850*2777</f>
        <v>5137450</v>
      </c>
      <c r="F3084" s="177"/>
    </row>
    <row r="3085" spans="1:6" s="53" customFormat="1" x14ac:dyDescent="0.35">
      <c r="A3085" s="223"/>
      <c r="B3085" s="88"/>
      <c r="C3085" s="89" t="s">
        <v>388</v>
      </c>
      <c r="D3085" s="90">
        <f>356*2650</f>
        <v>943400</v>
      </c>
      <c r="F3085" s="94"/>
    </row>
    <row r="3086" spans="1:6" s="53" customFormat="1" x14ac:dyDescent="0.35">
      <c r="A3086" s="223"/>
      <c r="B3086" s="88" t="s">
        <v>109</v>
      </c>
      <c r="C3086" s="89" t="s">
        <v>110</v>
      </c>
      <c r="D3086" s="90">
        <v>1000000</v>
      </c>
      <c r="F3086" s="94"/>
    </row>
    <row r="3087" spans="1:6" s="53" customFormat="1" x14ac:dyDescent="0.35">
      <c r="A3087" s="223"/>
      <c r="B3087" s="88" t="s">
        <v>111</v>
      </c>
      <c r="C3087" s="89" t="s">
        <v>112</v>
      </c>
      <c r="D3087" s="90">
        <v>40000</v>
      </c>
      <c r="E3087" s="225" t="s">
        <v>113</v>
      </c>
      <c r="F3087" s="225"/>
    </row>
    <row r="3088" spans="1:6" s="53" customFormat="1" x14ac:dyDescent="0.35">
      <c r="A3088" s="223"/>
      <c r="B3088" s="88" t="s">
        <v>415</v>
      </c>
      <c r="C3088" s="89" t="s">
        <v>115</v>
      </c>
      <c r="D3088" s="90">
        <f>720*128</f>
        <v>92160</v>
      </c>
      <c r="E3088" s="91" t="s">
        <v>116</v>
      </c>
      <c r="F3088" s="92">
        <f>4400*2680</f>
        <v>11792000</v>
      </c>
    </row>
    <row r="3089" spans="1:7" s="53" customFormat="1" x14ac:dyDescent="0.35">
      <c r="A3089" s="223"/>
      <c r="B3089" s="88"/>
      <c r="C3089" s="89" t="s">
        <v>117</v>
      </c>
      <c r="D3089" s="90">
        <f>3400*128</f>
        <v>435200</v>
      </c>
      <c r="E3089" s="93" t="s">
        <v>118</v>
      </c>
      <c r="F3089" s="94">
        <f>(2640*2680)+(1760*2680)</f>
        <v>11792000</v>
      </c>
    </row>
    <row r="3090" spans="1:7" s="53" customFormat="1" ht="15" thickBot="1" x14ac:dyDescent="0.4">
      <c r="A3090" s="223"/>
      <c r="B3090" s="88" t="s">
        <v>119</v>
      </c>
      <c r="C3090" s="89" t="s">
        <v>120</v>
      </c>
      <c r="D3090" s="95">
        <v>30000</v>
      </c>
      <c r="E3090" s="96" t="s">
        <v>121</v>
      </c>
      <c r="F3090" s="97">
        <f>F3088-F3089</f>
        <v>0</v>
      </c>
      <c r="G3090" s="98">
        <f>F3090/2680</f>
        <v>0</v>
      </c>
    </row>
    <row r="3091" spans="1:7" s="53" customFormat="1" ht="15" thickTop="1" x14ac:dyDescent="0.35">
      <c r="A3091" s="223"/>
      <c r="B3091" s="88"/>
      <c r="C3091" s="99" t="s">
        <v>123</v>
      </c>
      <c r="D3091" s="100">
        <v>15000</v>
      </c>
      <c r="F3091" s="94"/>
    </row>
    <row r="3092" spans="1:7" s="53" customFormat="1" x14ac:dyDescent="0.35">
      <c r="A3092" s="223"/>
      <c r="B3092" s="88" t="s">
        <v>213</v>
      </c>
      <c r="C3092" s="99" t="s">
        <v>126</v>
      </c>
      <c r="D3092" s="100">
        <v>30000</v>
      </c>
      <c r="E3092" s="91" t="s">
        <v>124</v>
      </c>
      <c r="F3092" s="92"/>
    </row>
    <row r="3093" spans="1:7" s="53" customFormat="1" x14ac:dyDescent="0.35">
      <c r="A3093" s="223"/>
      <c r="B3093" s="101"/>
      <c r="C3093" s="99"/>
      <c r="D3093" s="100"/>
      <c r="E3093" s="102"/>
      <c r="F3093" s="103"/>
    </row>
    <row r="3094" spans="1:7" s="53" customFormat="1" x14ac:dyDescent="0.35">
      <c r="A3094" s="223"/>
      <c r="B3094" s="101"/>
      <c r="C3094" s="99"/>
      <c r="D3094" s="100"/>
      <c r="E3094" s="102" t="s">
        <v>127</v>
      </c>
      <c r="F3094" s="103"/>
    </row>
    <row r="3095" spans="1:7" s="53" customFormat="1" x14ac:dyDescent="0.35">
      <c r="A3095" s="223"/>
      <c r="B3095" s="101"/>
      <c r="C3095" s="89"/>
      <c r="D3095" s="90"/>
      <c r="E3095" s="102" t="s">
        <v>908</v>
      </c>
      <c r="F3095" s="103"/>
    </row>
    <row r="3096" spans="1:7" s="53" customFormat="1" ht="15" thickBot="1" x14ac:dyDescent="0.4">
      <c r="A3096" s="223"/>
      <c r="B3096" s="105"/>
      <c r="C3096" s="106"/>
      <c r="D3096" s="107"/>
      <c r="E3096" s="53" t="s">
        <v>1389</v>
      </c>
      <c r="F3096" s="94"/>
    </row>
    <row r="3097" spans="1:7" s="53" customFormat="1" ht="15" thickBot="1" x14ac:dyDescent="0.4">
      <c r="A3097" s="223"/>
      <c r="B3097" s="108"/>
      <c r="C3097" s="109" t="s">
        <v>129</v>
      </c>
      <c r="D3097" s="110">
        <f>SUM(D3084:D3096)</f>
        <v>7723210</v>
      </c>
      <c r="F3097" s="94"/>
    </row>
    <row r="3098" spans="1:7" s="53" customFormat="1" ht="15.5" thickTop="1" thickBot="1" x14ac:dyDescent="0.4">
      <c r="A3098" s="224"/>
      <c r="B3098" s="226"/>
      <c r="C3098" s="226"/>
      <c r="D3098" s="226"/>
      <c r="F3098" s="94"/>
    </row>
    <row r="3099" spans="1:7" s="53" customFormat="1" x14ac:dyDescent="0.35">
      <c r="B3099" s="87"/>
      <c r="C3099" s="53" t="s">
        <v>130</v>
      </c>
      <c r="D3099" s="111">
        <f>D3081-D3097</f>
        <v>4068790</v>
      </c>
      <c r="F3099" s="94"/>
    </row>
    <row r="3100" spans="1:7" s="53" customFormat="1" x14ac:dyDescent="0.35">
      <c r="B3100" s="87"/>
      <c r="D3100" s="111"/>
      <c r="F3100" s="94"/>
    </row>
    <row r="3101" spans="1:7" s="53" customFormat="1" x14ac:dyDescent="0.35">
      <c r="A3101" s="112"/>
      <c r="B3101" s="113"/>
      <c r="C3101" s="112"/>
      <c r="D3101" s="114"/>
      <c r="E3101" s="112"/>
      <c r="F3101" s="178"/>
    </row>
    <row r="3103" spans="1:7" s="53" customFormat="1" ht="23.5" x14ac:dyDescent="0.55000000000000004">
      <c r="B3103" s="227" t="s">
        <v>0</v>
      </c>
      <c r="C3103" s="227"/>
      <c r="D3103" s="227"/>
      <c r="E3103" s="70"/>
      <c r="F3103" s="176"/>
    </row>
    <row r="3104" spans="1:7" s="53" customFormat="1" ht="20.5" x14ac:dyDescent="0.45">
      <c r="B3104" s="71"/>
      <c r="C3104" s="72" t="s">
        <v>874</v>
      </c>
      <c r="D3104" s="73"/>
      <c r="F3104" s="94"/>
    </row>
    <row r="3105" spans="1:7" s="53" customFormat="1" ht="21" thickBot="1" x14ac:dyDescent="0.5">
      <c r="B3105" s="71" t="s">
        <v>102</v>
      </c>
      <c r="C3105" s="74" t="s">
        <v>103</v>
      </c>
      <c r="D3105" s="73"/>
      <c r="F3105" s="94"/>
    </row>
    <row r="3106" spans="1:7" s="53" customFormat="1" ht="15" thickBot="1" x14ac:dyDescent="0.4">
      <c r="A3106" s="75" t="s">
        <v>104</v>
      </c>
      <c r="B3106" s="76" t="s">
        <v>81</v>
      </c>
      <c r="C3106" s="76" t="s">
        <v>105</v>
      </c>
      <c r="D3106" s="77" t="s">
        <v>84</v>
      </c>
      <c r="F3106" s="94"/>
    </row>
    <row r="3107" spans="1:7" s="53" customFormat="1" ht="14.5" customHeight="1" x14ac:dyDescent="0.35">
      <c r="A3107" s="222" t="s">
        <v>91</v>
      </c>
      <c r="B3107" s="78" t="s">
        <v>875</v>
      </c>
      <c r="C3107" s="79" t="s">
        <v>106</v>
      </c>
      <c r="D3107" s="80">
        <f>F3114</f>
        <v>11792000</v>
      </c>
      <c r="F3107" s="94"/>
    </row>
    <row r="3108" spans="1:7" s="53" customFormat="1" ht="21" thickBot="1" x14ac:dyDescent="0.5">
      <c r="A3108" s="223"/>
      <c r="B3108" s="71"/>
      <c r="C3108" s="71"/>
      <c r="D3108" s="73"/>
      <c r="F3108" s="94"/>
    </row>
    <row r="3109" spans="1:7" s="53" customFormat="1" ht="15" thickBot="1" x14ac:dyDescent="0.4">
      <c r="A3109" s="223"/>
      <c r="B3109" s="81" t="s">
        <v>81</v>
      </c>
      <c r="C3109" s="82" t="s">
        <v>107</v>
      </c>
      <c r="D3109" s="83" t="s">
        <v>108</v>
      </c>
      <c r="F3109" s="94"/>
    </row>
    <row r="3110" spans="1:7" s="87" customFormat="1" x14ac:dyDescent="0.35">
      <c r="A3110" s="223"/>
      <c r="B3110" s="84" t="str">
        <f>B3107</f>
        <v>26th July,2025</v>
      </c>
      <c r="C3110" s="85" t="s">
        <v>1105</v>
      </c>
      <c r="D3110" s="86">
        <f>2050*2880</f>
        <v>5904000</v>
      </c>
      <c r="F3110" s="177"/>
    </row>
    <row r="3111" spans="1:7" s="53" customFormat="1" x14ac:dyDescent="0.35">
      <c r="A3111" s="223"/>
      <c r="B3111" s="88"/>
      <c r="C3111" s="89" t="s">
        <v>388</v>
      </c>
      <c r="D3111" s="90">
        <f>356*2650</f>
        <v>943400</v>
      </c>
      <c r="F3111" s="94"/>
    </row>
    <row r="3112" spans="1:7" s="53" customFormat="1" x14ac:dyDescent="0.35">
      <c r="A3112" s="223"/>
      <c r="B3112" s="88" t="s">
        <v>109</v>
      </c>
      <c r="C3112" s="89" t="s">
        <v>110</v>
      </c>
      <c r="D3112" s="90">
        <v>1000000</v>
      </c>
      <c r="F3112" s="94"/>
    </row>
    <row r="3113" spans="1:7" s="53" customFormat="1" x14ac:dyDescent="0.35">
      <c r="A3113" s="223"/>
      <c r="B3113" s="88" t="s">
        <v>111</v>
      </c>
      <c r="C3113" s="89" t="s">
        <v>112</v>
      </c>
      <c r="D3113" s="90">
        <v>40000</v>
      </c>
      <c r="E3113" s="225" t="s">
        <v>113</v>
      </c>
      <c r="F3113" s="225"/>
    </row>
    <row r="3114" spans="1:7" s="53" customFormat="1" x14ac:dyDescent="0.35">
      <c r="A3114" s="223"/>
      <c r="B3114" s="88" t="s">
        <v>415</v>
      </c>
      <c r="C3114" s="89" t="s">
        <v>115</v>
      </c>
      <c r="D3114" s="90">
        <f>650*128</f>
        <v>83200</v>
      </c>
      <c r="E3114" s="91" t="s">
        <v>116</v>
      </c>
      <c r="F3114" s="92">
        <f>4400*2680</f>
        <v>11792000</v>
      </c>
    </row>
    <row r="3115" spans="1:7" s="53" customFormat="1" x14ac:dyDescent="0.35">
      <c r="A3115" s="223"/>
      <c r="B3115" s="88"/>
      <c r="C3115" s="89" t="s">
        <v>117</v>
      </c>
      <c r="D3115" s="90">
        <f>3400*128</f>
        <v>435200</v>
      </c>
      <c r="E3115" s="93" t="s">
        <v>118</v>
      </c>
      <c r="F3115" s="94">
        <f>(2640*2680)+(1760*2680)</f>
        <v>11792000</v>
      </c>
    </row>
    <row r="3116" spans="1:7" s="53" customFormat="1" ht="15" thickBot="1" x14ac:dyDescent="0.4">
      <c r="A3116" s="223"/>
      <c r="B3116" s="88" t="s">
        <v>119</v>
      </c>
      <c r="C3116" s="89" t="s">
        <v>120</v>
      </c>
      <c r="D3116" s="95">
        <v>30000</v>
      </c>
      <c r="E3116" s="96" t="s">
        <v>121</v>
      </c>
      <c r="F3116" s="97">
        <f>F3114-F3115</f>
        <v>0</v>
      </c>
      <c r="G3116" s="98">
        <f>F3116/2680</f>
        <v>0</v>
      </c>
    </row>
    <row r="3117" spans="1:7" s="53" customFormat="1" ht="15" thickTop="1" x14ac:dyDescent="0.35">
      <c r="A3117" s="223"/>
      <c r="B3117" s="88"/>
      <c r="C3117" s="99" t="s">
        <v>123</v>
      </c>
      <c r="D3117" s="100">
        <v>15000</v>
      </c>
      <c r="F3117" s="94"/>
    </row>
    <row r="3118" spans="1:7" s="53" customFormat="1" x14ac:dyDescent="0.35">
      <c r="A3118" s="223"/>
      <c r="B3118" s="88" t="s">
        <v>213</v>
      </c>
      <c r="C3118" s="99" t="s">
        <v>126</v>
      </c>
      <c r="D3118" s="100">
        <v>40000</v>
      </c>
      <c r="E3118" s="91" t="s">
        <v>124</v>
      </c>
      <c r="F3118" s="92"/>
    </row>
    <row r="3119" spans="1:7" s="53" customFormat="1" x14ac:dyDescent="0.35">
      <c r="A3119" s="223"/>
      <c r="B3119" s="101"/>
      <c r="C3119" s="99"/>
      <c r="D3119" s="100"/>
      <c r="E3119" s="102"/>
      <c r="F3119" s="103"/>
    </row>
    <row r="3120" spans="1:7" s="53" customFormat="1" x14ac:dyDescent="0.35">
      <c r="A3120" s="223"/>
      <c r="B3120" s="101"/>
      <c r="C3120" s="99"/>
      <c r="D3120" s="100"/>
      <c r="E3120" s="102" t="s">
        <v>127</v>
      </c>
      <c r="F3120" s="103"/>
    </row>
    <row r="3121" spans="1:6" s="53" customFormat="1" x14ac:dyDescent="0.35">
      <c r="A3121" s="223"/>
      <c r="B3121" s="101"/>
      <c r="C3121" s="89"/>
      <c r="D3121" s="90"/>
      <c r="E3121" s="102" t="s">
        <v>916</v>
      </c>
      <c r="F3121" s="103"/>
    </row>
    <row r="3122" spans="1:6" s="53" customFormat="1" ht="15" thickBot="1" x14ac:dyDescent="0.4">
      <c r="A3122" s="223"/>
      <c r="B3122" s="105"/>
      <c r="C3122" s="106"/>
      <c r="D3122" s="107"/>
      <c r="E3122" s="53" t="s">
        <v>1389</v>
      </c>
      <c r="F3122" s="94"/>
    </row>
    <row r="3123" spans="1:6" s="53" customFormat="1" ht="15" thickBot="1" x14ac:dyDescent="0.4">
      <c r="A3123" s="223"/>
      <c r="B3123" s="108"/>
      <c r="C3123" s="109" t="s">
        <v>129</v>
      </c>
      <c r="D3123" s="110">
        <f>SUM(D3110:D3122)</f>
        <v>8490800</v>
      </c>
      <c r="F3123" s="94"/>
    </row>
    <row r="3124" spans="1:6" s="53" customFormat="1" ht="15.5" thickTop="1" thickBot="1" x14ac:dyDescent="0.4">
      <c r="A3124" s="224"/>
      <c r="B3124" s="226"/>
      <c r="C3124" s="226"/>
      <c r="D3124" s="226"/>
      <c r="F3124" s="94"/>
    </row>
    <row r="3125" spans="1:6" s="53" customFormat="1" x14ac:dyDescent="0.35">
      <c r="B3125" s="87"/>
      <c r="C3125" s="53" t="s">
        <v>130</v>
      </c>
      <c r="D3125" s="111">
        <f>D3107-D3123</f>
        <v>3301200</v>
      </c>
      <c r="F3125" s="94"/>
    </row>
    <row r="3126" spans="1:6" s="53" customFormat="1" x14ac:dyDescent="0.35">
      <c r="B3126" s="87"/>
      <c r="D3126" s="111"/>
      <c r="F3126" s="94"/>
    </row>
    <row r="3127" spans="1:6" s="53" customFormat="1" x14ac:dyDescent="0.35">
      <c r="A3127" s="112"/>
      <c r="B3127" s="113"/>
      <c r="C3127" s="112"/>
      <c r="D3127" s="114"/>
      <c r="E3127" s="112"/>
      <c r="F3127" s="178"/>
    </row>
    <row r="3129" spans="1:6" s="53" customFormat="1" ht="23.5" x14ac:dyDescent="0.55000000000000004">
      <c r="B3129" s="227" t="s">
        <v>0</v>
      </c>
      <c r="C3129" s="227"/>
      <c r="D3129" s="227"/>
      <c r="E3129" s="70"/>
      <c r="F3129" s="176"/>
    </row>
    <row r="3130" spans="1:6" s="53" customFormat="1" ht="20.5" x14ac:dyDescent="0.45">
      <c r="B3130" s="71"/>
      <c r="C3130" s="72" t="s">
        <v>878</v>
      </c>
      <c r="D3130" s="73"/>
      <c r="F3130" s="94"/>
    </row>
    <row r="3131" spans="1:6" s="53" customFormat="1" ht="21" thickBot="1" x14ac:dyDescent="0.5">
      <c r="B3131" s="71" t="s">
        <v>235</v>
      </c>
      <c r="C3131" s="74" t="s">
        <v>103</v>
      </c>
      <c r="D3131" s="73"/>
      <c r="F3131" s="94"/>
    </row>
    <row r="3132" spans="1:6" s="53" customFormat="1" ht="15" thickBot="1" x14ac:dyDescent="0.4">
      <c r="A3132" s="75" t="s">
        <v>104</v>
      </c>
      <c r="B3132" s="76" t="s">
        <v>81</v>
      </c>
      <c r="C3132" s="76" t="s">
        <v>105</v>
      </c>
      <c r="D3132" s="77" t="s">
        <v>84</v>
      </c>
      <c r="F3132" s="94"/>
    </row>
    <row r="3133" spans="1:6" s="53" customFormat="1" ht="14.5" customHeight="1" x14ac:dyDescent="0.35">
      <c r="A3133" s="222" t="s">
        <v>91</v>
      </c>
      <c r="B3133" s="78" t="s">
        <v>875</v>
      </c>
      <c r="C3133" s="79" t="s">
        <v>106</v>
      </c>
      <c r="D3133" s="80">
        <f>F3140</f>
        <v>10988000</v>
      </c>
      <c r="F3133" s="94"/>
    </row>
    <row r="3134" spans="1:6" s="53" customFormat="1" ht="21" thickBot="1" x14ac:dyDescent="0.5">
      <c r="A3134" s="223"/>
      <c r="B3134" s="71"/>
      <c r="C3134" s="71"/>
      <c r="D3134" s="73"/>
      <c r="F3134" s="94"/>
    </row>
    <row r="3135" spans="1:6" s="53" customFormat="1" ht="15" thickBot="1" x14ac:dyDescent="0.4">
      <c r="A3135" s="223"/>
      <c r="B3135" s="81" t="s">
        <v>81</v>
      </c>
      <c r="C3135" s="82" t="s">
        <v>107</v>
      </c>
      <c r="D3135" s="83" t="s">
        <v>108</v>
      </c>
      <c r="F3135" s="94"/>
    </row>
    <row r="3136" spans="1:6" s="87" customFormat="1" x14ac:dyDescent="0.35">
      <c r="A3136" s="223"/>
      <c r="B3136" s="84" t="str">
        <f>B3133</f>
        <v>26th July,2025</v>
      </c>
      <c r="C3136" s="85" t="s">
        <v>1055</v>
      </c>
      <c r="D3136" s="86">
        <f>1850*2777</f>
        <v>5137450</v>
      </c>
      <c r="F3136" s="177"/>
    </row>
    <row r="3137" spans="1:7" s="53" customFormat="1" x14ac:dyDescent="0.35">
      <c r="A3137" s="223"/>
      <c r="B3137" s="88"/>
      <c r="C3137" s="89" t="s">
        <v>159</v>
      </c>
      <c r="D3137" s="90">
        <f>299*2650</f>
        <v>792350</v>
      </c>
      <c r="F3137" s="94"/>
    </row>
    <row r="3138" spans="1:7" s="53" customFormat="1" x14ac:dyDescent="0.35">
      <c r="A3138" s="223"/>
      <c r="B3138" s="88" t="s">
        <v>109</v>
      </c>
      <c r="C3138" s="89" t="s">
        <v>110</v>
      </c>
      <c r="D3138" s="90">
        <v>1000000</v>
      </c>
      <c r="F3138" s="94"/>
    </row>
    <row r="3139" spans="1:7" s="53" customFormat="1" x14ac:dyDescent="0.35">
      <c r="A3139" s="223"/>
      <c r="B3139" s="88" t="s">
        <v>111</v>
      </c>
      <c r="C3139" s="89" t="s">
        <v>112</v>
      </c>
      <c r="D3139" s="90">
        <v>40000</v>
      </c>
      <c r="E3139" s="225" t="s">
        <v>113</v>
      </c>
      <c r="F3139" s="225"/>
    </row>
    <row r="3140" spans="1:7" s="53" customFormat="1" x14ac:dyDescent="0.35">
      <c r="A3140" s="223"/>
      <c r="B3140" s="88" t="s">
        <v>114</v>
      </c>
      <c r="C3140" s="89" t="s">
        <v>115</v>
      </c>
      <c r="D3140" s="90">
        <f>450*120</f>
        <v>54000</v>
      </c>
      <c r="E3140" s="91" t="s">
        <v>116</v>
      </c>
      <c r="F3140" s="92">
        <f>4100*2680</f>
        <v>10988000</v>
      </c>
    </row>
    <row r="3141" spans="1:7" s="53" customFormat="1" x14ac:dyDescent="0.35">
      <c r="A3141" s="223"/>
      <c r="B3141" s="88"/>
      <c r="C3141" s="89" t="s">
        <v>117</v>
      </c>
      <c r="D3141" s="90">
        <f>2920*120</f>
        <v>350400</v>
      </c>
      <c r="E3141" s="93" t="s">
        <v>118</v>
      </c>
      <c r="F3141" s="94">
        <f>(2460*2680)+(1640*2680)</f>
        <v>10988000</v>
      </c>
    </row>
    <row r="3142" spans="1:7" s="53" customFormat="1" ht="15" thickBot="1" x14ac:dyDescent="0.4">
      <c r="A3142" s="223"/>
      <c r="B3142" s="88" t="s">
        <v>119</v>
      </c>
      <c r="C3142" s="89" t="s">
        <v>120</v>
      </c>
      <c r="D3142" s="95">
        <v>30000</v>
      </c>
      <c r="E3142" s="96" t="s">
        <v>121</v>
      </c>
      <c r="F3142" s="97">
        <f>F3140-F3141</f>
        <v>0</v>
      </c>
      <c r="G3142" s="98">
        <f>F3142/2680</f>
        <v>0</v>
      </c>
    </row>
    <row r="3143" spans="1:7" s="53" customFormat="1" ht="15" thickTop="1" x14ac:dyDescent="0.35">
      <c r="A3143" s="223"/>
      <c r="B3143" s="88"/>
      <c r="C3143" s="89" t="s">
        <v>122</v>
      </c>
      <c r="D3143" s="90">
        <v>140000</v>
      </c>
      <c r="F3143" s="94"/>
    </row>
    <row r="3144" spans="1:7" s="53" customFormat="1" x14ac:dyDescent="0.35">
      <c r="A3144" s="223"/>
      <c r="B3144" s="88" t="s">
        <v>877</v>
      </c>
      <c r="C3144" s="99" t="s">
        <v>123</v>
      </c>
      <c r="D3144" s="90">
        <v>15000</v>
      </c>
      <c r="E3144" s="91" t="s">
        <v>124</v>
      </c>
      <c r="F3144" s="92"/>
    </row>
    <row r="3145" spans="1:7" s="53" customFormat="1" x14ac:dyDescent="0.35">
      <c r="A3145" s="223"/>
      <c r="B3145" s="101"/>
      <c r="C3145" s="99" t="s">
        <v>125</v>
      </c>
      <c r="D3145" s="100">
        <v>10000</v>
      </c>
      <c r="E3145" s="102"/>
      <c r="F3145" s="103"/>
    </row>
    <row r="3146" spans="1:7" s="53" customFormat="1" x14ac:dyDescent="0.35">
      <c r="A3146" s="223"/>
      <c r="B3146" s="101"/>
      <c r="C3146" s="99" t="s">
        <v>126</v>
      </c>
      <c r="D3146" s="100">
        <v>30000</v>
      </c>
      <c r="E3146" s="102" t="s">
        <v>127</v>
      </c>
      <c r="F3146" s="103"/>
    </row>
    <row r="3147" spans="1:7" s="53" customFormat="1" x14ac:dyDescent="0.35">
      <c r="A3147" s="223"/>
      <c r="B3147" s="101"/>
      <c r="C3147" s="89" t="s">
        <v>265</v>
      </c>
      <c r="D3147" s="104">
        <f>601*123</f>
        <v>73923</v>
      </c>
      <c r="E3147" s="102" t="s">
        <v>916</v>
      </c>
      <c r="F3147" s="103"/>
    </row>
    <row r="3148" spans="1:7" s="53" customFormat="1" ht="15" thickBot="1" x14ac:dyDescent="0.4">
      <c r="A3148" s="223"/>
      <c r="B3148" s="105"/>
      <c r="C3148" s="106"/>
      <c r="D3148" s="107"/>
      <c r="E3148" s="53" t="s">
        <v>1418</v>
      </c>
      <c r="F3148" s="94"/>
    </row>
    <row r="3149" spans="1:7" s="53" customFormat="1" ht="15" thickBot="1" x14ac:dyDescent="0.4">
      <c r="A3149" s="223"/>
      <c r="B3149" s="108"/>
      <c r="C3149" s="109" t="s">
        <v>129</v>
      </c>
      <c r="D3149" s="110">
        <f>SUM(D3136:D3148)</f>
        <v>7673123</v>
      </c>
      <c r="F3149" s="94"/>
    </row>
    <row r="3150" spans="1:7" s="53" customFormat="1" ht="15.5" thickTop="1" thickBot="1" x14ac:dyDescent="0.4">
      <c r="A3150" s="224"/>
      <c r="B3150" s="226"/>
      <c r="C3150" s="226"/>
      <c r="D3150" s="226"/>
      <c r="F3150" s="94"/>
    </row>
    <row r="3151" spans="1:7" s="53" customFormat="1" x14ac:dyDescent="0.35">
      <c r="B3151" s="87"/>
      <c r="C3151" s="53" t="s">
        <v>130</v>
      </c>
      <c r="D3151" s="111">
        <f>D3133-D3149</f>
        <v>3314877</v>
      </c>
      <c r="F3151" s="94"/>
    </row>
    <row r="3152" spans="1:7" s="53" customFormat="1" x14ac:dyDescent="0.35">
      <c r="B3152" s="87"/>
      <c r="D3152" s="111"/>
      <c r="F3152" s="94"/>
    </row>
    <row r="3153" spans="1:7" s="53" customFormat="1" x14ac:dyDescent="0.35">
      <c r="A3153" s="112"/>
      <c r="B3153" s="113"/>
      <c r="C3153" s="112"/>
      <c r="D3153" s="114"/>
      <c r="E3153" s="112"/>
      <c r="F3153" s="178"/>
    </row>
    <row r="3155" spans="1:7" s="53" customFormat="1" ht="23.5" x14ac:dyDescent="0.55000000000000004">
      <c r="B3155" s="227" t="s">
        <v>0</v>
      </c>
      <c r="C3155" s="227"/>
      <c r="D3155" s="227"/>
      <c r="E3155" s="70"/>
      <c r="F3155" s="176"/>
    </row>
    <row r="3156" spans="1:7" s="53" customFormat="1" ht="20.5" x14ac:dyDescent="0.45">
      <c r="B3156" s="71"/>
      <c r="C3156" s="72" t="s">
        <v>887</v>
      </c>
      <c r="D3156" s="73"/>
      <c r="F3156" s="94"/>
    </row>
    <row r="3157" spans="1:7" s="53" customFormat="1" ht="21" thickBot="1" x14ac:dyDescent="0.5">
      <c r="B3157" s="71" t="s">
        <v>239</v>
      </c>
      <c r="C3157" s="74" t="s">
        <v>103</v>
      </c>
      <c r="D3157" s="73"/>
      <c r="F3157" s="94"/>
    </row>
    <row r="3158" spans="1:7" s="53" customFormat="1" ht="15" thickBot="1" x14ac:dyDescent="0.4">
      <c r="A3158" s="75" t="s">
        <v>104</v>
      </c>
      <c r="B3158" s="76" t="s">
        <v>81</v>
      </c>
      <c r="C3158" s="76" t="s">
        <v>105</v>
      </c>
      <c r="D3158" s="77" t="s">
        <v>84</v>
      </c>
      <c r="F3158" s="94"/>
    </row>
    <row r="3159" spans="1:7" s="53" customFormat="1" ht="14.5" customHeight="1" x14ac:dyDescent="0.35">
      <c r="A3159" s="222" t="s">
        <v>91</v>
      </c>
      <c r="B3159" s="78" t="s">
        <v>888</v>
      </c>
      <c r="C3159" s="79" t="s">
        <v>106</v>
      </c>
      <c r="D3159" s="80">
        <f>F3166</f>
        <v>10988000</v>
      </c>
      <c r="F3159" s="94"/>
    </row>
    <row r="3160" spans="1:7" s="53" customFormat="1" ht="21" thickBot="1" x14ac:dyDescent="0.5">
      <c r="A3160" s="223"/>
      <c r="B3160" s="71"/>
      <c r="C3160" s="71"/>
      <c r="D3160" s="73"/>
      <c r="F3160" s="94"/>
    </row>
    <row r="3161" spans="1:7" s="53" customFormat="1" ht="15" thickBot="1" x14ac:dyDescent="0.4">
      <c r="A3161" s="223"/>
      <c r="B3161" s="81" t="s">
        <v>81</v>
      </c>
      <c r="C3161" s="82" t="s">
        <v>107</v>
      </c>
      <c r="D3161" s="83" t="s">
        <v>108</v>
      </c>
      <c r="F3161" s="94"/>
    </row>
    <row r="3162" spans="1:7" s="87" customFormat="1" x14ac:dyDescent="0.35">
      <c r="A3162" s="223"/>
      <c r="B3162" s="84" t="str">
        <f>B3159</f>
        <v>28th July,2025</v>
      </c>
      <c r="C3162" s="85" t="s">
        <v>1055</v>
      </c>
      <c r="D3162" s="86">
        <f>1850*2777</f>
        <v>5137450</v>
      </c>
      <c r="F3162" s="177"/>
    </row>
    <row r="3163" spans="1:7" s="53" customFormat="1" x14ac:dyDescent="0.35">
      <c r="A3163" s="223"/>
      <c r="B3163" s="88"/>
      <c r="C3163" s="89" t="s">
        <v>188</v>
      </c>
      <c r="D3163" s="90">
        <f>325*2650</f>
        <v>861250</v>
      </c>
      <c r="F3163" s="94"/>
    </row>
    <row r="3164" spans="1:7" s="53" customFormat="1" x14ac:dyDescent="0.35">
      <c r="A3164" s="223"/>
      <c r="B3164" s="88" t="s">
        <v>109</v>
      </c>
      <c r="C3164" s="89" t="s">
        <v>110</v>
      </c>
      <c r="D3164" s="90">
        <v>1000000</v>
      </c>
      <c r="F3164" s="94"/>
    </row>
    <row r="3165" spans="1:7" s="53" customFormat="1" x14ac:dyDescent="0.35">
      <c r="A3165" s="223"/>
      <c r="B3165" s="88" t="s">
        <v>111</v>
      </c>
      <c r="C3165" s="89" t="s">
        <v>112</v>
      </c>
      <c r="D3165" s="90">
        <v>40000</v>
      </c>
      <c r="E3165" s="225" t="s">
        <v>113</v>
      </c>
      <c r="F3165" s="225"/>
    </row>
    <row r="3166" spans="1:7" s="53" customFormat="1" x14ac:dyDescent="0.35">
      <c r="A3166" s="223"/>
      <c r="B3166" s="88" t="s">
        <v>114</v>
      </c>
      <c r="C3166" s="89" t="s">
        <v>115</v>
      </c>
      <c r="D3166" s="90">
        <f>800*120</f>
        <v>96000</v>
      </c>
      <c r="E3166" s="91" t="s">
        <v>116</v>
      </c>
      <c r="F3166" s="92">
        <f>4100*2680</f>
        <v>10988000</v>
      </c>
    </row>
    <row r="3167" spans="1:7" s="53" customFormat="1" x14ac:dyDescent="0.35">
      <c r="A3167" s="223"/>
      <c r="B3167" s="88"/>
      <c r="C3167" s="89" t="s">
        <v>117</v>
      </c>
      <c r="D3167" s="90">
        <f>4150*120</f>
        <v>498000</v>
      </c>
      <c r="E3167" s="93" t="s">
        <v>118</v>
      </c>
      <c r="F3167" s="94">
        <f>(2460*2680)</f>
        <v>6592800</v>
      </c>
    </row>
    <row r="3168" spans="1:7" s="53" customFormat="1" ht="15" thickBot="1" x14ac:dyDescent="0.4">
      <c r="A3168" s="223"/>
      <c r="B3168" s="88" t="s">
        <v>119</v>
      </c>
      <c r="C3168" s="89" t="s">
        <v>120</v>
      </c>
      <c r="D3168" s="95">
        <v>30000</v>
      </c>
      <c r="E3168" s="96" t="s">
        <v>121</v>
      </c>
      <c r="F3168" s="97">
        <f>F3166-F3167</f>
        <v>4395200</v>
      </c>
      <c r="G3168" s="98">
        <f>F3168/2680</f>
        <v>1640</v>
      </c>
    </row>
    <row r="3169" spans="1:6" s="53" customFormat="1" ht="15" thickTop="1" x14ac:dyDescent="0.35">
      <c r="A3169" s="223"/>
      <c r="B3169" s="88"/>
      <c r="C3169" s="89" t="s">
        <v>265</v>
      </c>
      <c r="D3169" s="90">
        <f>1299*122</f>
        <v>158478</v>
      </c>
      <c r="F3169" s="94"/>
    </row>
    <row r="3170" spans="1:6" s="53" customFormat="1" x14ac:dyDescent="0.35">
      <c r="A3170" s="223"/>
      <c r="B3170" s="88" t="s">
        <v>213</v>
      </c>
      <c r="C3170" s="99" t="s">
        <v>123</v>
      </c>
      <c r="D3170" s="90">
        <v>15000</v>
      </c>
      <c r="E3170" s="91" t="s">
        <v>124</v>
      </c>
      <c r="F3170" s="92"/>
    </row>
    <row r="3171" spans="1:6" s="53" customFormat="1" x14ac:dyDescent="0.35">
      <c r="A3171" s="223"/>
      <c r="B3171" s="101"/>
      <c r="C3171" s="99" t="s">
        <v>126</v>
      </c>
      <c r="D3171" s="100">
        <v>30000</v>
      </c>
      <c r="E3171" s="102"/>
      <c r="F3171" s="103"/>
    </row>
    <row r="3172" spans="1:6" s="53" customFormat="1" x14ac:dyDescent="0.35">
      <c r="A3172" s="223"/>
      <c r="B3172" s="101"/>
      <c r="C3172" s="99" t="s">
        <v>710</v>
      </c>
      <c r="D3172" s="100">
        <v>20000</v>
      </c>
      <c r="E3172" s="102" t="s">
        <v>127</v>
      </c>
      <c r="F3172" s="103"/>
    </row>
    <row r="3173" spans="1:6" s="53" customFormat="1" x14ac:dyDescent="0.35">
      <c r="A3173" s="223"/>
      <c r="B3173" s="101"/>
      <c r="C3173" s="89"/>
      <c r="D3173" s="104"/>
      <c r="E3173" s="102" t="s">
        <v>916</v>
      </c>
      <c r="F3173" s="103"/>
    </row>
    <row r="3174" spans="1:6" s="53" customFormat="1" ht="15" thickBot="1" x14ac:dyDescent="0.4">
      <c r="A3174" s="223"/>
      <c r="B3174" s="105"/>
      <c r="C3174" s="106"/>
      <c r="D3174" s="107"/>
      <c r="F3174" s="94"/>
    </row>
    <row r="3175" spans="1:6" s="53" customFormat="1" ht="15" thickBot="1" x14ac:dyDescent="0.4">
      <c r="A3175" s="223"/>
      <c r="B3175" s="108"/>
      <c r="C3175" s="109" t="s">
        <v>129</v>
      </c>
      <c r="D3175" s="110">
        <f>SUM(D3162:D3174)</f>
        <v>7886178</v>
      </c>
      <c r="F3175" s="94"/>
    </row>
    <row r="3176" spans="1:6" s="53" customFormat="1" ht="15.5" thickTop="1" thickBot="1" x14ac:dyDescent="0.4">
      <c r="A3176" s="224"/>
      <c r="B3176" s="226"/>
      <c r="C3176" s="226"/>
      <c r="D3176" s="226"/>
      <c r="F3176" s="94"/>
    </row>
    <row r="3177" spans="1:6" s="53" customFormat="1" x14ac:dyDescent="0.35">
      <c r="B3177" s="87"/>
      <c r="C3177" s="53" t="s">
        <v>130</v>
      </c>
      <c r="D3177" s="111">
        <f>D3159-D3175</f>
        <v>3101822</v>
      </c>
      <c r="F3177" s="94"/>
    </row>
    <row r="3178" spans="1:6" s="53" customFormat="1" x14ac:dyDescent="0.35">
      <c r="B3178" s="87"/>
      <c r="D3178" s="111"/>
      <c r="F3178" s="94"/>
    </row>
    <row r="3179" spans="1:6" s="53" customFormat="1" x14ac:dyDescent="0.35">
      <c r="A3179" s="112"/>
      <c r="B3179" s="113"/>
      <c r="C3179" s="112"/>
      <c r="D3179" s="114"/>
      <c r="E3179" s="112"/>
      <c r="F3179" s="178"/>
    </row>
    <row r="3181" spans="1:6" s="53" customFormat="1" ht="23.5" x14ac:dyDescent="0.55000000000000004">
      <c r="B3181" s="227" t="s">
        <v>0</v>
      </c>
      <c r="C3181" s="227"/>
      <c r="D3181" s="227"/>
      <c r="E3181" s="70"/>
      <c r="F3181" s="176"/>
    </row>
    <row r="3182" spans="1:6" s="53" customFormat="1" ht="20.5" x14ac:dyDescent="0.45">
      <c r="B3182" s="71"/>
      <c r="C3182" s="72" t="s">
        <v>889</v>
      </c>
      <c r="D3182" s="73"/>
      <c r="F3182" s="94"/>
    </row>
    <row r="3183" spans="1:6" s="53" customFormat="1" ht="21" thickBot="1" x14ac:dyDescent="0.5">
      <c r="B3183" s="71" t="s">
        <v>735</v>
      </c>
      <c r="C3183" s="74" t="s">
        <v>103</v>
      </c>
      <c r="D3183" s="73"/>
      <c r="F3183" s="94"/>
    </row>
    <row r="3184" spans="1:6" s="53" customFormat="1" ht="15" thickBot="1" x14ac:dyDescent="0.4">
      <c r="A3184" s="75" t="s">
        <v>104</v>
      </c>
      <c r="B3184" s="76" t="s">
        <v>81</v>
      </c>
      <c r="C3184" s="76" t="s">
        <v>105</v>
      </c>
      <c r="D3184" s="77" t="s">
        <v>84</v>
      </c>
      <c r="F3184" s="94"/>
    </row>
    <row r="3185" spans="1:7" s="53" customFormat="1" ht="14.5" customHeight="1" x14ac:dyDescent="0.35">
      <c r="A3185" s="222" t="s">
        <v>91</v>
      </c>
      <c r="B3185" s="78" t="s">
        <v>888</v>
      </c>
      <c r="C3185" s="79" t="s">
        <v>106</v>
      </c>
      <c r="D3185" s="80">
        <f>F3192</f>
        <v>10988000</v>
      </c>
      <c r="F3185" s="94"/>
    </row>
    <row r="3186" spans="1:7" s="53" customFormat="1" ht="21" thickBot="1" x14ac:dyDescent="0.5">
      <c r="A3186" s="223"/>
      <c r="B3186" s="71"/>
      <c r="C3186" s="71"/>
      <c r="D3186" s="73"/>
      <c r="F3186" s="94"/>
    </row>
    <row r="3187" spans="1:7" s="53" customFormat="1" ht="15" thickBot="1" x14ac:dyDescent="0.4">
      <c r="A3187" s="223"/>
      <c r="B3187" s="81" t="s">
        <v>81</v>
      </c>
      <c r="C3187" s="82" t="s">
        <v>107</v>
      </c>
      <c r="D3187" s="83" t="s">
        <v>108</v>
      </c>
      <c r="F3187" s="94"/>
    </row>
    <row r="3188" spans="1:7" s="87" customFormat="1" x14ac:dyDescent="0.35">
      <c r="A3188" s="223"/>
      <c r="B3188" s="84" t="str">
        <f>B3185</f>
        <v>28th July,2025</v>
      </c>
      <c r="C3188" s="85" t="s">
        <v>1055</v>
      </c>
      <c r="D3188" s="86">
        <f>1850*2777</f>
        <v>5137450</v>
      </c>
      <c r="F3188" s="177"/>
    </row>
    <row r="3189" spans="1:7" s="53" customFormat="1" x14ac:dyDescent="0.35">
      <c r="A3189" s="223"/>
      <c r="B3189" s="88"/>
      <c r="C3189" s="89" t="s">
        <v>188</v>
      </c>
      <c r="D3189" s="90">
        <f>325*2650</f>
        <v>861250</v>
      </c>
      <c r="F3189" s="94"/>
    </row>
    <row r="3190" spans="1:7" s="53" customFormat="1" x14ac:dyDescent="0.35">
      <c r="A3190" s="223"/>
      <c r="B3190" s="88" t="s">
        <v>109</v>
      </c>
      <c r="C3190" s="89" t="s">
        <v>110</v>
      </c>
      <c r="D3190" s="90">
        <v>1000000</v>
      </c>
      <c r="F3190" s="94"/>
    </row>
    <row r="3191" spans="1:7" s="53" customFormat="1" x14ac:dyDescent="0.35">
      <c r="A3191" s="223"/>
      <c r="B3191" s="88" t="s">
        <v>111</v>
      </c>
      <c r="C3191" s="89" t="s">
        <v>112</v>
      </c>
      <c r="D3191" s="90">
        <v>40000</v>
      </c>
      <c r="E3191" s="225" t="s">
        <v>113</v>
      </c>
      <c r="F3191" s="225"/>
    </row>
    <row r="3192" spans="1:7" s="53" customFormat="1" x14ac:dyDescent="0.35">
      <c r="A3192" s="223"/>
      <c r="B3192" s="88" t="s">
        <v>114</v>
      </c>
      <c r="C3192" s="89" t="s">
        <v>115</v>
      </c>
      <c r="D3192" s="90">
        <f>430*120</f>
        <v>51600</v>
      </c>
      <c r="E3192" s="91" t="s">
        <v>116</v>
      </c>
      <c r="F3192" s="92">
        <f>4100*2680</f>
        <v>10988000</v>
      </c>
    </row>
    <row r="3193" spans="1:7" s="53" customFormat="1" x14ac:dyDescent="0.35">
      <c r="A3193" s="223"/>
      <c r="B3193" s="88"/>
      <c r="C3193" s="89" t="s">
        <v>117</v>
      </c>
      <c r="D3193" s="90">
        <f>4150*120</f>
        <v>498000</v>
      </c>
      <c r="E3193" s="93" t="s">
        <v>118</v>
      </c>
      <c r="F3193" s="94">
        <f>(2460*2680)+(1640*2680)</f>
        <v>10988000</v>
      </c>
    </row>
    <row r="3194" spans="1:7" s="53" customFormat="1" ht="15" thickBot="1" x14ac:dyDescent="0.4">
      <c r="A3194" s="223"/>
      <c r="B3194" s="88" t="s">
        <v>119</v>
      </c>
      <c r="C3194" s="89" t="s">
        <v>120</v>
      </c>
      <c r="D3194" s="95">
        <v>30000</v>
      </c>
      <c r="E3194" s="96" t="s">
        <v>121</v>
      </c>
      <c r="F3194" s="97">
        <f>F3192-F3193</f>
        <v>0</v>
      </c>
      <c r="G3194" s="98">
        <f>F3194/2680</f>
        <v>0</v>
      </c>
    </row>
    <row r="3195" spans="1:7" s="53" customFormat="1" ht="15" thickTop="1" x14ac:dyDescent="0.35">
      <c r="A3195" s="223"/>
      <c r="B3195" s="88"/>
      <c r="C3195" s="89" t="s">
        <v>265</v>
      </c>
      <c r="D3195" s="90">
        <f>1299*122</f>
        <v>158478</v>
      </c>
      <c r="F3195" s="94"/>
    </row>
    <row r="3196" spans="1:7" s="53" customFormat="1" x14ac:dyDescent="0.35">
      <c r="A3196" s="223"/>
      <c r="B3196" s="88" t="s">
        <v>213</v>
      </c>
      <c r="C3196" s="99" t="s">
        <v>123</v>
      </c>
      <c r="D3196" s="90">
        <v>15000</v>
      </c>
      <c r="E3196" s="91" t="s">
        <v>124</v>
      </c>
      <c r="F3196" s="92"/>
    </row>
    <row r="3197" spans="1:7" s="53" customFormat="1" x14ac:dyDescent="0.35">
      <c r="A3197" s="223"/>
      <c r="B3197" s="101"/>
      <c r="C3197" s="99" t="s">
        <v>126</v>
      </c>
      <c r="D3197" s="100">
        <v>30000</v>
      </c>
      <c r="E3197" s="102"/>
      <c r="F3197" s="103"/>
    </row>
    <row r="3198" spans="1:7" s="53" customFormat="1" x14ac:dyDescent="0.35">
      <c r="A3198" s="223"/>
      <c r="B3198" s="101"/>
      <c r="C3198" s="99" t="s">
        <v>1057</v>
      </c>
      <c r="D3198" s="100">
        <v>20000</v>
      </c>
      <c r="E3198" s="102" t="s">
        <v>127</v>
      </c>
      <c r="F3198" s="103"/>
    </row>
    <row r="3199" spans="1:7" s="53" customFormat="1" x14ac:dyDescent="0.35">
      <c r="A3199" s="223"/>
      <c r="B3199" s="101"/>
      <c r="C3199" s="89"/>
      <c r="D3199" s="104"/>
      <c r="E3199" s="102" t="s">
        <v>914</v>
      </c>
      <c r="F3199" s="103"/>
    </row>
    <row r="3200" spans="1:7" s="53" customFormat="1" ht="15" thickBot="1" x14ac:dyDescent="0.4">
      <c r="A3200" s="223"/>
      <c r="B3200" s="105"/>
      <c r="C3200" s="106"/>
      <c r="D3200" s="107"/>
      <c r="E3200" s="53" t="s">
        <v>1604</v>
      </c>
      <c r="F3200" s="94"/>
    </row>
    <row r="3201" spans="1:6" s="53" customFormat="1" ht="15" thickBot="1" x14ac:dyDescent="0.4">
      <c r="A3201" s="223"/>
      <c r="B3201" s="108"/>
      <c r="C3201" s="109" t="s">
        <v>129</v>
      </c>
      <c r="D3201" s="110">
        <f>SUM(D3188:D3200)</f>
        <v>7841778</v>
      </c>
      <c r="F3201" s="94"/>
    </row>
    <row r="3202" spans="1:6" s="53" customFormat="1" ht="15.5" thickTop="1" thickBot="1" x14ac:dyDescent="0.4">
      <c r="A3202" s="224"/>
      <c r="B3202" s="226"/>
      <c r="C3202" s="226"/>
      <c r="D3202" s="226"/>
      <c r="F3202" s="94"/>
    </row>
    <row r="3203" spans="1:6" s="53" customFormat="1" x14ac:dyDescent="0.35">
      <c r="B3203" s="87"/>
      <c r="C3203" s="53" t="s">
        <v>130</v>
      </c>
      <c r="D3203" s="111">
        <f>D3185-D3201</f>
        <v>3146222</v>
      </c>
      <c r="F3203" s="94"/>
    </row>
    <row r="3204" spans="1:6" s="53" customFormat="1" x14ac:dyDescent="0.35">
      <c r="B3204" s="87"/>
      <c r="D3204" s="111"/>
      <c r="F3204" s="94"/>
    </row>
    <row r="3205" spans="1:6" s="53" customFormat="1" x14ac:dyDescent="0.35">
      <c r="A3205" s="112"/>
      <c r="B3205" s="113"/>
      <c r="C3205" s="112"/>
      <c r="D3205" s="114"/>
      <c r="E3205" s="112"/>
      <c r="F3205" s="178"/>
    </row>
    <row r="3207" spans="1:6" s="53" customFormat="1" ht="23.5" x14ac:dyDescent="0.55000000000000004">
      <c r="B3207" s="227" t="s">
        <v>0</v>
      </c>
      <c r="C3207" s="227"/>
      <c r="D3207" s="227"/>
      <c r="E3207" s="70"/>
      <c r="F3207" s="176"/>
    </row>
    <row r="3208" spans="1:6" s="53" customFormat="1" ht="20.5" x14ac:dyDescent="0.45">
      <c r="B3208" s="71"/>
      <c r="C3208" s="72" t="s">
        <v>890</v>
      </c>
      <c r="D3208" s="73"/>
      <c r="F3208" s="94"/>
    </row>
    <row r="3209" spans="1:6" s="53" customFormat="1" ht="21" thickBot="1" x14ac:dyDescent="0.5">
      <c r="B3209" s="71" t="s">
        <v>208</v>
      </c>
      <c r="C3209" s="74" t="s">
        <v>103</v>
      </c>
      <c r="D3209" s="73"/>
      <c r="F3209" s="94"/>
    </row>
    <row r="3210" spans="1:6" s="53" customFormat="1" ht="15" thickBot="1" x14ac:dyDescent="0.4">
      <c r="A3210" s="75" t="s">
        <v>104</v>
      </c>
      <c r="B3210" s="76" t="s">
        <v>81</v>
      </c>
      <c r="C3210" s="76" t="s">
        <v>105</v>
      </c>
      <c r="D3210" s="77" t="s">
        <v>84</v>
      </c>
      <c r="F3210" s="94"/>
    </row>
    <row r="3211" spans="1:6" s="53" customFormat="1" ht="14.5" customHeight="1" x14ac:dyDescent="0.35">
      <c r="A3211" s="222" t="s">
        <v>91</v>
      </c>
      <c r="B3211" s="78" t="s">
        <v>888</v>
      </c>
      <c r="C3211" s="79" t="s">
        <v>106</v>
      </c>
      <c r="D3211" s="80">
        <f>F3218</f>
        <v>10988000</v>
      </c>
      <c r="F3211" s="94"/>
    </row>
    <row r="3212" spans="1:6" s="53" customFormat="1" ht="21" thickBot="1" x14ac:dyDescent="0.5">
      <c r="A3212" s="223"/>
      <c r="B3212" s="71"/>
      <c r="C3212" s="71"/>
      <c r="D3212" s="73"/>
      <c r="F3212" s="94"/>
    </row>
    <row r="3213" spans="1:6" s="53" customFormat="1" ht="15" thickBot="1" x14ac:dyDescent="0.4">
      <c r="A3213" s="223"/>
      <c r="B3213" s="81" t="s">
        <v>81</v>
      </c>
      <c r="C3213" s="82" t="s">
        <v>107</v>
      </c>
      <c r="D3213" s="83" t="s">
        <v>108</v>
      </c>
      <c r="F3213" s="94"/>
    </row>
    <row r="3214" spans="1:6" s="87" customFormat="1" x14ac:dyDescent="0.35">
      <c r="A3214" s="223"/>
      <c r="B3214" s="84" t="str">
        <f>B3211</f>
        <v>28th July,2025</v>
      </c>
      <c r="C3214" s="85" t="s">
        <v>1055</v>
      </c>
      <c r="D3214" s="86">
        <f>1850*2777</f>
        <v>5137450</v>
      </c>
      <c r="F3214" s="177"/>
    </row>
    <row r="3215" spans="1:6" s="53" customFormat="1" x14ac:dyDescent="0.35">
      <c r="A3215" s="223"/>
      <c r="B3215" s="88"/>
      <c r="C3215" s="89" t="s">
        <v>188</v>
      </c>
      <c r="D3215" s="90">
        <f>325*2650</f>
        <v>861250</v>
      </c>
      <c r="F3215" s="94"/>
    </row>
    <row r="3216" spans="1:6" s="53" customFormat="1" x14ac:dyDescent="0.35">
      <c r="A3216" s="223"/>
      <c r="B3216" s="88" t="s">
        <v>109</v>
      </c>
      <c r="C3216" s="89" t="s">
        <v>110</v>
      </c>
      <c r="D3216" s="90">
        <v>1000000</v>
      </c>
      <c r="F3216" s="94"/>
    </row>
    <row r="3217" spans="1:7" s="53" customFormat="1" x14ac:dyDescent="0.35">
      <c r="A3217" s="223"/>
      <c r="B3217" s="88" t="s">
        <v>111</v>
      </c>
      <c r="C3217" s="89" t="s">
        <v>112</v>
      </c>
      <c r="D3217" s="90">
        <v>40000</v>
      </c>
      <c r="E3217" s="225" t="s">
        <v>113</v>
      </c>
      <c r="F3217" s="225"/>
    </row>
    <row r="3218" spans="1:7" s="53" customFormat="1" x14ac:dyDescent="0.35">
      <c r="A3218" s="223"/>
      <c r="B3218" s="88" t="s">
        <v>114</v>
      </c>
      <c r="C3218" s="89" t="s">
        <v>115</v>
      </c>
      <c r="D3218" s="90">
        <f>800*120</f>
        <v>96000</v>
      </c>
      <c r="E3218" s="91" t="s">
        <v>116</v>
      </c>
      <c r="F3218" s="92">
        <f>4100*2680</f>
        <v>10988000</v>
      </c>
    </row>
    <row r="3219" spans="1:7" s="53" customFormat="1" x14ac:dyDescent="0.35">
      <c r="A3219" s="223"/>
      <c r="B3219" s="88"/>
      <c r="C3219" s="89" t="s">
        <v>117</v>
      </c>
      <c r="D3219" s="90">
        <f>4150*120</f>
        <v>498000</v>
      </c>
      <c r="E3219" s="93" t="s">
        <v>118</v>
      </c>
      <c r="F3219" s="94">
        <f>(2460*2680)+(1640*2680)</f>
        <v>10988000</v>
      </c>
    </row>
    <row r="3220" spans="1:7" s="53" customFormat="1" ht="15" thickBot="1" x14ac:dyDescent="0.4">
      <c r="A3220" s="223"/>
      <c r="B3220" s="88" t="s">
        <v>119</v>
      </c>
      <c r="C3220" s="89" t="s">
        <v>120</v>
      </c>
      <c r="D3220" s="95">
        <v>30000</v>
      </c>
      <c r="E3220" s="96" t="s">
        <v>121</v>
      </c>
      <c r="F3220" s="97">
        <f>F3218-F3219</f>
        <v>0</v>
      </c>
      <c r="G3220" s="98">
        <f>F3220/2680</f>
        <v>0</v>
      </c>
    </row>
    <row r="3221" spans="1:7" s="53" customFormat="1" ht="15" thickTop="1" x14ac:dyDescent="0.35">
      <c r="A3221" s="223"/>
      <c r="B3221" s="88"/>
      <c r="C3221" s="89" t="s">
        <v>265</v>
      </c>
      <c r="D3221" s="90">
        <f>1299*122</f>
        <v>158478</v>
      </c>
      <c r="F3221" s="94"/>
    </row>
    <row r="3222" spans="1:7" s="53" customFormat="1" x14ac:dyDescent="0.35">
      <c r="A3222" s="223"/>
      <c r="B3222" s="88" t="s">
        <v>213</v>
      </c>
      <c r="C3222" s="99" t="s">
        <v>123</v>
      </c>
      <c r="D3222" s="90">
        <v>15000</v>
      </c>
      <c r="E3222" s="91" t="s">
        <v>124</v>
      </c>
      <c r="F3222" s="92"/>
    </row>
    <row r="3223" spans="1:7" s="53" customFormat="1" x14ac:dyDescent="0.35">
      <c r="A3223" s="223"/>
      <c r="B3223" s="101"/>
      <c r="C3223" s="99" t="s">
        <v>126</v>
      </c>
      <c r="D3223" s="100">
        <v>30000</v>
      </c>
      <c r="E3223" s="102"/>
      <c r="F3223" s="103"/>
    </row>
    <row r="3224" spans="1:7" s="53" customFormat="1" x14ac:dyDescent="0.35">
      <c r="A3224" s="223"/>
      <c r="B3224" s="101"/>
      <c r="C3224" s="99" t="s">
        <v>710</v>
      </c>
      <c r="D3224" s="100">
        <v>20000</v>
      </c>
      <c r="E3224" s="102" t="s">
        <v>127</v>
      </c>
      <c r="F3224" s="103"/>
    </row>
    <row r="3225" spans="1:7" s="53" customFormat="1" x14ac:dyDescent="0.35">
      <c r="A3225" s="223"/>
      <c r="B3225" s="101"/>
      <c r="C3225" s="89"/>
      <c r="D3225" s="104"/>
      <c r="E3225" s="102" t="s">
        <v>914</v>
      </c>
      <c r="F3225" s="103"/>
    </row>
    <row r="3226" spans="1:7" s="53" customFormat="1" ht="15" thickBot="1" x14ac:dyDescent="0.4">
      <c r="A3226" s="223"/>
      <c r="B3226" s="105"/>
      <c r="C3226" s="106"/>
      <c r="D3226" s="107"/>
      <c r="E3226" s="53" t="s">
        <v>1604</v>
      </c>
      <c r="F3226" s="94"/>
    </row>
    <row r="3227" spans="1:7" s="53" customFormat="1" ht="15" thickBot="1" x14ac:dyDescent="0.4">
      <c r="A3227" s="223"/>
      <c r="B3227" s="108"/>
      <c r="C3227" s="109" t="s">
        <v>129</v>
      </c>
      <c r="D3227" s="110">
        <f>SUM(D3214:D3226)</f>
        <v>7886178</v>
      </c>
      <c r="F3227" s="94"/>
    </row>
    <row r="3228" spans="1:7" s="53" customFormat="1" ht="15.5" thickTop="1" thickBot="1" x14ac:dyDescent="0.4">
      <c r="A3228" s="224"/>
      <c r="B3228" s="226"/>
      <c r="C3228" s="226"/>
      <c r="D3228" s="226"/>
      <c r="F3228" s="94"/>
    </row>
    <row r="3229" spans="1:7" s="53" customFormat="1" x14ac:dyDescent="0.35">
      <c r="B3229" s="87"/>
      <c r="C3229" s="53" t="s">
        <v>130</v>
      </c>
      <c r="D3229" s="111">
        <f>D3211-D3227</f>
        <v>3101822</v>
      </c>
      <c r="F3229" s="94"/>
    </row>
    <row r="3230" spans="1:7" s="53" customFormat="1" x14ac:dyDescent="0.35">
      <c r="B3230" s="87"/>
      <c r="D3230" s="111"/>
      <c r="F3230" s="94"/>
    </row>
    <row r="3231" spans="1:7" s="53" customFormat="1" x14ac:dyDescent="0.35">
      <c r="A3231" s="112"/>
      <c r="B3231" s="113"/>
      <c r="C3231" s="112"/>
      <c r="D3231" s="114"/>
      <c r="E3231" s="112"/>
      <c r="F3231" s="178"/>
    </row>
    <row r="3233" spans="1:7" s="53" customFormat="1" ht="23.5" x14ac:dyDescent="0.55000000000000004">
      <c r="B3233" s="227" t="s">
        <v>0</v>
      </c>
      <c r="C3233" s="227"/>
      <c r="D3233" s="227"/>
      <c r="E3233" s="70"/>
      <c r="F3233" s="176"/>
    </row>
    <row r="3234" spans="1:7" s="53" customFormat="1" ht="20.5" x14ac:dyDescent="0.45">
      <c r="B3234" s="71"/>
      <c r="C3234" s="72" t="s">
        <v>891</v>
      </c>
      <c r="D3234" s="73"/>
      <c r="F3234" s="94"/>
    </row>
    <row r="3235" spans="1:7" s="53" customFormat="1" ht="21" thickBot="1" x14ac:dyDescent="0.5">
      <c r="B3235" s="71" t="s">
        <v>396</v>
      </c>
      <c r="C3235" s="74" t="s">
        <v>103</v>
      </c>
      <c r="D3235" s="73"/>
      <c r="F3235" s="94"/>
    </row>
    <row r="3236" spans="1:7" s="53" customFormat="1" ht="15" thickBot="1" x14ac:dyDescent="0.4">
      <c r="A3236" s="75" t="s">
        <v>104</v>
      </c>
      <c r="B3236" s="76" t="s">
        <v>81</v>
      </c>
      <c r="C3236" s="76" t="s">
        <v>105</v>
      </c>
      <c r="D3236" s="77" t="s">
        <v>84</v>
      </c>
      <c r="F3236" s="94"/>
    </row>
    <row r="3237" spans="1:7" s="53" customFormat="1" ht="14.5" customHeight="1" x14ac:dyDescent="0.35">
      <c r="A3237" s="222" t="s">
        <v>91</v>
      </c>
      <c r="B3237" s="78" t="s">
        <v>888</v>
      </c>
      <c r="C3237" s="79" t="s">
        <v>106</v>
      </c>
      <c r="D3237" s="80">
        <f>F3244</f>
        <v>10988000</v>
      </c>
      <c r="F3237" s="94"/>
    </row>
    <row r="3238" spans="1:7" s="53" customFormat="1" ht="21" thickBot="1" x14ac:dyDescent="0.5">
      <c r="A3238" s="223"/>
      <c r="B3238" s="71"/>
      <c r="C3238" s="71"/>
      <c r="D3238" s="73"/>
      <c r="F3238" s="94"/>
    </row>
    <row r="3239" spans="1:7" s="53" customFormat="1" ht="15" thickBot="1" x14ac:dyDescent="0.4">
      <c r="A3239" s="223"/>
      <c r="B3239" s="81" t="s">
        <v>81</v>
      </c>
      <c r="C3239" s="82" t="s">
        <v>107</v>
      </c>
      <c r="D3239" s="83" t="s">
        <v>108</v>
      </c>
      <c r="F3239" s="94"/>
    </row>
    <row r="3240" spans="1:7" s="87" customFormat="1" x14ac:dyDescent="0.35">
      <c r="A3240" s="223"/>
      <c r="B3240" s="84" t="str">
        <f>B3237</f>
        <v>28th July,2025</v>
      </c>
      <c r="C3240" s="85" t="s">
        <v>899</v>
      </c>
      <c r="D3240" s="86">
        <f>1850*2790</f>
        <v>5161500</v>
      </c>
      <c r="F3240" s="177"/>
    </row>
    <row r="3241" spans="1:7" s="53" customFormat="1" x14ac:dyDescent="0.35">
      <c r="A3241" s="223"/>
      <c r="B3241" s="88"/>
      <c r="C3241" s="89" t="s">
        <v>188</v>
      </c>
      <c r="D3241" s="90">
        <f>325*2650</f>
        <v>861250</v>
      </c>
      <c r="F3241" s="94"/>
    </row>
    <row r="3242" spans="1:7" s="53" customFormat="1" x14ac:dyDescent="0.35">
      <c r="A3242" s="223"/>
      <c r="B3242" s="88" t="s">
        <v>109</v>
      </c>
      <c r="C3242" s="89" t="s">
        <v>110</v>
      </c>
      <c r="D3242" s="90">
        <v>1000000</v>
      </c>
      <c r="F3242" s="94"/>
    </row>
    <row r="3243" spans="1:7" s="53" customFormat="1" x14ac:dyDescent="0.35">
      <c r="A3243" s="223"/>
      <c r="B3243" s="88" t="s">
        <v>111</v>
      </c>
      <c r="C3243" s="89" t="s">
        <v>112</v>
      </c>
      <c r="D3243" s="90">
        <v>40000</v>
      </c>
      <c r="E3243" s="225" t="s">
        <v>113</v>
      </c>
      <c r="F3243" s="225"/>
    </row>
    <row r="3244" spans="1:7" s="53" customFormat="1" x14ac:dyDescent="0.35">
      <c r="A3244" s="223"/>
      <c r="B3244" s="88" t="s">
        <v>114</v>
      </c>
      <c r="C3244" s="89" t="s">
        <v>115</v>
      </c>
      <c r="D3244" s="90">
        <f>500*120</f>
        <v>60000</v>
      </c>
      <c r="E3244" s="91" t="s">
        <v>116</v>
      </c>
      <c r="F3244" s="92">
        <f>4100*2680</f>
        <v>10988000</v>
      </c>
    </row>
    <row r="3245" spans="1:7" s="53" customFormat="1" x14ac:dyDescent="0.35">
      <c r="A3245" s="223"/>
      <c r="B3245" s="88"/>
      <c r="C3245" s="89" t="s">
        <v>117</v>
      </c>
      <c r="D3245" s="90">
        <f>4150*120</f>
        <v>498000</v>
      </c>
      <c r="E3245" s="93" t="s">
        <v>118</v>
      </c>
      <c r="F3245" s="94">
        <f>(2460*2680)+(1640*2680)</f>
        <v>10988000</v>
      </c>
    </row>
    <row r="3246" spans="1:7" s="53" customFormat="1" ht="15" thickBot="1" x14ac:dyDescent="0.4">
      <c r="A3246" s="223"/>
      <c r="B3246" s="88" t="s">
        <v>119</v>
      </c>
      <c r="C3246" s="89" t="s">
        <v>120</v>
      </c>
      <c r="D3246" s="95">
        <v>30000</v>
      </c>
      <c r="E3246" s="96" t="s">
        <v>121</v>
      </c>
      <c r="F3246" s="97">
        <f>F3244-F3245</f>
        <v>0</v>
      </c>
      <c r="G3246" s="98">
        <f>F3246/2680</f>
        <v>0</v>
      </c>
    </row>
    <row r="3247" spans="1:7" s="53" customFormat="1" ht="15" thickTop="1" x14ac:dyDescent="0.35">
      <c r="A3247" s="223"/>
      <c r="B3247" s="88"/>
      <c r="C3247" s="89" t="s">
        <v>265</v>
      </c>
      <c r="D3247" s="90">
        <f>1299*122</f>
        <v>158478</v>
      </c>
      <c r="F3247" s="94"/>
    </row>
    <row r="3248" spans="1:7" s="53" customFormat="1" x14ac:dyDescent="0.35">
      <c r="A3248" s="223"/>
      <c r="B3248" s="88" t="s">
        <v>213</v>
      </c>
      <c r="C3248" s="99" t="s">
        <v>123</v>
      </c>
      <c r="D3248" s="90">
        <v>15000</v>
      </c>
      <c r="E3248" s="91" t="s">
        <v>124</v>
      </c>
      <c r="F3248" s="92"/>
    </row>
    <row r="3249" spans="1:6" s="53" customFormat="1" x14ac:dyDescent="0.35">
      <c r="A3249" s="223"/>
      <c r="B3249" s="101"/>
      <c r="C3249" s="99" t="s">
        <v>126</v>
      </c>
      <c r="D3249" s="100">
        <v>30000</v>
      </c>
      <c r="E3249" s="102"/>
      <c r="F3249" s="103"/>
    </row>
    <row r="3250" spans="1:6" s="53" customFormat="1" x14ac:dyDescent="0.35">
      <c r="A3250" s="223"/>
      <c r="B3250" s="101"/>
      <c r="C3250" s="99" t="s">
        <v>1057</v>
      </c>
      <c r="D3250" s="100">
        <v>20000</v>
      </c>
      <c r="E3250" s="102" t="s">
        <v>127</v>
      </c>
      <c r="F3250" s="103"/>
    </row>
    <row r="3251" spans="1:6" s="53" customFormat="1" x14ac:dyDescent="0.35">
      <c r="A3251" s="223"/>
      <c r="B3251" s="101"/>
      <c r="C3251" s="89"/>
      <c r="D3251" s="104"/>
      <c r="E3251" s="102" t="s">
        <v>914</v>
      </c>
      <c r="F3251" s="103"/>
    </row>
    <row r="3252" spans="1:6" s="53" customFormat="1" ht="15" thickBot="1" x14ac:dyDescent="0.4">
      <c r="A3252" s="223"/>
      <c r="B3252" s="105"/>
      <c r="C3252" s="106"/>
      <c r="D3252" s="107"/>
      <c r="E3252" s="53" t="s">
        <v>1604</v>
      </c>
      <c r="F3252" s="94"/>
    </row>
    <row r="3253" spans="1:6" s="53" customFormat="1" ht="15" thickBot="1" x14ac:dyDescent="0.4">
      <c r="A3253" s="223"/>
      <c r="B3253" s="108"/>
      <c r="C3253" s="109" t="s">
        <v>129</v>
      </c>
      <c r="D3253" s="110">
        <f>SUM(D3240:D3252)</f>
        <v>7874228</v>
      </c>
      <c r="F3253" s="94"/>
    </row>
    <row r="3254" spans="1:6" s="53" customFormat="1" ht="15.5" thickTop="1" thickBot="1" x14ac:dyDescent="0.4">
      <c r="A3254" s="224"/>
      <c r="B3254" s="226"/>
      <c r="C3254" s="226"/>
      <c r="D3254" s="226"/>
      <c r="F3254" s="94"/>
    </row>
    <row r="3255" spans="1:6" s="53" customFormat="1" x14ac:dyDescent="0.35">
      <c r="B3255" s="87"/>
      <c r="C3255" s="53" t="s">
        <v>130</v>
      </c>
      <c r="D3255" s="111">
        <f>D3237-D3253</f>
        <v>3113772</v>
      </c>
      <c r="F3255" s="94"/>
    </row>
    <row r="3256" spans="1:6" s="53" customFormat="1" x14ac:dyDescent="0.35">
      <c r="B3256" s="87"/>
      <c r="D3256" s="111"/>
      <c r="F3256" s="94"/>
    </row>
    <row r="3257" spans="1:6" s="53" customFormat="1" x14ac:dyDescent="0.35">
      <c r="A3257" s="112"/>
      <c r="B3257" s="113"/>
      <c r="C3257" s="112"/>
      <c r="D3257" s="114"/>
      <c r="E3257" s="112"/>
      <c r="F3257" s="178"/>
    </row>
    <row r="3259" spans="1:6" s="53" customFormat="1" ht="23.5" x14ac:dyDescent="0.55000000000000004">
      <c r="B3259" s="227" t="s">
        <v>0</v>
      </c>
      <c r="C3259" s="227"/>
      <c r="D3259" s="227"/>
      <c r="E3259" s="70"/>
      <c r="F3259" s="176"/>
    </row>
    <row r="3260" spans="1:6" s="53" customFormat="1" ht="20.5" x14ac:dyDescent="0.45">
      <c r="B3260" s="71"/>
      <c r="C3260" s="72" t="s">
        <v>894</v>
      </c>
      <c r="D3260" s="73"/>
      <c r="F3260" s="94"/>
    </row>
    <row r="3261" spans="1:6" s="53" customFormat="1" ht="21" thickBot="1" x14ac:dyDescent="0.5">
      <c r="B3261" s="71" t="s">
        <v>518</v>
      </c>
      <c r="C3261" s="74" t="s">
        <v>103</v>
      </c>
      <c r="D3261" s="73"/>
      <c r="F3261" s="94"/>
    </row>
    <row r="3262" spans="1:6" s="53" customFormat="1" ht="15" thickBot="1" x14ac:dyDescent="0.4">
      <c r="A3262" s="75" t="s">
        <v>104</v>
      </c>
      <c r="B3262" s="76" t="s">
        <v>81</v>
      </c>
      <c r="C3262" s="76" t="s">
        <v>105</v>
      </c>
      <c r="D3262" s="77" t="s">
        <v>84</v>
      </c>
      <c r="F3262" s="94"/>
    </row>
    <row r="3263" spans="1:6" s="53" customFormat="1" ht="14.5" customHeight="1" x14ac:dyDescent="0.35">
      <c r="A3263" s="222" t="s">
        <v>91</v>
      </c>
      <c r="B3263" s="78" t="s">
        <v>888</v>
      </c>
      <c r="C3263" s="79" t="s">
        <v>106</v>
      </c>
      <c r="D3263" s="80">
        <f>F3270</f>
        <v>10988000</v>
      </c>
      <c r="F3263" s="94"/>
    </row>
    <row r="3264" spans="1:6" s="53" customFormat="1" ht="21" thickBot="1" x14ac:dyDescent="0.5">
      <c r="A3264" s="223"/>
      <c r="B3264" s="71"/>
      <c r="C3264" s="71"/>
      <c r="D3264" s="73"/>
      <c r="F3264" s="94"/>
    </row>
    <row r="3265" spans="1:7" s="53" customFormat="1" ht="15" thickBot="1" x14ac:dyDescent="0.4">
      <c r="A3265" s="223"/>
      <c r="B3265" s="81" t="s">
        <v>81</v>
      </c>
      <c r="C3265" s="82" t="s">
        <v>107</v>
      </c>
      <c r="D3265" s="83" t="s">
        <v>108</v>
      </c>
      <c r="F3265" s="94"/>
    </row>
    <row r="3266" spans="1:7" s="87" customFormat="1" x14ac:dyDescent="0.35">
      <c r="A3266" s="223"/>
      <c r="B3266" s="84" t="str">
        <f>B3263</f>
        <v>28th July,2025</v>
      </c>
      <c r="C3266" s="85" t="s">
        <v>899</v>
      </c>
      <c r="D3266" s="86">
        <f>1850*2790</f>
        <v>5161500</v>
      </c>
      <c r="F3266" s="177"/>
    </row>
    <row r="3267" spans="1:7" s="53" customFormat="1" x14ac:dyDescent="0.35">
      <c r="A3267" s="223"/>
      <c r="B3267" s="88"/>
      <c r="C3267" s="89" t="s">
        <v>188</v>
      </c>
      <c r="D3267" s="90">
        <f>325*2650</f>
        <v>861250</v>
      </c>
      <c r="F3267" s="94"/>
    </row>
    <row r="3268" spans="1:7" s="53" customFormat="1" x14ac:dyDescent="0.35">
      <c r="A3268" s="223"/>
      <c r="B3268" s="88" t="s">
        <v>109</v>
      </c>
      <c r="C3268" s="89" t="s">
        <v>110</v>
      </c>
      <c r="D3268" s="90">
        <v>1000000</v>
      </c>
      <c r="F3268" s="94"/>
    </row>
    <row r="3269" spans="1:7" s="53" customFormat="1" x14ac:dyDescent="0.35">
      <c r="A3269" s="223"/>
      <c r="B3269" s="88" t="s">
        <v>111</v>
      </c>
      <c r="C3269" s="89" t="s">
        <v>112</v>
      </c>
      <c r="D3269" s="90">
        <v>40000</v>
      </c>
      <c r="E3269" s="225" t="s">
        <v>113</v>
      </c>
      <c r="F3269" s="225"/>
    </row>
    <row r="3270" spans="1:7" s="53" customFormat="1" x14ac:dyDescent="0.35">
      <c r="A3270" s="223"/>
      <c r="B3270" s="88" t="s">
        <v>114</v>
      </c>
      <c r="C3270" s="89" t="s">
        <v>115</v>
      </c>
      <c r="D3270" s="90">
        <f>700*120</f>
        <v>84000</v>
      </c>
      <c r="E3270" s="91" t="s">
        <v>116</v>
      </c>
      <c r="F3270" s="92">
        <f>4100*2680</f>
        <v>10988000</v>
      </c>
    </row>
    <row r="3271" spans="1:7" s="53" customFormat="1" x14ac:dyDescent="0.35">
      <c r="A3271" s="223"/>
      <c r="B3271" s="88"/>
      <c r="C3271" s="89" t="s">
        <v>117</v>
      </c>
      <c r="D3271" s="90">
        <f>4150*120</f>
        <v>498000</v>
      </c>
      <c r="E3271" s="93" t="s">
        <v>118</v>
      </c>
      <c r="F3271" s="94">
        <f>(2460*2680)+(1640*2680)</f>
        <v>10988000</v>
      </c>
    </row>
    <row r="3272" spans="1:7" s="53" customFormat="1" ht="15" thickBot="1" x14ac:dyDescent="0.4">
      <c r="A3272" s="223"/>
      <c r="B3272" s="88" t="s">
        <v>119</v>
      </c>
      <c r="C3272" s="89" t="s">
        <v>120</v>
      </c>
      <c r="D3272" s="95">
        <v>30000</v>
      </c>
      <c r="E3272" s="96" t="s">
        <v>121</v>
      </c>
      <c r="F3272" s="97">
        <f>F3270-F3271</f>
        <v>0</v>
      </c>
      <c r="G3272" s="98">
        <f>F3272/2680</f>
        <v>0</v>
      </c>
    </row>
    <row r="3273" spans="1:7" s="53" customFormat="1" ht="15" thickTop="1" x14ac:dyDescent="0.35">
      <c r="A3273" s="223"/>
      <c r="B3273" s="88"/>
      <c r="C3273" s="89" t="s">
        <v>265</v>
      </c>
      <c r="D3273" s="90">
        <f>1299*122</f>
        <v>158478</v>
      </c>
      <c r="F3273" s="94"/>
    </row>
    <row r="3274" spans="1:7" s="53" customFormat="1" x14ac:dyDescent="0.35">
      <c r="A3274" s="223"/>
      <c r="B3274" s="88" t="s">
        <v>213</v>
      </c>
      <c r="C3274" s="99" t="s">
        <v>123</v>
      </c>
      <c r="D3274" s="90">
        <v>15000</v>
      </c>
      <c r="E3274" s="91" t="s">
        <v>124</v>
      </c>
      <c r="F3274" s="92"/>
    </row>
    <row r="3275" spans="1:7" s="53" customFormat="1" x14ac:dyDescent="0.35">
      <c r="A3275" s="223"/>
      <c r="B3275" s="101"/>
      <c r="C3275" s="99" t="s">
        <v>126</v>
      </c>
      <c r="D3275" s="100">
        <v>30000</v>
      </c>
      <c r="E3275" s="102"/>
      <c r="F3275" s="103"/>
    </row>
    <row r="3276" spans="1:7" s="53" customFormat="1" x14ac:dyDescent="0.35">
      <c r="A3276" s="223"/>
      <c r="B3276" s="101"/>
      <c r="C3276" s="99" t="s">
        <v>1057</v>
      </c>
      <c r="D3276" s="100">
        <v>20000</v>
      </c>
      <c r="E3276" s="102" t="s">
        <v>127</v>
      </c>
      <c r="F3276" s="103"/>
    </row>
    <row r="3277" spans="1:7" s="53" customFormat="1" x14ac:dyDescent="0.35">
      <c r="A3277" s="223"/>
      <c r="B3277" s="101"/>
      <c r="C3277" s="89"/>
      <c r="D3277" s="104"/>
      <c r="E3277" s="102" t="s">
        <v>912</v>
      </c>
      <c r="F3277" s="103"/>
    </row>
    <row r="3278" spans="1:7" s="53" customFormat="1" ht="15" thickBot="1" x14ac:dyDescent="0.4">
      <c r="A3278" s="223"/>
      <c r="B3278" s="105"/>
      <c r="C3278" s="106"/>
      <c r="D3278" s="107"/>
      <c r="E3278" s="53" t="s">
        <v>1604</v>
      </c>
      <c r="F3278" s="94"/>
    </row>
    <row r="3279" spans="1:7" s="53" customFormat="1" ht="15" thickBot="1" x14ac:dyDescent="0.4">
      <c r="A3279" s="223"/>
      <c r="B3279" s="108"/>
      <c r="C3279" s="109" t="s">
        <v>129</v>
      </c>
      <c r="D3279" s="110">
        <f>SUM(D3266:D3278)</f>
        <v>7898228</v>
      </c>
      <c r="F3279" s="94"/>
    </row>
    <row r="3280" spans="1:7" s="53" customFormat="1" ht="15.5" thickTop="1" thickBot="1" x14ac:dyDescent="0.4">
      <c r="A3280" s="224"/>
      <c r="B3280" s="226"/>
      <c r="C3280" s="226"/>
      <c r="D3280" s="226"/>
      <c r="F3280" s="94"/>
    </row>
    <row r="3281" spans="1:6" s="53" customFormat="1" x14ac:dyDescent="0.35">
      <c r="B3281" s="87"/>
      <c r="C3281" s="53" t="s">
        <v>130</v>
      </c>
      <c r="D3281" s="111">
        <f>D3263-D3279</f>
        <v>3089772</v>
      </c>
      <c r="F3281" s="94"/>
    </row>
    <row r="3282" spans="1:6" s="53" customFormat="1" x14ac:dyDescent="0.35">
      <c r="B3282" s="87"/>
      <c r="D3282" s="111"/>
      <c r="F3282" s="94"/>
    </row>
    <row r="3283" spans="1:6" s="53" customFormat="1" x14ac:dyDescent="0.35">
      <c r="A3283" s="112"/>
      <c r="B3283" s="113"/>
      <c r="C3283" s="112"/>
      <c r="D3283" s="114"/>
      <c r="E3283" s="112"/>
      <c r="F3283" s="178"/>
    </row>
    <row r="3285" spans="1:6" s="53" customFormat="1" ht="23.5" x14ac:dyDescent="0.55000000000000004">
      <c r="B3285" s="227" t="s">
        <v>0</v>
      </c>
      <c r="C3285" s="227"/>
      <c r="D3285" s="227"/>
      <c r="E3285" s="70"/>
      <c r="F3285" s="176"/>
    </row>
    <row r="3286" spans="1:6" s="53" customFormat="1" ht="20.5" x14ac:dyDescent="0.45">
      <c r="B3286" s="71"/>
      <c r="C3286" s="72" t="s">
        <v>896</v>
      </c>
      <c r="D3286" s="73"/>
      <c r="F3286" s="94"/>
    </row>
    <row r="3287" spans="1:6" s="53" customFormat="1" ht="21" thickBot="1" x14ac:dyDescent="0.5">
      <c r="B3287" s="71" t="s">
        <v>761</v>
      </c>
      <c r="C3287" s="74" t="s">
        <v>103</v>
      </c>
      <c r="D3287" s="73"/>
      <c r="F3287" s="94"/>
    </row>
    <row r="3288" spans="1:6" s="53" customFormat="1" ht="15" thickBot="1" x14ac:dyDescent="0.4">
      <c r="A3288" s="75" t="s">
        <v>104</v>
      </c>
      <c r="B3288" s="76" t="s">
        <v>81</v>
      </c>
      <c r="C3288" s="76" t="s">
        <v>105</v>
      </c>
      <c r="D3288" s="77" t="s">
        <v>84</v>
      </c>
      <c r="F3288" s="94"/>
    </row>
    <row r="3289" spans="1:6" s="53" customFormat="1" ht="14.5" customHeight="1" x14ac:dyDescent="0.35">
      <c r="A3289" s="222" t="s">
        <v>91</v>
      </c>
      <c r="B3289" s="78" t="s">
        <v>888</v>
      </c>
      <c r="C3289" s="79" t="s">
        <v>106</v>
      </c>
      <c r="D3289" s="80">
        <f>F3296</f>
        <v>10988000</v>
      </c>
      <c r="F3289" s="94"/>
    </row>
    <row r="3290" spans="1:6" s="53" customFormat="1" ht="21" thickBot="1" x14ac:dyDescent="0.5">
      <c r="A3290" s="223"/>
      <c r="B3290" s="71"/>
      <c r="C3290" s="71"/>
      <c r="D3290" s="73"/>
      <c r="F3290" s="94"/>
    </row>
    <row r="3291" spans="1:6" s="53" customFormat="1" ht="15" thickBot="1" x14ac:dyDescent="0.4">
      <c r="A3291" s="223"/>
      <c r="B3291" s="81" t="s">
        <v>81</v>
      </c>
      <c r="C3291" s="82" t="s">
        <v>107</v>
      </c>
      <c r="D3291" s="83" t="s">
        <v>108</v>
      </c>
      <c r="F3291" s="94"/>
    </row>
    <row r="3292" spans="1:6" s="87" customFormat="1" x14ac:dyDescent="0.35">
      <c r="A3292" s="223"/>
      <c r="B3292" s="84" t="str">
        <f>B3289</f>
        <v>28th July,2025</v>
      </c>
      <c r="C3292" s="175" t="s">
        <v>1055</v>
      </c>
      <c r="D3292" s="86">
        <f>1850*2777</f>
        <v>5137450</v>
      </c>
      <c r="F3292" s="177"/>
    </row>
    <row r="3293" spans="1:6" s="53" customFormat="1" x14ac:dyDescent="0.35">
      <c r="A3293" s="223"/>
      <c r="B3293" s="88"/>
      <c r="C3293" s="89" t="s">
        <v>188</v>
      </c>
      <c r="D3293" s="90">
        <f>325*2650</f>
        <v>861250</v>
      </c>
      <c r="F3293" s="94"/>
    </row>
    <row r="3294" spans="1:6" s="53" customFormat="1" x14ac:dyDescent="0.35">
      <c r="A3294" s="223"/>
      <c r="B3294" s="88" t="s">
        <v>109</v>
      </c>
      <c r="C3294" s="89" t="s">
        <v>110</v>
      </c>
      <c r="D3294" s="90">
        <v>1000000</v>
      </c>
      <c r="F3294" s="94"/>
    </row>
    <row r="3295" spans="1:6" s="53" customFormat="1" x14ac:dyDescent="0.35">
      <c r="A3295" s="223"/>
      <c r="B3295" s="88" t="s">
        <v>111</v>
      </c>
      <c r="C3295" s="89" t="s">
        <v>112</v>
      </c>
      <c r="D3295" s="90">
        <v>40000</v>
      </c>
      <c r="E3295" s="225" t="s">
        <v>113</v>
      </c>
      <c r="F3295" s="225"/>
    </row>
    <row r="3296" spans="1:6" s="53" customFormat="1" x14ac:dyDescent="0.35">
      <c r="A3296" s="223"/>
      <c r="B3296" s="88" t="s">
        <v>182</v>
      </c>
      <c r="C3296" s="89" t="s">
        <v>115</v>
      </c>
      <c r="D3296" s="90">
        <f>1200*120</f>
        <v>144000</v>
      </c>
      <c r="E3296" s="91" t="s">
        <v>116</v>
      </c>
      <c r="F3296" s="92">
        <f>4100*2680</f>
        <v>10988000</v>
      </c>
    </row>
    <row r="3297" spans="1:7" s="53" customFormat="1" x14ac:dyDescent="0.35">
      <c r="A3297" s="223"/>
      <c r="B3297" s="88"/>
      <c r="C3297" s="89" t="s">
        <v>117</v>
      </c>
      <c r="D3297" s="90">
        <f>2000*120</f>
        <v>240000</v>
      </c>
      <c r="E3297" s="93" t="s">
        <v>118</v>
      </c>
      <c r="F3297" s="94">
        <f>(2460*2680)+(1640*2680)</f>
        <v>10988000</v>
      </c>
    </row>
    <row r="3298" spans="1:7" s="53" customFormat="1" ht="15" thickBot="1" x14ac:dyDescent="0.4">
      <c r="A3298" s="223"/>
      <c r="B3298" s="88" t="s">
        <v>119</v>
      </c>
      <c r="C3298" s="89" t="s">
        <v>120</v>
      </c>
      <c r="D3298" s="95">
        <v>30000</v>
      </c>
      <c r="E3298" s="96" t="s">
        <v>121</v>
      </c>
      <c r="F3298" s="97">
        <f>F3296-F3297</f>
        <v>0</v>
      </c>
      <c r="G3298" s="98">
        <f>F3298/2680</f>
        <v>0</v>
      </c>
    </row>
    <row r="3299" spans="1:7" s="53" customFormat="1" ht="15" thickTop="1" x14ac:dyDescent="0.35">
      <c r="A3299" s="223"/>
      <c r="B3299" s="88"/>
      <c r="C3299" s="89" t="s">
        <v>122</v>
      </c>
      <c r="D3299" s="90">
        <v>140000</v>
      </c>
      <c r="F3299" s="94"/>
    </row>
    <row r="3300" spans="1:7" s="53" customFormat="1" x14ac:dyDescent="0.35">
      <c r="A3300" s="223"/>
      <c r="B3300" s="88" t="s">
        <v>895</v>
      </c>
      <c r="C3300" s="99" t="s">
        <v>123</v>
      </c>
      <c r="D3300" s="90">
        <v>15000</v>
      </c>
      <c r="E3300" s="91" t="s">
        <v>124</v>
      </c>
      <c r="F3300" s="92"/>
    </row>
    <row r="3301" spans="1:7" s="53" customFormat="1" x14ac:dyDescent="0.35">
      <c r="A3301" s="223"/>
      <c r="B3301" s="101"/>
      <c r="C3301" s="99" t="s">
        <v>125</v>
      </c>
      <c r="D3301" s="100">
        <v>10000</v>
      </c>
      <c r="E3301" s="102"/>
      <c r="F3301" s="103"/>
    </row>
    <row r="3302" spans="1:7" s="53" customFormat="1" x14ac:dyDescent="0.35">
      <c r="A3302" s="223"/>
      <c r="B3302" s="101"/>
      <c r="C3302" s="99" t="s">
        <v>126</v>
      </c>
      <c r="D3302" s="100">
        <v>40000</v>
      </c>
      <c r="E3302" s="102" t="s">
        <v>127</v>
      </c>
      <c r="F3302" s="103"/>
    </row>
    <row r="3303" spans="1:7" s="53" customFormat="1" x14ac:dyDescent="0.35">
      <c r="A3303" s="223"/>
      <c r="B3303" s="101"/>
      <c r="C3303" s="89"/>
      <c r="D3303" s="104"/>
      <c r="E3303" s="102" t="s">
        <v>912</v>
      </c>
      <c r="F3303" s="103"/>
    </row>
    <row r="3304" spans="1:7" s="53" customFormat="1" ht="15" thickBot="1" x14ac:dyDescent="0.4">
      <c r="A3304" s="223"/>
      <c r="B3304" s="105"/>
      <c r="C3304" s="106"/>
      <c r="D3304" s="107"/>
      <c r="E3304" s="53" t="s">
        <v>1419</v>
      </c>
      <c r="F3304" s="94"/>
    </row>
    <row r="3305" spans="1:7" s="53" customFormat="1" ht="15" thickBot="1" x14ac:dyDescent="0.4">
      <c r="A3305" s="223"/>
      <c r="B3305" s="108"/>
      <c r="C3305" s="109" t="s">
        <v>129</v>
      </c>
      <c r="D3305" s="110">
        <f>SUM(D3292:D3304)</f>
        <v>7657700</v>
      </c>
      <c r="F3305" s="94"/>
    </row>
    <row r="3306" spans="1:7" s="53" customFormat="1" ht="15.5" thickTop="1" thickBot="1" x14ac:dyDescent="0.4">
      <c r="A3306" s="224"/>
      <c r="B3306" s="226"/>
      <c r="C3306" s="226"/>
      <c r="D3306" s="226"/>
      <c r="F3306" s="94"/>
    </row>
    <row r="3307" spans="1:7" s="53" customFormat="1" x14ac:dyDescent="0.35">
      <c r="B3307" s="87"/>
      <c r="C3307" s="53" t="s">
        <v>130</v>
      </c>
      <c r="D3307" s="111">
        <f>D3289-D3305</f>
        <v>3330300</v>
      </c>
      <c r="F3307" s="94"/>
    </row>
    <row r="3308" spans="1:7" s="53" customFormat="1" x14ac:dyDescent="0.35">
      <c r="B3308" s="87"/>
      <c r="D3308" s="111"/>
      <c r="F3308" s="94"/>
    </row>
    <row r="3309" spans="1:7" s="53" customFormat="1" x14ac:dyDescent="0.35">
      <c r="A3309" s="112"/>
      <c r="B3309" s="113"/>
      <c r="C3309" s="112"/>
      <c r="D3309" s="114"/>
      <c r="E3309" s="112"/>
      <c r="F3309" s="178"/>
    </row>
    <row r="3311" spans="1:7" s="53" customFormat="1" ht="23.5" x14ac:dyDescent="0.55000000000000004">
      <c r="B3311" s="227" t="s">
        <v>0</v>
      </c>
      <c r="C3311" s="227"/>
      <c r="D3311" s="227"/>
      <c r="E3311" s="70"/>
      <c r="F3311" s="176"/>
    </row>
    <row r="3312" spans="1:7" s="53" customFormat="1" ht="20.5" x14ac:dyDescent="0.45">
      <c r="B3312" s="71"/>
      <c r="C3312" s="72" t="s">
        <v>913</v>
      </c>
      <c r="D3312" s="73"/>
      <c r="F3312" s="94"/>
    </row>
    <row r="3313" spans="1:7" s="53" customFormat="1" ht="21" thickBot="1" x14ac:dyDescent="0.5">
      <c r="B3313" s="71" t="s">
        <v>218</v>
      </c>
      <c r="C3313" s="74" t="s">
        <v>103</v>
      </c>
      <c r="D3313" s="73"/>
      <c r="F3313" s="94"/>
    </row>
    <row r="3314" spans="1:7" s="53" customFormat="1" ht="15" thickBot="1" x14ac:dyDescent="0.4">
      <c r="A3314" s="75" t="s">
        <v>104</v>
      </c>
      <c r="B3314" s="76" t="s">
        <v>81</v>
      </c>
      <c r="C3314" s="76" t="s">
        <v>105</v>
      </c>
      <c r="D3314" s="77" t="s">
        <v>84</v>
      </c>
      <c r="F3314" s="94"/>
    </row>
    <row r="3315" spans="1:7" s="53" customFormat="1" ht="14.5" customHeight="1" x14ac:dyDescent="0.35">
      <c r="A3315" s="222" t="s">
        <v>91</v>
      </c>
      <c r="B3315" s="78" t="s">
        <v>888</v>
      </c>
      <c r="C3315" s="79" t="s">
        <v>106</v>
      </c>
      <c r="D3315" s="80">
        <f>F3322</f>
        <v>10988000</v>
      </c>
      <c r="F3315" s="94"/>
    </row>
    <row r="3316" spans="1:7" s="53" customFormat="1" ht="21" thickBot="1" x14ac:dyDescent="0.5">
      <c r="A3316" s="223"/>
      <c r="B3316" s="71"/>
      <c r="C3316" s="71"/>
      <c r="D3316" s="73"/>
      <c r="F3316" s="94"/>
    </row>
    <row r="3317" spans="1:7" s="53" customFormat="1" ht="15" thickBot="1" x14ac:dyDescent="0.4">
      <c r="A3317" s="223"/>
      <c r="B3317" s="81" t="s">
        <v>81</v>
      </c>
      <c r="C3317" s="82" t="s">
        <v>107</v>
      </c>
      <c r="D3317" s="83" t="s">
        <v>108</v>
      </c>
      <c r="F3317" s="94"/>
    </row>
    <row r="3318" spans="1:7" s="87" customFormat="1" x14ac:dyDescent="0.35">
      <c r="A3318" s="223"/>
      <c r="B3318" s="84" t="str">
        <f>B3315</f>
        <v>28th July,2025</v>
      </c>
      <c r="C3318" s="175" t="s">
        <v>1055</v>
      </c>
      <c r="D3318" s="86">
        <f>1850*2777</f>
        <v>5137450</v>
      </c>
      <c r="F3318" s="177"/>
    </row>
    <row r="3319" spans="1:7" s="53" customFormat="1" x14ac:dyDescent="0.35">
      <c r="A3319" s="223"/>
      <c r="B3319" s="88"/>
      <c r="C3319" s="89" t="s">
        <v>188</v>
      </c>
      <c r="D3319" s="90">
        <f>325*2650</f>
        <v>861250</v>
      </c>
      <c r="F3319" s="94"/>
    </row>
    <row r="3320" spans="1:7" s="53" customFormat="1" x14ac:dyDescent="0.35">
      <c r="A3320" s="223"/>
      <c r="B3320" s="88" t="s">
        <v>109</v>
      </c>
      <c r="C3320" s="89" t="s">
        <v>110</v>
      </c>
      <c r="D3320" s="90">
        <v>1000000</v>
      </c>
      <c r="F3320" s="94"/>
    </row>
    <row r="3321" spans="1:7" s="53" customFormat="1" x14ac:dyDescent="0.35">
      <c r="A3321" s="223"/>
      <c r="B3321" s="88" t="s">
        <v>111</v>
      </c>
      <c r="C3321" s="89" t="s">
        <v>112</v>
      </c>
      <c r="D3321" s="90">
        <v>40000</v>
      </c>
      <c r="E3321" s="225" t="s">
        <v>113</v>
      </c>
      <c r="F3321" s="225"/>
    </row>
    <row r="3322" spans="1:7" s="53" customFormat="1" x14ac:dyDescent="0.35">
      <c r="A3322" s="223"/>
      <c r="B3322" s="88" t="s">
        <v>182</v>
      </c>
      <c r="C3322" s="89" t="s">
        <v>115</v>
      </c>
      <c r="D3322" s="90">
        <f>1200*120</f>
        <v>144000</v>
      </c>
      <c r="E3322" s="91" t="s">
        <v>116</v>
      </c>
      <c r="F3322" s="92">
        <f>4100*2680</f>
        <v>10988000</v>
      </c>
    </row>
    <row r="3323" spans="1:7" s="53" customFormat="1" x14ac:dyDescent="0.35">
      <c r="A3323" s="223"/>
      <c r="B3323" s="88"/>
      <c r="C3323" s="89" t="s">
        <v>117</v>
      </c>
      <c r="D3323" s="90">
        <f>2000*120</f>
        <v>240000</v>
      </c>
      <c r="E3323" s="93" t="s">
        <v>118</v>
      </c>
      <c r="F3323" s="94">
        <f>(2460*2680)+(1640*2680)</f>
        <v>10988000</v>
      </c>
    </row>
    <row r="3324" spans="1:7" s="53" customFormat="1" ht="15" thickBot="1" x14ac:dyDescent="0.4">
      <c r="A3324" s="223"/>
      <c r="B3324" s="88" t="s">
        <v>119</v>
      </c>
      <c r="C3324" s="89" t="s">
        <v>120</v>
      </c>
      <c r="D3324" s="95">
        <v>30000</v>
      </c>
      <c r="E3324" s="96" t="s">
        <v>121</v>
      </c>
      <c r="F3324" s="97">
        <f>F3322-F3323</f>
        <v>0</v>
      </c>
      <c r="G3324" s="98">
        <f>F3324/2680</f>
        <v>0</v>
      </c>
    </row>
    <row r="3325" spans="1:7" s="53" customFormat="1" ht="15" thickTop="1" x14ac:dyDescent="0.35">
      <c r="A3325" s="223"/>
      <c r="B3325" s="88"/>
      <c r="C3325" s="99" t="s">
        <v>123</v>
      </c>
      <c r="D3325" s="90">
        <v>15000</v>
      </c>
      <c r="F3325" s="94"/>
    </row>
    <row r="3326" spans="1:7" s="53" customFormat="1" x14ac:dyDescent="0.35">
      <c r="A3326" s="223"/>
      <c r="B3326" s="88" t="s">
        <v>213</v>
      </c>
      <c r="C3326" s="99" t="s">
        <v>125</v>
      </c>
      <c r="D3326" s="100">
        <v>10000</v>
      </c>
      <c r="E3326" s="91" t="s">
        <v>124</v>
      </c>
      <c r="F3326" s="92"/>
    </row>
    <row r="3327" spans="1:7" s="53" customFormat="1" x14ac:dyDescent="0.35">
      <c r="A3327" s="223"/>
      <c r="B3327" s="101"/>
      <c r="C3327" s="99" t="s">
        <v>126</v>
      </c>
      <c r="D3327" s="100">
        <v>40000</v>
      </c>
      <c r="E3327" s="102"/>
      <c r="F3327" s="103"/>
    </row>
    <row r="3328" spans="1:7" s="53" customFormat="1" x14ac:dyDescent="0.35">
      <c r="A3328" s="223"/>
      <c r="B3328" s="101"/>
      <c r="C3328" s="99"/>
      <c r="D3328" s="100"/>
      <c r="E3328" s="102" t="s">
        <v>127</v>
      </c>
      <c r="F3328" s="103"/>
    </row>
    <row r="3329" spans="1:6" s="53" customFormat="1" x14ac:dyDescent="0.35">
      <c r="A3329" s="223"/>
      <c r="B3329" s="101"/>
      <c r="C3329" s="89"/>
      <c r="D3329" s="104"/>
      <c r="E3329" s="102" t="s">
        <v>912</v>
      </c>
      <c r="F3329" s="103"/>
    </row>
    <row r="3330" spans="1:6" s="53" customFormat="1" ht="15" thickBot="1" x14ac:dyDescent="0.4">
      <c r="A3330" s="223"/>
      <c r="B3330" s="105"/>
      <c r="C3330" s="106"/>
      <c r="D3330" s="107"/>
      <c r="E3330" s="53" t="s">
        <v>1604</v>
      </c>
      <c r="F3330" s="94"/>
    </row>
    <row r="3331" spans="1:6" s="53" customFormat="1" ht="15" thickBot="1" x14ac:dyDescent="0.4">
      <c r="A3331" s="223"/>
      <c r="B3331" s="108"/>
      <c r="C3331" s="109" t="s">
        <v>129</v>
      </c>
      <c r="D3331" s="110">
        <f>SUM(D3318:D3330)</f>
        <v>7517700</v>
      </c>
      <c r="F3331" s="94"/>
    </row>
    <row r="3332" spans="1:6" s="53" customFormat="1" ht="15.5" thickTop="1" thickBot="1" x14ac:dyDescent="0.4">
      <c r="A3332" s="224"/>
      <c r="B3332" s="226"/>
      <c r="C3332" s="226"/>
      <c r="D3332" s="226"/>
      <c r="F3332" s="94"/>
    </row>
    <row r="3333" spans="1:6" s="53" customFormat="1" x14ac:dyDescent="0.35">
      <c r="B3333" s="87"/>
      <c r="C3333" s="53" t="s">
        <v>130</v>
      </c>
      <c r="D3333" s="111">
        <f>D3315-D3331</f>
        <v>3470300</v>
      </c>
      <c r="F3333" s="94"/>
    </row>
    <row r="3334" spans="1:6" s="53" customFormat="1" x14ac:dyDescent="0.35">
      <c r="B3334" s="87"/>
      <c r="D3334" s="111"/>
      <c r="F3334" s="94"/>
    </row>
    <row r="3335" spans="1:6" s="53" customFormat="1" x14ac:dyDescent="0.35">
      <c r="A3335" s="112"/>
      <c r="B3335" s="113"/>
      <c r="C3335" s="112"/>
      <c r="D3335" s="114"/>
      <c r="E3335" s="112"/>
      <c r="F3335" s="178"/>
    </row>
    <row r="3337" spans="1:6" s="53" customFormat="1" ht="23.5" x14ac:dyDescent="0.55000000000000004">
      <c r="B3337" s="227" t="s">
        <v>0</v>
      </c>
      <c r="C3337" s="227"/>
      <c r="D3337" s="227"/>
      <c r="E3337" s="70"/>
      <c r="F3337" s="176"/>
    </row>
    <row r="3338" spans="1:6" s="53" customFormat="1" ht="20.5" x14ac:dyDescent="0.45">
      <c r="B3338" s="71"/>
      <c r="C3338" s="72" t="s">
        <v>923</v>
      </c>
      <c r="D3338" s="73"/>
      <c r="F3338" s="94"/>
    </row>
    <row r="3339" spans="1:6" s="53" customFormat="1" ht="21" thickBot="1" x14ac:dyDescent="0.5">
      <c r="B3339" s="71" t="s">
        <v>924</v>
      </c>
      <c r="C3339" s="74" t="s">
        <v>103</v>
      </c>
      <c r="D3339" s="73"/>
      <c r="F3339" s="94"/>
    </row>
    <row r="3340" spans="1:6" s="53" customFormat="1" ht="15" thickBot="1" x14ac:dyDescent="0.4">
      <c r="A3340" s="75" t="s">
        <v>104</v>
      </c>
      <c r="B3340" s="76" t="s">
        <v>81</v>
      </c>
      <c r="C3340" s="76" t="s">
        <v>105</v>
      </c>
      <c r="D3340" s="77" t="s">
        <v>84</v>
      </c>
      <c r="F3340" s="94"/>
    </row>
    <row r="3341" spans="1:6" s="53" customFormat="1" ht="14.5" customHeight="1" x14ac:dyDescent="0.35">
      <c r="A3341" s="222" t="s">
        <v>92</v>
      </c>
      <c r="B3341" s="78" t="s">
        <v>925</v>
      </c>
      <c r="C3341" s="79" t="s">
        <v>106</v>
      </c>
      <c r="D3341" s="80">
        <f>F3348</f>
        <v>11220000</v>
      </c>
      <c r="F3341" s="94"/>
    </row>
    <row r="3342" spans="1:6" s="53" customFormat="1" ht="21" thickBot="1" x14ac:dyDescent="0.5">
      <c r="A3342" s="223"/>
      <c r="B3342" s="71"/>
      <c r="C3342" s="71"/>
      <c r="D3342" s="73"/>
      <c r="F3342" s="94"/>
    </row>
    <row r="3343" spans="1:6" s="53" customFormat="1" ht="15" thickBot="1" x14ac:dyDescent="0.4">
      <c r="A3343" s="223"/>
      <c r="B3343" s="81" t="s">
        <v>81</v>
      </c>
      <c r="C3343" s="82" t="s">
        <v>107</v>
      </c>
      <c r="D3343" s="83" t="s">
        <v>108</v>
      </c>
      <c r="F3343" s="94"/>
    </row>
    <row r="3344" spans="1:6" s="87" customFormat="1" x14ac:dyDescent="0.35">
      <c r="A3344" s="223"/>
      <c r="B3344" s="84" t="str">
        <f>B3341</f>
        <v>08th August,2025</v>
      </c>
      <c r="C3344" s="85" t="s">
        <v>1055</v>
      </c>
      <c r="D3344" s="86">
        <f>1850*2777</f>
        <v>5137450</v>
      </c>
      <c r="F3344" s="177"/>
    </row>
    <row r="3345" spans="1:7" s="53" customFormat="1" x14ac:dyDescent="0.35">
      <c r="A3345" s="223"/>
      <c r="B3345" s="88"/>
      <c r="C3345" s="89" t="s">
        <v>747</v>
      </c>
      <c r="D3345" s="90">
        <f>356*2700</f>
        <v>961200</v>
      </c>
      <c r="F3345" s="94"/>
    </row>
    <row r="3346" spans="1:7" s="53" customFormat="1" x14ac:dyDescent="0.35">
      <c r="A3346" s="223"/>
      <c r="B3346" s="88" t="s">
        <v>109</v>
      </c>
      <c r="C3346" s="89" t="s">
        <v>110</v>
      </c>
      <c r="D3346" s="90">
        <v>1000000</v>
      </c>
      <c r="F3346" s="94"/>
    </row>
    <row r="3347" spans="1:7" s="53" customFormat="1" x14ac:dyDescent="0.35">
      <c r="A3347" s="223"/>
      <c r="B3347" s="88" t="s">
        <v>111</v>
      </c>
      <c r="C3347" s="89" t="s">
        <v>112</v>
      </c>
      <c r="D3347" s="90">
        <v>40000</v>
      </c>
      <c r="E3347" s="225" t="s">
        <v>113</v>
      </c>
      <c r="F3347" s="225"/>
    </row>
    <row r="3348" spans="1:7" s="53" customFormat="1" x14ac:dyDescent="0.35">
      <c r="A3348" s="223"/>
      <c r="B3348" s="88" t="s">
        <v>383</v>
      </c>
      <c r="C3348" s="89" t="s">
        <v>115</v>
      </c>
      <c r="D3348" s="90">
        <f>650*128</f>
        <v>83200</v>
      </c>
      <c r="E3348" s="91" t="s">
        <v>116</v>
      </c>
      <c r="F3348" s="92">
        <f>4400*2550</f>
        <v>11220000</v>
      </c>
    </row>
    <row r="3349" spans="1:7" s="53" customFormat="1" x14ac:dyDescent="0.35">
      <c r="A3349" s="223"/>
      <c r="B3349" s="88"/>
      <c r="C3349" s="89" t="s">
        <v>117</v>
      </c>
      <c r="D3349" s="90">
        <f>6770*128</f>
        <v>866560</v>
      </c>
      <c r="E3349" s="93" t="s">
        <v>118</v>
      </c>
      <c r="F3349" s="94">
        <f>(2640*2550)+(1760*2550)</f>
        <v>11220000</v>
      </c>
    </row>
    <row r="3350" spans="1:7" s="53" customFormat="1" ht="15" thickBot="1" x14ac:dyDescent="0.4">
      <c r="A3350" s="223"/>
      <c r="B3350" s="88" t="s">
        <v>119</v>
      </c>
      <c r="C3350" s="89" t="s">
        <v>120</v>
      </c>
      <c r="D3350" s="95">
        <v>30000</v>
      </c>
      <c r="E3350" s="96" t="s">
        <v>121</v>
      </c>
      <c r="F3350" s="97">
        <f>F3348-F3349</f>
        <v>0</v>
      </c>
      <c r="G3350" s="98">
        <f>F3350/2550</f>
        <v>0</v>
      </c>
    </row>
    <row r="3351" spans="1:7" s="53" customFormat="1" ht="15" thickTop="1" x14ac:dyDescent="0.35">
      <c r="A3351" s="223"/>
      <c r="B3351" s="88"/>
      <c r="C3351" s="99" t="s">
        <v>123</v>
      </c>
      <c r="D3351" s="100">
        <v>15000</v>
      </c>
      <c r="F3351" s="94"/>
    </row>
    <row r="3352" spans="1:7" s="53" customFormat="1" x14ac:dyDescent="0.35">
      <c r="A3352" s="223"/>
      <c r="B3352" s="88" t="s">
        <v>213</v>
      </c>
      <c r="C3352" s="99" t="s">
        <v>126</v>
      </c>
      <c r="D3352" s="100">
        <v>30000</v>
      </c>
      <c r="E3352" s="91" t="s">
        <v>124</v>
      </c>
      <c r="F3352" s="92"/>
    </row>
    <row r="3353" spans="1:7" s="53" customFormat="1" x14ac:dyDescent="0.35">
      <c r="A3353" s="223"/>
      <c r="B3353" s="101"/>
      <c r="C3353" s="89" t="s">
        <v>1168</v>
      </c>
      <c r="D3353" s="100">
        <v>20000</v>
      </c>
      <c r="E3353" s="102"/>
      <c r="F3353" s="103"/>
    </row>
    <row r="3354" spans="1:7" s="53" customFormat="1" x14ac:dyDescent="0.35">
      <c r="A3354" s="223"/>
      <c r="B3354" s="101"/>
      <c r="C3354" s="99"/>
      <c r="D3354" s="100"/>
      <c r="E3354" s="102" t="s">
        <v>127</v>
      </c>
      <c r="F3354" s="103"/>
    </row>
    <row r="3355" spans="1:7" s="53" customFormat="1" x14ac:dyDescent="0.35">
      <c r="A3355" s="223"/>
      <c r="B3355" s="101"/>
      <c r="C3355" s="89"/>
      <c r="D3355" s="90"/>
      <c r="E3355" s="102" t="s">
        <v>942</v>
      </c>
      <c r="F3355" s="103"/>
    </row>
    <row r="3356" spans="1:7" s="53" customFormat="1" ht="15" thickBot="1" x14ac:dyDescent="0.4">
      <c r="A3356" s="223"/>
      <c r="B3356" s="105"/>
      <c r="C3356" s="106"/>
      <c r="D3356" s="107"/>
      <c r="E3356" s="53" t="s">
        <v>1231</v>
      </c>
      <c r="F3356" s="94"/>
    </row>
    <row r="3357" spans="1:7" s="53" customFormat="1" ht="15" thickBot="1" x14ac:dyDescent="0.4">
      <c r="A3357" s="223"/>
      <c r="B3357" s="108"/>
      <c r="C3357" s="109" t="s">
        <v>129</v>
      </c>
      <c r="D3357" s="110">
        <f>SUM(D3344:D3356)</f>
        <v>8183410</v>
      </c>
      <c r="F3357" s="94"/>
    </row>
    <row r="3358" spans="1:7" s="53" customFormat="1" ht="15.5" thickTop="1" thickBot="1" x14ac:dyDescent="0.4">
      <c r="A3358" s="224"/>
      <c r="B3358" s="226"/>
      <c r="C3358" s="226"/>
      <c r="D3358" s="226"/>
      <c r="F3358" s="94"/>
    </row>
    <row r="3359" spans="1:7" s="53" customFormat="1" x14ac:dyDescent="0.35">
      <c r="B3359" s="87"/>
      <c r="C3359" s="53" t="s">
        <v>130</v>
      </c>
      <c r="D3359" s="111">
        <f>D3341-D3357</f>
        <v>3036590</v>
      </c>
      <c r="F3359" s="94"/>
    </row>
    <row r="3360" spans="1:7" s="53" customFormat="1" x14ac:dyDescent="0.35">
      <c r="B3360" s="87"/>
      <c r="D3360" s="111"/>
      <c r="F3360" s="94"/>
    </row>
    <row r="3361" spans="1:7" s="53" customFormat="1" x14ac:dyDescent="0.35">
      <c r="A3361" s="112"/>
      <c r="B3361" s="113"/>
      <c r="C3361" s="112"/>
      <c r="D3361" s="114"/>
      <c r="E3361" s="112"/>
      <c r="F3361" s="178"/>
    </row>
    <row r="3363" spans="1:7" s="53" customFormat="1" ht="23.5" x14ac:dyDescent="0.55000000000000004">
      <c r="B3363" s="227" t="s">
        <v>0</v>
      </c>
      <c r="C3363" s="227"/>
      <c r="D3363" s="227"/>
      <c r="E3363" s="70"/>
      <c r="F3363" s="176"/>
    </row>
    <row r="3364" spans="1:7" s="53" customFormat="1" ht="20.5" x14ac:dyDescent="0.45">
      <c r="B3364" s="71"/>
      <c r="C3364" s="72" t="s">
        <v>922</v>
      </c>
      <c r="D3364" s="73"/>
      <c r="F3364" s="94"/>
    </row>
    <row r="3365" spans="1:7" s="53" customFormat="1" ht="21" thickBot="1" x14ac:dyDescent="0.5">
      <c r="B3365" s="71" t="s">
        <v>928</v>
      </c>
      <c r="C3365" s="74" t="s">
        <v>103</v>
      </c>
      <c r="D3365" s="73"/>
      <c r="F3365" s="94"/>
    </row>
    <row r="3366" spans="1:7" s="53" customFormat="1" ht="15" thickBot="1" x14ac:dyDescent="0.4">
      <c r="A3366" s="75" t="s">
        <v>104</v>
      </c>
      <c r="B3366" s="76" t="s">
        <v>81</v>
      </c>
      <c r="C3366" s="76" t="s">
        <v>105</v>
      </c>
      <c r="D3366" s="77" t="s">
        <v>84</v>
      </c>
      <c r="F3366" s="94"/>
    </row>
    <row r="3367" spans="1:7" s="53" customFormat="1" ht="14.5" customHeight="1" x14ac:dyDescent="0.35">
      <c r="A3367" s="222" t="s">
        <v>92</v>
      </c>
      <c r="B3367" s="78" t="s">
        <v>925</v>
      </c>
      <c r="C3367" s="79" t="s">
        <v>106</v>
      </c>
      <c r="D3367" s="80">
        <f>F3374</f>
        <v>11220000</v>
      </c>
      <c r="F3367" s="94"/>
    </row>
    <row r="3368" spans="1:7" s="53" customFormat="1" ht="21" thickBot="1" x14ac:dyDescent="0.5">
      <c r="A3368" s="223"/>
      <c r="B3368" s="71"/>
      <c r="C3368" s="71"/>
      <c r="D3368" s="73"/>
      <c r="F3368" s="94"/>
    </row>
    <row r="3369" spans="1:7" s="53" customFormat="1" ht="15" thickBot="1" x14ac:dyDescent="0.4">
      <c r="A3369" s="223"/>
      <c r="B3369" s="81" t="s">
        <v>81</v>
      </c>
      <c r="C3369" s="82" t="s">
        <v>107</v>
      </c>
      <c r="D3369" s="83" t="s">
        <v>108</v>
      </c>
      <c r="F3369" s="94"/>
    </row>
    <row r="3370" spans="1:7" s="87" customFormat="1" x14ac:dyDescent="0.35">
      <c r="A3370" s="223"/>
      <c r="B3370" s="84" t="str">
        <f>B3367</f>
        <v>08th August,2025</v>
      </c>
      <c r="C3370" s="85" t="s">
        <v>1055</v>
      </c>
      <c r="D3370" s="86">
        <f>1850*2777</f>
        <v>5137450</v>
      </c>
      <c r="F3370" s="177"/>
    </row>
    <row r="3371" spans="1:7" s="53" customFormat="1" x14ac:dyDescent="0.35">
      <c r="A3371" s="223"/>
      <c r="B3371" s="88"/>
      <c r="C3371" s="89" t="s">
        <v>747</v>
      </c>
      <c r="D3371" s="90">
        <f>356*2700</f>
        <v>961200</v>
      </c>
      <c r="F3371" s="94"/>
    </row>
    <row r="3372" spans="1:7" s="53" customFormat="1" x14ac:dyDescent="0.35">
      <c r="A3372" s="223"/>
      <c r="B3372" s="88" t="s">
        <v>109</v>
      </c>
      <c r="C3372" s="89" t="s">
        <v>110</v>
      </c>
      <c r="D3372" s="90">
        <v>1000000</v>
      </c>
      <c r="F3372" s="94"/>
    </row>
    <row r="3373" spans="1:7" s="53" customFormat="1" x14ac:dyDescent="0.35">
      <c r="A3373" s="223"/>
      <c r="B3373" s="88" t="s">
        <v>111</v>
      </c>
      <c r="C3373" s="89" t="s">
        <v>112</v>
      </c>
      <c r="D3373" s="90">
        <v>40000</v>
      </c>
      <c r="E3373" s="225" t="s">
        <v>113</v>
      </c>
      <c r="F3373" s="225"/>
    </row>
    <row r="3374" spans="1:7" s="53" customFormat="1" x14ac:dyDescent="0.35">
      <c r="A3374" s="223"/>
      <c r="B3374" s="88" t="s">
        <v>383</v>
      </c>
      <c r="C3374" s="89" t="s">
        <v>115</v>
      </c>
      <c r="D3374" s="90">
        <f>650*128</f>
        <v>83200</v>
      </c>
      <c r="E3374" s="91" t="s">
        <v>116</v>
      </c>
      <c r="F3374" s="92">
        <f>4400*2550</f>
        <v>11220000</v>
      </c>
    </row>
    <row r="3375" spans="1:7" s="53" customFormat="1" x14ac:dyDescent="0.35">
      <c r="A3375" s="223"/>
      <c r="B3375" s="88"/>
      <c r="C3375" s="89" t="s">
        <v>117</v>
      </c>
      <c r="D3375" s="90">
        <f>6020*128</f>
        <v>770560</v>
      </c>
      <c r="E3375" s="93" t="s">
        <v>118</v>
      </c>
      <c r="F3375" s="94">
        <f>(2640*2550)+(1760*2550)</f>
        <v>11220000</v>
      </c>
    </row>
    <row r="3376" spans="1:7" s="53" customFormat="1" ht="15" thickBot="1" x14ac:dyDescent="0.4">
      <c r="A3376" s="223"/>
      <c r="B3376" s="88" t="s">
        <v>119</v>
      </c>
      <c r="C3376" s="89" t="s">
        <v>120</v>
      </c>
      <c r="D3376" s="95">
        <v>30000</v>
      </c>
      <c r="E3376" s="96" t="s">
        <v>121</v>
      </c>
      <c r="F3376" s="97">
        <f>F3374-F3375</f>
        <v>0</v>
      </c>
      <c r="G3376" s="98">
        <f>F3376/2550</f>
        <v>0</v>
      </c>
    </row>
    <row r="3377" spans="1:6" s="53" customFormat="1" ht="15" thickTop="1" x14ac:dyDescent="0.35">
      <c r="A3377" s="223"/>
      <c r="B3377" s="88"/>
      <c r="C3377" s="99" t="s">
        <v>123</v>
      </c>
      <c r="D3377" s="100">
        <v>15000</v>
      </c>
      <c r="F3377" s="94"/>
    </row>
    <row r="3378" spans="1:6" s="53" customFormat="1" x14ac:dyDescent="0.35">
      <c r="A3378" s="223"/>
      <c r="B3378" s="88" t="s">
        <v>213</v>
      </c>
      <c r="C3378" s="99" t="s">
        <v>126</v>
      </c>
      <c r="D3378" s="100">
        <v>30000</v>
      </c>
      <c r="E3378" s="91" t="s">
        <v>124</v>
      </c>
      <c r="F3378" s="92"/>
    </row>
    <row r="3379" spans="1:6" s="53" customFormat="1" x14ac:dyDescent="0.35">
      <c r="A3379" s="223"/>
      <c r="B3379" s="101"/>
      <c r="C3379" s="89"/>
      <c r="D3379" s="100"/>
      <c r="E3379" s="102"/>
      <c r="F3379" s="103"/>
    </row>
    <row r="3380" spans="1:6" s="53" customFormat="1" x14ac:dyDescent="0.35">
      <c r="A3380" s="223"/>
      <c r="B3380" s="101"/>
      <c r="C3380" s="99"/>
      <c r="D3380" s="100"/>
      <c r="E3380" s="102" t="s">
        <v>127</v>
      </c>
      <c r="F3380" s="103"/>
    </row>
    <row r="3381" spans="1:6" s="53" customFormat="1" x14ac:dyDescent="0.35">
      <c r="A3381" s="223"/>
      <c r="B3381" s="101"/>
      <c r="C3381" s="89"/>
      <c r="D3381" s="90"/>
      <c r="E3381" s="102" t="s">
        <v>942</v>
      </c>
      <c r="F3381" s="103"/>
    </row>
    <row r="3382" spans="1:6" s="53" customFormat="1" ht="15" thickBot="1" x14ac:dyDescent="0.4">
      <c r="A3382" s="223"/>
      <c r="B3382" s="105"/>
      <c r="C3382" s="106"/>
      <c r="D3382" s="107"/>
      <c r="E3382" s="53" t="s">
        <v>1231</v>
      </c>
      <c r="F3382" s="94"/>
    </row>
    <row r="3383" spans="1:6" s="53" customFormat="1" ht="15" thickBot="1" x14ac:dyDescent="0.4">
      <c r="A3383" s="223"/>
      <c r="B3383" s="108"/>
      <c r="C3383" s="109" t="s">
        <v>129</v>
      </c>
      <c r="D3383" s="110">
        <f>SUM(D3370:D3382)</f>
        <v>8067410</v>
      </c>
      <c r="F3383" s="94"/>
    </row>
    <row r="3384" spans="1:6" s="53" customFormat="1" ht="15.5" thickTop="1" thickBot="1" x14ac:dyDescent="0.4">
      <c r="A3384" s="224"/>
      <c r="B3384" s="226"/>
      <c r="C3384" s="226"/>
      <c r="D3384" s="226"/>
      <c r="F3384" s="94"/>
    </row>
    <row r="3385" spans="1:6" s="53" customFormat="1" x14ac:dyDescent="0.35">
      <c r="B3385" s="87"/>
      <c r="C3385" s="53" t="s">
        <v>130</v>
      </c>
      <c r="D3385" s="111">
        <f>D3367-D3383</f>
        <v>3152590</v>
      </c>
      <c r="F3385" s="94"/>
    </row>
    <row r="3386" spans="1:6" s="53" customFormat="1" x14ac:dyDescent="0.35">
      <c r="B3386" s="87"/>
      <c r="D3386" s="111"/>
      <c r="F3386" s="94"/>
    </row>
    <row r="3387" spans="1:6" s="53" customFormat="1" x14ac:dyDescent="0.35">
      <c r="A3387" s="112"/>
      <c r="B3387" s="113"/>
      <c r="C3387" s="112"/>
      <c r="D3387" s="114"/>
      <c r="E3387" s="112"/>
      <c r="F3387" s="178"/>
    </row>
    <row r="3389" spans="1:6" s="53" customFormat="1" ht="23.5" x14ac:dyDescent="0.55000000000000004">
      <c r="B3389" s="227" t="s">
        <v>0</v>
      </c>
      <c r="C3389" s="227"/>
      <c r="D3389" s="227"/>
      <c r="E3389" s="70"/>
      <c r="F3389" s="176"/>
    </row>
    <row r="3390" spans="1:6" s="53" customFormat="1" ht="20.5" x14ac:dyDescent="0.45">
      <c r="B3390" s="71"/>
      <c r="C3390" s="72" t="s">
        <v>929</v>
      </c>
      <c r="D3390" s="73"/>
      <c r="F3390" s="94"/>
    </row>
    <row r="3391" spans="1:6" s="53" customFormat="1" ht="21" thickBot="1" x14ac:dyDescent="0.5">
      <c r="B3391" s="71" t="s">
        <v>930</v>
      </c>
      <c r="C3391" s="74" t="s">
        <v>103</v>
      </c>
      <c r="D3391" s="73"/>
      <c r="F3391" s="94"/>
    </row>
    <row r="3392" spans="1:6" s="53" customFormat="1" ht="15" thickBot="1" x14ac:dyDescent="0.4">
      <c r="A3392" s="75" t="s">
        <v>104</v>
      </c>
      <c r="B3392" s="76" t="s">
        <v>81</v>
      </c>
      <c r="C3392" s="76" t="s">
        <v>105</v>
      </c>
      <c r="D3392" s="77" t="s">
        <v>84</v>
      </c>
      <c r="F3392" s="94"/>
    </row>
    <row r="3393" spans="1:7" s="53" customFormat="1" ht="14.5" customHeight="1" x14ac:dyDescent="0.35">
      <c r="A3393" s="222" t="s">
        <v>92</v>
      </c>
      <c r="B3393" s="78" t="s">
        <v>925</v>
      </c>
      <c r="C3393" s="79" t="s">
        <v>106</v>
      </c>
      <c r="D3393" s="80">
        <f>F3400</f>
        <v>11220000</v>
      </c>
      <c r="F3393" s="94"/>
    </row>
    <row r="3394" spans="1:7" s="53" customFormat="1" ht="21" thickBot="1" x14ac:dyDescent="0.5">
      <c r="A3394" s="223"/>
      <c r="B3394" s="71"/>
      <c r="C3394" s="71"/>
      <c r="D3394" s="73"/>
      <c r="F3394" s="94"/>
    </row>
    <row r="3395" spans="1:7" s="53" customFormat="1" ht="15" thickBot="1" x14ac:dyDescent="0.4">
      <c r="A3395" s="223"/>
      <c r="B3395" s="81" t="s">
        <v>81</v>
      </c>
      <c r="C3395" s="82" t="s">
        <v>107</v>
      </c>
      <c r="D3395" s="83" t="s">
        <v>108</v>
      </c>
      <c r="F3395" s="94"/>
    </row>
    <row r="3396" spans="1:7" s="87" customFormat="1" x14ac:dyDescent="0.35">
      <c r="A3396" s="223"/>
      <c r="B3396" s="84" t="str">
        <f>B3393</f>
        <v>08th August,2025</v>
      </c>
      <c r="C3396" s="85" t="s">
        <v>1150</v>
      </c>
      <c r="D3396" s="86">
        <f>2000*2777</f>
        <v>5554000</v>
      </c>
      <c r="F3396" s="177"/>
    </row>
    <row r="3397" spans="1:7" s="53" customFormat="1" x14ac:dyDescent="0.35">
      <c r="A3397" s="223"/>
      <c r="B3397" s="88"/>
      <c r="C3397" s="89" t="s">
        <v>747</v>
      </c>
      <c r="D3397" s="90">
        <f>356*2700</f>
        <v>961200</v>
      </c>
      <c r="F3397" s="94"/>
    </row>
    <row r="3398" spans="1:7" s="53" customFormat="1" x14ac:dyDescent="0.35">
      <c r="A3398" s="223"/>
      <c r="B3398" s="88" t="s">
        <v>109</v>
      </c>
      <c r="C3398" s="89" t="s">
        <v>110</v>
      </c>
      <c r="D3398" s="90">
        <v>1000000</v>
      </c>
      <c r="F3398" s="94"/>
    </row>
    <row r="3399" spans="1:7" s="53" customFormat="1" x14ac:dyDescent="0.35">
      <c r="A3399" s="223"/>
      <c r="B3399" s="88" t="s">
        <v>111</v>
      </c>
      <c r="C3399" s="89" t="s">
        <v>112</v>
      </c>
      <c r="D3399" s="90">
        <v>40000</v>
      </c>
      <c r="E3399" s="225" t="s">
        <v>113</v>
      </c>
      <c r="F3399" s="225"/>
    </row>
    <row r="3400" spans="1:7" s="53" customFormat="1" x14ac:dyDescent="0.35">
      <c r="A3400" s="223"/>
      <c r="B3400" s="88" t="s">
        <v>383</v>
      </c>
      <c r="C3400" s="89" t="s">
        <v>115</v>
      </c>
      <c r="D3400" s="90">
        <f>400*128</f>
        <v>51200</v>
      </c>
      <c r="E3400" s="91" t="s">
        <v>116</v>
      </c>
      <c r="F3400" s="92">
        <f>4400*2550</f>
        <v>11220000</v>
      </c>
    </row>
    <row r="3401" spans="1:7" s="53" customFormat="1" x14ac:dyDescent="0.35">
      <c r="A3401" s="223"/>
      <c r="B3401" s="88"/>
      <c r="C3401" s="89" t="s">
        <v>117</v>
      </c>
      <c r="D3401" s="90">
        <f>6020*128</f>
        <v>770560</v>
      </c>
      <c r="E3401" s="93" t="s">
        <v>118</v>
      </c>
      <c r="F3401" s="94">
        <f>(2640*2550)+(1760*2550)</f>
        <v>11220000</v>
      </c>
    </row>
    <row r="3402" spans="1:7" s="53" customFormat="1" ht="15" thickBot="1" x14ac:dyDescent="0.4">
      <c r="A3402" s="223"/>
      <c r="B3402" s="88" t="s">
        <v>119</v>
      </c>
      <c r="C3402" s="89" t="s">
        <v>120</v>
      </c>
      <c r="D3402" s="95">
        <v>30000</v>
      </c>
      <c r="E3402" s="96" t="s">
        <v>121</v>
      </c>
      <c r="F3402" s="97">
        <f>F3400-F3401</f>
        <v>0</v>
      </c>
      <c r="G3402" s="98">
        <f>F3402/2550</f>
        <v>0</v>
      </c>
    </row>
    <row r="3403" spans="1:7" s="53" customFormat="1" ht="15" thickTop="1" x14ac:dyDescent="0.35">
      <c r="A3403" s="223"/>
      <c r="B3403" s="88"/>
      <c r="C3403" s="99" t="s">
        <v>123</v>
      </c>
      <c r="D3403" s="100">
        <v>15000</v>
      </c>
      <c r="F3403" s="94"/>
    </row>
    <row r="3404" spans="1:7" s="53" customFormat="1" x14ac:dyDescent="0.35">
      <c r="A3404" s="223"/>
      <c r="B3404" s="88" t="s">
        <v>817</v>
      </c>
      <c r="C3404" s="99" t="s">
        <v>126</v>
      </c>
      <c r="D3404" s="100">
        <v>40000</v>
      </c>
      <c r="E3404" s="91" t="s">
        <v>124</v>
      </c>
      <c r="F3404" s="92"/>
    </row>
    <row r="3405" spans="1:7" s="53" customFormat="1" x14ac:dyDescent="0.35">
      <c r="A3405" s="223"/>
      <c r="B3405" s="101"/>
      <c r="C3405" s="89"/>
      <c r="D3405" s="100"/>
      <c r="E3405" s="102"/>
      <c r="F3405" s="103"/>
    </row>
    <row r="3406" spans="1:7" s="53" customFormat="1" x14ac:dyDescent="0.35">
      <c r="A3406" s="223"/>
      <c r="B3406" s="101"/>
      <c r="C3406" s="99"/>
      <c r="D3406" s="100"/>
      <c r="E3406" s="102" t="s">
        <v>127</v>
      </c>
      <c r="F3406" s="103"/>
    </row>
    <row r="3407" spans="1:7" s="53" customFormat="1" x14ac:dyDescent="0.35">
      <c r="A3407" s="223"/>
      <c r="B3407" s="101"/>
      <c r="C3407" s="89"/>
      <c r="D3407" s="90"/>
      <c r="E3407" s="102" t="s">
        <v>943</v>
      </c>
      <c r="F3407" s="103"/>
    </row>
    <row r="3408" spans="1:7" s="53" customFormat="1" ht="15" thickBot="1" x14ac:dyDescent="0.4">
      <c r="A3408" s="223"/>
      <c r="B3408" s="105"/>
      <c r="C3408" s="106"/>
      <c r="D3408" s="107"/>
      <c r="E3408" s="53" t="s">
        <v>1231</v>
      </c>
      <c r="F3408" s="94"/>
    </row>
    <row r="3409" spans="1:6" s="53" customFormat="1" ht="15" thickBot="1" x14ac:dyDescent="0.4">
      <c r="A3409" s="223"/>
      <c r="B3409" s="108"/>
      <c r="C3409" s="109" t="s">
        <v>129</v>
      </c>
      <c r="D3409" s="110">
        <f>SUM(D3396:D3408)</f>
        <v>8461960</v>
      </c>
      <c r="F3409" s="94"/>
    </row>
    <row r="3410" spans="1:6" s="53" customFormat="1" ht="15.5" thickTop="1" thickBot="1" x14ac:dyDescent="0.4">
      <c r="A3410" s="224"/>
      <c r="B3410" s="226"/>
      <c r="C3410" s="226"/>
      <c r="D3410" s="226"/>
      <c r="F3410" s="94"/>
    </row>
    <row r="3411" spans="1:6" s="53" customFormat="1" x14ac:dyDescent="0.35">
      <c r="B3411" s="87"/>
      <c r="C3411" s="53" t="s">
        <v>130</v>
      </c>
      <c r="D3411" s="111">
        <f>D3393-D3409</f>
        <v>2758040</v>
      </c>
      <c r="F3411" s="94"/>
    </row>
    <row r="3412" spans="1:6" s="53" customFormat="1" x14ac:dyDescent="0.35">
      <c r="B3412" s="87"/>
      <c r="D3412" s="111"/>
      <c r="F3412" s="94"/>
    </row>
    <row r="3413" spans="1:6" s="53" customFormat="1" x14ac:dyDescent="0.35">
      <c r="A3413" s="112"/>
      <c r="B3413" s="113"/>
      <c r="C3413" s="112"/>
      <c r="D3413" s="114"/>
      <c r="E3413" s="112"/>
      <c r="F3413" s="178"/>
    </row>
    <row r="3416" spans="1:6" s="53" customFormat="1" ht="23.5" x14ac:dyDescent="0.55000000000000004">
      <c r="B3416" s="227" t="s">
        <v>0</v>
      </c>
      <c r="C3416" s="227"/>
      <c r="D3416" s="227"/>
      <c r="E3416" s="70"/>
      <c r="F3416" s="176"/>
    </row>
    <row r="3417" spans="1:6" s="53" customFormat="1" ht="20.5" x14ac:dyDescent="0.45">
      <c r="B3417" s="71"/>
      <c r="C3417" s="72" t="s">
        <v>1093</v>
      </c>
      <c r="D3417" s="73"/>
      <c r="F3417" s="94"/>
    </row>
    <row r="3418" spans="1:6" s="53" customFormat="1" ht="21" thickBot="1" x14ac:dyDescent="0.5">
      <c r="B3418" s="71" t="s">
        <v>222</v>
      </c>
      <c r="C3418" s="74" t="s">
        <v>103</v>
      </c>
      <c r="D3418" s="73"/>
      <c r="F3418" s="94"/>
    </row>
    <row r="3419" spans="1:6" s="53" customFormat="1" ht="15" thickBot="1" x14ac:dyDescent="0.4">
      <c r="A3419" s="75" t="s">
        <v>104</v>
      </c>
      <c r="B3419" s="76" t="s">
        <v>81</v>
      </c>
      <c r="C3419" s="76" t="s">
        <v>105</v>
      </c>
      <c r="D3419" s="77" t="s">
        <v>84</v>
      </c>
      <c r="F3419" s="94"/>
    </row>
    <row r="3420" spans="1:6" s="53" customFormat="1" ht="14.5" customHeight="1" x14ac:dyDescent="0.35">
      <c r="A3420" s="222" t="s">
        <v>92</v>
      </c>
      <c r="B3420" s="78" t="s">
        <v>933</v>
      </c>
      <c r="C3420" s="79" t="s">
        <v>106</v>
      </c>
      <c r="D3420" s="80">
        <f>F3427</f>
        <v>10455000</v>
      </c>
      <c r="F3420" s="94"/>
    </row>
    <row r="3421" spans="1:6" s="53" customFormat="1" ht="21" thickBot="1" x14ac:dyDescent="0.5">
      <c r="A3421" s="223"/>
      <c r="B3421" s="71"/>
      <c r="C3421" s="71"/>
      <c r="D3421" s="73"/>
      <c r="F3421" s="94"/>
    </row>
    <row r="3422" spans="1:6" s="53" customFormat="1" ht="15" thickBot="1" x14ac:dyDescent="0.4">
      <c r="A3422" s="223"/>
      <c r="B3422" s="81" t="s">
        <v>81</v>
      </c>
      <c r="C3422" s="82" t="s">
        <v>107</v>
      </c>
      <c r="D3422" s="83" t="s">
        <v>108</v>
      </c>
      <c r="F3422" s="94"/>
    </row>
    <row r="3423" spans="1:6" s="87" customFormat="1" x14ac:dyDescent="0.35">
      <c r="A3423" s="223"/>
      <c r="B3423" s="84" t="str">
        <f>B3420</f>
        <v>04th August,2025</v>
      </c>
      <c r="C3423" s="85" t="s">
        <v>1055</v>
      </c>
      <c r="D3423" s="86">
        <f>1850*2777</f>
        <v>5137450</v>
      </c>
      <c r="F3423" s="177"/>
    </row>
    <row r="3424" spans="1:6" s="53" customFormat="1" x14ac:dyDescent="0.35">
      <c r="A3424" s="223"/>
      <c r="B3424" s="88"/>
      <c r="C3424" s="89" t="s">
        <v>159</v>
      </c>
      <c r="D3424" s="90">
        <f>299*2650</f>
        <v>792350</v>
      </c>
      <c r="F3424" s="94"/>
    </row>
    <row r="3425" spans="1:7" s="53" customFormat="1" x14ac:dyDescent="0.35">
      <c r="A3425" s="223"/>
      <c r="B3425" s="88" t="s">
        <v>109</v>
      </c>
      <c r="C3425" s="89" t="s">
        <v>110</v>
      </c>
      <c r="D3425" s="90">
        <v>1000000</v>
      </c>
      <c r="F3425" s="94"/>
    </row>
    <row r="3426" spans="1:7" s="53" customFormat="1" x14ac:dyDescent="0.35">
      <c r="A3426" s="223"/>
      <c r="B3426" s="88" t="s">
        <v>111</v>
      </c>
      <c r="C3426" s="89" t="s">
        <v>112</v>
      </c>
      <c r="D3426" s="90">
        <v>40000</v>
      </c>
      <c r="E3426" s="225" t="s">
        <v>113</v>
      </c>
      <c r="F3426" s="225"/>
    </row>
    <row r="3427" spans="1:7" s="53" customFormat="1" x14ac:dyDescent="0.35">
      <c r="A3427" s="223"/>
      <c r="B3427" s="88" t="s">
        <v>114</v>
      </c>
      <c r="C3427" s="89" t="s">
        <v>115</v>
      </c>
      <c r="D3427" s="90">
        <f>500*120</f>
        <v>60000</v>
      </c>
      <c r="E3427" s="91" t="s">
        <v>116</v>
      </c>
      <c r="F3427" s="92">
        <f>4100*2550</f>
        <v>10455000</v>
      </c>
    </row>
    <row r="3428" spans="1:7" s="53" customFormat="1" x14ac:dyDescent="0.35">
      <c r="A3428" s="223"/>
      <c r="B3428" s="88"/>
      <c r="C3428" s="89" t="s">
        <v>117</v>
      </c>
      <c r="D3428" s="90">
        <f>1500*120</f>
        <v>180000</v>
      </c>
      <c r="E3428" s="93" t="s">
        <v>118</v>
      </c>
      <c r="F3428" s="94">
        <f>(2460*2550)+(1640*2550)</f>
        <v>10455000</v>
      </c>
    </row>
    <row r="3429" spans="1:7" s="53" customFormat="1" ht="15" thickBot="1" x14ac:dyDescent="0.4">
      <c r="A3429" s="223"/>
      <c r="B3429" s="88" t="s">
        <v>119</v>
      </c>
      <c r="C3429" s="89" t="s">
        <v>120</v>
      </c>
      <c r="D3429" s="95">
        <v>30000</v>
      </c>
      <c r="E3429" s="96" t="s">
        <v>121</v>
      </c>
      <c r="F3429" s="97">
        <f>F3427-F3428</f>
        <v>0</v>
      </c>
      <c r="G3429" s="98">
        <f>F3429/2550</f>
        <v>0</v>
      </c>
    </row>
    <row r="3430" spans="1:7" s="53" customFormat="1" ht="15" thickTop="1" x14ac:dyDescent="0.35">
      <c r="A3430" s="223"/>
      <c r="B3430" s="88"/>
      <c r="C3430" s="89" t="s">
        <v>122</v>
      </c>
      <c r="D3430" s="90">
        <v>140000</v>
      </c>
      <c r="F3430" s="94"/>
    </row>
    <row r="3431" spans="1:7" s="53" customFormat="1" x14ac:dyDescent="0.35">
      <c r="A3431" s="223"/>
      <c r="B3431" s="88" t="s">
        <v>932</v>
      </c>
      <c r="C3431" s="99" t="s">
        <v>123</v>
      </c>
      <c r="D3431" s="90">
        <v>15000</v>
      </c>
      <c r="E3431" s="91" t="s">
        <v>124</v>
      </c>
      <c r="F3431" s="92"/>
    </row>
    <row r="3432" spans="1:7" s="53" customFormat="1" x14ac:dyDescent="0.35">
      <c r="A3432" s="223"/>
      <c r="B3432" s="101"/>
      <c r="C3432" s="99" t="s">
        <v>125</v>
      </c>
      <c r="D3432" s="100">
        <v>10000</v>
      </c>
      <c r="E3432" s="102"/>
      <c r="F3432" s="103"/>
    </row>
    <row r="3433" spans="1:7" s="53" customFormat="1" x14ac:dyDescent="0.35">
      <c r="A3433" s="223"/>
      <c r="B3433" s="101"/>
      <c r="C3433" s="99" t="s">
        <v>126</v>
      </c>
      <c r="D3433" s="100">
        <v>40000</v>
      </c>
      <c r="E3433" s="102" t="s">
        <v>127</v>
      </c>
      <c r="F3433" s="103"/>
    </row>
    <row r="3434" spans="1:7" s="53" customFormat="1" x14ac:dyDescent="0.35">
      <c r="A3434" s="223"/>
      <c r="B3434" s="101"/>
      <c r="C3434" s="89"/>
      <c r="D3434" s="104"/>
      <c r="E3434" s="102" t="s">
        <v>943</v>
      </c>
      <c r="F3434" s="103"/>
    </row>
    <row r="3435" spans="1:7" s="53" customFormat="1" ht="15" thickBot="1" x14ac:dyDescent="0.4">
      <c r="A3435" s="223"/>
      <c r="B3435" s="105"/>
      <c r="C3435" s="106"/>
      <c r="D3435" s="107"/>
      <c r="E3435" s="53" t="s">
        <v>1419</v>
      </c>
      <c r="F3435" s="94"/>
    </row>
    <row r="3436" spans="1:7" s="53" customFormat="1" ht="15" thickBot="1" x14ac:dyDescent="0.4">
      <c r="A3436" s="223"/>
      <c r="B3436" s="108"/>
      <c r="C3436" s="109" t="s">
        <v>129</v>
      </c>
      <c r="D3436" s="110">
        <f>SUM(D3423:D3435)</f>
        <v>7444800</v>
      </c>
      <c r="F3436" s="94"/>
    </row>
    <row r="3437" spans="1:7" s="53" customFormat="1" ht="15.5" thickTop="1" thickBot="1" x14ac:dyDescent="0.4">
      <c r="A3437" s="224"/>
      <c r="B3437" s="226"/>
      <c r="C3437" s="226"/>
      <c r="D3437" s="226"/>
      <c r="F3437" s="94"/>
    </row>
    <row r="3438" spans="1:7" s="53" customFormat="1" x14ac:dyDescent="0.35">
      <c r="B3438" s="87"/>
      <c r="C3438" s="53" t="s">
        <v>130</v>
      </c>
      <c r="D3438" s="111">
        <f>D3420-D3436</f>
        <v>3010200</v>
      </c>
      <c r="F3438" s="94"/>
    </row>
    <row r="3439" spans="1:7" s="53" customFormat="1" x14ac:dyDescent="0.35">
      <c r="B3439" s="87"/>
      <c r="D3439" s="111"/>
      <c r="F3439" s="94"/>
    </row>
    <row r="3440" spans="1:7" s="53" customFormat="1" x14ac:dyDescent="0.35">
      <c r="A3440" s="112"/>
      <c r="B3440" s="113"/>
      <c r="C3440" s="112"/>
      <c r="D3440" s="114"/>
      <c r="E3440" s="112"/>
      <c r="F3440" s="178"/>
    </row>
    <row r="3443" spans="1:7" s="53" customFormat="1" ht="23.5" x14ac:dyDescent="0.55000000000000004">
      <c r="B3443" s="227" t="s">
        <v>0</v>
      </c>
      <c r="C3443" s="227"/>
      <c r="D3443" s="227"/>
      <c r="E3443" s="70"/>
      <c r="F3443" s="176"/>
    </row>
    <row r="3444" spans="1:7" s="53" customFormat="1" ht="20.5" x14ac:dyDescent="0.45">
      <c r="B3444" s="71"/>
      <c r="C3444" s="72" t="s">
        <v>948</v>
      </c>
      <c r="D3444" s="73"/>
      <c r="F3444" s="94"/>
    </row>
    <row r="3445" spans="1:7" s="53" customFormat="1" ht="21" thickBot="1" x14ac:dyDescent="0.5">
      <c r="B3445" s="71" t="s">
        <v>949</v>
      </c>
      <c r="C3445" s="74" t="s">
        <v>103</v>
      </c>
      <c r="D3445" s="73"/>
      <c r="F3445" s="94"/>
    </row>
    <row r="3446" spans="1:7" s="53" customFormat="1" ht="15" thickBot="1" x14ac:dyDescent="0.4">
      <c r="A3446" s="75" t="s">
        <v>104</v>
      </c>
      <c r="B3446" s="76" t="s">
        <v>81</v>
      </c>
      <c r="C3446" s="76" t="s">
        <v>105</v>
      </c>
      <c r="D3446" s="77" t="s">
        <v>84</v>
      </c>
      <c r="F3446" s="94"/>
    </row>
    <row r="3447" spans="1:7" s="53" customFormat="1" ht="14.5" customHeight="1" x14ac:dyDescent="0.35">
      <c r="A3447" s="222" t="s">
        <v>92</v>
      </c>
      <c r="B3447" s="78" t="s">
        <v>925</v>
      </c>
      <c r="C3447" s="79" t="s">
        <v>319</v>
      </c>
      <c r="D3447" s="80">
        <f>F3454</f>
        <v>10865000</v>
      </c>
      <c r="F3447" s="94"/>
    </row>
    <row r="3448" spans="1:7" s="53" customFormat="1" ht="21" thickBot="1" x14ac:dyDescent="0.5">
      <c r="A3448" s="223"/>
      <c r="B3448" s="71"/>
      <c r="C3448" s="71"/>
      <c r="D3448" s="73"/>
      <c r="F3448" s="94"/>
    </row>
    <row r="3449" spans="1:7" s="53" customFormat="1" ht="15" thickBot="1" x14ac:dyDescent="0.4">
      <c r="A3449" s="223"/>
      <c r="B3449" s="81" t="s">
        <v>81</v>
      </c>
      <c r="C3449" s="82" t="s">
        <v>107</v>
      </c>
      <c r="D3449" s="83" t="s">
        <v>108</v>
      </c>
      <c r="F3449" s="94"/>
    </row>
    <row r="3450" spans="1:7" s="87" customFormat="1" x14ac:dyDescent="0.35">
      <c r="A3450" s="223"/>
      <c r="B3450" s="84" t="str">
        <f>B3447</f>
        <v>08th August,2025</v>
      </c>
      <c r="C3450" s="85" t="s">
        <v>1055</v>
      </c>
      <c r="D3450" s="86">
        <f>1850*2777</f>
        <v>5137450</v>
      </c>
      <c r="F3450" s="177"/>
    </row>
    <row r="3451" spans="1:7" s="53" customFormat="1" x14ac:dyDescent="0.35">
      <c r="A3451" s="223"/>
      <c r="B3451" s="88"/>
      <c r="C3451" s="89" t="s">
        <v>188</v>
      </c>
      <c r="D3451" s="90">
        <f>325*2650</f>
        <v>861250</v>
      </c>
      <c r="F3451" s="94"/>
    </row>
    <row r="3452" spans="1:7" s="53" customFormat="1" x14ac:dyDescent="0.35">
      <c r="A3452" s="223"/>
      <c r="B3452" s="88" t="s">
        <v>109</v>
      </c>
      <c r="C3452" s="89" t="s">
        <v>110</v>
      </c>
      <c r="D3452" s="90">
        <v>1000000</v>
      </c>
      <c r="F3452" s="94"/>
    </row>
    <row r="3453" spans="1:7" s="53" customFormat="1" x14ac:dyDescent="0.35">
      <c r="A3453" s="223"/>
      <c r="B3453" s="88" t="s">
        <v>111</v>
      </c>
      <c r="C3453" s="89" t="s">
        <v>112</v>
      </c>
      <c r="D3453" s="90">
        <v>40000</v>
      </c>
      <c r="E3453" s="225" t="s">
        <v>113</v>
      </c>
      <c r="F3453" s="225"/>
    </row>
    <row r="3454" spans="1:7" s="53" customFormat="1" x14ac:dyDescent="0.35">
      <c r="A3454" s="223"/>
      <c r="B3454" s="88" t="s">
        <v>182</v>
      </c>
      <c r="C3454" s="89" t="s">
        <v>115</v>
      </c>
      <c r="D3454" s="90">
        <f>900*120</f>
        <v>108000</v>
      </c>
      <c r="E3454" s="91" t="s">
        <v>116</v>
      </c>
      <c r="F3454" s="92">
        <f>4100*2650</f>
        <v>10865000</v>
      </c>
    </row>
    <row r="3455" spans="1:7" s="53" customFormat="1" x14ac:dyDescent="0.35">
      <c r="A3455" s="223"/>
      <c r="B3455" s="88"/>
      <c r="C3455" s="89" t="s">
        <v>117</v>
      </c>
      <c r="D3455" s="90">
        <f>2000*120</f>
        <v>240000</v>
      </c>
      <c r="E3455" s="93" t="s">
        <v>118</v>
      </c>
      <c r="F3455" s="94">
        <f>4100*2650</f>
        <v>10865000</v>
      </c>
    </row>
    <row r="3456" spans="1:7" s="53" customFormat="1" ht="15" thickBot="1" x14ac:dyDescent="0.4">
      <c r="A3456" s="223"/>
      <c r="B3456" s="88" t="s">
        <v>119</v>
      </c>
      <c r="C3456" s="89" t="s">
        <v>120</v>
      </c>
      <c r="D3456" s="95">
        <v>30000</v>
      </c>
      <c r="E3456" s="96" t="s">
        <v>121</v>
      </c>
      <c r="F3456" s="97">
        <f>F3454-F3455</f>
        <v>0</v>
      </c>
      <c r="G3456" s="98">
        <f>F3456/2650</f>
        <v>0</v>
      </c>
    </row>
    <row r="3457" spans="1:6" s="53" customFormat="1" ht="15" thickTop="1" x14ac:dyDescent="0.35">
      <c r="A3457" s="223"/>
      <c r="B3457" s="88"/>
      <c r="C3457" s="89" t="s">
        <v>122</v>
      </c>
      <c r="D3457" s="90">
        <v>140000</v>
      </c>
      <c r="F3457" s="94"/>
    </row>
    <row r="3458" spans="1:6" s="53" customFormat="1" x14ac:dyDescent="0.35">
      <c r="A3458" s="223"/>
      <c r="B3458" s="88" t="s">
        <v>947</v>
      </c>
      <c r="C3458" s="99" t="s">
        <v>123</v>
      </c>
      <c r="D3458" s="90">
        <v>15000</v>
      </c>
      <c r="E3458" s="91" t="s">
        <v>124</v>
      </c>
      <c r="F3458" s="92"/>
    </row>
    <row r="3459" spans="1:6" s="53" customFormat="1" x14ac:dyDescent="0.35">
      <c r="A3459" s="223"/>
      <c r="B3459" s="101"/>
      <c r="C3459" s="99" t="s">
        <v>125</v>
      </c>
      <c r="D3459" s="100">
        <v>10000</v>
      </c>
      <c r="E3459" s="102"/>
      <c r="F3459" s="103"/>
    </row>
    <row r="3460" spans="1:6" s="53" customFormat="1" x14ac:dyDescent="0.35">
      <c r="A3460" s="223"/>
      <c r="B3460" s="101"/>
      <c r="C3460" s="99" t="s">
        <v>126</v>
      </c>
      <c r="D3460" s="100">
        <v>30000</v>
      </c>
      <c r="E3460" s="102" t="s">
        <v>127</v>
      </c>
      <c r="F3460" s="103"/>
    </row>
    <row r="3461" spans="1:6" s="53" customFormat="1" x14ac:dyDescent="0.35">
      <c r="A3461" s="223"/>
      <c r="B3461" s="101"/>
      <c r="C3461" s="89"/>
      <c r="D3461" s="104"/>
      <c r="E3461" s="102" t="s">
        <v>1205</v>
      </c>
      <c r="F3461" s="103"/>
    </row>
    <row r="3462" spans="1:6" s="53" customFormat="1" ht="15" thickBot="1" x14ac:dyDescent="0.4">
      <c r="A3462" s="223"/>
      <c r="B3462" s="105"/>
      <c r="C3462" s="106"/>
      <c r="D3462" s="107"/>
      <c r="F3462" s="94"/>
    </row>
    <row r="3463" spans="1:6" s="53" customFormat="1" ht="15" thickBot="1" x14ac:dyDescent="0.4">
      <c r="A3463" s="223"/>
      <c r="B3463" s="108"/>
      <c r="C3463" s="109" t="s">
        <v>129</v>
      </c>
      <c r="D3463" s="110">
        <f>SUM(D3450:D3462)</f>
        <v>7611700</v>
      </c>
      <c r="F3463" s="94"/>
    </row>
    <row r="3464" spans="1:6" s="53" customFormat="1" ht="15.5" thickTop="1" thickBot="1" x14ac:dyDescent="0.4">
      <c r="A3464" s="224"/>
      <c r="B3464" s="226"/>
      <c r="C3464" s="226"/>
      <c r="D3464" s="226"/>
      <c r="F3464" s="94"/>
    </row>
    <row r="3465" spans="1:6" s="53" customFormat="1" x14ac:dyDescent="0.35">
      <c r="B3465" s="87"/>
      <c r="C3465" s="53" t="s">
        <v>130</v>
      </c>
      <c r="D3465" s="111">
        <f>D3447-D3463</f>
        <v>3253300</v>
      </c>
      <c r="F3465" s="94"/>
    </row>
    <row r="3466" spans="1:6" s="53" customFormat="1" x14ac:dyDescent="0.35">
      <c r="B3466" s="87"/>
      <c r="D3466" s="111"/>
      <c r="F3466" s="94"/>
    </row>
    <row r="3467" spans="1:6" s="53" customFormat="1" x14ac:dyDescent="0.35">
      <c r="A3467" s="112"/>
      <c r="B3467" s="113"/>
      <c r="C3467" s="112"/>
      <c r="D3467" s="114"/>
      <c r="E3467" s="112"/>
      <c r="F3467" s="178"/>
    </row>
    <row r="3469" spans="1:6" s="53" customFormat="1" ht="23.5" x14ac:dyDescent="0.55000000000000004">
      <c r="B3469" s="227" t="s">
        <v>0</v>
      </c>
      <c r="C3469" s="227"/>
      <c r="D3469" s="227"/>
      <c r="E3469" s="70"/>
      <c r="F3469" s="176"/>
    </row>
    <row r="3470" spans="1:6" s="53" customFormat="1" ht="20.5" x14ac:dyDescent="0.45">
      <c r="B3470" s="71"/>
      <c r="C3470" s="72" t="s">
        <v>953</v>
      </c>
      <c r="D3470" s="73"/>
      <c r="F3470" s="94"/>
    </row>
    <row r="3471" spans="1:6" s="53" customFormat="1" ht="21" thickBot="1" x14ac:dyDescent="0.5">
      <c r="B3471" s="71" t="s">
        <v>954</v>
      </c>
      <c r="C3471" s="74" t="s">
        <v>103</v>
      </c>
      <c r="D3471" s="73"/>
      <c r="F3471" s="94"/>
    </row>
    <row r="3472" spans="1:6" s="53" customFormat="1" ht="15" thickBot="1" x14ac:dyDescent="0.4">
      <c r="A3472" s="75" t="s">
        <v>104</v>
      </c>
      <c r="B3472" s="76" t="s">
        <v>81</v>
      </c>
      <c r="C3472" s="76" t="s">
        <v>105</v>
      </c>
      <c r="D3472" s="77" t="s">
        <v>84</v>
      </c>
      <c r="F3472" s="94"/>
    </row>
    <row r="3473" spans="1:7" s="53" customFormat="1" ht="14.5" customHeight="1" x14ac:dyDescent="0.35">
      <c r="A3473" s="222" t="s">
        <v>92</v>
      </c>
      <c r="B3473" s="78" t="s">
        <v>955</v>
      </c>
      <c r="C3473" s="79" t="s">
        <v>319</v>
      </c>
      <c r="D3473" s="80">
        <f>F3480</f>
        <v>10865000</v>
      </c>
      <c r="F3473" s="94"/>
    </row>
    <row r="3474" spans="1:7" s="53" customFormat="1" ht="21" thickBot="1" x14ac:dyDescent="0.5">
      <c r="A3474" s="223"/>
      <c r="B3474" s="71"/>
      <c r="C3474" s="71"/>
      <c r="D3474" s="73"/>
      <c r="F3474" s="94"/>
    </row>
    <row r="3475" spans="1:7" s="53" customFormat="1" ht="15" thickBot="1" x14ac:dyDescent="0.4">
      <c r="A3475" s="223"/>
      <c r="B3475" s="81" t="s">
        <v>81</v>
      </c>
      <c r="C3475" s="82" t="s">
        <v>107</v>
      </c>
      <c r="D3475" s="83" t="s">
        <v>108</v>
      </c>
      <c r="F3475" s="94"/>
    </row>
    <row r="3476" spans="1:7" s="87" customFormat="1" x14ac:dyDescent="0.35">
      <c r="A3476" s="223"/>
      <c r="B3476" s="84" t="str">
        <f>B3473</f>
        <v>11th August,2025</v>
      </c>
      <c r="C3476" s="85" t="s">
        <v>1055</v>
      </c>
      <c r="D3476" s="86">
        <f>1850*2777</f>
        <v>5137450</v>
      </c>
      <c r="F3476" s="177"/>
    </row>
    <row r="3477" spans="1:7" s="53" customFormat="1" x14ac:dyDescent="0.35">
      <c r="A3477" s="223"/>
      <c r="B3477" s="88"/>
      <c r="C3477" s="89" t="s">
        <v>188</v>
      </c>
      <c r="D3477" s="90">
        <f>325*2650</f>
        <v>861250</v>
      </c>
      <c r="F3477" s="94"/>
    </row>
    <row r="3478" spans="1:7" s="53" customFormat="1" x14ac:dyDescent="0.35">
      <c r="A3478" s="223"/>
      <c r="B3478" s="88" t="s">
        <v>109</v>
      </c>
      <c r="C3478" s="89" t="s">
        <v>110</v>
      </c>
      <c r="D3478" s="90">
        <v>1000000</v>
      </c>
      <c r="F3478" s="94"/>
    </row>
    <row r="3479" spans="1:7" s="53" customFormat="1" x14ac:dyDescent="0.35">
      <c r="A3479" s="223"/>
      <c r="B3479" s="88" t="s">
        <v>111</v>
      </c>
      <c r="C3479" s="89" t="s">
        <v>112</v>
      </c>
      <c r="D3479" s="90">
        <v>40000</v>
      </c>
      <c r="E3479" s="225" t="s">
        <v>113</v>
      </c>
      <c r="F3479" s="225"/>
    </row>
    <row r="3480" spans="1:7" s="53" customFormat="1" x14ac:dyDescent="0.35">
      <c r="A3480" s="223"/>
      <c r="B3480" s="88" t="s">
        <v>182</v>
      </c>
      <c r="C3480" s="89" t="s">
        <v>115</v>
      </c>
      <c r="D3480" s="90">
        <f>950*120</f>
        <v>114000</v>
      </c>
      <c r="E3480" s="91" t="s">
        <v>116</v>
      </c>
      <c r="F3480" s="92">
        <f>4100*2650</f>
        <v>10865000</v>
      </c>
    </row>
    <row r="3481" spans="1:7" s="53" customFormat="1" x14ac:dyDescent="0.35">
      <c r="A3481" s="223"/>
      <c r="B3481" s="88"/>
      <c r="C3481" s="89" t="s">
        <v>117</v>
      </c>
      <c r="D3481" s="90">
        <f>2000*120</f>
        <v>240000</v>
      </c>
      <c r="E3481" s="93" t="s">
        <v>118</v>
      </c>
      <c r="F3481" s="94">
        <f>4100*2650</f>
        <v>10865000</v>
      </c>
    </row>
    <row r="3482" spans="1:7" s="53" customFormat="1" ht="15" thickBot="1" x14ac:dyDescent="0.4">
      <c r="A3482" s="223"/>
      <c r="B3482" s="88" t="s">
        <v>119</v>
      </c>
      <c r="C3482" s="89" t="s">
        <v>120</v>
      </c>
      <c r="D3482" s="95">
        <v>30000</v>
      </c>
      <c r="E3482" s="96" t="s">
        <v>121</v>
      </c>
      <c r="F3482" s="97">
        <f>F3480-F3481</f>
        <v>0</v>
      </c>
      <c r="G3482" s="98">
        <f>F3482/2650</f>
        <v>0</v>
      </c>
    </row>
    <row r="3483" spans="1:7" s="53" customFormat="1" ht="15" thickTop="1" x14ac:dyDescent="0.35">
      <c r="A3483" s="223"/>
      <c r="B3483" s="88"/>
      <c r="C3483" s="89" t="s">
        <v>122</v>
      </c>
      <c r="D3483" s="90">
        <v>140000</v>
      </c>
      <c r="F3483" s="94"/>
    </row>
    <row r="3484" spans="1:7" s="53" customFormat="1" x14ac:dyDescent="0.35">
      <c r="A3484" s="223"/>
      <c r="B3484" s="88" t="s">
        <v>951</v>
      </c>
      <c r="C3484" s="99" t="s">
        <v>123</v>
      </c>
      <c r="D3484" s="90">
        <v>15000</v>
      </c>
      <c r="E3484" s="91" t="s">
        <v>124</v>
      </c>
      <c r="F3484" s="92"/>
    </row>
    <row r="3485" spans="1:7" s="53" customFormat="1" x14ac:dyDescent="0.35">
      <c r="A3485" s="223"/>
      <c r="B3485" s="101"/>
      <c r="C3485" s="99" t="s">
        <v>125</v>
      </c>
      <c r="D3485" s="100">
        <v>10000</v>
      </c>
      <c r="E3485" s="102"/>
      <c r="F3485" s="103"/>
    </row>
    <row r="3486" spans="1:7" s="53" customFormat="1" x14ac:dyDescent="0.35">
      <c r="A3486" s="223"/>
      <c r="B3486" s="101"/>
      <c r="C3486" s="99" t="s">
        <v>126</v>
      </c>
      <c r="D3486" s="100">
        <v>40000</v>
      </c>
      <c r="E3486" s="102" t="s">
        <v>127</v>
      </c>
      <c r="F3486" s="103"/>
    </row>
    <row r="3487" spans="1:7" s="53" customFormat="1" x14ac:dyDescent="0.35">
      <c r="A3487" s="223"/>
      <c r="B3487" s="101"/>
      <c r="C3487" s="89"/>
      <c r="D3487" s="104"/>
      <c r="E3487" s="102" t="s">
        <v>1205</v>
      </c>
      <c r="F3487" s="103"/>
    </row>
    <row r="3488" spans="1:7" s="53" customFormat="1" ht="15" thickBot="1" x14ac:dyDescent="0.4">
      <c r="A3488" s="223"/>
      <c r="B3488" s="105"/>
      <c r="C3488" s="106"/>
      <c r="D3488" s="107"/>
      <c r="F3488" s="94"/>
    </row>
    <row r="3489" spans="1:6" s="53" customFormat="1" ht="15" thickBot="1" x14ac:dyDescent="0.4">
      <c r="A3489" s="223"/>
      <c r="B3489" s="108"/>
      <c r="C3489" s="109" t="s">
        <v>129</v>
      </c>
      <c r="D3489" s="110">
        <f>SUM(D3476:D3488)</f>
        <v>7627700</v>
      </c>
      <c r="F3489" s="94"/>
    </row>
    <row r="3490" spans="1:6" s="53" customFormat="1" ht="15.5" thickTop="1" thickBot="1" x14ac:dyDescent="0.4">
      <c r="A3490" s="224"/>
      <c r="B3490" s="226"/>
      <c r="C3490" s="226"/>
      <c r="D3490" s="226"/>
      <c r="F3490" s="94"/>
    </row>
    <row r="3491" spans="1:6" s="53" customFormat="1" x14ac:dyDescent="0.35">
      <c r="B3491" s="87"/>
      <c r="C3491" s="53" t="s">
        <v>130</v>
      </c>
      <c r="D3491" s="111">
        <f>D3473-D3489</f>
        <v>3237300</v>
      </c>
      <c r="F3491" s="94"/>
    </row>
    <row r="3492" spans="1:6" s="53" customFormat="1" x14ac:dyDescent="0.35">
      <c r="B3492" s="87"/>
      <c r="D3492" s="111"/>
      <c r="F3492" s="94"/>
    </row>
    <row r="3493" spans="1:6" s="53" customFormat="1" x14ac:dyDescent="0.35">
      <c r="A3493" s="112"/>
      <c r="B3493" s="113"/>
      <c r="C3493" s="112"/>
      <c r="D3493" s="114"/>
      <c r="E3493" s="112"/>
      <c r="F3493" s="178"/>
    </row>
    <row r="3495" spans="1:6" s="53" customFormat="1" ht="23.5" x14ac:dyDescent="0.55000000000000004">
      <c r="B3495" s="227" t="s">
        <v>0</v>
      </c>
      <c r="C3495" s="227"/>
      <c r="D3495" s="227"/>
      <c r="E3495" s="70"/>
      <c r="F3495" s="176"/>
    </row>
    <row r="3496" spans="1:6" s="53" customFormat="1" ht="20.5" x14ac:dyDescent="0.45">
      <c r="B3496" s="71"/>
      <c r="C3496" s="72" t="s">
        <v>958</v>
      </c>
      <c r="D3496" s="73"/>
      <c r="F3496" s="94"/>
    </row>
    <row r="3497" spans="1:6" s="53" customFormat="1" ht="21" thickBot="1" x14ac:dyDescent="0.5">
      <c r="B3497" s="71" t="s">
        <v>334</v>
      </c>
      <c r="C3497" s="74" t="s">
        <v>103</v>
      </c>
      <c r="D3497" s="73"/>
      <c r="F3497" s="94"/>
    </row>
    <row r="3498" spans="1:6" s="53" customFormat="1" ht="15" thickBot="1" x14ac:dyDescent="0.4">
      <c r="A3498" s="75" t="s">
        <v>104</v>
      </c>
      <c r="B3498" s="76" t="s">
        <v>81</v>
      </c>
      <c r="C3498" s="76" t="s">
        <v>105</v>
      </c>
      <c r="D3498" s="77" t="s">
        <v>84</v>
      </c>
      <c r="F3498" s="94"/>
    </row>
    <row r="3499" spans="1:6" s="53" customFormat="1" ht="14.5" customHeight="1" x14ac:dyDescent="0.35">
      <c r="A3499" s="222" t="s">
        <v>92</v>
      </c>
      <c r="B3499" s="78" t="s">
        <v>955</v>
      </c>
      <c r="C3499" s="79" t="s">
        <v>959</v>
      </c>
      <c r="D3499" s="80">
        <f>F3506</f>
        <v>10710000</v>
      </c>
      <c r="F3499" s="94"/>
    </row>
    <row r="3500" spans="1:6" s="53" customFormat="1" ht="21" thickBot="1" x14ac:dyDescent="0.5">
      <c r="A3500" s="223"/>
      <c r="B3500" s="71"/>
      <c r="C3500" s="71"/>
      <c r="D3500" s="73"/>
      <c r="F3500" s="94"/>
    </row>
    <row r="3501" spans="1:6" s="53" customFormat="1" ht="15" thickBot="1" x14ac:dyDescent="0.4">
      <c r="A3501" s="223"/>
      <c r="B3501" s="81" t="s">
        <v>81</v>
      </c>
      <c r="C3501" s="82" t="s">
        <v>107</v>
      </c>
      <c r="D3501" s="83" t="s">
        <v>108</v>
      </c>
      <c r="F3501" s="94"/>
    </row>
    <row r="3502" spans="1:6" s="87" customFormat="1" x14ac:dyDescent="0.35">
      <c r="A3502" s="223"/>
      <c r="B3502" s="84" t="str">
        <f>B3499</f>
        <v>11th August,2025</v>
      </c>
      <c r="C3502" s="85" t="s">
        <v>1055</v>
      </c>
      <c r="D3502" s="86">
        <f>1850*2777</f>
        <v>5137450</v>
      </c>
      <c r="F3502" s="177"/>
    </row>
    <row r="3503" spans="1:6" s="53" customFormat="1" x14ac:dyDescent="0.35">
      <c r="A3503" s="223"/>
      <c r="B3503" s="88"/>
      <c r="C3503" s="89" t="s">
        <v>188</v>
      </c>
      <c r="D3503" s="90">
        <f>325*2650</f>
        <v>861250</v>
      </c>
      <c r="F3503" s="94"/>
    </row>
    <row r="3504" spans="1:6" s="53" customFormat="1" x14ac:dyDescent="0.35">
      <c r="A3504" s="223"/>
      <c r="B3504" s="88" t="s">
        <v>109</v>
      </c>
      <c r="C3504" s="89" t="s">
        <v>110</v>
      </c>
      <c r="D3504" s="90">
        <v>1000000</v>
      </c>
      <c r="F3504" s="94"/>
    </row>
    <row r="3505" spans="1:7" s="53" customFormat="1" x14ac:dyDescent="0.35">
      <c r="A3505" s="223"/>
      <c r="B3505" s="88" t="s">
        <v>111</v>
      </c>
      <c r="C3505" s="89" t="s">
        <v>112</v>
      </c>
      <c r="D3505" s="90">
        <v>40000</v>
      </c>
      <c r="E3505" s="225" t="s">
        <v>113</v>
      </c>
      <c r="F3505" s="225"/>
    </row>
    <row r="3506" spans="1:7" s="53" customFormat="1" x14ac:dyDescent="0.35">
      <c r="A3506" s="223"/>
      <c r="B3506" s="88" t="s">
        <v>182</v>
      </c>
      <c r="C3506" s="89" t="s">
        <v>115</v>
      </c>
      <c r="D3506" s="90">
        <f>900*120</f>
        <v>108000</v>
      </c>
      <c r="E3506" s="91" t="s">
        <v>116</v>
      </c>
      <c r="F3506" s="92">
        <f>4200*2550</f>
        <v>10710000</v>
      </c>
    </row>
    <row r="3507" spans="1:7" s="53" customFormat="1" x14ac:dyDescent="0.35">
      <c r="A3507" s="223"/>
      <c r="B3507" s="88"/>
      <c r="C3507" s="89" t="s">
        <v>117</v>
      </c>
      <c r="D3507" s="90">
        <f>2000*120</f>
        <v>240000</v>
      </c>
      <c r="E3507" s="93" t="s">
        <v>118</v>
      </c>
      <c r="F3507" s="94">
        <f>(2520*2550)+(1540*2550)</f>
        <v>10353000</v>
      </c>
    </row>
    <row r="3508" spans="1:7" s="53" customFormat="1" ht="15" thickBot="1" x14ac:dyDescent="0.4">
      <c r="A3508" s="223"/>
      <c r="B3508" s="88" t="s">
        <v>119</v>
      </c>
      <c r="C3508" s="89" t="s">
        <v>120</v>
      </c>
      <c r="D3508" s="95">
        <v>30000</v>
      </c>
      <c r="E3508" s="96" t="s">
        <v>121</v>
      </c>
      <c r="F3508" s="97">
        <f>F3506-F3507</f>
        <v>357000</v>
      </c>
      <c r="G3508" s="98">
        <f>F3508/2550</f>
        <v>140</v>
      </c>
    </row>
    <row r="3509" spans="1:7" s="53" customFormat="1" ht="15" thickTop="1" x14ac:dyDescent="0.35">
      <c r="A3509" s="223"/>
      <c r="B3509" s="88"/>
      <c r="C3509" s="89" t="s">
        <v>122</v>
      </c>
      <c r="D3509" s="90">
        <v>140000</v>
      </c>
      <c r="F3509" s="94"/>
      <c r="G3509" s="53" t="s">
        <v>1388</v>
      </c>
    </row>
    <row r="3510" spans="1:7" s="53" customFormat="1" x14ac:dyDescent="0.35">
      <c r="A3510" s="223"/>
      <c r="B3510" s="88" t="s">
        <v>957</v>
      </c>
      <c r="C3510" s="99" t="s">
        <v>123</v>
      </c>
      <c r="D3510" s="90">
        <v>15000</v>
      </c>
      <c r="E3510" s="91" t="s">
        <v>124</v>
      </c>
      <c r="F3510" s="92"/>
    </row>
    <row r="3511" spans="1:7" s="53" customFormat="1" x14ac:dyDescent="0.35">
      <c r="A3511" s="223"/>
      <c r="B3511" s="101"/>
      <c r="C3511" s="99" t="s">
        <v>125</v>
      </c>
      <c r="D3511" s="100">
        <v>10000</v>
      </c>
      <c r="E3511" s="102"/>
      <c r="F3511" s="103"/>
    </row>
    <row r="3512" spans="1:7" s="53" customFormat="1" x14ac:dyDescent="0.35">
      <c r="A3512" s="223"/>
      <c r="B3512" s="101"/>
      <c r="C3512" s="99" t="s">
        <v>126</v>
      </c>
      <c r="D3512" s="100">
        <v>20000</v>
      </c>
      <c r="E3512" s="102" t="s">
        <v>127</v>
      </c>
      <c r="F3512" s="103"/>
    </row>
    <row r="3513" spans="1:7" s="53" customFormat="1" x14ac:dyDescent="0.35">
      <c r="A3513" s="223"/>
      <c r="B3513" s="101"/>
      <c r="C3513" s="89"/>
      <c r="D3513" s="104"/>
      <c r="E3513" s="102" t="s">
        <v>1028</v>
      </c>
      <c r="F3513" s="103"/>
    </row>
    <row r="3514" spans="1:7" s="53" customFormat="1" ht="15" thickBot="1" x14ac:dyDescent="0.4">
      <c r="A3514" s="223"/>
      <c r="B3514" s="105"/>
      <c r="C3514" s="106"/>
      <c r="D3514" s="107"/>
      <c r="E3514" s="53" t="s">
        <v>1387</v>
      </c>
      <c r="F3514" s="94"/>
    </row>
    <row r="3515" spans="1:7" s="53" customFormat="1" ht="15" thickBot="1" x14ac:dyDescent="0.4">
      <c r="A3515" s="223"/>
      <c r="B3515" s="108"/>
      <c r="C3515" s="109" t="s">
        <v>129</v>
      </c>
      <c r="D3515" s="110">
        <f>SUM(D3502:D3514)</f>
        <v>7601700</v>
      </c>
      <c r="F3515" s="94"/>
    </row>
    <row r="3516" spans="1:7" s="53" customFormat="1" ht="15.5" thickTop="1" thickBot="1" x14ac:dyDescent="0.4">
      <c r="A3516" s="224"/>
      <c r="B3516" s="226"/>
      <c r="C3516" s="226"/>
      <c r="D3516" s="226"/>
      <c r="F3516" s="94"/>
    </row>
    <row r="3517" spans="1:7" s="53" customFormat="1" x14ac:dyDescent="0.35">
      <c r="B3517" s="87"/>
      <c r="C3517" s="53" t="s">
        <v>130</v>
      </c>
      <c r="D3517" s="111">
        <f>D3499-D3515</f>
        <v>3108300</v>
      </c>
      <c r="F3517" s="94"/>
    </row>
    <row r="3518" spans="1:7" s="53" customFormat="1" x14ac:dyDescent="0.35">
      <c r="B3518" s="87"/>
      <c r="D3518" s="111"/>
      <c r="F3518" s="94"/>
    </row>
    <row r="3519" spans="1:7" s="53" customFormat="1" x14ac:dyDescent="0.35">
      <c r="A3519" s="112"/>
      <c r="B3519" s="113"/>
      <c r="C3519" s="112"/>
      <c r="D3519" s="114"/>
      <c r="E3519" s="112"/>
      <c r="F3519" s="178"/>
    </row>
    <row r="3521" spans="1:7" s="53" customFormat="1" ht="23.5" x14ac:dyDescent="0.55000000000000004">
      <c r="B3521" s="227" t="s">
        <v>0</v>
      </c>
      <c r="C3521" s="227"/>
      <c r="D3521" s="227"/>
      <c r="E3521" s="70"/>
      <c r="F3521" s="176"/>
    </row>
    <row r="3522" spans="1:7" s="53" customFormat="1" ht="20.5" x14ac:dyDescent="0.45">
      <c r="B3522" s="71"/>
      <c r="C3522" s="72" t="s">
        <v>963</v>
      </c>
      <c r="D3522" s="73"/>
      <c r="F3522" s="94"/>
    </row>
    <row r="3523" spans="1:7" s="53" customFormat="1" ht="21" thickBot="1" x14ac:dyDescent="0.5">
      <c r="B3523" s="71" t="s">
        <v>964</v>
      </c>
      <c r="C3523" s="74" t="s">
        <v>103</v>
      </c>
      <c r="D3523" s="73"/>
      <c r="F3523" s="94"/>
    </row>
    <row r="3524" spans="1:7" s="53" customFormat="1" ht="15" thickBot="1" x14ac:dyDescent="0.4">
      <c r="A3524" s="75" t="s">
        <v>104</v>
      </c>
      <c r="B3524" s="76" t="s">
        <v>81</v>
      </c>
      <c r="C3524" s="76" t="s">
        <v>105</v>
      </c>
      <c r="D3524" s="77" t="s">
        <v>84</v>
      </c>
      <c r="F3524" s="94"/>
    </row>
    <row r="3525" spans="1:7" s="53" customFormat="1" ht="14.5" customHeight="1" x14ac:dyDescent="0.35">
      <c r="A3525" s="222" t="s">
        <v>92</v>
      </c>
      <c r="B3525" s="78" t="s">
        <v>955</v>
      </c>
      <c r="C3525" s="79" t="s">
        <v>959</v>
      </c>
      <c r="D3525" s="80">
        <f>F3532</f>
        <v>10710000</v>
      </c>
      <c r="F3525" s="94"/>
    </row>
    <row r="3526" spans="1:7" s="53" customFormat="1" ht="21" thickBot="1" x14ac:dyDescent="0.5">
      <c r="A3526" s="223"/>
      <c r="B3526" s="71"/>
      <c r="C3526" s="71"/>
      <c r="D3526" s="73"/>
      <c r="F3526" s="94"/>
    </row>
    <row r="3527" spans="1:7" s="53" customFormat="1" ht="15" thickBot="1" x14ac:dyDescent="0.4">
      <c r="A3527" s="223"/>
      <c r="B3527" s="81" t="s">
        <v>81</v>
      </c>
      <c r="C3527" s="82" t="s">
        <v>107</v>
      </c>
      <c r="D3527" s="83" t="s">
        <v>108</v>
      </c>
      <c r="F3527" s="94"/>
    </row>
    <row r="3528" spans="1:7" s="87" customFormat="1" x14ac:dyDescent="0.35">
      <c r="A3528" s="223"/>
      <c r="B3528" s="84" t="str">
        <f>B3525</f>
        <v>11th August,2025</v>
      </c>
      <c r="C3528" s="85" t="s">
        <v>1064</v>
      </c>
      <c r="D3528" s="86">
        <f>1860*2790</f>
        <v>5189400</v>
      </c>
      <c r="F3528" s="177"/>
    </row>
    <row r="3529" spans="1:7" s="53" customFormat="1" x14ac:dyDescent="0.35">
      <c r="A3529" s="223"/>
      <c r="B3529" s="88"/>
      <c r="C3529" s="89" t="s">
        <v>188</v>
      </c>
      <c r="D3529" s="90">
        <f>325*2650</f>
        <v>861250</v>
      </c>
      <c r="F3529" s="94"/>
    </row>
    <row r="3530" spans="1:7" s="53" customFormat="1" x14ac:dyDescent="0.35">
      <c r="A3530" s="223"/>
      <c r="B3530" s="88" t="s">
        <v>109</v>
      </c>
      <c r="C3530" s="89" t="s">
        <v>110</v>
      </c>
      <c r="D3530" s="90">
        <v>1000000</v>
      </c>
      <c r="F3530" s="94"/>
    </row>
    <row r="3531" spans="1:7" s="53" customFormat="1" x14ac:dyDescent="0.35">
      <c r="A3531" s="223"/>
      <c r="B3531" s="88" t="s">
        <v>111</v>
      </c>
      <c r="C3531" s="89" t="s">
        <v>112</v>
      </c>
      <c r="D3531" s="90">
        <v>40000</v>
      </c>
      <c r="E3531" s="225" t="s">
        <v>113</v>
      </c>
      <c r="F3531" s="225"/>
    </row>
    <row r="3532" spans="1:7" s="53" customFormat="1" x14ac:dyDescent="0.35">
      <c r="A3532" s="223"/>
      <c r="B3532" s="88" t="s">
        <v>182</v>
      </c>
      <c r="C3532" s="89" t="s">
        <v>115</v>
      </c>
      <c r="D3532" s="90">
        <f>1000*120</f>
        <v>120000</v>
      </c>
      <c r="E3532" s="91" t="s">
        <v>116</v>
      </c>
      <c r="F3532" s="92">
        <f>4200*2550</f>
        <v>10710000</v>
      </c>
    </row>
    <row r="3533" spans="1:7" s="53" customFormat="1" x14ac:dyDescent="0.35">
      <c r="A3533" s="223"/>
      <c r="B3533" s="88"/>
      <c r="C3533" s="89" t="s">
        <v>117</v>
      </c>
      <c r="D3533" s="90">
        <f>2000*120</f>
        <v>240000</v>
      </c>
      <c r="E3533" s="93" t="s">
        <v>118</v>
      </c>
      <c r="F3533" s="94">
        <f>(2520*2550)+(1680*2550)</f>
        <v>10710000</v>
      </c>
    </row>
    <row r="3534" spans="1:7" s="53" customFormat="1" ht="15" thickBot="1" x14ac:dyDescent="0.4">
      <c r="A3534" s="223"/>
      <c r="B3534" s="88" t="s">
        <v>119</v>
      </c>
      <c r="C3534" s="89" t="s">
        <v>120</v>
      </c>
      <c r="D3534" s="95">
        <v>30000</v>
      </c>
      <c r="E3534" s="96" t="s">
        <v>121</v>
      </c>
      <c r="F3534" s="97">
        <f>F3532-F3533</f>
        <v>0</v>
      </c>
      <c r="G3534" s="98">
        <f>F3534/2550</f>
        <v>0</v>
      </c>
    </row>
    <row r="3535" spans="1:7" s="53" customFormat="1" ht="15" thickTop="1" x14ac:dyDescent="0.35">
      <c r="A3535" s="223"/>
      <c r="B3535" s="88"/>
      <c r="C3535" s="89" t="s">
        <v>122</v>
      </c>
      <c r="D3535" s="90">
        <v>140000</v>
      </c>
      <c r="F3535" s="94"/>
    </row>
    <row r="3536" spans="1:7" s="53" customFormat="1" x14ac:dyDescent="0.35">
      <c r="A3536" s="223"/>
      <c r="B3536" s="88" t="s">
        <v>962</v>
      </c>
      <c r="C3536" s="99" t="s">
        <v>123</v>
      </c>
      <c r="D3536" s="90">
        <v>15000</v>
      </c>
      <c r="E3536" s="91" t="s">
        <v>124</v>
      </c>
      <c r="F3536" s="92"/>
    </row>
    <row r="3537" spans="1:6" s="53" customFormat="1" x14ac:dyDescent="0.35">
      <c r="A3537" s="223"/>
      <c r="B3537" s="101"/>
      <c r="C3537" s="99" t="s">
        <v>125</v>
      </c>
      <c r="D3537" s="100">
        <v>10000</v>
      </c>
      <c r="E3537" s="102"/>
      <c r="F3537" s="103"/>
    </row>
    <row r="3538" spans="1:6" s="53" customFormat="1" x14ac:dyDescent="0.35">
      <c r="A3538" s="223"/>
      <c r="B3538" s="101"/>
      <c r="C3538" s="99" t="s">
        <v>126</v>
      </c>
      <c r="D3538" s="100">
        <v>40000</v>
      </c>
      <c r="E3538" s="102" t="s">
        <v>127</v>
      </c>
      <c r="F3538" s="103"/>
    </row>
    <row r="3539" spans="1:6" s="53" customFormat="1" x14ac:dyDescent="0.35">
      <c r="A3539" s="223"/>
      <c r="B3539" s="101"/>
      <c r="C3539" s="89"/>
      <c r="D3539" s="104"/>
      <c r="E3539" s="102" t="s">
        <v>1028</v>
      </c>
      <c r="F3539" s="103"/>
    </row>
    <row r="3540" spans="1:6" s="53" customFormat="1" ht="15" thickBot="1" x14ac:dyDescent="0.4">
      <c r="A3540" s="223"/>
      <c r="B3540" s="105"/>
      <c r="C3540" s="106"/>
      <c r="D3540" s="107"/>
      <c r="E3540" s="53" t="s">
        <v>1419</v>
      </c>
      <c r="F3540" s="94"/>
    </row>
    <row r="3541" spans="1:6" s="53" customFormat="1" ht="15" thickBot="1" x14ac:dyDescent="0.4">
      <c r="A3541" s="223"/>
      <c r="B3541" s="108"/>
      <c r="C3541" s="109" t="s">
        <v>129</v>
      </c>
      <c r="D3541" s="110">
        <f>SUM(D3528:D3540)</f>
        <v>7685650</v>
      </c>
      <c r="F3541" s="94"/>
    </row>
    <row r="3542" spans="1:6" s="53" customFormat="1" ht="15.5" thickTop="1" thickBot="1" x14ac:dyDescent="0.4">
      <c r="A3542" s="224"/>
      <c r="B3542" s="226"/>
      <c r="C3542" s="226"/>
      <c r="D3542" s="226"/>
      <c r="F3542" s="94"/>
    </row>
    <row r="3543" spans="1:6" s="53" customFormat="1" x14ac:dyDescent="0.35">
      <c r="B3543" s="87"/>
      <c r="C3543" s="53" t="s">
        <v>130</v>
      </c>
      <c r="D3543" s="111">
        <f>D3525-D3541</f>
        <v>3024350</v>
      </c>
      <c r="F3543" s="94"/>
    </row>
    <row r="3544" spans="1:6" s="53" customFormat="1" x14ac:dyDescent="0.35">
      <c r="B3544" s="87"/>
      <c r="D3544" s="111"/>
      <c r="F3544" s="94"/>
    </row>
    <row r="3545" spans="1:6" s="53" customFormat="1" x14ac:dyDescent="0.35">
      <c r="A3545" s="112"/>
      <c r="B3545" s="113"/>
      <c r="C3545" s="112"/>
      <c r="D3545" s="114"/>
      <c r="E3545" s="112"/>
      <c r="F3545" s="178"/>
    </row>
    <row r="3547" spans="1:6" s="53" customFormat="1" ht="23.5" x14ac:dyDescent="0.55000000000000004">
      <c r="B3547" s="227" t="s">
        <v>0</v>
      </c>
      <c r="C3547" s="227"/>
      <c r="D3547" s="227"/>
      <c r="E3547" s="70"/>
      <c r="F3547" s="176"/>
    </row>
    <row r="3548" spans="1:6" s="53" customFormat="1" ht="20.5" x14ac:dyDescent="0.45">
      <c r="B3548" s="71"/>
      <c r="C3548" s="72" t="s">
        <v>968</v>
      </c>
      <c r="D3548" s="73"/>
      <c r="F3548" s="94"/>
    </row>
    <row r="3549" spans="1:6" s="53" customFormat="1" ht="21" thickBot="1" x14ac:dyDescent="0.5">
      <c r="B3549" s="71" t="s">
        <v>969</v>
      </c>
      <c r="C3549" s="74" t="s">
        <v>103</v>
      </c>
      <c r="D3549" s="73"/>
      <c r="F3549" s="94"/>
    </row>
    <row r="3550" spans="1:6" s="53" customFormat="1" ht="15" thickBot="1" x14ac:dyDescent="0.4">
      <c r="A3550" s="75" t="s">
        <v>104</v>
      </c>
      <c r="B3550" s="76" t="s">
        <v>81</v>
      </c>
      <c r="C3550" s="76" t="s">
        <v>105</v>
      </c>
      <c r="D3550" s="77" t="s">
        <v>84</v>
      </c>
      <c r="F3550" s="94"/>
    </row>
    <row r="3551" spans="1:6" s="53" customFormat="1" ht="14.5" customHeight="1" x14ac:dyDescent="0.35">
      <c r="A3551" s="222" t="s">
        <v>92</v>
      </c>
      <c r="B3551" s="78" t="s">
        <v>955</v>
      </c>
      <c r="C3551" s="79" t="s">
        <v>959</v>
      </c>
      <c r="D3551" s="80">
        <f>F3558</f>
        <v>10710000</v>
      </c>
      <c r="F3551" s="94"/>
    </row>
    <row r="3552" spans="1:6" s="53" customFormat="1" ht="21" thickBot="1" x14ac:dyDescent="0.5">
      <c r="A3552" s="223"/>
      <c r="B3552" s="71"/>
      <c r="C3552" s="71"/>
      <c r="D3552" s="73"/>
      <c r="F3552" s="94"/>
    </row>
    <row r="3553" spans="1:7" s="53" customFormat="1" ht="15" thickBot="1" x14ac:dyDescent="0.4">
      <c r="A3553" s="223"/>
      <c r="B3553" s="81" t="s">
        <v>81</v>
      </c>
      <c r="C3553" s="82" t="s">
        <v>107</v>
      </c>
      <c r="D3553" s="83" t="s">
        <v>108</v>
      </c>
      <c r="F3553" s="94"/>
    </row>
    <row r="3554" spans="1:7" s="87" customFormat="1" x14ac:dyDescent="0.35">
      <c r="A3554" s="223"/>
      <c r="B3554" s="84" t="str">
        <f>B3551</f>
        <v>11th August,2025</v>
      </c>
      <c r="C3554" s="85" t="s">
        <v>1064</v>
      </c>
      <c r="D3554" s="86">
        <f>1860*2790</f>
        <v>5189400</v>
      </c>
      <c r="F3554" s="177"/>
    </row>
    <row r="3555" spans="1:7" s="53" customFormat="1" x14ac:dyDescent="0.35">
      <c r="A3555" s="223"/>
      <c r="B3555" s="88"/>
      <c r="C3555" s="89" t="s">
        <v>188</v>
      </c>
      <c r="D3555" s="90">
        <f>325*2650</f>
        <v>861250</v>
      </c>
      <c r="F3555" s="94"/>
    </row>
    <row r="3556" spans="1:7" s="53" customFormat="1" x14ac:dyDescent="0.35">
      <c r="A3556" s="223"/>
      <c r="B3556" s="88" t="s">
        <v>109</v>
      </c>
      <c r="C3556" s="89" t="s">
        <v>110</v>
      </c>
      <c r="D3556" s="90">
        <v>1000000</v>
      </c>
      <c r="F3556" s="94"/>
    </row>
    <row r="3557" spans="1:7" s="53" customFormat="1" x14ac:dyDescent="0.35">
      <c r="A3557" s="223"/>
      <c r="B3557" s="88" t="s">
        <v>111</v>
      </c>
      <c r="C3557" s="89" t="s">
        <v>112</v>
      </c>
      <c r="D3557" s="90">
        <v>40000</v>
      </c>
      <c r="E3557" s="225" t="s">
        <v>113</v>
      </c>
      <c r="F3557" s="225"/>
    </row>
    <row r="3558" spans="1:7" s="53" customFormat="1" x14ac:dyDescent="0.35">
      <c r="A3558" s="223"/>
      <c r="B3558" s="88" t="s">
        <v>182</v>
      </c>
      <c r="C3558" s="89" t="s">
        <v>115</v>
      </c>
      <c r="D3558" s="90">
        <f>1000*120</f>
        <v>120000</v>
      </c>
      <c r="E3558" s="91" t="s">
        <v>116</v>
      </c>
      <c r="F3558" s="92">
        <f>4200*2550</f>
        <v>10710000</v>
      </c>
    </row>
    <row r="3559" spans="1:7" s="53" customFormat="1" x14ac:dyDescent="0.35">
      <c r="A3559" s="223"/>
      <c r="B3559" s="88"/>
      <c r="C3559" s="89" t="s">
        <v>117</v>
      </c>
      <c r="D3559" s="90">
        <f>2000*120</f>
        <v>240000</v>
      </c>
      <c r="E3559" s="93" t="s">
        <v>118</v>
      </c>
      <c r="F3559" s="94">
        <f>(2520*2550)+(1680*2550)</f>
        <v>10710000</v>
      </c>
    </row>
    <row r="3560" spans="1:7" s="53" customFormat="1" ht="15" thickBot="1" x14ac:dyDescent="0.4">
      <c r="A3560" s="223"/>
      <c r="B3560" s="88" t="s">
        <v>119</v>
      </c>
      <c r="C3560" s="89" t="s">
        <v>120</v>
      </c>
      <c r="D3560" s="95">
        <v>30000</v>
      </c>
      <c r="E3560" s="96" t="s">
        <v>121</v>
      </c>
      <c r="F3560" s="97">
        <f>F3558-F3559</f>
        <v>0</v>
      </c>
      <c r="G3560" s="98">
        <f>F3560/2550</f>
        <v>0</v>
      </c>
    </row>
    <row r="3561" spans="1:7" s="53" customFormat="1" ht="15" thickTop="1" x14ac:dyDescent="0.35">
      <c r="A3561" s="223"/>
      <c r="B3561" s="88"/>
      <c r="C3561" s="89" t="s">
        <v>122</v>
      </c>
      <c r="D3561" s="90">
        <v>140000</v>
      </c>
      <c r="F3561" s="94"/>
    </row>
    <row r="3562" spans="1:7" s="53" customFormat="1" x14ac:dyDescent="0.35">
      <c r="A3562" s="223"/>
      <c r="B3562" s="88" t="s">
        <v>965</v>
      </c>
      <c r="C3562" s="99" t="s">
        <v>123</v>
      </c>
      <c r="D3562" s="90">
        <v>15000</v>
      </c>
      <c r="E3562" s="91" t="s">
        <v>124</v>
      </c>
      <c r="F3562" s="92"/>
    </row>
    <row r="3563" spans="1:7" s="53" customFormat="1" x14ac:dyDescent="0.35">
      <c r="A3563" s="223"/>
      <c r="B3563" s="101"/>
      <c r="C3563" s="99" t="s">
        <v>125</v>
      </c>
      <c r="D3563" s="100">
        <v>10000</v>
      </c>
      <c r="E3563" s="102"/>
      <c r="F3563" s="103"/>
    </row>
    <row r="3564" spans="1:7" s="53" customFormat="1" x14ac:dyDescent="0.35">
      <c r="A3564" s="223"/>
      <c r="B3564" s="101"/>
      <c r="C3564" s="99" t="s">
        <v>126</v>
      </c>
      <c r="D3564" s="100">
        <v>40000</v>
      </c>
      <c r="E3564" s="102" t="s">
        <v>127</v>
      </c>
      <c r="F3564" s="103"/>
    </row>
    <row r="3565" spans="1:7" s="53" customFormat="1" x14ac:dyDescent="0.35">
      <c r="A3565" s="223"/>
      <c r="B3565" s="101"/>
      <c r="C3565" s="89"/>
      <c r="D3565" s="104"/>
      <c r="E3565" s="102" t="s">
        <v>1029</v>
      </c>
      <c r="F3565" s="103"/>
    </row>
    <row r="3566" spans="1:7" s="53" customFormat="1" ht="15" thickBot="1" x14ac:dyDescent="0.4">
      <c r="A3566" s="223"/>
      <c r="B3566" s="105"/>
      <c r="C3566" s="106"/>
      <c r="D3566" s="107"/>
      <c r="E3566" s="53" t="s">
        <v>1419</v>
      </c>
      <c r="F3566" s="94"/>
    </row>
    <row r="3567" spans="1:7" s="53" customFormat="1" ht="15" thickBot="1" x14ac:dyDescent="0.4">
      <c r="A3567" s="223"/>
      <c r="B3567" s="108"/>
      <c r="C3567" s="109" t="s">
        <v>129</v>
      </c>
      <c r="D3567" s="110">
        <f>SUM(D3554:D3566)</f>
        <v>7685650</v>
      </c>
      <c r="F3567" s="94"/>
    </row>
    <row r="3568" spans="1:7" s="53" customFormat="1" ht="15.5" thickTop="1" thickBot="1" x14ac:dyDescent="0.4">
      <c r="A3568" s="224"/>
      <c r="B3568" s="226"/>
      <c r="C3568" s="226"/>
      <c r="D3568" s="226"/>
      <c r="F3568" s="94"/>
    </row>
    <row r="3569" spans="1:6" s="53" customFormat="1" x14ac:dyDescent="0.35">
      <c r="B3569" s="87"/>
      <c r="C3569" s="53" t="s">
        <v>130</v>
      </c>
      <c r="D3569" s="111">
        <f>D3551-D3567</f>
        <v>3024350</v>
      </c>
      <c r="F3569" s="94"/>
    </row>
    <row r="3570" spans="1:6" s="53" customFormat="1" x14ac:dyDescent="0.35">
      <c r="B3570" s="87"/>
      <c r="D3570" s="111"/>
      <c r="F3570" s="94"/>
    </row>
    <row r="3571" spans="1:6" s="53" customFormat="1" x14ac:dyDescent="0.35">
      <c r="A3571" s="112"/>
      <c r="B3571" s="113"/>
      <c r="C3571" s="112"/>
      <c r="D3571" s="114"/>
      <c r="E3571" s="112"/>
      <c r="F3571" s="178"/>
    </row>
    <row r="3573" spans="1:6" s="53" customFormat="1" ht="23.5" x14ac:dyDescent="0.55000000000000004">
      <c r="B3573" s="227" t="s">
        <v>0</v>
      </c>
      <c r="C3573" s="227"/>
      <c r="D3573" s="227"/>
      <c r="E3573" s="70"/>
      <c r="F3573" s="176"/>
    </row>
    <row r="3574" spans="1:6" s="53" customFormat="1" ht="20.5" x14ac:dyDescent="0.45">
      <c r="B3574" s="71"/>
      <c r="C3574" s="72" t="s">
        <v>973</v>
      </c>
      <c r="D3574" s="73"/>
      <c r="F3574" s="94"/>
    </row>
    <row r="3575" spans="1:6" s="53" customFormat="1" ht="21" thickBot="1" x14ac:dyDescent="0.5">
      <c r="B3575" s="71" t="s">
        <v>974</v>
      </c>
      <c r="C3575" s="74" t="s">
        <v>103</v>
      </c>
      <c r="D3575" s="73"/>
      <c r="F3575" s="94"/>
    </row>
    <row r="3576" spans="1:6" s="53" customFormat="1" ht="15" thickBot="1" x14ac:dyDescent="0.4">
      <c r="A3576" s="75" t="s">
        <v>104</v>
      </c>
      <c r="B3576" s="76" t="s">
        <v>81</v>
      </c>
      <c r="C3576" s="76" t="s">
        <v>105</v>
      </c>
      <c r="D3576" s="77" t="s">
        <v>84</v>
      </c>
      <c r="F3576" s="94"/>
    </row>
    <row r="3577" spans="1:6" s="53" customFormat="1" ht="14.5" customHeight="1" x14ac:dyDescent="0.35">
      <c r="A3577" s="222" t="s">
        <v>92</v>
      </c>
      <c r="B3577" s="78" t="s">
        <v>955</v>
      </c>
      <c r="C3577" s="79" t="s">
        <v>106</v>
      </c>
      <c r="D3577" s="80">
        <f>F3584</f>
        <v>11475000</v>
      </c>
      <c r="F3577" s="94"/>
    </row>
    <row r="3578" spans="1:6" s="53" customFormat="1" ht="21" thickBot="1" x14ac:dyDescent="0.5">
      <c r="A3578" s="223"/>
      <c r="B3578" s="71"/>
      <c r="C3578" s="71"/>
      <c r="D3578" s="73"/>
      <c r="F3578" s="94"/>
    </row>
    <row r="3579" spans="1:6" s="53" customFormat="1" ht="15" thickBot="1" x14ac:dyDescent="0.4">
      <c r="A3579" s="223"/>
      <c r="B3579" s="81" t="s">
        <v>81</v>
      </c>
      <c r="C3579" s="82" t="s">
        <v>107</v>
      </c>
      <c r="D3579" s="83" t="s">
        <v>108</v>
      </c>
      <c r="F3579" s="94"/>
    </row>
    <row r="3580" spans="1:6" s="87" customFormat="1" x14ac:dyDescent="0.35">
      <c r="A3580" s="223"/>
      <c r="B3580" s="84" t="str">
        <f>B3577</f>
        <v>11th August,2025</v>
      </c>
      <c r="C3580" s="85" t="s">
        <v>1156</v>
      </c>
      <c r="D3580" s="86">
        <f>2100*2777</f>
        <v>5831700</v>
      </c>
      <c r="F3580" s="177"/>
    </row>
    <row r="3581" spans="1:6" s="53" customFormat="1" x14ac:dyDescent="0.35">
      <c r="A3581" s="223"/>
      <c r="B3581" s="88"/>
      <c r="C3581" s="89" t="s">
        <v>747</v>
      </c>
      <c r="D3581" s="90">
        <f>356*2700</f>
        <v>961200</v>
      </c>
      <c r="F3581" s="94"/>
    </row>
    <row r="3582" spans="1:6" s="53" customFormat="1" x14ac:dyDescent="0.35">
      <c r="A3582" s="223"/>
      <c r="B3582" s="88" t="s">
        <v>109</v>
      </c>
      <c r="C3582" s="89" t="s">
        <v>110</v>
      </c>
      <c r="D3582" s="90">
        <v>1000000</v>
      </c>
      <c r="F3582" s="94"/>
    </row>
    <row r="3583" spans="1:6" s="53" customFormat="1" x14ac:dyDescent="0.35">
      <c r="A3583" s="223"/>
      <c r="B3583" s="88" t="s">
        <v>111</v>
      </c>
      <c r="C3583" s="89" t="s">
        <v>112</v>
      </c>
      <c r="D3583" s="90">
        <v>40000</v>
      </c>
      <c r="E3583" s="225" t="s">
        <v>113</v>
      </c>
      <c r="F3583" s="225"/>
    </row>
    <row r="3584" spans="1:6" s="53" customFormat="1" x14ac:dyDescent="0.35">
      <c r="A3584" s="223"/>
      <c r="B3584" s="88" t="s">
        <v>383</v>
      </c>
      <c r="C3584" s="89" t="s">
        <v>115</v>
      </c>
      <c r="D3584" s="90">
        <f>500*128</f>
        <v>64000</v>
      </c>
      <c r="E3584" s="91" t="s">
        <v>116</v>
      </c>
      <c r="F3584" s="92">
        <f>4500*2550</f>
        <v>11475000</v>
      </c>
    </row>
    <row r="3585" spans="1:7" s="53" customFormat="1" x14ac:dyDescent="0.35">
      <c r="A3585" s="223"/>
      <c r="B3585" s="88"/>
      <c r="C3585" s="89" t="s">
        <v>117</v>
      </c>
      <c r="D3585" s="90">
        <f>6750*128</f>
        <v>864000</v>
      </c>
      <c r="E3585" s="93" t="s">
        <v>118</v>
      </c>
      <c r="F3585" s="94">
        <f>(2700*2550)+(1800*2550)</f>
        <v>11475000</v>
      </c>
    </row>
    <row r="3586" spans="1:7" s="53" customFormat="1" ht="15" thickBot="1" x14ac:dyDescent="0.4">
      <c r="A3586" s="223"/>
      <c r="B3586" s="88" t="s">
        <v>119</v>
      </c>
      <c r="C3586" s="89" t="s">
        <v>120</v>
      </c>
      <c r="D3586" s="95">
        <v>30000</v>
      </c>
      <c r="E3586" s="96" t="s">
        <v>121</v>
      </c>
      <c r="F3586" s="97">
        <f>F3584-F3585</f>
        <v>0</v>
      </c>
      <c r="G3586" s="98">
        <f>F3586/2550</f>
        <v>0</v>
      </c>
    </row>
    <row r="3587" spans="1:7" s="53" customFormat="1" ht="15" thickTop="1" x14ac:dyDescent="0.35">
      <c r="A3587" s="223"/>
      <c r="B3587" s="88"/>
      <c r="C3587" s="99" t="s">
        <v>123</v>
      </c>
      <c r="D3587" s="100">
        <v>15000</v>
      </c>
      <c r="F3587" s="94"/>
    </row>
    <row r="3588" spans="1:7" s="53" customFormat="1" x14ac:dyDescent="0.35">
      <c r="A3588" s="223"/>
      <c r="B3588" s="88" t="s">
        <v>972</v>
      </c>
      <c r="C3588" s="99" t="s">
        <v>126</v>
      </c>
      <c r="D3588" s="100">
        <v>30000</v>
      </c>
      <c r="E3588" s="91" t="s">
        <v>124</v>
      </c>
      <c r="F3588" s="92"/>
    </row>
    <row r="3589" spans="1:7" s="53" customFormat="1" x14ac:dyDescent="0.35">
      <c r="A3589" s="223"/>
      <c r="B3589" s="101"/>
      <c r="C3589" s="89" t="s">
        <v>122</v>
      </c>
      <c r="D3589" s="100">
        <v>75000</v>
      </c>
      <c r="E3589" s="102"/>
      <c r="F3589" s="103"/>
    </row>
    <row r="3590" spans="1:7" s="53" customFormat="1" x14ac:dyDescent="0.35">
      <c r="A3590" s="223"/>
      <c r="B3590" s="101"/>
      <c r="C3590" s="99"/>
      <c r="D3590" s="100"/>
      <c r="E3590" s="102" t="s">
        <v>127</v>
      </c>
      <c r="F3590" s="103"/>
    </row>
    <row r="3591" spans="1:7" s="53" customFormat="1" x14ac:dyDescent="0.35">
      <c r="A3591" s="223"/>
      <c r="B3591" s="101"/>
      <c r="C3591" s="89"/>
      <c r="D3591" s="90"/>
      <c r="E3591" s="102" t="s">
        <v>1026</v>
      </c>
      <c r="F3591" s="103"/>
    </row>
    <row r="3592" spans="1:7" s="53" customFormat="1" ht="15" thickBot="1" x14ac:dyDescent="0.4">
      <c r="A3592" s="223"/>
      <c r="B3592" s="105"/>
      <c r="C3592" s="106"/>
      <c r="D3592" s="107"/>
      <c r="E3592" s="53" t="s">
        <v>1605</v>
      </c>
      <c r="F3592" s="94"/>
    </row>
    <row r="3593" spans="1:7" s="53" customFormat="1" ht="15" thickBot="1" x14ac:dyDescent="0.4">
      <c r="A3593" s="223"/>
      <c r="B3593" s="108"/>
      <c r="C3593" s="109" t="s">
        <v>129</v>
      </c>
      <c r="D3593" s="110">
        <f>SUM(D3580:D3592)</f>
        <v>8910900</v>
      </c>
      <c r="F3593" s="94"/>
    </row>
    <row r="3594" spans="1:7" s="53" customFormat="1" ht="15.5" thickTop="1" thickBot="1" x14ac:dyDescent="0.4">
      <c r="A3594" s="224"/>
      <c r="B3594" s="226"/>
      <c r="C3594" s="226"/>
      <c r="D3594" s="226"/>
      <c r="F3594" s="94"/>
    </row>
    <row r="3595" spans="1:7" s="53" customFormat="1" x14ac:dyDescent="0.35">
      <c r="B3595" s="87"/>
      <c r="C3595" s="53" t="s">
        <v>130</v>
      </c>
      <c r="D3595" s="111">
        <f>D3577-D3593</f>
        <v>2564100</v>
      </c>
      <c r="F3595" s="94"/>
    </row>
    <row r="3596" spans="1:7" s="53" customFormat="1" x14ac:dyDescent="0.35">
      <c r="B3596" s="87"/>
      <c r="D3596" s="111"/>
      <c r="F3596" s="94"/>
    </row>
    <row r="3597" spans="1:7" s="53" customFormat="1" x14ac:dyDescent="0.35">
      <c r="A3597" s="112"/>
      <c r="B3597" s="113"/>
      <c r="C3597" s="112"/>
      <c r="D3597" s="114"/>
      <c r="E3597" s="112"/>
      <c r="F3597" s="178"/>
    </row>
    <row r="3599" spans="1:7" s="53" customFormat="1" ht="23.5" x14ac:dyDescent="0.55000000000000004">
      <c r="B3599" s="227" t="s">
        <v>0</v>
      </c>
      <c r="C3599" s="227"/>
      <c r="D3599" s="227"/>
      <c r="E3599" s="70"/>
      <c r="F3599" s="176"/>
    </row>
    <row r="3600" spans="1:7" s="53" customFormat="1" ht="20.5" x14ac:dyDescent="0.45">
      <c r="B3600" s="71"/>
      <c r="C3600" s="72" t="s">
        <v>978</v>
      </c>
      <c r="D3600" s="73"/>
      <c r="F3600" s="94"/>
    </row>
    <row r="3601" spans="1:7" s="53" customFormat="1" ht="21" thickBot="1" x14ac:dyDescent="0.5">
      <c r="B3601" s="71" t="s">
        <v>979</v>
      </c>
      <c r="C3601" s="74" t="s">
        <v>103</v>
      </c>
      <c r="D3601" s="73"/>
      <c r="F3601" s="94"/>
    </row>
    <row r="3602" spans="1:7" s="53" customFormat="1" ht="15" thickBot="1" x14ac:dyDescent="0.4">
      <c r="A3602" s="75" t="s">
        <v>104</v>
      </c>
      <c r="B3602" s="76" t="s">
        <v>81</v>
      </c>
      <c r="C3602" s="76" t="s">
        <v>105</v>
      </c>
      <c r="D3602" s="77" t="s">
        <v>84</v>
      </c>
      <c r="F3602" s="94"/>
    </row>
    <row r="3603" spans="1:7" s="53" customFormat="1" ht="14.5" customHeight="1" x14ac:dyDescent="0.35">
      <c r="A3603" s="222" t="s">
        <v>92</v>
      </c>
      <c r="B3603" s="78" t="s">
        <v>955</v>
      </c>
      <c r="C3603" s="79" t="s">
        <v>106</v>
      </c>
      <c r="D3603" s="80">
        <f>F3610</f>
        <v>11475000</v>
      </c>
      <c r="F3603" s="94"/>
    </row>
    <row r="3604" spans="1:7" s="53" customFormat="1" ht="21" thickBot="1" x14ac:dyDescent="0.5">
      <c r="A3604" s="223"/>
      <c r="B3604" s="71"/>
      <c r="C3604" s="71"/>
      <c r="D3604" s="73"/>
      <c r="F3604" s="94"/>
    </row>
    <row r="3605" spans="1:7" s="53" customFormat="1" ht="15" thickBot="1" x14ac:dyDescent="0.4">
      <c r="A3605" s="223"/>
      <c r="B3605" s="81" t="s">
        <v>81</v>
      </c>
      <c r="C3605" s="82" t="s">
        <v>107</v>
      </c>
      <c r="D3605" s="83" t="s">
        <v>108</v>
      </c>
      <c r="F3605" s="94"/>
    </row>
    <row r="3606" spans="1:7" s="87" customFormat="1" x14ac:dyDescent="0.35">
      <c r="A3606" s="223"/>
      <c r="B3606" s="84" t="str">
        <f>B3603</f>
        <v>11th August,2025</v>
      </c>
      <c r="C3606" s="85" t="s">
        <v>373</v>
      </c>
      <c r="D3606" s="86">
        <f>2000*2880</f>
        <v>5760000</v>
      </c>
      <c r="F3606" s="177"/>
    </row>
    <row r="3607" spans="1:7" s="53" customFormat="1" x14ac:dyDescent="0.35">
      <c r="A3607" s="223"/>
      <c r="B3607" s="88"/>
      <c r="C3607" s="89" t="s">
        <v>388</v>
      </c>
      <c r="D3607" s="90">
        <f>356*2650</f>
        <v>943400</v>
      </c>
      <c r="F3607" s="94"/>
    </row>
    <row r="3608" spans="1:7" s="53" customFormat="1" x14ac:dyDescent="0.35">
      <c r="A3608" s="223"/>
      <c r="B3608" s="88" t="s">
        <v>109</v>
      </c>
      <c r="C3608" s="89" t="s">
        <v>110</v>
      </c>
      <c r="D3608" s="90">
        <v>1000000</v>
      </c>
      <c r="F3608" s="94"/>
    </row>
    <row r="3609" spans="1:7" s="53" customFormat="1" x14ac:dyDescent="0.35">
      <c r="A3609" s="223"/>
      <c r="B3609" s="88" t="s">
        <v>111</v>
      </c>
      <c r="C3609" s="89" t="s">
        <v>112</v>
      </c>
      <c r="D3609" s="90">
        <v>40000</v>
      </c>
      <c r="E3609" s="225" t="s">
        <v>113</v>
      </c>
      <c r="F3609" s="225"/>
    </row>
    <row r="3610" spans="1:7" s="53" customFormat="1" x14ac:dyDescent="0.35">
      <c r="A3610" s="223"/>
      <c r="B3610" s="88" t="s">
        <v>415</v>
      </c>
      <c r="C3610" s="89" t="s">
        <v>115</v>
      </c>
      <c r="D3610" s="90">
        <f>870*128</f>
        <v>111360</v>
      </c>
      <c r="E3610" s="91" t="s">
        <v>116</v>
      </c>
      <c r="F3610" s="92">
        <f>4500*2550</f>
        <v>11475000</v>
      </c>
    </row>
    <row r="3611" spans="1:7" s="53" customFormat="1" x14ac:dyDescent="0.35">
      <c r="A3611" s="223"/>
      <c r="B3611" s="88"/>
      <c r="C3611" s="89" t="s">
        <v>117</v>
      </c>
      <c r="D3611" s="90">
        <f>3900*128</f>
        <v>499200</v>
      </c>
      <c r="E3611" s="93" t="s">
        <v>118</v>
      </c>
      <c r="F3611" s="94">
        <f>(2700*2550)+(1800*2550)</f>
        <v>11475000</v>
      </c>
    </row>
    <row r="3612" spans="1:7" s="53" customFormat="1" ht="15" thickBot="1" x14ac:dyDescent="0.4">
      <c r="A3612" s="223"/>
      <c r="B3612" s="88" t="s">
        <v>119</v>
      </c>
      <c r="C3612" s="89" t="s">
        <v>120</v>
      </c>
      <c r="D3612" s="95">
        <v>30000</v>
      </c>
      <c r="E3612" s="96" t="s">
        <v>121</v>
      </c>
      <c r="F3612" s="97">
        <f>F3610-F3611</f>
        <v>0</v>
      </c>
      <c r="G3612" s="98">
        <f>F3612/2550</f>
        <v>0</v>
      </c>
    </row>
    <row r="3613" spans="1:7" s="53" customFormat="1" ht="15" thickTop="1" x14ac:dyDescent="0.35">
      <c r="A3613" s="223"/>
      <c r="B3613" s="88"/>
      <c r="C3613" s="99" t="s">
        <v>123</v>
      </c>
      <c r="D3613" s="100">
        <v>15000</v>
      </c>
      <c r="F3613" s="94"/>
    </row>
    <row r="3614" spans="1:7" s="53" customFormat="1" x14ac:dyDescent="0.35">
      <c r="A3614" s="223"/>
      <c r="B3614" s="88" t="s">
        <v>977</v>
      </c>
      <c r="C3614" s="99" t="s">
        <v>126</v>
      </c>
      <c r="D3614" s="100">
        <v>20000</v>
      </c>
      <c r="E3614" s="91" t="s">
        <v>124</v>
      </c>
      <c r="F3614" s="92"/>
    </row>
    <row r="3615" spans="1:7" s="53" customFormat="1" x14ac:dyDescent="0.35">
      <c r="A3615" s="223"/>
      <c r="B3615" s="101"/>
      <c r="C3615" s="99" t="s">
        <v>1215</v>
      </c>
      <c r="D3615" s="100">
        <v>75000</v>
      </c>
      <c r="E3615" s="102"/>
      <c r="F3615" s="103"/>
    </row>
    <row r="3616" spans="1:7" s="53" customFormat="1" x14ac:dyDescent="0.35">
      <c r="A3616" s="223"/>
      <c r="B3616" s="101"/>
      <c r="C3616" s="99"/>
      <c r="D3616" s="100"/>
      <c r="E3616" s="102" t="s">
        <v>127</v>
      </c>
      <c r="F3616" s="103"/>
    </row>
    <row r="3617" spans="1:6" s="53" customFormat="1" x14ac:dyDescent="0.35">
      <c r="A3617" s="223"/>
      <c r="B3617" s="101"/>
      <c r="C3617" s="89"/>
      <c r="D3617" s="90"/>
      <c r="E3617" s="102" t="s">
        <v>1026</v>
      </c>
      <c r="F3617" s="103"/>
    </row>
    <row r="3618" spans="1:6" s="53" customFormat="1" ht="15" thickBot="1" x14ac:dyDescent="0.4">
      <c r="A3618" s="223"/>
      <c r="B3618" s="105"/>
      <c r="C3618" s="106"/>
      <c r="D3618" s="107"/>
      <c r="E3618" s="53" t="s">
        <v>1387</v>
      </c>
      <c r="F3618" s="94"/>
    </row>
    <row r="3619" spans="1:6" s="53" customFormat="1" ht="15" thickBot="1" x14ac:dyDescent="0.4">
      <c r="A3619" s="223"/>
      <c r="B3619" s="108"/>
      <c r="C3619" s="109" t="s">
        <v>129</v>
      </c>
      <c r="D3619" s="110">
        <f>SUM(D3606:D3618)</f>
        <v>8493960</v>
      </c>
      <c r="F3619" s="94"/>
    </row>
    <row r="3620" spans="1:6" s="53" customFormat="1" ht="15.5" thickTop="1" thickBot="1" x14ac:dyDescent="0.4">
      <c r="A3620" s="224"/>
      <c r="B3620" s="226"/>
      <c r="C3620" s="226"/>
      <c r="D3620" s="226"/>
      <c r="F3620" s="94"/>
    </row>
    <row r="3621" spans="1:6" s="53" customFormat="1" x14ac:dyDescent="0.35">
      <c r="B3621" s="87"/>
      <c r="C3621" s="53" t="s">
        <v>130</v>
      </c>
      <c r="D3621" s="111">
        <f>D3603-D3619</f>
        <v>2981040</v>
      </c>
      <c r="F3621" s="94"/>
    </row>
    <row r="3622" spans="1:6" s="53" customFormat="1" x14ac:dyDescent="0.35">
      <c r="B3622" s="87"/>
      <c r="D3622" s="111"/>
      <c r="F3622" s="94"/>
    </row>
    <row r="3623" spans="1:6" s="53" customFormat="1" x14ac:dyDescent="0.35">
      <c r="A3623" s="112"/>
      <c r="B3623" s="113"/>
      <c r="C3623" s="112"/>
      <c r="D3623" s="114"/>
      <c r="E3623" s="112"/>
      <c r="F3623" s="178"/>
    </row>
    <row r="3625" spans="1:6" s="53" customFormat="1" ht="23.5" x14ac:dyDescent="0.55000000000000004">
      <c r="B3625" s="227" t="s">
        <v>0</v>
      </c>
      <c r="C3625" s="227"/>
      <c r="D3625" s="227"/>
      <c r="E3625" s="70"/>
      <c r="F3625" s="176"/>
    </row>
    <row r="3626" spans="1:6" s="53" customFormat="1" ht="20.5" x14ac:dyDescent="0.45">
      <c r="B3626" s="71"/>
      <c r="C3626" s="72" t="s">
        <v>983</v>
      </c>
      <c r="D3626" s="73"/>
      <c r="F3626" s="94"/>
    </row>
    <row r="3627" spans="1:6" s="53" customFormat="1" ht="21" thickBot="1" x14ac:dyDescent="0.5">
      <c r="B3627" s="71" t="s">
        <v>984</v>
      </c>
      <c r="C3627" s="74" t="s">
        <v>103</v>
      </c>
      <c r="D3627" s="73"/>
      <c r="F3627" s="94"/>
    </row>
    <row r="3628" spans="1:6" s="53" customFormat="1" ht="15" thickBot="1" x14ac:dyDescent="0.4">
      <c r="A3628" s="75" t="s">
        <v>104</v>
      </c>
      <c r="B3628" s="76" t="s">
        <v>81</v>
      </c>
      <c r="C3628" s="76" t="s">
        <v>105</v>
      </c>
      <c r="D3628" s="77" t="s">
        <v>84</v>
      </c>
      <c r="F3628" s="94"/>
    </row>
    <row r="3629" spans="1:6" s="53" customFormat="1" ht="14.5" customHeight="1" x14ac:dyDescent="0.35">
      <c r="A3629" s="222" t="s">
        <v>92</v>
      </c>
      <c r="B3629" s="78" t="s">
        <v>955</v>
      </c>
      <c r="C3629" s="79" t="s">
        <v>106</v>
      </c>
      <c r="D3629" s="80">
        <f>F3636</f>
        <v>11475000</v>
      </c>
      <c r="F3629" s="94"/>
    </row>
    <row r="3630" spans="1:6" s="53" customFormat="1" ht="21" thickBot="1" x14ac:dyDescent="0.5">
      <c r="A3630" s="223"/>
      <c r="B3630" s="71"/>
      <c r="C3630" s="71"/>
      <c r="D3630" s="73"/>
      <c r="F3630" s="94"/>
    </row>
    <row r="3631" spans="1:6" s="53" customFormat="1" ht="15" thickBot="1" x14ac:dyDescent="0.4">
      <c r="A3631" s="223"/>
      <c r="B3631" s="81" t="s">
        <v>81</v>
      </c>
      <c r="C3631" s="82" t="s">
        <v>107</v>
      </c>
      <c r="D3631" s="83" t="s">
        <v>108</v>
      </c>
      <c r="F3631" s="94"/>
    </row>
    <row r="3632" spans="1:6" s="87" customFormat="1" x14ac:dyDescent="0.35">
      <c r="A3632" s="223"/>
      <c r="B3632" s="84" t="str">
        <f>B3629</f>
        <v>11th August,2025</v>
      </c>
      <c r="C3632" s="85" t="s">
        <v>1169</v>
      </c>
      <c r="D3632" s="86">
        <f>2000*2787</f>
        <v>5574000</v>
      </c>
      <c r="F3632" s="177"/>
    </row>
    <row r="3633" spans="1:7" s="53" customFormat="1" x14ac:dyDescent="0.35">
      <c r="A3633" s="223"/>
      <c r="B3633" s="88"/>
      <c r="C3633" s="89" t="s">
        <v>747</v>
      </c>
      <c r="D3633" s="90">
        <f>356*2700</f>
        <v>961200</v>
      </c>
      <c r="F3633" s="94"/>
    </row>
    <row r="3634" spans="1:7" s="53" customFormat="1" x14ac:dyDescent="0.35">
      <c r="A3634" s="223"/>
      <c r="B3634" s="88" t="s">
        <v>109</v>
      </c>
      <c r="C3634" s="89" t="s">
        <v>110</v>
      </c>
      <c r="D3634" s="90">
        <v>1000000</v>
      </c>
      <c r="F3634" s="94"/>
    </row>
    <row r="3635" spans="1:7" s="53" customFormat="1" x14ac:dyDescent="0.35">
      <c r="A3635" s="223"/>
      <c r="B3635" s="88" t="s">
        <v>111</v>
      </c>
      <c r="C3635" s="89" t="s">
        <v>112</v>
      </c>
      <c r="D3635" s="90">
        <v>40000</v>
      </c>
      <c r="E3635" s="225" t="s">
        <v>113</v>
      </c>
      <c r="F3635" s="225"/>
    </row>
    <row r="3636" spans="1:7" s="53" customFormat="1" x14ac:dyDescent="0.35">
      <c r="A3636" s="223"/>
      <c r="B3636" s="88" t="s">
        <v>383</v>
      </c>
      <c r="C3636" s="89" t="s">
        <v>115</v>
      </c>
      <c r="D3636" s="90">
        <f>450*128</f>
        <v>57600</v>
      </c>
      <c r="E3636" s="91" t="s">
        <v>116</v>
      </c>
      <c r="F3636" s="92">
        <f>4500*2550</f>
        <v>11475000</v>
      </c>
    </row>
    <row r="3637" spans="1:7" s="53" customFormat="1" x14ac:dyDescent="0.35">
      <c r="A3637" s="223"/>
      <c r="B3637" s="88"/>
      <c r="C3637" s="89" t="s">
        <v>117</v>
      </c>
      <c r="D3637" s="90">
        <f>6500*128</f>
        <v>832000</v>
      </c>
      <c r="E3637" s="93" t="s">
        <v>118</v>
      </c>
      <c r="F3637" s="94">
        <f>(2700*2550)+(1800*2550)</f>
        <v>11475000</v>
      </c>
    </row>
    <row r="3638" spans="1:7" s="53" customFormat="1" ht="15" thickBot="1" x14ac:dyDescent="0.4">
      <c r="A3638" s="223"/>
      <c r="B3638" s="88" t="s">
        <v>119</v>
      </c>
      <c r="C3638" s="89" t="s">
        <v>120</v>
      </c>
      <c r="D3638" s="95">
        <v>30000</v>
      </c>
      <c r="E3638" s="96" t="s">
        <v>121</v>
      </c>
      <c r="F3638" s="97">
        <f>F3636-F3637</f>
        <v>0</v>
      </c>
      <c r="G3638" s="98">
        <f>F3638/2550</f>
        <v>0</v>
      </c>
    </row>
    <row r="3639" spans="1:7" s="53" customFormat="1" ht="15" thickTop="1" x14ac:dyDescent="0.35">
      <c r="A3639" s="223"/>
      <c r="B3639" s="88"/>
      <c r="C3639" s="99" t="s">
        <v>123</v>
      </c>
      <c r="D3639" s="100">
        <v>15000</v>
      </c>
      <c r="F3639" s="94"/>
    </row>
    <row r="3640" spans="1:7" s="53" customFormat="1" x14ac:dyDescent="0.35">
      <c r="A3640" s="223"/>
      <c r="B3640" s="88" t="s">
        <v>982</v>
      </c>
      <c r="C3640" s="99" t="s">
        <v>126</v>
      </c>
      <c r="D3640" s="100">
        <v>30000</v>
      </c>
      <c r="E3640" s="91" t="s">
        <v>124</v>
      </c>
      <c r="F3640" s="92"/>
    </row>
    <row r="3641" spans="1:7" s="53" customFormat="1" x14ac:dyDescent="0.35">
      <c r="A3641" s="223"/>
      <c r="B3641" s="101"/>
      <c r="C3641" s="89" t="s">
        <v>122</v>
      </c>
      <c r="D3641" s="100">
        <v>75000</v>
      </c>
      <c r="E3641" s="102"/>
      <c r="F3641" s="103"/>
    </row>
    <row r="3642" spans="1:7" s="53" customFormat="1" x14ac:dyDescent="0.35">
      <c r="A3642" s="223"/>
      <c r="B3642" s="101"/>
      <c r="C3642" s="99" t="s">
        <v>1168</v>
      </c>
      <c r="D3642" s="100">
        <v>20000</v>
      </c>
      <c r="E3642" s="102" t="s">
        <v>127</v>
      </c>
      <c r="F3642" s="103"/>
    </row>
    <row r="3643" spans="1:7" s="53" customFormat="1" x14ac:dyDescent="0.35">
      <c r="A3643" s="223"/>
      <c r="B3643" s="101"/>
      <c r="C3643" s="89"/>
      <c r="D3643" s="90"/>
      <c r="E3643" s="102" t="s">
        <v>1026</v>
      </c>
      <c r="F3643" s="103"/>
    </row>
    <row r="3644" spans="1:7" s="53" customFormat="1" ht="15" thickBot="1" x14ac:dyDescent="0.4">
      <c r="A3644" s="223"/>
      <c r="B3644" s="105"/>
      <c r="C3644" s="106"/>
      <c r="D3644" s="107"/>
      <c r="E3644" s="53" t="s">
        <v>1605</v>
      </c>
      <c r="F3644" s="94"/>
    </row>
    <row r="3645" spans="1:7" s="53" customFormat="1" ht="15" thickBot="1" x14ac:dyDescent="0.4">
      <c r="A3645" s="223"/>
      <c r="B3645" s="108"/>
      <c r="C3645" s="109" t="s">
        <v>129</v>
      </c>
      <c r="D3645" s="110">
        <f>SUM(D3632:D3644)</f>
        <v>8634800</v>
      </c>
      <c r="F3645" s="94"/>
    </row>
    <row r="3646" spans="1:7" s="53" customFormat="1" ht="15.5" thickTop="1" thickBot="1" x14ac:dyDescent="0.4">
      <c r="A3646" s="224"/>
      <c r="B3646" s="229"/>
      <c r="C3646" s="230"/>
      <c r="D3646" s="230"/>
      <c r="F3646" s="94"/>
    </row>
    <row r="3647" spans="1:7" s="53" customFormat="1" x14ac:dyDescent="0.35">
      <c r="B3647" s="87"/>
      <c r="C3647" s="53" t="s">
        <v>130</v>
      </c>
      <c r="D3647" s="111">
        <f>D3629-D3645</f>
        <v>2840200</v>
      </c>
      <c r="F3647" s="94"/>
    </row>
    <row r="3648" spans="1:7" s="53" customFormat="1" x14ac:dyDescent="0.35">
      <c r="B3648" s="87"/>
      <c r="D3648" s="111"/>
      <c r="F3648" s="94"/>
    </row>
    <row r="3649" spans="1:6" s="53" customFormat="1" x14ac:dyDescent="0.35">
      <c r="A3649" s="112"/>
      <c r="B3649" s="113"/>
      <c r="C3649" s="112"/>
      <c r="D3649" s="114"/>
      <c r="E3649" s="112"/>
      <c r="F3649" s="178"/>
    </row>
    <row r="3652" spans="1:6" s="53" customFormat="1" ht="23.5" x14ac:dyDescent="0.55000000000000004">
      <c r="B3652" s="227" t="s">
        <v>0</v>
      </c>
      <c r="C3652" s="227"/>
      <c r="D3652" s="227"/>
      <c r="E3652" s="70"/>
      <c r="F3652" s="176"/>
    </row>
    <row r="3653" spans="1:6" s="53" customFormat="1" ht="20.5" x14ac:dyDescent="0.45">
      <c r="B3653" s="71"/>
      <c r="C3653" s="72" t="s">
        <v>988</v>
      </c>
      <c r="D3653" s="73"/>
      <c r="F3653" s="94"/>
    </row>
    <row r="3654" spans="1:6" s="53" customFormat="1" ht="21" thickBot="1" x14ac:dyDescent="0.5">
      <c r="B3654" s="71" t="s">
        <v>989</v>
      </c>
      <c r="C3654" s="74" t="s">
        <v>103</v>
      </c>
      <c r="D3654" s="73"/>
      <c r="F3654" s="94"/>
    </row>
    <row r="3655" spans="1:6" s="53" customFormat="1" ht="15" thickBot="1" x14ac:dyDescent="0.4">
      <c r="A3655" s="75" t="s">
        <v>104</v>
      </c>
      <c r="B3655" s="76" t="s">
        <v>81</v>
      </c>
      <c r="C3655" s="76" t="s">
        <v>105</v>
      </c>
      <c r="D3655" s="77" t="s">
        <v>84</v>
      </c>
      <c r="F3655" s="94"/>
    </row>
    <row r="3656" spans="1:6" s="53" customFormat="1" ht="14.5" customHeight="1" x14ac:dyDescent="0.35">
      <c r="A3656" s="222" t="s">
        <v>92</v>
      </c>
      <c r="B3656" s="78" t="s">
        <v>955</v>
      </c>
      <c r="C3656" s="79" t="s">
        <v>106</v>
      </c>
      <c r="D3656" s="80">
        <f>F3663</f>
        <v>11475000</v>
      </c>
      <c r="F3656" s="94"/>
    </row>
    <row r="3657" spans="1:6" s="53" customFormat="1" ht="21" thickBot="1" x14ac:dyDescent="0.5">
      <c r="A3657" s="223"/>
      <c r="B3657" s="71"/>
      <c r="C3657" s="71"/>
      <c r="D3657" s="73"/>
      <c r="F3657" s="94"/>
    </row>
    <row r="3658" spans="1:6" s="53" customFormat="1" ht="15" thickBot="1" x14ac:dyDescent="0.4">
      <c r="A3658" s="223"/>
      <c r="B3658" s="81" t="s">
        <v>81</v>
      </c>
      <c r="C3658" s="82" t="s">
        <v>107</v>
      </c>
      <c r="D3658" s="83" t="s">
        <v>108</v>
      </c>
      <c r="F3658" s="94"/>
    </row>
    <row r="3659" spans="1:6" s="87" customFormat="1" x14ac:dyDescent="0.35">
      <c r="A3659" s="223"/>
      <c r="B3659" s="84" t="str">
        <f>B3656</f>
        <v>11th August,2025</v>
      </c>
      <c r="C3659" s="85" t="s">
        <v>1156</v>
      </c>
      <c r="D3659" s="86">
        <f>2100*2777</f>
        <v>5831700</v>
      </c>
      <c r="F3659" s="177"/>
    </row>
    <row r="3660" spans="1:6" s="53" customFormat="1" x14ac:dyDescent="0.35">
      <c r="A3660" s="223"/>
      <c r="B3660" s="88"/>
      <c r="C3660" s="89" t="s">
        <v>747</v>
      </c>
      <c r="D3660" s="90">
        <f>356*2700</f>
        <v>961200</v>
      </c>
      <c r="F3660" s="94"/>
    </row>
    <row r="3661" spans="1:6" s="53" customFormat="1" x14ac:dyDescent="0.35">
      <c r="A3661" s="223"/>
      <c r="B3661" s="88" t="s">
        <v>109</v>
      </c>
      <c r="C3661" s="89" t="s">
        <v>110</v>
      </c>
      <c r="D3661" s="90">
        <v>1000000</v>
      </c>
      <c r="F3661" s="94"/>
    </row>
    <row r="3662" spans="1:6" s="53" customFormat="1" x14ac:dyDescent="0.35">
      <c r="A3662" s="223"/>
      <c r="B3662" s="88" t="s">
        <v>111</v>
      </c>
      <c r="C3662" s="89" t="s">
        <v>112</v>
      </c>
      <c r="D3662" s="90">
        <v>40000</v>
      </c>
      <c r="E3662" s="225" t="s">
        <v>113</v>
      </c>
      <c r="F3662" s="225"/>
    </row>
    <row r="3663" spans="1:6" s="53" customFormat="1" x14ac:dyDescent="0.35">
      <c r="A3663" s="223"/>
      <c r="B3663" s="88" t="s">
        <v>383</v>
      </c>
      <c r="C3663" s="89" t="s">
        <v>115</v>
      </c>
      <c r="D3663" s="90">
        <f>700*128</f>
        <v>89600</v>
      </c>
      <c r="E3663" s="91" t="s">
        <v>116</v>
      </c>
      <c r="F3663" s="92">
        <f>4500*2550</f>
        <v>11475000</v>
      </c>
    </row>
    <row r="3664" spans="1:6" s="53" customFormat="1" x14ac:dyDescent="0.35">
      <c r="A3664" s="223"/>
      <c r="B3664" s="88"/>
      <c r="C3664" s="89" t="s">
        <v>117</v>
      </c>
      <c r="D3664" s="90">
        <f>6750*128</f>
        <v>864000</v>
      </c>
      <c r="E3664" s="93" t="s">
        <v>118</v>
      </c>
      <c r="F3664" s="94">
        <f>(2700*2550)+(1800*2550)</f>
        <v>11475000</v>
      </c>
    </row>
    <row r="3665" spans="1:7" s="53" customFormat="1" ht="15" thickBot="1" x14ac:dyDescent="0.4">
      <c r="A3665" s="223"/>
      <c r="B3665" s="88" t="s">
        <v>119</v>
      </c>
      <c r="C3665" s="89" t="s">
        <v>120</v>
      </c>
      <c r="D3665" s="95">
        <v>30000</v>
      </c>
      <c r="E3665" s="96" t="s">
        <v>121</v>
      </c>
      <c r="F3665" s="97">
        <f>F3663-F3664</f>
        <v>0</v>
      </c>
      <c r="G3665" s="98">
        <f>F3665/2550</f>
        <v>0</v>
      </c>
    </row>
    <row r="3666" spans="1:7" s="53" customFormat="1" ht="15" thickTop="1" x14ac:dyDescent="0.35">
      <c r="A3666" s="223"/>
      <c r="B3666" s="88"/>
      <c r="C3666" s="99" t="s">
        <v>123</v>
      </c>
      <c r="D3666" s="100">
        <v>15000</v>
      </c>
      <c r="F3666" s="94"/>
    </row>
    <row r="3667" spans="1:7" s="53" customFormat="1" x14ac:dyDescent="0.35">
      <c r="A3667" s="223"/>
      <c r="B3667" s="88" t="s">
        <v>987</v>
      </c>
      <c r="C3667" s="99" t="s">
        <v>126</v>
      </c>
      <c r="D3667" s="100">
        <v>20000</v>
      </c>
      <c r="E3667" s="91" t="s">
        <v>124</v>
      </c>
      <c r="F3667" s="92"/>
    </row>
    <row r="3668" spans="1:7" s="53" customFormat="1" x14ac:dyDescent="0.35">
      <c r="A3668" s="223"/>
      <c r="B3668" s="101"/>
      <c r="C3668" s="89" t="s">
        <v>122</v>
      </c>
      <c r="D3668" s="100">
        <v>140000</v>
      </c>
      <c r="E3668" s="102"/>
      <c r="F3668" s="103"/>
    </row>
    <row r="3669" spans="1:7" s="53" customFormat="1" x14ac:dyDescent="0.35">
      <c r="A3669" s="223"/>
      <c r="B3669" s="101"/>
      <c r="C3669" s="99"/>
      <c r="D3669" s="100"/>
      <c r="E3669" s="102" t="s">
        <v>127</v>
      </c>
      <c r="F3669" s="103"/>
    </row>
    <row r="3670" spans="1:7" s="53" customFormat="1" x14ac:dyDescent="0.35">
      <c r="A3670" s="223"/>
      <c r="B3670" s="101"/>
      <c r="C3670" s="89"/>
      <c r="D3670" s="90"/>
      <c r="E3670" s="102" t="s">
        <v>1027</v>
      </c>
      <c r="F3670" s="103"/>
    </row>
    <row r="3671" spans="1:7" s="53" customFormat="1" ht="15" thickBot="1" x14ac:dyDescent="0.4">
      <c r="A3671" s="223"/>
      <c r="B3671" s="105"/>
      <c r="C3671" s="106"/>
      <c r="D3671" s="107"/>
      <c r="E3671" s="53" t="s">
        <v>1605</v>
      </c>
      <c r="F3671" s="94"/>
    </row>
    <row r="3672" spans="1:7" s="53" customFormat="1" ht="15" thickBot="1" x14ac:dyDescent="0.4">
      <c r="A3672" s="223"/>
      <c r="B3672" s="108"/>
      <c r="C3672" s="109" t="s">
        <v>129</v>
      </c>
      <c r="D3672" s="110">
        <f>SUM(D3659:D3671)</f>
        <v>8991500</v>
      </c>
      <c r="F3672" s="94"/>
    </row>
    <row r="3673" spans="1:7" s="53" customFormat="1" ht="15.5" thickTop="1" thickBot="1" x14ac:dyDescent="0.4">
      <c r="A3673" s="224"/>
      <c r="B3673" s="229"/>
      <c r="C3673" s="230"/>
      <c r="D3673" s="230"/>
      <c r="F3673" s="94"/>
    </row>
    <row r="3674" spans="1:7" s="53" customFormat="1" x14ac:dyDescent="0.35">
      <c r="B3674" s="87"/>
      <c r="C3674" s="53" t="s">
        <v>130</v>
      </c>
      <c r="D3674" s="111">
        <f>D3656-D3672</f>
        <v>2483500</v>
      </c>
      <c r="F3674" s="94"/>
    </row>
    <row r="3675" spans="1:7" s="53" customFormat="1" x14ac:dyDescent="0.35">
      <c r="B3675" s="87"/>
      <c r="D3675" s="111"/>
      <c r="F3675" s="94"/>
    </row>
    <row r="3676" spans="1:7" s="53" customFormat="1" x14ac:dyDescent="0.35">
      <c r="A3676" s="112"/>
      <c r="B3676" s="113"/>
      <c r="C3676" s="112"/>
      <c r="D3676" s="114"/>
      <c r="E3676" s="112"/>
      <c r="F3676" s="178"/>
    </row>
    <row r="3678" spans="1:7" s="53" customFormat="1" ht="23.5" x14ac:dyDescent="0.55000000000000004">
      <c r="B3678" s="227" t="s">
        <v>0</v>
      </c>
      <c r="C3678" s="227"/>
      <c r="D3678" s="227"/>
      <c r="E3678" s="70"/>
      <c r="F3678" s="176"/>
    </row>
    <row r="3679" spans="1:7" s="53" customFormat="1" ht="20.5" x14ac:dyDescent="0.45">
      <c r="B3679" s="71"/>
      <c r="C3679" s="72" t="s">
        <v>992</v>
      </c>
      <c r="D3679" s="73"/>
      <c r="F3679" s="94"/>
    </row>
    <row r="3680" spans="1:7" s="53" customFormat="1" ht="21" thickBot="1" x14ac:dyDescent="0.5">
      <c r="B3680" s="71" t="s">
        <v>401</v>
      </c>
      <c r="C3680" s="74" t="s">
        <v>103</v>
      </c>
      <c r="D3680" s="73"/>
      <c r="F3680" s="94"/>
    </row>
    <row r="3681" spans="1:7" s="53" customFormat="1" ht="15" thickBot="1" x14ac:dyDescent="0.4">
      <c r="A3681" s="75" t="s">
        <v>104</v>
      </c>
      <c r="B3681" s="76" t="s">
        <v>81</v>
      </c>
      <c r="C3681" s="76" t="s">
        <v>105</v>
      </c>
      <c r="D3681" s="77" t="s">
        <v>84</v>
      </c>
      <c r="F3681" s="94"/>
    </row>
    <row r="3682" spans="1:7" s="53" customFormat="1" ht="14.5" customHeight="1" x14ac:dyDescent="0.35">
      <c r="A3682" s="222" t="s">
        <v>92</v>
      </c>
      <c r="B3682" s="78" t="s">
        <v>955</v>
      </c>
      <c r="C3682" s="79" t="s">
        <v>959</v>
      </c>
      <c r="D3682" s="80">
        <f>F3689</f>
        <v>10710000</v>
      </c>
      <c r="F3682" s="94"/>
    </row>
    <row r="3683" spans="1:7" s="53" customFormat="1" ht="21" thickBot="1" x14ac:dyDescent="0.5">
      <c r="A3683" s="223"/>
      <c r="B3683" s="71"/>
      <c r="C3683" s="71"/>
      <c r="D3683" s="73"/>
      <c r="F3683" s="94"/>
    </row>
    <row r="3684" spans="1:7" s="53" customFormat="1" ht="15" thickBot="1" x14ac:dyDescent="0.4">
      <c r="A3684" s="223"/>
      <c r="B3684" s="81" t="s">
        <v>81</v>
      </c>
      <c r="C3684" s="82" t="s">
        <v>107</v>
      </c>
      <c r="D3684" s="83" t="s">
        <v>108</v>
      </c>
      <c r="F3684" s="94"/>
    </row>
    <row r="3685" spans="1:7" s="87" customFormat="1" x14ac:dyDescent="0.35">
      <c r="A3685" s="223"/>
      <c r="B3685" s="84" t="str">
        <f>B3682</f>
        <v>11th August,2025</v>
      </c>
      <c r="C3685" s="85" t="s">
        <v>1055</v>
      </c>
      <c r="D3685" s="86">
        <f>1850*2777</f>
        <v>5137450</v>
      </c>
      <c r="F3685" s="177"/>
    </row>
    <row r="3686" spans="1:7" s="53" customFormat="1" x14ac:dyDescent="0.35">
      <c r="A3686" s="223"/>
      <c r="B3686" s="88"/>
      <c r="C3686" s="89" t="s">
        <v>188</v>
      </c>
      <c r="D3686" s="90">
        <f>325*2650</f>
        <v>861250</v>
      </c>
      <c r="F3686" s="94"/>
    </row>
    <row r="3687" spans="1:7" s="53" customFormat="1" x14ac:dyDescent="0.35">
      <c r="A3687" s="223"/>
      <c r="B3687" s="88" t="s">
        <v>109</v>
      </c>
      <c r="C3687" s="89" t="s">
        <v>110</v>
      </c>
      <c r="D3687" s="90">
        <v>1000000</v>
      </c>
      <c r="F3687" s="94"/>
    </row>
    <row r="3688" spans="1:7" s="53" customFormat="1" x14ac:dyDescent="0.35">
      <c r="A3688" s="223"/>
      <c r="B3688" s="88" t="s">
        <v>111</v>
      </c>
      <c r="C3688" s="89" t="s">
        <v>112</v>
      </c>
      <c r="D3688" s="90">
        <v>40000</v>
      </c>
      <c r="E3688" s="225" t="s">
        <v>113</v>
      </c>
      <c r="F3688" s="225"/>
    </row>
    <row r="3689" spans="1:7" s="53" customFormat="1" x14ac:dyDescent="0.35">
      <c r="A3689" s="223"/>
      <c r="B3689" s="88" t="s">
        <v>182</v>
      </c>
      <c r="C3689" s="89" t="s">
        <v>115</v>
      </c>
      <c r="D3689" s="90">
        <f>900*120</f>
        <v>108000</v>
      </c>
      <c r="E3689" s="91" t="s">
        <v>116</v>
      </c>
      <c r="F3689" s="92">
        <f>4200*2550</f>
        <v>10710000</v>
      </c>
    </row>
    <row r="3690" spans="1:7" s="53" customFormat="1" x14ac:dyDescent="0.35">
      <c r="A3690" s="223"/>
      <c r="B3690" s="88"/>
      <c r="C3690" s="89" t="s">
        <v>117</v>
      </c>
      <c r="D3690" s="90">
        <f>2000*120</f>
        <v>240000</v>
      </c>
      <c r="E3690" s="93" t="s">
        <v>118</v>
      </c>
      <c r="F3690" s="94">
        <f>(2520*2550)+(1680*2550)</f>
        <v>10710000</v>
      </c>
    </row>
    <row r="3691" spans="1:7" s="53" customFormat="1" ht="15" thickBot="1" x14ac:dyDescent="0.4">
      <c r="A3691" s="223"/>
      <c r="B3691" s="88" t="s">
        <v>119</v>
      </c>
      <c r="C3691" s="89" t="s">
        <v>120</v>
      </c>
      <c r="D3691" s="95">
        <v>30000</v>
      </c>
      <c r="E3691" s="96" t="s">
        <v>121</v>
      </c>
      <c r="F3691" s="97">
        <f>F3689-F3690</f>
        <v>0</v>
      </c>
      <c r="G3691" s="98">
        <f>F3691/2550</f>
        <v>0</v>
      </c>
    </row>
    <row r="3692" spans="1:7" s="53" customFormat="1" ht="15" thickTop="1" x14ac:dyDescent="0.35">
      <c r="A3692" s="223"/>
      <c r="B3692" s="88"/>
      <c r="C3692" s="89" t="s">
        <v>122</v>
      </c>
      <c r="D3692" s="90">
        <v>140000</v>
      </c>
      <c r="F3692" s="94"/>
    </row>
    <row r="3693" spans="1:7" s="53" customFormat="1" x14ac:dyDescent="0.35">
      <c r="A3693" s="223"/>
      <c r="B3693" s="88" t="s">
        <v>991</v>
      </c>
      <c r="C3693" s="99" t="s">
        <v>123</v>
      </c>
      <c r="D3693" s="90">
        <v>15000</v>
      </c>
      <c r="E3693" s="91" t="s">
        <v>124</v>
      </c>
      <c r="F3693" s="92"/>
    </row>
    <row r="3694" spans="1:7" s="53" customFormat="1" x14ac:dyDescent="0.35">
      <c r="A3694" s="223"/>
      <c r="B3694" s="101"/>
      <c r="C3694" s="99" t="s">
        <v>125</v>
      </c>
      <c r="D3694" s="100">
        <v>10000</v>
      </c>
      <c r="E3694" s="102"/>
      <c r="F3694" s="103"/>
    </row>
    <row r="3695" spans="1:7" s="53" customFormat="1" x14ac:dyDescent="0.35">
      <c r="A3695" s="223"/>
      <c r="B3695" s="101"/>
      <c r="C3695" s="99" t="s">
        <v>126</v>
      </c>
      <c r="D3695" s="100">
        <v>30000</v>
      </c>
      <c r="E3695" s="102" t="s">
        <v>127</v>
      </c>
      <c r="F3695" s="103"/>
    </row>
    <row r="3696" spans="1:7" s="53" customFormat="1" x14ac:dyDescent="0.35">
      <c r="A3696" s="223"/>
      <c r="B3696" s="101"/>
      <c r="C3696" s="89"/>
      <c r="D3696" s="104"/>
      <c r="E3696" s="102" t="s">
        <v>1029</v>
      </c>
      <c r="F3696" s="103"/>
    </row>
    <row r="3697" spans="1:6" s="53" customFormat="1" ht="15" thickBot="1" x14ac:dyDescent="0.4">
      <c r="A3697" s="223"/>
      <c r="B3697" s="105"/>
      <c r="C3697" s="106"/>
      <c r="D3697" s="107"/>
      <c r="E3697" s="53" t="s">
        <v>1418</v>
      </c>
      <c r="F3697" s="94"/>
    </row>
    <row r="3698" spans="1:6" s="53" customFormat="1" ht="15" thickBot="1" x14ac:dyDescent="0.4">
      <c r="A3698" s="223"/>
      <c r="B3698" s="108"/>
      <c r="C3698" s="109" t="s">
        <v>129</v>
      </c>
      <c r="D3698" s="110">
        <f>SUM(D3685:D3697)</f>
        <v>7611700</v>
      </c>
      <c r="F3698" s="94"/>
    </row>
    <row r="3699" spans="1:6" s="53" customFormat="1" ht="15.5" thickTop="1" thickBot="1" x14ac:dyDescent="0.4">
      <c r="A3699" s="224"/>
      <c r="B3699" s="226"/>
      <c r="C3699" s="226"/>
      <c r="D3699" s="226"/>
      <c r="F3699" s="94"/>
    </row>
    <row r="3700" spans="1:6" s="53" customFormat="1" x14ac:dyDescent="0.35">
      <c r="B3700" s="87"/>
      <c r="C3700" s="53" t="s">
        <v>130</v>
      </c>
      <c r="D3700" s="111">
        <f>D3682-D3698</f>
        <v>3098300</v>
      </c>
      <c r="F3700" s="94"/>
    </row>
    <row r="3701" spans="1:6" s="53" customFormat="1" x14ac:dyDescent="0.35">
      <c r="B3701" s="87"/>
      <c r="D3701" s="111"/>
      <c r="F3701" s="94"/>
    </row>
    <row r="3702" spans="1:6" s="53" customFormat="1" x14ac:dyDescent="0.35">
      <c r="A3702" s="112"/>
      <c r="B3702" s="113"/>
      <c r="C3702" s="112"/>
      <c r="D3702" s="114"/>
      <c r="E3702" s="112"/>
      <c r="F3702" s="178"/>
    </row>
    <row r="3704" spans="1:6" s="53" customFormat="1" ht="23.5" x14ac:dyDescent="0.55000000000000004">
      <c r="B3704" s="227" t="s">
        <v>0</v>
      </c>
      <c r="C3704" s="227"/>
      <c r="D3704" s="227"/>
      <c r="E3704" s="70"/>
      <c r="F3704" s="176"/>
    </row>
    <row r="3705" spans="1:6" s="53" customFormat="1" ht="20.5" x14ac:dyDescent="0.45">
      <c r="B3705" s="71"/>
      <c r="C3705" s="72" t="s">
        <v>995</v>
      </c>
      <c r="D3705" s="73"/>
      <c r="F3705" s="94"/>
    </row>
    <row r="3706" spans="1:6" s="53" customFormat="1" ht="21" thickBot="1" x14ac:dyDescent="0.5">
      <c r="B3706" s="71" t="s">
        <v>996</v>
      </c>
      <c r="C3706" s="74" t="s">
        <v>103</v>
      </c>
      <c r="D3706" s="73"/>
      <c r="F3706" s="94"/>
    </row>
    <row r="3707" spans="1:6" s="53" customFormat="1" ht="15" thickBot="1" x14ac:dyDescent="0.4">
      <c r="A3707" s="75" t="s">
        <v>104</v>
      </c>
      <c r="B3707" s="76" t="s">
        <v>81</v>
      </c>
      <c r="C3707" s="76" t="s">
        <v>105</v>
      </c>
      <c r="D3707" s="77" t="s">
        <v>84</v>
      </c>
      <c r="F3707" s="94"/>
    </row>
    <row r="3708" spans="1:6" s="53" customFormat="1" ht="14.5" customHeight="1" x14ac:dyDescent="0.35">
      <c r="A3708" s="222" t="s">
        <v>92</v>
      </c>
      <c r="B3708" s="78" t="s">
        <v>955</v>
      </c>
      <c r="C3708" s="79" t="s">
        <v>106</v>
      </c>
      <c r="D3708" s="80">
        <f>F3715</f>
        <v>11475000</v>
      </c>
      <c r="F3708" s="94"/>
    </row>
    <row r="3709" spans="1:6" s="53" customFormat="1" ht="21" thickBot="1" x14ac:dyDescent="0.5">
      <c r="A3709" s="223"/>
      <c r="B3709" s="71"/>
      <c r="C3709" s="71"/>
      <c r="D3709" s="73"/>
      <c r="F3709" s="94"/>
    </row>
    <row r="3710" spans="1:6" s="53" customFormat="1" ht="15" thickBot="1" x14ac:dyDescent="0.4">
      <c r="A3710" s="223"/>
      <c r="B3710" s="81" t="s">
        <v>81</v>
      </c>
      <c r="C3710" s="82" t="s">
        <v>107</v>
      </c>
      <c r="D3710" s="83" t="s">
        <v>108</v>
      </c>
      <c r="F3710" s="94"/>
    </row>
    <row r="3711" spans="1:6" s="87" customFormat="1" x14ac:dyDescent="0.35">
      <c r="A3711" s="223"/>
      <c r="B3711" s="84" t="str">
        <f>B3708</f>
        <v>11th August,2025</v>
      </c>
      <c r="C3711" s="85" t="s">
        <v>1156</v>
      </c>
      <c r="D3711" s="86">
        <f>2100*2777</f>
        <v>5831700</v>
      </c>
      <c r="F3711" s="177"/>
    </row>
    <row r="3712" spans="1:6" s="53" customFormat="1" x14ac:dyDescent="0.35">
      <c r="A3712" s="223"/>
      <c r="B3712" s="88"/>
      <c r="C3712" s="89" t="s">
        <v>747</v>
      </c>
      <c r="D3712" s="90">
        <f>356*2700</f>
        <v>961200</v>
      </c>
      <c r="F3712" s="94"/>
    </row>
    <row r="3713" spans="1:7" s="53" customFormat="1" x14ac:dyDescent="0.35">
      <c r="A3713" s="223"/>
      <c r="B3713" s="88" t="s">
        <v>109</v>
      </c>
      <c r="C3713" s="89" t="s">
        <v>110</v>
      </c>
      <c r="D3713" s="90">
        <v>1000000</v>
      </c>
      <c r="F3713" s="94"/>
    </row>
    <row r="3714" spans="1:7" s="53" customFormat="1" x14ac:dyDescent="0.35">
      <c r="A3714" s="223"/>
      <c r="B3714" s="88" t="s">
        <v>111</v>
      </c>
      <c r="C3714" s="89" t="s">
        <v>112</v>
      </c>
      <c r="D3714" s="90">
        <v>40000</v>
      </c>
      <c r="E3714" s="225" t="s">
        <v>113</v>
      </c>
      <c r="F3714" s="225"/>
    </row>
    <row r="3715" spans="1:7" s="53" customFormat="1" x14ac:dyDescent="0.35">
      <c r="A3715" s="223"/>
      <c r="B3715" s="88" t="s">
        <v>383</v>
      </c>
      <c r="C3715" s="89" t="s">
        <v>115</v>
      </c>
      <c r="D3715" s="90">
        <f>450*128</f>
        <v>57600</v>
      </c>
      <c r="E3715" s="91" t="s">
        <v>116</v>
      </c>
      <c r="F3715" s="92">
        <f>4500*2550</f>
        <v>11475000</v>
      </c>
    </row>
    <row r="3716" spans="1:7" s="53" customFormat="1" x14ac:dyDescent="0.35">
      <c r="A3716" s="223"/>
      <c r="B3716" s="88"/>
      <c r="C3716" s="89" t="s">
        <v>117</v>
      </c>
      <c r="D3716" s="90">
        <f>6020*128</f>
        <v>770560</v>
      </c>
      <c r="E3716" s="93" t="s">
        <v>118</v>
      </c>
      <c r="F3716" s="94">
        <f>(2700*2550)+(1800*2550)</f>
        <v>11475000</v>
      </c>
    </row>
    <row r="3717" spans="1:7" s="53" customFormat="1" ht="15" thickBot="1" x14ac:dyDescent="0.4">
      <c r="A3717" s="223"/>
      <c r="B3717" s="88" t="s">
        <v>119</v>
      </c>
      <c r="C3717" s="89" t="s">
        <v>120</v>
      </c>
      <c r="D3717" s="95">
        <v>30000</v>
      </c>
      <c r="E3717" s="96" t="s">
        <v>121</v>
      </c>
      <c r="F3717" s="97">
        <f>F3715-F3716</f>
        <v>0</v>
      </c>
      <c r="G3717" s="98">
        <f>F3717/2550</f>
        <v>0</v>
      </c>
    </row>
    <row r="3718" spans="1:7" s="53" customFormat="1" ht="15" thickTop="1" x14ac:dyDescent="0.35">
      <c r="A3718" s="223"/>
      <c r="B3718" s="88"/>
      <c r="C3718" s="99" t="s">
        <v>123</v>
      </c>
      <c r="D3718" s="100">
        <v>15000</v>
      </c>
      <c r="F3718" s="94"/>
    </row>
    <row r="3719" spans="1:7" s="53" customFormat="1" x14ac:dyDescent="0.35">
      <c r="A3719" s="223"/>
      <c r="B3719" s="88" t="s">
        <v>991</v>
      </c>
      <c r="C3719" s="99" t="s">
        <v>126</v>
      </c>
      <c r="D3719" s="100">
        <v>40000</v>
      </c>
      <c r="E3719" s="91" t="s">
        <v>124</v>
      </c>
      <c r="F3719" s="92"/>
    </row>
    <row r="3720" spans="1:7" s="53" customFormat="1" x14ac:dyDescent="0.35">
      <c r="A3720" s="223"/>
      <c r="B3720" s="101"/>
      <c r="C3720" s="89" t="s">
        <v>122</v>
      </c>
      <c r="D3720" s="100">
        <v>140000</v>
      </c>
      <c r="E3720" s="102"/>
      <c r="F3720" s="103"/>
    </row>
    <row r="3721" spans="1:7" s="53" customFormat="1" x14ac:dyDescent="0.35">
      <c r="A3721" s="223"/>
      <c r="B3721" s="101"/>
      <c r="C3721" s="99" t="s">
        <v>710</v>
      </c>
      <c r="D3721" s="100">
        <v>20000</v>
      </c>
      <c r="E3721" s="102" t="s">
        <v>127</v>
      </c>
      <c r="F3721" s="103"/>
    </row>
    <row r="3722" spans="1:7" s="53" customFormat="1" x14ac:dyDescent="0.35">
      <c r="A3722" s="223"/>
      <c r="B3722" s="101"/>
      <c r="C3722" s="89"/>
      <c r="D3722" s="90"/>
      <c r="E3722" s="102" t="s">
        <v>1027</v>
      </c>
      <c r="F3722" s="103"/>
    </row>
    <row r="3723" spans="1:7" s="53" customFormat="1" ht="15" thickBot="1" x14ac:dyDescent="0.4">
      <c r="A3723" s="223"/>
      <c r="B3723" s="105"/>
      <c r="C3723" s="106"/>
      <c r="D3723" s="107"/>
      <c r="E3723" s="53" t="s">
        <v>1375</v>
      </c>
      <c r="F3723" s="94"/>
    </row>
    <row r="3724" spans="1:7" s="53" customFormat="1" ht="15" thickBot="1" x14ac:dyDescent="0.4">
      <c r="A3724" s="223"/>
      <c r="B3724" s="108"/>
      <c r="C3724" s="109" t="s">
        <v>129</v>
      </c>
      <c r="D3724" s="110">
        <f>SUM(D3711:D3723)</f>
        <v>8906060</v>
      </c>
      <c r="F3724" s="94"/>
    </row>
    <row r="3725" spans="1:7" s="53" customFormat="1" ht="15.5" thickTop="1" thickBot="1" x14ac:dyDescent="0.4">
      <c r="A3725" s="224"/>
      <c r="B3725" s="229"/>
      <c r="C3725" s="230"/>
      <c r="D3725" s="230"/>
      <c r="F3725" s="94"/>
    </row>
    <row r="3726" spans="1:7" s="53" customFormat="1" x14ac:dyDescent="0.35">
      <c r="B3726" s="87"/>
      <c r="C3726" s="53" t="s">
        <v>130</v>
      </c>
      <c r="D3726" s="111">
        <f>D3708-D3724</f>
        <v>2568940</v>
      </c>
      <c r="F3726" s="94"/>
    </row>
    <row r="3727" spans="1:7" s="53" customFormat="1" x14ac:dyDescent="0.35">
      <c r="B3727" s="87"/>
      <c r="D3727" s="111"/>
      <c r="F3727" s="94"/>
    </row>
    <row r="3728" spans="1:7" s="53" customFormat="1" x14ac:dyDescent="0.35">
      <c r="A3728" s="112"/>
      <c r="B3728" s="113"/>
      <c r="C3728" s="112"/>
      <c r="D3728" s="114"/>
      <c r="E3728" s="112"/>
      <c r="F3728" s="178"/>
    </row>
    <row r="3730" spans="1:7" s="53" customFormat="1" ht="23.5" x14ac:dyDescent="0.55000000000000004">
      <c r="B3730" s="227" t="s">
        <v>0</v>
      </c>
      <c r="C3730" s="227"/>
      <c r="D3730" s="227"/>
      <c r="E3730" s="70"/>
      <c r="F3730" s="176"/>
    </row>
    <row r="3731" spans="1:7" s="53" customFormat="1" ht="20.5" x14ac:dyDescent="0.45">
      <c r="B3731" s="71"/>
      <c r="C3731" s="72" t="s">
        <v>1001</v>
      </c>
      <c r="D3731" s="73"/>
      <c r="F3731" s="94"/>
    </row>
    <row r="3732" spans="1:7" s="53" customFormat="1" ht="21" thickBot="1" x14ac:dyDescent="0.5">
      <c r="B3732" s="71" t="s">
        <v>1002</v>
      </c>
      <c r="C3732" s="74" t="s">
        <v>103</v>
      </c>
      <c r="D3732" s="73"/>
      <c r="F3732" s="94"/>
    </row>
    <row r="3733" spans="1:7" s="53" customFormat="1" ht="15" thickBot="1" x14ac:dyDescent="0.4">
      <c r="A3733" s="75" t="s">
        <v>104</v>
      </c>
      <c r="B3733" s="76" t="s">
        <v>81</v>
      </c>
      <c r="C3733" s="76" t="s">
        <v>105</v>
      </c>
      <c r="D3733" s="77" t="s">
        <v>84</v>
      </c>
      <c r="F3733" s="94"/>
    </row>
    <row r="3734" spans="1:7" s="53" customFormat="1" ht="14.5" customHeight="1" x14ac:dyDescent="0.35">
      <c r="A3734" s="222" t="s">
        <v>92</v>
      </c>
      <c r="B3734" s="78" t="s">
        <v>955</v>
      </c>
      <c r="C3734" s="79" t="s">
        <v>106</v>
      </c>
      <c r="D3734" s="80">
        <f>F3741</f>
        <v>11475000</v>
      </c>
      <c r="F3734" s="94"/>
    </row>
    <row r="3735" spans="1:7" s="53" customFormat="1" ht="21" thickBot="1" x14ac:dyDescent="0.5">
      <c r="A3735" s="223"/>
      <c r="B3735" s="71"/>
      <c r="C3735" s="71"/>
      <c r="D3735" s="73"/>
      <c r="F3735" s="94"/>
    </row>
    <row r="3736" spans="1:7" s="53" customFormat="1" ht="15" thickBot="1" x14ac:dyDescent="0.4">
      <c r="A3736" s="223"/>
      <c r="B3736" s="81" t="s">
        <v>81</v>
      </c>
      <c r="C3736" s="82" t="s">
        <v>107</v>
      </c>
      <c r="D3736" s="83" t="s">
        <v>108</v>
      </c>
      <c r="F3736" s="94"/>
    </row>
    <row r="3737" spans="1:7" s="87" customFormat="1" x14ac:dyDescent="0.35">
      <c r="A3737" s="223"/>
      <c r="B3737" s="84" t="str">
        <f>B3734</f>
        <v>11th August,2025</v>
      </c>
      <c r="C3737" s="85" t="s">
        <v>1156</v>
      </c>
      <c r="D3737" s="86">
        <f>2100*2777</f>
        <v>5831700</v>
      </c>
      <c r="F3737" s="177"/>
    </row>
    <row r="3738" spans="1:7" s="53" customFormat="1" x14ac:dyDescent="0.35">
      <c r="A3738" s="223"/>
      <c r="B3738" s="88"/>
      <c r="C3738" s="89" t="s">
        <v>747</v>
      </c>
      <c r="D3738" s="90">
        <f>356*2700</f>
        <v>961200</v>
      </c>
      <c r="F3738" s="94"/>
    </row>
    <row r="3739" spans="1:7" s="53" customFormat="1" x14ac:dyDescent="0.35">
      <c r="A3739" s="223"/>
      <c r="B3739" s="88" t="s">
        <v>109</v>
      </c>
      <c r="C3739" s="89" t="s">
        <v>110</v>
      </c>
      <c r="D3739" s="90">
        <v>1000000</v>
      </c>
      <c r="F3739" s="94"/>
    </row>
    <row r="3740" spans="1:7" s="53" customFormat="1" x14ac:dyDescent="0.35">
      <c r="A3740" s="223"/>
      <c r="B3740" s="88" t="s">
        <v>111</v>
      </c>
      <c r="C3740" s="89" t="s">
        <v>112</v>
      </c>
      <c r="D3740" s="90">
        <v>40000</v>
      </c>
      <c r="E3740" s="225" t="s">
        <v>113</v>
      </c>
      <c r="F3740" s="225"/>
    </row>
    <row r="3741" spans="1:7" s="53" customFormat="1" x14ac:dyDescent="0.35">
      <c r="A3741" s="223"/>
      <c r="B3741" s="88" t="s">
        <v>383</v>
      </c>
      <c r="C3741" s="89" t="s">
        <v>115</v>
      </c>
      <c r="D3741" s="90">
        <f>450*128</f>
        <v>57600</v>
      </c>
      <c r="E3741" s="91" t="s">
        <v>116</v>
      </c>
      <c r="F3741" s="92">
        <f>4500*2550</f>
        <v>11475000</v>
      </c>
    </row>
    <row r="3742" spans="1:7" s="53" customFormat="1" x14ac:dyDescent="0.35">
      <c r="A3742" s="223"/>
      <c r="B3742" s="88"/>
      <c r="C3742" s="89" t="s">
        <v>117</v>
      </c>
      <c r="D3742" s="90">
        <f>6020*128</f>
        <v>770560</v>
      </c>
      <c r="E3742" s="93" t="s">
        <v>118</v>
      </c>
      <c r="F3742" s="94">
        <f>(2700*2550)+(1800*2550)</f>
        <v>11475000</v>
      </c>
    </row>
    <row r="3743" spans="1:7" s="53" customFormat="1" ht="15" thickBot="1" x14ac:dyDescent="0.4">
      <c r="A3743" s="223"/>
      <c r="B3743" s="88" t="s">
        <v>119</v>
      </c>
      <c r="C3743" s="89" t="s">
        <v>120</v>
      </c>
      <c r="D3743" s="95">
        <v>30000</v>
      </c>
      <c r="E3743" s="96" t="s">
        <v>121</v>
      </c>
      <c r="F3743" s="97">
        <f>F3741-F3742</f>
        <v>0</v>
      </c>
      <c r="G3743" s="98">
        <f>F3743/2550</f>
        <v>0</v>
      </c>
    </row>
    <row r="3744" spans="1:7" s="53" customFormat="1" ht="15" thickTop="1" x14ac:dyDescent="0.35">
      <c r="A3744" s="223"/>
      <c r="B3744" s="88"/>
      <c r="C3744" s="99" t="s">
        <v>123</v>
      </c>
      <c r="D3744" s="100">
        <v>15000</v>
      </c>
      <c r="F3744" s="94"/>
    </row>
    <row r="3745" spans="1:6" s="53" customFormat="1" x14ac:dyDescent="0.35">
      <c r="A3745" s="223"/>
      <c r="B3745" s="88" t="s">
        <v>1000</v>
      </c>
      <c r="C3745" s="99" t="s">
        <v>126</v>
      </c>
      <c r="D3745" s="100">
        <v>40000</v>
      </c>
      <c r="E3745" s="91" t="s">
        <v>124</v>
      </c>
      <c r="F3745" s="92"/>
    </row>
    <row r="3746" spans="1:6" s="53" customFormat="1" x14ac:dyDescent="0.35">
      <c r="A3746" s="223"/>
      <c r="B3746" s="101"/>
      <c r="C3746" s="89" t="s">
        <v>122</v>
      </c>
      <c r="D3746" s="100">
        <v>75000</v>
      </c>
      <c r="E3746" s="102"/>
      <c r="F3746" s="103"/>
    </row>
    <row r="3747" spans="1:6" s="53" customFormat="1" x14ac:dyDescent="0.35">
      <c r="A3747" s="223"/>
      <c r="B3747" s="101"/>
      <c r="C3747" s="99" t="s">
        <v>710</v>
      </c>
      <c r="D3747" s="100">
        <v>20000</v>
      </c>
      <c r="E3747" s="102" t="s">
        <v>127</v>
      </c>
      <c r="F3747" s="103"/>
    </row>
    <row r="3748" spans="1:6" s="53" customFormat="1" x14ac:dyDescent="0.35">
      <c r="A3748" s="223"/>
      <c r="B3748" s="101"/>
      <c r="C3748" s="89"/>
      <c r="D3748" s="90">
        <v>0</v>
      </c>
      <c r="E3748" s="102" t="s">
        <v>1027</v>
      </c>
      <c r="F3748" s="103"/>
    </row>
    <row r="3749" spans="1:6" s="53" customFormat="1" ht="15" thickBot="1" x14ac:dyDescent="0.4">
      <c r="A3749" s="223"/>
      <c r="B3749" s="105"/>
      <c r="C3749" s="106"/>
      <c r="D3749" s="107"/>
      <c r="E3749" s="53" t="s">
        <v>1375</v>
      </c>
      <c r="F3749" s="94"/>
    </row>
    <row r="3750" spans="1:6" s="53" customFormat="1" ht="15" thickBot="1" x14ac:dyDescent="0.4">
      <c r="A3750" s="223"/>
      <c r="B3750" s="108"/>
      <c r="C3750" s="109" t="s">
        <v>129</v>
      </c>
      <c r="D3750" s="110">
        <f>SUM(D3737:D3749)</f>
        <v>8841060</v>
      </c>
      <c r="F3750" s="94"/>
    </row>
    <row r="3751" spans="1:6" s="53" customFormat="1" ht="15.5" thickTop="1" thickBot="1" x14ac:dyDescent="0.4">
      <c r="A3751" s="224"/>
      <c r="B3751" s="229"/>
      <c r="C3751" s="230"/>
      <c r="D3751" s="230"/>
      <c r="F3751" s="94"/>
    </row>
    <row r="3752" spans="1:6" s="53" customFormat="1" x14ac:dyDescent="0.35">
      <c r="B3752" s="87"/>
      <c r="C3752" s="53" t="s">
        <v>130</v>
      </c>
      <c r="D3752" s="111">
        <f>D3734-D3750</f>
        <v>2633940</v>
      </c>
      <c r="F3752" s="94"/>
    </row>
    <row r="3753" spans="1:6" s="53" customFormat="1" x14ac:dyDescent="0.35">
      <c r="B3753" s="87"/>
      <c r="D3753" s="111"/>
      <c r="F3753" s="94"/>
    </row>
    <row r="3754" spans="1:6" s="53" customFormat="1" x14ac:dyDescent="0.35">
      <c r="A3754" s="112"/>
      <c r="B3754" s="113"/>
      <c r="C3754" s="112"/>
      <c r="D3754" s="114"/>
      <c r="E3754" s="112"/>
      <c r="F3754" s="178"/>
    </row>
    <row r="3756" spans="1:6" s="53" customFormat="1" ht="23.5" x14ac:dyDescent="0.55000000000000004">
      <c r="B3756" s="227" t="s">
        <v>0</v>
      </c>
      <c r="C3756" s="227"/>
      <c r="D3756" s="227"/>
      <c r="E3756" s="70"/>
      <c r="F3756" s="176"/>
    </row>
    <row r="3757" spans="1:6" s="53" customFormat="1" ht="20.5" x14ac:dyDescent="0.45">
      <c r="B3757" s="71"/>
      <c r="C3757" s="72" t="s">
        <v>1005</v>
      </c>
      <c r="D3757" s="73"/>
      <c r="F3757" s="94"/>
    </row>
    <row r="3758" spans="1:6" s="53" customFormat="1" ht="21" thickBot="1" x14ac:dyDescent="0.5">
      <c r="B3758" s="71" t="s">
        <v>185</v>
      </c>
      <c r="C3758" s="74" t="s">
        <v>103</v>
      </c>
      <c r="D3758" s="73"/>
      <c r="F3758" s="94"/>
    </row>
    <row r="3759" spans="1:6" s="53" customFormat="1" ht="15" thickBot="1" x14ac:dyDescent="0.4">
      <c r="A3759" s="75" t="s">
        <v>104</v>
      </c>
      <c r="B3759" s="76" t="s">
        <v>81</v>
      </c>
      <c r="C3759" s="76" t="s">
        <v>105</v>
      </c>
      <c r="D3759" s="77" t="s">
        <v>84</v>
      </c>
      <c r="F3759" s="94"/>
    </row>
    <row r="3760" spans="1:6" s="53" customFormat="1" ht="14.5" customHeight="1" x14ac:dyDescent="0.35">
      <c r="A3760" s="222" t="s">
        <v>92</v>
      </c>
      <c r="B3760" s="78" t="s">
        <v>955</v>
      </c>
      <c r="C3760" s="79" t="s">
        <v>106</v>
      </c>
      <c r="D3760" s="80">
        <f>F3767</f>
        <v>10710000</v>
      </c>
      <c r="F3760" s="94"/>
    </row>
    <row r="3761" spans="1:7" s="53" customFormat="1" ht="21" thickBot="1" x14ac:dyDescent="0.5">
      <c r="A3761" s="223"/>
      <c r="B3761" s="71"/>
      <c r="C3761" s="71"/>
      <c r="D3761" s="73"/>
      <c r="F3761" s="94"/>
    </row>
    <row r="3762" spans="1:7" s="53" customFormat="1" ht="15" thickBot="1" x14ac:dyDescent="0.4">
      <c r="A3762" s="223"/>
      <c r="B3762" s="81" t="s">
        <v>81</v>
      </c>
      <c r="C3762" s="82" t="s">
        <v>107</v>
      </c>
      <c r="D3762" s="83" t="s">
        <v>108</v>
      </c>
      <c r="F3762" s="94"/>
    </row>
    <row r="3763" spans="1:7" s="87" customFormat="1" x14ac:dyDescent="0.35">
      <c r="A3763" s="223"/>
      <c r="B3763" s="84" t="str">
        <f>B3760</f>
        <v>11th August,2025</v>
      </c>
      <c r="C3763" s="85" t="s">
        <v>1055</v>
      </c>
      <c r="D3763" s="86">
        <f>1850*2777</f>
        <v>5137450</v>
      </c>
      <c r="F3763" s="177"/>
    </row>
    <row r="3764" spans="1:7" s="53" customFormat="1" x14ac:dyDescent="0.35">
      <c r="A3764" s="223"/>
      <c r="B3764" s="88"/>
      <c r="C3764" s="89" t="s">
        <v>1006</v>
      </c>
      <c r="D3764" s="90">
        <f>323*2650</f>
        <v>855950</v>
      </c>
      <c r="F3764" s="94"/>
    </row>
    <row r="3765" spans="1:7" s="53" customFormat="1" x14ac:dyDescent="0.35">
      <c r="A3765" s="223"/>
      <c r="B3765" s="88" t="s">
        <v>109</v>
      </c>
      <c r="C3765" s="89" t="s">
        <v>110</v>
      </c>
      <c r="D3765" s="90">
        <v>1000000</v>
      </c>
      <c r="F3765" s="94"/>
    </row>
    <row r="3766" spans="1:7" s="53" customFormat="1" x14ac:dyDescent="0.35">
      <c r="A3766" s="223"/>
      <c r="B3766" s="88" t="s">
        <v>111</v>
      </c>
      <c r="C3766" s="89" t="s">
        <v>112</v>
      </c>
      <c r="D3766" s="90">
        <v>40000</v>
      </c>
      <c r="E3766" s="225" t="s">
        <v>113</v>
      </c>
      <c r="F3766" s="225"/>
    </row>
    <row r="3767" spans="1:7" s="53" customFormat="1" x14ac:dyDescent="0.35">
      <c r="A3767" s="223"/>
      <c r="B3767" s="88" t="s">
        <v>564</v>
      </c>
      <c r="C3767" s="89" t="s">
        <v>115</v>
      </c>
      <c r="D3767" s="90">
        <f>550*123</f>
        <v>67650</v>
      </c>
      <c r="E3767" s="91" t="s">
        <v>116</v>
      </c>
      <c r="F3767" s="92">
        <f>4200*2550</f>
        <v>10710000</v>
      </c>
    </row>
    <row r="3768" spans="1:7" s="53" customFormat="1" x14ac:dyDescent="0.35">
      <c r="A3768" s="223"/>
      <c r="B3768" s="88"/>
      <c r="C3768" s="89" t="s">
        <v>117</v>
      </c>
      <c r="D3768" s="90">
        <f>3650*123</f>
        <v>448950</v>
      </c>
      <c r="E3768" s="93" t="s">
        <v>118</v>
      </c>
      <c r="F3768" s="94">
        <f>(2520*2550)</f>
        <v>6426000</v>
      </c>
    </row>
    <row r="3769" spans="1:7" s="53" customFormat="1" ht="15" thickBot="1" x14ac:dyDescent="0.4">
      <c r="A3769" s="223"/>
      <c r="B3769" s="88" t="s">
        <v>119</v>
      </c>
      <c r="C3769" s="89" t="s">
        <v>120</v>
      </c>
      <c r="D3769" s="95">
        <v>30000</v>
      </c>
      <c r="E3769" s="96" t="s">
        <v>121</v>
      </c>
      <c r="F3769" s="97">
        <f>F3767-F3768</f>
        <v>4284000</v>
      </c>
      <c r="G3769" s="98">
        <f>F3769/2550</f>
        <v>1680</v>
      </c>
    </row>
    <row r="3770" spans="1:7" s="53" customFormat="1" ht="15" thickTop="1" x14ac:dyDescent="0.35">
      <c r="A3770" s="223"/>
      <c r="B3770" s="88"/>
      <c r="C3770" s="89" t="s">
        <v>122</v>
      </c>
      <c r="D3770" s="90">
        <v>75000</v>
      </c>
      <c r="F3770" s="94"/>
    </row>
    <row r="3771" spans="1:7" s="53" customFormat="1" x14ac:dyDescent="0.35">
      <c r="A3771" s="223"/>
      <c r="B3771" s="88" t="s">
        <v>801</v>
      </c>
      <c r="C3771" s="99" t="s">
        <v>123</v>
      </c>
      <c r="D3771" s="90">
        <v>15000</v>
      </c>
      <c r="E3771" s="91" t="s">
        <v>124</v>
      </c>
      <c r="F3771" s="92"/>
    </row>
    <row r="3772" spans="1:7" s="53" customFormat="1" x14ac:dyDescent="0.35">
      <c r="A3772" s="223"/>
      <c r="B3772" s="101"/>
      <c r="C3772" s="99" t="s">
        <v>125</v>
      </c>
      <c r="D3772" s="100">
        <v>10000</v>
      </c>
      <c r="E3772" s="102"/>
      <c r="F3772" s="103"/>
    </row>
    <row r="3773" spans="1:7" s="53" customFormat="1" x14ac:dyDescent="0.35">
      <c r="A3773" s="223"/>
      <c r="B3773" s="101"/>
      <c r="C3773" s="99" t="s">
        <v>126</v>
      </c>
      <c r="D3773" s="100">
        <v>40000</v>
      </c>
      <c r="E3773" s="102" t="s">
        <v>127</v>
      </c>
      <c r="F3773" s="103"/>
    </row>
    <row r="3774" spans="1:7" s="53" customFormat="1" x14ac:dyDescent="0.35">
      <c r="A3774" s="223"/>
      <c r="B3774" s="101"/>
      <c r="C3774" s="89"/>
      <c r="D3774" s="104"/>
      <c r="E3774" s="102" t="s">
        <v>1025</v>
      </c>
      <c r="F3774" s="103"/>
    </row>
    <row r="3775" spans="1:7" s="53" customFormat="1" ht="15" thickBot="1" x14ac:dyDescent="0.4">
      <c r="A3775" s="223"/>
      <c r="B3775" s="105"/>
      <c r="C3775" s="106"/>
      <c r="D3775" s="107"/>
      <c r="F3775" s="94"/>
    </row>
    <row r="3776" spans="1:7" s="53" customFormat="1" ht="15" thickBot="1" x14ac:dyDescent="0.4">
      <c r="A3776" s="223"/>
      <c r="B3776" s="108"/>
      <c r="C3776" s="109" t="s">
        <v>129</v>
      </c>
      <c r="D3776" s="110">
        <f>SUM(D3763:D3775)</f>
        <v>7720000</v>
      </c>
      <c r="F3776" s="94"/>
    </row>
    <row r="3777" spans="1:6" s="53" customFormat="1" ht="15.5" thickTop="1" thickBot="1" x14ac:dyDescent="0.4">
      <c r="A3777" s="224"/>
      <c r="B3777" s="226"/>
      <c r="C3777" s="226"/>
      <c r="D3777" s="226"/>
      <c r="F3777" s="94"/>
    </row>
    <row r="3778" spans="1:6" s="53" customFormat="1" x14ac:dyDescent="0.35">
      <c r="B3778" s="87"/>
      <c r="C3778" s="53" t="s">
        <v>130</v>
      </c>
      <c r="D3778" s="111">
        <f>D3760-D3776</f>
        <v>2990000</v>
      </c>
      <c r="F3778" s="94"/>
    </row>
    <row r="3779" spans="1:6" s="53" customFormat="1" x14ac:dyDescent="0.35">
      <c r="B3779" s="87"/>
      <c r="D3779" s="111"/>
      <c r="F3779" s="94"/>
    </row>
    <row r="3780" spans="1:6" s="53" customFormat="1" x14ac:dyDescent="0.35">
      <c r="A3780" s="112"/>
      <c r="B3780" s="113"/>
      <c r="C3780" s="112"/>
      <c r="D3780" s="114"/>
      <c r="E3780" s="112"/>
      <c r="F3780" s="178"/>
    </row>
    <row r="3782" spans="1:6" s="53" customFormat="1" ht="23.5" x14ac:dyDescent="0.55000000000000004">
      <c r="B3782" s="227" t="s">
        <v>0</v>
      </c>
      <c r="C3782" s="227"/>
      <c r="D3782" s="227"/>
      <c r="E3782" s="70"/>
      <c r="F3782" s="176"/>
    </row>
    <row r="3783" spans="1:6" s="53" customFormat="1" ht="20.5" x14ac:dyDescent="0.45">
      <c r="B3783" s="71"/>
      <c r="C3783" s="72" t="s">
        <v>1009</v>
      </c>
      <c r="D3783" s="73"/>
      <c r="F3783" s="94"/>
    </row>
    <row r="3784" spans="1:6" s="53" customFormat="1" ht="21" thickBot="1" x14ac:dyDescent="0.5">
      <c r="B3784" s="71" t="s">
        <v>193</v>
      </c>
      <c r="C3784" s="74" t="s">
        <v>103</v>
      </c>
      <c r="D3784" s="73"/>
      <c r="F3784" s="94"/>
    </row>
    <row r="3785" spans="1:6" s="53" customFormat="1" ht="15" thickBot="1" x14ac:dyDescent="0.4">
      <c r="A3785" s="75" t="s">
        <v>104</v>
      </c>
      <c r="B3785" s="76" t="s">
        <v>81</v>
      </c>
      <c r="C3785" s="76" t="s">
        <v>105</v>
      </c>
      <c r="D3785" s="77" t="s">
        <v>84</v>
      </c>
      <c r="F3785" s="94"/>
    </row>
    <row r="3786" spans="1:6" s="53" customFormat="1" ht="14.5" customHeight="1" x14ac:dyDescent="0.35">
      <c r="A3786" s="222" t="s">
        <v>92</v>
      </c>
      <c r="B3786" s="78" t="s">
        <v>955</v>
      </c>
      <c r="C3786" s="79" t="s">
        <v>106</v>
      </c>
      <c r="D3786" s="80">
        <f>F3793</f>
        <v>10710000</v>
      </c>
      <c r="F3786" s="94"/>
    </row>
    <row r="3787" spans="1:6" s="53" customFormat="1" ht="21" thickBot="1" x14ac:dyDescent="0.5">
      <c r="A3787" s="223"/>
      <c r="B3787" s="71"/>
      <c r="C3787" s="71"/>
      <c r="D3787" s="73"/>
      <c r="F3787" s="94"/>
    </row>
    <row r="3788" spans="1:6" s="53" customFormat="1" ht="15" thickBot="1" x14ac:dyDescent="0.4">
      <c r="A3788" s="223"/>
      <c r="B3788" s="81" t="s">
        <v>81</v>
      </c>
      <c r="C3788" s="82" t="s">
        <v>107</v>
      </c>
      <c r="D3788" s="83" t="s">
        <v>108</v>
      </c>
      <c r="F3788" s="94"/>
    </row>
    <row r="3789" spans="1:6" s="87" customFormat="1" x14ac:dyDescent="0.35">
      <c r="A3789" s="223"/>
      <c r="B3789" s="84" t="str">
        <f>B3786</f>
        <v>11th August,2025</v>
      </c>
      <c r="C3789" s="85" t="s">
        <v>1055</v>
      </c>
      <c r="D3789" s="86">
        <f>1850*2777</f>
        <v>5137450</v>
      </c>
      <c r="F3789" s="177"/>
    </row>
    <row r="3790" spans="1:6" s="53" customFormat="1" x14ac:dyDescent="0.35">
      <c r="A3790" s="223"/>
      <c r="B3790" s="88"/>
      <c r="C3790" s="89" t="s">
        <v>1006</v>
      </c>
      <c r="D3790" s="90">
        <f>323*2650</f>
        <v>855950</v>
      </c>
      <c r="F3790" s="94"/>
    </row>
    <row r="3791" spans="1:6" s="53" customFormat="1" x14ac:dyDescent="0.35">
      <c r="A3791" s="223"/>
      <c r="B3791" s="88" t="s">
        <v>109</v>
      </c>
      <c r="C3791" s="89" t="s">
        <v>110</v>
      </c>
      <c r="D3791" s="90">
        <v>1000000</v>
      </c>
      <c r="F3791" s="94"/>
    </row>
    <row r="3792" spans="1:6" s="53" customFormat="1" x14ac:dyDescent="0.35">
      <c r="A3792" s="223"/>
      <c r="B3792" s="88" t="s">
        <v>111</v>
      </c>
      <c r="C3792" s="89" t="s">
        <v>112</v>
      </c>
      <c r="D3792" s="90">
        <v>40000</v>
      </c>
      <c r="E3792" s="225" t="s">
        <v>113</v>
      </c>
      <c r="F3792" s="225"/>
    </row>
    <row r="3793" spans="1:7" s="53" customFormat="1" x14ac:dyDescent="0.35">
      <c r="A3793" s="223"/>
      <c r="B3793" s="88" t="s">
        <v>564</v>
      </c>
      <c r="C3793" s="89" t="s">
        <v>115</v>
      </c>
      <c r="D3793" s="90">
        <f>600*123</f>
        <v>73800</v>
      </c>
      <c r="E3793" s="91" t="s">
        <v>116</v>
      </c>
      <c r="F3793" s="92">
        <f>4200*2550</f>
        <v>10710000</v>
      </c>
    </row>
    <row r="3794" spans="1:7" s="53" customFormat="1" x14ac:dyDescent="0.35">
      <c r="A3794" s="223"/>
      <c r="B3794" s="88"/>
      <c r="C3794" s="89" t="s">
        <v>117</v>
      </c>
      <c r="D3794" s="90">
        <f>3650*123</f>
        <v>448950</v>
      </c>
      <c r="E3794" s="93" t="s">
        <v>118</v>
      </c>
      <c r="F3794" s="94">
        <f>(2520*2550)+(1680*2550)</f>
        <v>10710000</v>
      </c>
    </row>
    <row r="3795" spans="1:7" s="53" customFormat="1" ht="15" thickBot="1" x14ac:dyDescent="0.4">
      <c r="A3795" s="223"/>
      <c r="B3795" s="88" t="s">
        <v>119</v>
      </c>
      <c r="C3795" s="89" t="s">
        <v>120</v>
      </c>
      <c r="D3795" s="95">
        <v>30000</v>
      </c>
      <c r="E3795" s="96" t="s">
        <v>121</v>
      </c>
      <c r="F3795" s="97">
        <f>F3793-F3794</f>
        <v>0</v>
      </c>
      <c r="G3795" s="98">
        <f>F3795/2550</f>
        <v>0</v>
      </c>
    </row>
    <row r="3796" spans="1:7" s="53" customFormat="1" ht="15" thickTop="1" x14ac:dyDescent="0.35">
      <c r="A3796" s="223"/>
      <c r="B3796" s="88"/>
      <c r="C3796" s="89" t="s">
        <v>122</v>
      </c>
      <c r="D3796" s="90">
        <v>75000</v>
      </c>
      <c r="F3796" s="94"/>
    </row>
    <row r="3797" spans="1:7" s="53" customFormat="1" x14ac:dyDescent="0.35">
      <c r="A3797" s="223"/>
      <c r="B3797" s="88" t="s">
        <v>1008</v>
      </c>
      <c r="C3797" s="99" t="s">
        <v>123</v>
      </c>
      <c r="D3797" s="90">
        <v>15000</v>
      </c>
      <c r="E3797" s="91" t="s">
        <v>124</v>
      </c>
      <c r="F3797" s="92"/>
    </row>
    <row r="3798" spans="1:7" s="53" customFormat="1" x14ac:dyDescent="0.35">
      <c r="A3798" s="223"/>
      <c r="B3798" s="101"/>
      <c r="C3798" s="99" t="s">
        <v>125</v>
      </c>
      <c r="D3798" s="100">
        <v>10000</v>
      </c>
      <c r="E3798" s="102"/>
      <c r="F3798" s="103"/>
    </row>
    <row r="3799" spans="1:7" s="53" customFormat="1" x14ac:dyDescent="0.35">
      <c r="A3799" s="223"/>
      <c r="B3799" s="101"/>
      <c r="C3799" s="99" t="s">
        <v>126</v>
      </c>
      <c r="D3799" s="100">
        <v>40000</v>
      </c>
      <c r="E3799" s="102" t="s">
        <v>127</v>
      </c>
      <c r="F3799" s="103"/>
    </row>
    <row r="3800" spans="1:7" s="53" customFormat="1" x14ac:dyDescent="0.35">
      <c r="A3800" s="223"/>
      <c r="B3800" s="101"/>
      <c r="C3800" s="89"/>
      <c r="D3800" s="104"/>
      <c r="E3800" s="102" t="s">
        <v>1025</v>
      </c>
      <c r="F3800" s="103"/>
    </row>
    <row r="3801" spans="1:7" s="53" customFormat="1" ht="15" thickBot="1" x14ac:dyDescent="0.4">
      <c r="A3801" s="223"/>
      <c r="B3801" s="105"/>
      <c r="C3801" s="106"/>
      <c r="D3801" s="107"/>
      <c r="E3801" s="53" t="s">
        <v>1581</v>
      </c>
      <c r="F3801" s="94"/>
    </row>
    <row r="3802" spans="1:7" s="53" customFormat="1" ht="15" thickBot="1" x14ac:dyDescent="0.4">
      <c r="A3802" s="223"/>
      <c r="B3802" s="108"/>
      <c r="C3802" s="109" t="s">
        <v>129</v>
      </c>
      <c r="D3802" s="110">
        <f>SUM(D3789:D3801)</f>
        <v>7726150</v>
      </c>
      <c r="F3802" s="94"/>
    </row>
    <row r="3803" spans="1:7" s="53" customFormat="1" ht="15.5" thickTop="1" thickBot="1" x14ac:dyDescent="0.4">
      <c r="A3803" s="224"/>
      <c r="B3803" s="226"/>
      <c r="C3803" s="226"/>
      <c r="D3803" s="226"/>
      <c r="F3803" s="94"/>
    </row>
    <row r="3804" spans="1:7" s="53" customFormat="1" x14ac:dyDescent="0.35">
      <c r="B3804" s="87"/>
      <c r="C3804" s="53" t="s">
        <v>130</v>
      </c>
      <c r="D3804" s="111">
        <f>D3786-D3802</f>
        <v>2983850</v>
      </c>
      <c r="F3804" s="94"/>
    </row>
    <row r="3805" spans="1:7" s="53" customFormat="1" x14ac:dyDescent="0.35">
      <c r="B3805" s="87"/>
      <c r="D3805" s="111"/>
      <c r="F3805" s="94"/>
    </row>
    <row r="3806" spans="1:7" s="53" customFormat="1" x14ac:dyDescent="0.35">
      <c r="A3806" s="112"/>
      <c r="B3806" s="113"/>
      <c r="C3806" s="112"/>
      <c r="D3806" s="114"/>
      <c r="E3806" s="112"/>
      <c r="F3806" s="178"/>
    </row>
    <row r="3808" spans="1:7" s="53" customFormat="1" ht="23.5" x14ac:dyDescent="0.55000000000000004">
      <c r="B3808" s="227" t="s">
        <v>0</v>
      </c>
      <c r="C3808" s="227"/>
      <c r="D3808" s="227"/>
      <c r="E3808" s="70"/>
      <c r="F3808" s="176"/>
    </row>
    <row r="3809" spans="1:7" s="53" customFormat="1" ht="20.5" x14ac:dyDescent="0.45">
      <c r="B3809" s="71"/>
      <c r="C3809" s="72" t="s">
        <v>1012</v>
      </c>
      <c r="D3809" s="73"/>
      <c r="F3809" s="94"/>
    </row>
    <row r="3810" spans="1:7" s="53" customFormat="1" ht="21" thickBot="1" x14ac:dyDescent="0.5">
      <c r="B3810" s="71" t="s">
        <v>173</v>
      </c>
      <c r="C3810" s="74" t="s">
        <v>103</v>
      </c>
      <c r="D3810" s="73"/>
      <c r="F3810" s="94"/>
    </row>
    <row r="3811" spans="1:7" s="53" customFormat="1" ht="15" thickBot="1" x14ac:dyDescent="0.4">
      <c r="A3811" s="75" t="s">
        <v>104</v>
      </c>
      <c r="B3811" s="76" t="s">
        <v>81</v>
      </c>
      <c r="C3811" s="76" t="s">
        <v>105</v>
      </c>
      <c r="D3811" s="77" t="s">
        <v>84</v>
      </c>
      <c r="F3811" s="94"/>
    </row>
    <row r="3812" spans="1:7" s="53" customFormat="1" ht="14.5" customHeight="1" x14ac:dyDescent="0.35">
      <c r="A3812" s="222" t="s">
        <v>92</v>
      </c>
      <c r="B3812" s="78" t="s">
        <v>955</v>
      </c>
      <c r="C3812" s="79" t="s">
        <v>959</v>
      </c>
      <c r="D3812" s="80">
        <f>F3819</f>
        <v>10710000</v>
      </c>
      <c r="F3812" s="94"/>
    </row>
    <row r="3813" spans="1:7" s="53" customFormat="1" ht="21" thickBot="1" x14ac:dyDescent="0.5">
      <c r="A3813" s="223"/>
      <c r="B3813" s="71"/>
      <c r="C3813" s="71"/>
      <c r="D3813" s="73"/>
      <c r="F3813" s="94"/>
    </row>
    <row r="3814" spans="1:7" s="53" customFormat="1" ht="15" thickBot="1" x14ac:dyDescent="0.4">
      <c r="A3814" s="223"/>
      <c r="B3814" s="81" t="s">
        <v>81</v>
      </c>
      <c r="C3814" s="82" t="s">
        <v>107</v>
      </c>
      <c r="D3814" s="83" t="s">
        <v>108</v>
      </c>
      <c r="F3814" s="94"/>
    </row>
    <row r="3815" spans="1:7" s="87" customFormat="1" x14ac:dyDescent="0.35">
      <c r="A3815" s="223"/>
      <c r="B3815" s="84" t="str">
        <f>B3812</f>
        <v>11th August,2025</v>
      </c>
      <c r="C3815" s="85" t="s">
        <v>1055</v>
      </c>
      <c r="D3815" s="86">
        <f>1850*2777</f>
        <v>5137450</v>
      </c>
      <c r="F3815" s="177"/>
    </row>
    <row r="3816" spans="1:7" s="53" customFormat="1" x14ac:dyDescent="0.35">
      <c r="A3816" s="223"/>
      <c r="B3816" s="88"/>
      <c r="C3816" s="89" t="s">
        <v>188</v>
      </c>
      <c r="D3816" s="90">
        <f>325*2650</f>
        <v>861250</v>
      </c>
      <c r="F3816" s="94"/>
    </row>
    <row r="3817" spans="1:7" s="53" customFormat="1" x14ac:dyDescent="0.35">
      <c r="A3817" s="223"/>
      <c r="B3817" s="88" t="s">
        <v>109</v>
      </c>
      <c r="C3817" s="89" t="s">
        <v>110</v>
      </c>
      <c r="D3817" s="90">
        <v>1000000</v>
      </c>
      <c r="F3817" s="94"/>
    </row>
    <row r="3818" spans="1:7" s="53" customFormat="1" x14ac:dyDescent="0.35">
      <c r="A3818" s="223"/>
      <c r="B3818" s="88" t="s">
        <v>111</v>
      </c>
      <c r="C3818" s="89" t="s">
        <v>112</v>
      </c>
      <c r="D3818" s="90">
        <v>40000</v>
      </c>
      <c r="E3818" s="225" t="s">
        <v>113</v>
      </c>
      <c r="F3818" s="225"/>
    </row>
    <row r="3819" spans="1:7" s="53" customFormat="1" x14ac:dyDescent="0.35">
      <c r="A3819" s="223"/>
      <c r="B3819" s="88" t="s">
        <v>182</v>
      </c>
      <c r="C3819" s="89" t="s">
        <v>115</v>
      </c>
      <c r="D3819" s="90">
        <f>900*120</f>
        <v>108000</v>
      </c>
      <c r="E3819" s="91" t="s">
        <v>116</v>
      </c>
      <c r="F3819" s="92">
        <f>4200*2550</f>
        <v>10710000</v>
      </c>
    </row>
    <row r="3820" spans="1:7" s="53" customFormat="1" x14ac:dyDescent="0.35">
      <c r="A3820" s="223"/>
      <c r="B3820" s="88"/>
      <c r="C3820" s="89" t="s">
        <v>117</v>
      </c>
      <c r="D3820" s="90">
        <f>2000*120</f>
        <v>240000</v>
      </c>
      <c r="E3820" s="93" t="s">
        <v>118</v>
      </c>
      <c r="F3820" s="94">
        <f>(2520*2550)+(1680*2550)</f>
        <v>10710000</v>
      </c>
    </row>
    <row r="3821" spans="1:7" s="53" customFormat="1" ht="15" thickBot="1" x14ac:dyDescent="0.4">
      <c r="A3821" s="223"/>
      <c r="B3821" s="88" t="s">
        <v>119</v>
      </c>
      <c r="C3821" s="89" t="s">
        <v>120</v>
      </c>
      <c r="D3821" s="95">
        <v>30000</v>
      </c>
      <c r="E3821" s="96" t="s">
        <v>121</v>
      </c>
      <c r="F3821" s="97">
        <f>F3819-F3820</f>
        <v>0</v>
      </c>
      <c r="G3821" s="98">
        <f>F3821/2550</f>
        <v>0</v>
      </c>
    </row>
    <row r="3822" spans="1:7" s="53" customFormat="1" ht="15" thickTop="1" x14ac:dyDescent="0.35">
      <c r="A3822" s="223"/>
      <c r="B3822" s="88"/>
      <c r="C3822" s="89" t="s">
        <v>122</v>
      </c>
      <c r="D3822" s="90">
        <v>140000</v>
      </c>
      <c r="F3822" s="94"/>
    </row>
    <row r="3823" spans="1:7" s="53" customFormat="1" x14ac:dyDescent="0.35">
      <c r="A3823" s="223"/>
      <c r="B3823" s="88" t="s">
        <v>1011</v>
      </c>
      <c r="C3823" s="99" t="s">
        <v>123</v>
      </c>
      <c r="D3823" s="90">
        <v>15000</v>
      </c>
      <c r="E3823" s="91" t="s">
        <v>124</v>
      </c>
      <c r="F3823" s="92"/>
    </row>
    <row r="3824" spans="1:7" s="53" customFormat="1" x14ac:dyDescent="0.35">
      <c r="A3824" s="223"/>
      <c r="B3824" s="101"/>
      <c r="C3824" s="99" t="s">
        <v>125</v>
      </c>
      <c r="D3824" s="100">
        <v>10000</v>
      </c>
      <c r="E3824" s="102"/>
      <c r="F3824" s="103"/>
    </row>
    <row r="3825" spans="1:6" s="53" customFormat="1" x14ac:dyDescent="0.35">
      <c r="A3825" s="223"/>
      <c r="B3825" s="101"/>
      <c r="C3825" s="99" t="s">
        <v>126</v>
      </c>
      <c r="D3825" s="100">
        <v>30000</v>
      </c>
      <c r="E3825" s="102" t="s">
        <v>127</v>
      </c>
      <c r="F3825" s="103"/>
    </row>
    <row r="3826" spans="1:6" s="53" customFormat="1" x14ac:dyDescent="0.35">
      <c r="A3826" s="223"/>
      <c r="B3826" s="101"/>
      <c r="C3826" s="89"/>
      <c r="D3826" s="104"/>
      <c r="E3826" s="102" t="s">
        <v>1025</v>
      </c>
      <c r="F3826" s="103"/>
    </row>
    <row r="3827" spans="1:6" s="53" customFormat="1" ht="15" thickBot="1" x14ac:dyDescent="0.4">
      <c r="A3827" s="223"/>
      <c r="B3827" s="105"/>
      <c r="C3827" s="106"/>
      <c r="D3827" s="107"/>
      <c r="E3827" s="53" t="s">
        <v>1418</v>
      </c>
      <c r="F3827" s="94"/>
    </row>
    <row r="3828" spans="1:6" s="53" customFormat="1" ht="15" thickBot="1" x14ac:dyDescent="0.4">
      <c r="A3828" s="223"/>
      <c r="B3828" s="108"/>
      <c r="C3828" s="109" t="s">
        <v>129</v>
      </c>
      <c r="D3828" s="110">
        <f>SUM(D3815:D3827)</f>
        <v>7611700</v>
      </c>
      <c r="F3828" s="94"/>
    </row>
    <row r="3829" spans="1:6" s="53" customFormat="1" ht="15.5" thickTop="1" thickBot="1" x14ac:dyDescent="0.4">
      <c r="A3829" s="224"/>
      <c r="B3829" s="226"/>
      <c r="C3829" s="226"/>
      <c r="D3829" s="226"/>
      <c r="F3829" s="94"/>
    </row>
    <row r="3830" spans="1:6" s="53" customFormat="1" x14ac:dyDescent="0.35">
      <c r="B3830" s="87"/>
      <c r="C3830" s="53" t="s">
        <v>130</v>
      </c>
      <c r="D3830" s="111">
        <f>D3812-D3828</f>
        <v>3098300</v>
      </c>
      <c r="F3830" s="94"/>
    </row>
    <row r="3831" spans="1:6" s="53" customFormat="1" x14ac:dyDescent="0.35">
      <c r="B3831" s="87"/>
      <c r="D3831" s="111"/>
      <c r="F3831" s="94"/>
    </row>
    <row r="3832" spans="1:6" s="53" customFormat="1" x14ac:dyDescent="0.35">
      <c r="A3832" s="112"/>
      <c r="B3832" s="113"/>
      <c r="C3832" s="112"/>
      <c r="D3832" s="114"/>
      <c r="E3832" s="112"/>
      <c r="F3832" s="178"/>
    </row>
    <row r="3834" spans="1:6" s="53" customFormat="1" ht="23.5" x14ac:dyDescent="0.55000000000000004">
      <c r="B3834" s="227" t="s">
        <v>0</v>
      </c>
      <c r="C3834" s="227"/>
      <c r="D3834" s="227"/>
      <c r="E3834" s="70"/>
      <c r="F3834" s="176"/>
    </row>
    <row r="3835" spans="1:6" s="53" customFormat="1" ht="20.5" x14ac:dyDescent="0.45">
      <c r="B3835" s="71"/>
      <c r="C3835" s="72" t="s">
        <v>1030</v>
      </c>
      <c r="D3835" s="73"/>
      <c r="F3835" s="94"/>
    </row>
    <row r="3836" spans="1:6" s="53" customFormat="1" ht="21" thickBot="1" x14ac:dyDescent="0.5">
      <c r="B3836" s="71" t="s">
        <v>1018</v>
      </c>
      <c r="C3836" s="74" t="s">
        <v>103</v>
      </c>
      <c r="D3836" s="73"/>
      <c r="F3836" s="94"/>
    </row>
    <row r="3837" spans="1:6" s="53" customFormat="1" ht="15" thickBot="1" x14ac:dyDescent="0.4">
      <c r="A3837" s="75" t="s">
        <v>104</v>
      </c>
      <c r="B3837" s="76" t="s">
        <v>81</v>
      </c>
      <c r="C3837" s="76" t="s">
        <v>105</v>
      </c>
      <c r="D3837" s="77" t="s">
        <v>84</v>
      </c>
      <c r="F3837" s="94"/>
    </row>
    <row r="3838" spans="1:6" s="53" customFormat="1" ht="14.5" customHeight="1" x14ac:dyDescent="0.35">
      <c r="A3838" s="222" t="s">
        <v>92</v>
      </c>
      <c r="B3838" s="78" t="s">
        <v>955</v>
      </c>
      <c r="C3838" s="79" t="s">
        <v>959</v>
      </c>
      <c r="D3838" s="80">
        <f>F3845</f>
        <v>10710000</v>
      </c>
      <c r="F3838" s="94"/>
    </row>
    <row r="3839" spans="1:6" s="53" customFormat="1" ht="21" thickBot="1" x14ac:dyDescent="0.5">
      <c r="A3839" s="223"/>
      <c r="B3839" s="71"/>
      <c r="C3839" s="71"/>
      <c r="D3839" s="73"/>
      <c r="F3839" s="94"/>
    </row>
    <row r="3840" spans="1:6" s="53" customFormat="1" ht="15" thickBot="1" x14ac:dyDescent="0.4">
      <c r="A3840" s="223"/>
      <c r="B3840" s="81" t="s">
        <v>81</v>
      </c>
      <c r="C3840" s="82" t="s">
        <v>107</v>
      </c>
      <c r="D3840" s="83" t="s">
        <v>108</v>
      </c>
      <c r="F3840" s="94"/>
    </row>
    <row r="3841" spans="1:7" s="87" customFormat="1" x14ac:dyDescent="0.35">
      <c r="A3841" s="223"/>
      <c r="B3841" s="84" t="str">
        <f>B3838</f>
        <v>11th August,2025</v>
      </c>
      <c r="C3841" s="85" t="s">
        <v>1055</v>
      </c>
      <c r="D3841" s="86">
        <f>1850*2777</f>
        <v>5137450</v>
      </c>
      <c r="F3841" s="177"/>
    </row>
    <row r="3842" spans="1:7" s="53" customFormat="1" x14ac:dyDescent="0.35">
      <c r="A3842" s="223"/>
      <c r="B3842" s="88"/>
      <c r="C3842" s="89" t="s">
        <v>188</v>
      </c>
      <c r="D3842" s="90">
        <f>325*2650</f>
        <v>861250</v>
      </c>
      <c r="F3842" s="94"/>
    </row>
    <row r="3843" spans="1:7" s="53" customFormat="1" x14ac:dyDescent="0.35">
      <c r="A3843" s="223"/>
      <c r="B3843" s="88" t="s">
        <v>109</v>
      </c>
      <c r="C3843" s="89" t="s">
        <v>110</v>
      </c>
      <c r="D3843" s="90">
        <v>1000000</v>
      </c>
      <c r="F3843" s="94"/>
    </row>
    <row r="3844" spans="1:7" s="53" customFormat="1" x14ac:dyDescent="0.35">
      <c r="A3844" s="223"/>
      <c r="B3844" s="88" t="s">
        <v>111</v>
      </c>
      <c r="C3844" s="89" t="s">
        <v>112</v>
      </c>
      <c r="D3844" s="90">
        <v>40000</v>
      </c>
      <c r="E3844" s="225" t="s">
        <v>113</v>
      </c>
      <c r="F3844" s="225"/>
    </row>
    <row r="3845" spans="1:7" s="53" customFormat="1" x14ac:dyDescent="0.35">
      <c r="A3845" s="223"/>
      <c r="B3845" s="88" t="s">
        <v>182</v>
      </c>
      <c r="C3845" s="89" t="s">
        <v>115</v>
      </c>
      <c r="D3845" s="90">
        <f>900*120</f>
        <v>108000</v>
      </c>
      <c r="E3845" s="91" t="s">
        <v>116</v>
      </c>
      <c r="F3845" s="92">
        <f>4200*2550</f>
        <v>10710000</v>
      </c>
    </row>
    <row r="3846" spans="1:7" s="53" customFormat="1" x14ac:dyDescent="0.35">
      <c r="A3846" s="223"/>
      <c r="B3846" s="88"/>
      <c r="C3846" s="89" t="s">
        <v>117</v>
      </c>
      <c r="D3846" s="90">
        <f>2000*120</f>
        <v>240000</v>
      </c>
      <c r="E3846" s="93" t="s">
        <v>118</v>
      </c>
      <c r="F3846" s="94">
        <f>(2520*2550)+(1680*2550)</f>
        <v>10710000</v>
      </c>
    </row>
    <row r="3847" spans="1:7" s="53" customFormat="1" ht="15" thickBot="1" x14ac:dyDescent="0.4">
      <c r="A3847" s="223"/>
      <c r="B3847" s="88" t="s">
        <v>119</v>
      </c>
      <c r="C3847" s="89" t="s">
        <v>120</v>
      </c>
      <c r="D3847" s="95">
        <v>30000</v>
      </c>
      <c r="E3847" s="96" t="s">
        <v>121</v>
      </c>
      <c r="F3847" s="97">
        <f>F3845-F3846</f>
        <v>0</v>
      </c>
      <c r="G3847" s="98">
        <f>F3847/2550</f>
        <v>0</v>
      </c>
    </row>
    <row r="3848" spans="1:7" s="53" customFormat="1" ht="15" thickTop="1" x14ac:dyDescent="0.35">
      <c r="A3848" s="223"/>
      <c r="B3848" s="88"/>
      <c r="C3848" s="89" t="s">
        <v>122</v>
      </c>
      <c r="D3848" s="90">
        <v>140000</v>
      </c>
      <c r="F3848" s="94"/>
    </row>
    <row r="3849" spans="1:7" s="53" customFormat="1" x14ac:dyDescent="0.35">
      <c r="A3849" s="223"/>
      <c r="B3849" s="88" t="s">
        <v>1017</v>
      </c>
      <c r="C3849" s="99" t="s">
        <v>123</v>
      </c>
      <c r="D3849" s="90">
        <v>15000</v>
      </c>
      <c r="E3849" s="91" t="s">
        <v>124</v>
      </c>
      <c r="F3849" s="92"/>
    </row>
    <row r="3850" spans="1:7" s="53" customFormat="1" x14ac:dyDescent="0.35">
      <c r="A3850" s="223"/>
      <c r="B3850" s="101"/>
      <c r="C3850" s="99" t="s">
        <v>125</v>
      </c>
      <c r="D3850" s="100">
        <v>10000</v>
      </c>
      <c r="E3850" s="102"/>
      <c r="F3850" s="103"/>
    </row>
    <row r="3851" spans="1:7" s="53" customFormat="1" x14ac:dyDescent="0.35">
      <c r="A3851" s="223"/>
      <c r="B3851" s="101"/>
      <c r="C3851" s="99" t="s">
        <v>126</v>
      </c>
      <c r="D3851" s="100">
        <v>30000</v>
      </c>
      <c r="E3851" s="102" t="s">
        <v>127</v>
      </c>
      <c r="F3851" s="103"/>
    </row>
    <row r="3852" spans="1:7" s="53" customFormat="1" x14ac:dyDescent="0.35">
      <c r="A3852" s="223"/>
      <c r="B3852" s="101"/>
      <c r="C3852" s="89"/>
      <c r="D3852" s="104"/>
      <c r="E3852" s="102" t="s">
        <v>1029</v>
      </c>
      <c r="F3852" s="103"/>
    </row>
    <row r="3853" spans="1:7" s="53" customFormat="1" ht="15" thickBot="1" x14ac:dyDescent="0.4">
      <c r="A3853" s="223"/>
      <c r="B3853" s="105"/>
      <c r="C3853" s="106"/>
      <c r="D3853" s="107"/>
      <c r="E3853" s="53" t="s">
        <v>1418</v>
      </c>
      <c r="F3853" s="94"/>
    </row>
    <row r="3854" spans="1:7" s="53" customFormat="1" ht="15" thickBot="1" x14ac:dyDescent="0.4">
      <c r="A3854" s="223"/>
      <c r="B3854" s="108"/>
      <c r="C3854" s="109" t="s">
        <v>129</v>
      </c>
      <c r="D3854" s="110">
        <f>SUM(D3841:D3853)</f>
        <v>7611700</v>
      </c>
      <c r="F3854" s="94"/>
    </row>
    <row r="3855" spans="1:7" s="53" customFormat="1" ht="15.5" thickTop="1" thickBot="1" x14ac:dyDescent="0.4">
      <c r="A3855" s="224"/>
      <c r="B3855" s="226"/>
      <c r="C3855" s="226"/>
      <c r="D3855" s="226"/>
      <c r="F3855" s="94"/>
    </row>
    <row r="3856" spans="1:7" s="53" customFormat="1" x14ac:dyDescent="0.35">
      <c r="B3856" s="87"/>
      <c r="C3856" s="53" t="s">
        <v>130</v>
      </c>
      <c r="D3856" s="111">
        <f>D3838-D3854</f>
        <v>3098300</v>
      </c>
      <c r="F3856" s="94"/>
    </row>
    <row r="3857" spans="1:6" s="53" customFormat="1" x14ac:dyDescent="0.35">
      <c r="B3857" s="87"/>
      <c r="D3857" s="111"/>
      <c r="F3857" s="94"/>
    </row>
    <row r="3858" spans="1:6" s="53" customFormat="1" x14ac:dyDescent="0.35">
      <c r="A3858" s="112"/>
      <c r="B3858" s="113"/>
      <c r="C3858" s="112"/>
      <c r="D3858" s="114"/>
      <c r="E3858" s="112"/>
      <c r="F3858" s="178"/>
    </row>
    <row r="3860" spans="1:6" s="53" customFormat="1" ht="23.5" x14ac:dyDescent="0.55000000000000004">
      <c r="B3860" s="227" t="s">
        <v>0</v>
      </c>
      <c r="C3860" s="227"/>
      <c r="D3860" s="227"/>
      <c r="E3860" s="70"/>
      <c r="F3860" s="176"/>
    </row>
    <row r="3861" spans="1:6" s="53" customFormat="1" ht="20.5" x14ac:dyDescent="0.45">
      <c r="B3861" s="71"/>
      <c r="C3861" s="72" t="s">
        <v>1022</v>
      </c>
      <c r="D3861" s="73"/>
      <c r="F3861" s="94"/>
    </row>
    <row r="3862" spans="1:6" s="53" customFormat="1" ht="21" thickBot="1" x14ac:dyDescent="0.5">
      <c r="B3862" s="71" t="s">
        <v>1023</v>
      </c>
      <c r="C3862" s="74" t="s">
        <v>103</v>
      </c>
      <c r="D3862" s="73"/>
      <c r="F3862" s="94"/>
    </row>
    <row r="3863" spans="1:6" s="53" customFormat="1" ht="15" thickBot="1" x14ac:dyDescent="0.4">
      <c r="A3863" s="75" t="s">
        <v>104</v>
      </c>
      <c r="B3863" s="76" t="s">
        <v>81</v>
      </c>
      <c r="C3863" s="76" t="s">
        <v>105</v>
      </c>
      <c r="D3863" s="77" t="s">
        <v>84</v>
      </c>
      <c r="F3863" s="94"/>
    </row>
    <row r="3864" spans="1:6" s="53" customFormat="1" ht="14.5" customHeight="1" x14ac:dyDescent="0.35">
      <c r="A3864" s="222" t="s">
        <v>92</v>
      </c>
      <c r="B3864" s="78" t="s">
        <v>1024</v>
      </c>
      <c r="C3864" s="79" t="s">
        <v>959</v>
      </c>
      <c r="D3864" s="80">
        <f>F3871</f>
        <v>10710000</v>
      </c>
      <c r="F3864" s="94"/>
    </row>
    <row r="3865" spans="1:6" s="53" customFormat="1" ht="21" thickBot="1" x14ac:dyDescent="0.5">
      <c r="A3865" s="223"/>
      <c r="B3865" s="71"/>
      <c r="C3865" s="71"/>
      <c r="D3865" s="73"/>
      <c r="F3865" s="94"/>
    </row>
    <row r="3866" spans="1:6" s="53" customFormat="1" ht="15" thickBot="1" x14ac:dyDescent="0.4">
      <c r="A3866" s="223"/>
      <c r="B3866" s="81" t="s">
        <v>81</v>
      </c>
      <c r="C3866" s="82" t="s">
        <v>107</v>
      </c>
      <c r="D3866" s="83" t="s">
        <v>108</v>
      </c>
      <c r="F3866" s="94"/>
    </row>
    <row r="3867" spans="1:6" s="87" customFormat="1" x14ac:dyDescent="0.35">
      <c r="A3867" s="223"/>
      <c r="B3867" s="84" t="str">
        <f>B3864</f>
        <v>13th August,2025</v>
      </c>
      <c r="C3867" s="85" t="s">
        <v>1055</v>
      </c>
      <c r="D3867" s="86">
        <f>1850*2777</f>
        <v>5137450</v>
      </c>
      <c r="F3867" s="177"/>
    </row>
    <row r="3868" spans="1:6" s="53" customFormat="1" x14ac:dyDescent="0.35">
      <c r="A3868" s="223"/>
      <c r="B3868" s="88"/>
      <c r="C3868" s="89" t="s">
        <v>188</v>
      </c>
      <c r="D3868" s="90">
        <f>325*2650</f>
        <v>861250</v>
      </c>
      <c r="F3868" s="94"/>
    </row>
    <row r="3869" spans="1:6" s="53" customFormat="1" x14ac:dyDescent="0.35">
      <c r="A3869" s="223"/>
      <c r="B3869" s="88" t="s">
        <v>109</v>
      </c>
      <c r="C3869" s="89" t="s">
        <v>110</v>
      </c>
      <c r="D3869" s="90">
        <v>1000000</v>
      </c>
      <c r="F3869" s="94"/>
    </row>
    <row r="3870" spans="1:6" s="53" customFormat="1" x14ac:dyDescent="0.35">
      <c r="A3870" s="223"/>
      <c r="B3870" s="88" t="s">
        <v>111</v>
      </c>
      <c r="C3870" s="89" t="s">
        <v>112</v>
      </c>
      <c r="D3870" s="90">
        <v>40000</v>
      </c>
      <c r="E3870" s="225" t="s">
        <v>113</v>
      </c>
      <c r="F3870" s="225"/>
    </row>
    <row r="3871" spans="1:6" s="53" customFormat="1" x14ac:dyDescent="0.35">
      <c r="A3871" s="223"/>
      <c r="B3871" s="88" t="s">
        <v>182</v>
      </c>
      <c r="C3871" s="89" t="s">
        <v>115</v>
      </c>
      <c r="D3871" s="90">
        <f>1050*120</f>
        <v>126000</v>
      </c>
      <c r="E3871" s="91" t="s">
        <v>116</v>
      </c>
      <c r="F3871" s="92">
        <f>4200*2550</f>
        <v>10710000</v>
      </c>
    </row>
    <row r="3872" spans="1:6" s="53" customFormat="1" x14ac:dyDescent="0.35">
      <c r="A3872" s="223"/>
      <c r="B3872" s="88"/>
      <c r="C3872" s="89" t="s">
        <v>117</v>
      </c>
      <c r="D3872" s="90">
        <f>2500*120</f>
        <v>300000</v>
      </c>
      <c r="E3872" s="93" t="s">
        <v>118</v>
      </c>
      <c r="F3872" s="94">
        <f>(2520*2550)</f>
        <v>6426000</v>
      </c>
    </row>
    <row r="3873" spans="1:7" s="53" customFormat="1" ht="15" thickBot="1" x14ac:dyDescent="0.4">
      <c r="A3873" s="223"/>
      <c r="B3873" s="88" t="s">
        <v>119</v>
      </c>
      <c r="C3873" s="89" t="s">
        <v>120</v>
      </c>
      <c r="D3873" s="95">
        <v>30000</v>
      </c>
      <c r="E3873" s="96" t="s">
        <v>121</v>
      </c>
      <c r="F3873" s="97">
        <f>F3871-F3872</f>
        <v>4284000</v>
      </c>
      <c r="G3873" s="98">
        <f>F3873/2550</f>
        <v>1680</v>
      </c>
    </row>
    <row r="3874" spans="1:7" s="53" customFormat="1" ht="15" thickTop="1" x14ac:dyDescent="0.35">
      <c r="A3874" s="223"/>
      <c r="B3874" s="88"/>
      <c r="C3874" s="89" t="s">
        <v>122</v>
      </c>
      <c r="D3874" s="90">
        <v>140000</v>
      </c>
      <c r="F3874" s="94"/>
    </row>
    <row r="3875" spans="1:7" s="53" customFormat="1" x14ac:dyDescent="0.35">
      <c r="A3875" s="223"/>
      <c r="B3875" s="88" t="s">
        <v>1020</v>
      </c>
      <c r="C3875" s="99" t="s">
        <v>123</v>
      </c>
      <c r="D3875" s="90">
        <v>15000</v>
      </c>
      <c r="E3875" s="91" t="s">
        <v>124</v>
      </c>
      <c r="F3875" s="92"/>
    </row>
    <row r="3876" spans="1:7" s="53" customFormat="1" x14ac:dyDescent="0.35">
      <c r="A3876" s="223"/>
      <c r="B3876" s="101"/>
      <c r="C3876" s="99" t="s">
        <v>125</v>
      </c>
      <c r="D3876" s="100">
        <v>10000</v>
      </c>
      <c r="E3876" s="102"/>
      <c r="F3876" s="103"/>
    </row>
    <row r="3877" spans="1:7" s="53" customFormat="1" x14ac:dyDescent="0.35">
      <c r="A3877" s="223"/>
      <c r="B3877" s="101"/>
      <c r="C3877" s="99" t="s">
        <v>126</v>
      </c>
      <c r="D3877" s="100">
        <v>30000</v>
      </c>
      <c r="E3877" s="102" t="s">
        <v>127</v>
      </c>
      <c r="F3877" s="103"/>
    </row>
    <row r="3878" spans="1:7" s="53" customFormat="1" x14ac:dyDescent="0.35">
      <c r="A3878" s="223"/>
      <c r="B3878" s="101"/>
      <c r="C3878" s="89"/>
      <c r="D3878" s="104"/>
      <c r="E3878" s="102" t="s">
        <v>1037</v>
      </c>
      <c r="F3878" s="103"/>
    </row>
    <row r="3879" spans="1:7" s="53" customFormat="1" ht="15" thickBot="1" x14ac:dyDescent="0.4">
      <c r="A3879" s="223"/>
      <c r="B3879" s="105"/>
      <c r="C3879" s="106"/>
      <c r="D3879" s="107"/>
      <c r="F3879" s="94"/>
    </row>
    <row r="3880" spans="1:7" s="53" customFormat="1" ht="15" thickBot="1" x14ac:dyDescent="0.4">
      <c r="A3880" s="223"/>
      <c r="B3880" s="108"/>
      <c r="C3880" s="109" t="s">
        <v>129</v>
      </c>
      <c r="D3880" s="110">
        <f>SUM(D3867:D3879)</f>
        <v>7689700</v>
      </c>
      <c r="F3880" s="94"/>
    </row>
    <row r="3881" spans="1:7" s="53" customFormat="1" ht="15.5" thickTop="1" thickBot="1" x14ac:dyDescent="0.4">
      <c r="A3881" s="224"/>
      <c r="B3881" s="226"/>
      <c r="C3881" s="226"/>
      <c r="D3881" s="226"/>
      <c r="F3881" s="94"/>
    </row>
    <row r="3882" spans="1:7" s="53" customFormat="1" x14ac:dyDescent="0.35">
      <c r="B3882" s="87"/>
      <c r="C3882" s="53" t="s">
        <v>130</v>
      </c>
      <c r="D3882" s="111">
        <f>D3864-D3880</f>
        <v>3020300</v>
      </c>
      <c r="F3882" s="94"/>
    </row>
    <row r="3883" spans="1:7" s="53" customFormat="1" x14ac:dyDescent="0.35">
      <c r="B3883" s="87"/>
      <c r="D3883" s="111"/>
      <c r="F3883" s="94"/>
    </row>
    <row r="3884" spans="1:7" s="53" customFormat="1" x14ac:dyDescent="0.35">
      <c r="A3884" s="112"/>
      <c r="B3884" s="113"/>
      <c r="C3884" s="112"/>
      <c r="D3884" s="114"/>
      <c r="E3884" s="112"/>
      <c r="F3884" s="178"/>
    </row>
    <row r="3886" spans="1:7" s="53" customFormat="1" ht="23.5" x14ac:dyDescent="0.55000000000000004">
      <c r="B3886" s="227" t="s">
        <v>0</v>
      </c>
      <c r="C3886" s="227"/>
      <c r="D3886" s="227"/>
      <c r="E3886" s="70"/>
      <c r="F3886" s="176"/>
    </row>
    <row r="3887" spans="1:7" s="53" customFormat="1" ht="20.5" x14ac:dyDescent="0.45">
      <c r="B3887" s="71"/>
      <c r="C3887" s="72" t="s">
        <v>1033</v>
      </c>
      <c r="D3887" s="73"/>
      <c r="F3887" s="94"/>
    </row>
    <row r="3888" spans="1:7" s="53" customFormat="1" ht="21" thickBot="1" x14ac:dyDescent="0.5">
      <c r="B3888" s="71" t="s">
        <v>227</v>
      </c>
      <c r="C3888" s="74" t="s">
        <v>103</v>
      </c>
      <c r="D3888" s="73"/>
      <c r="F3888" s="94"/>
    </row>
    <row r="3889" spans="1:7" s="53" customFormat="1" ht="15" thickBot="1" x14ac:dyDescent="0.4">
      <c r="A3889" s="75" t="s">
        <v>104</v>
      </c>
      <c r="B3889" s="76" t="s">
        <v>81</v>
      </c>
      <c r="C3889" s="76" t="s">
        <v>105</v>
      </c>
      <c r="D3889" s="77" t="s">
        <v>84</v>
      </c>
      <c r="F3889" s="94"/>
    </row>
    <row r="3890" spans="1:7" s="53" customFormat="1" ht="14.5" customHeight="1" x14ac:dyDescent="0.35">
      <c r="A3890" s="222" t="s">
        <v>92</v>
      </c>
      <c r="B3890" s="78" t="s">
        <v>1034</v>
      </c>
      <c r="C3890" s="79" t="s">
        <v>319</v>
      </c>
      <c r="D3890" s="80">
        <f>F3897</f>
        <v>10865000</v>
      </c>
      <c r="F3890" s="94"/>
    </row>
    <row r="3891" spans="1:7" s="53" customFormat="1" ht="21" thickBot="1" x14ac:dyDescent="0.5">
      <c r="A3891" s="223"/>
      <c r="B3891" s="71"/>
      <c r="C3891" s="71"/>
      <c r="D3891" s="73"/>
      <c r="F3891" s="94"/>
    </row>
    <row r="3892" spans="1:7" s="53" customFormat="1" ht="15" thickBot="1" x14ac:dyDescent="0.4">
      <c r="A3892" s="223"/>
      <c r="B3892" s="81" t="s">
        <v>81</v>
      </c>
      <c r="C3892" s="82" t="s">
        <v>107</v>
      </c>
      <c r="D3892" s="83" t="s">
        <v>108</v>
      </c>
      <c r="F3892" s="94"/>
    </row>
    <row r="3893" spans="1:7" s="87" customFormat="1" x14ac:dyDescent="0.35">
      <c r="A3893" s="223"/>
      <c r="B3893" s="84" t="str">
        <f>B3890</f>
        <v>15th August,2025</v>
      </c>
      <c r="C3893" s="85" t="s">
        <v>1170</v>
      </c>
      <c r="D3893" s="86">
        <f>1850*2766</f>
        <v>5117100</v>
      </c>
      <c r="F3893" s="177"/>
    </row>
    <row r="3894" spans="1:7" s="53" customFormat="1" x14ac:dyDescent="0.35">
      <c r="A3894" s="223"/>
      <c r="B3894" s="88"/>
      <c r="C3894" s="89" t="s">
        <v>188</v>
      </c>
      <c r="D3894" s="90">
        <f>325*2650</f>
        <v>861250</v>
      </c>
      <c r="F3894" s="94"/>
    </row>
    <row r="3895" spans="1:7" s="53" customFormat="1" x14ac:dyDescent="0.35">
      <c r="A3895" s="223"/>
      <c r="B3895" s="88" t="s">
        <v>109</v>
      </c>
      <c r="C3895" s="89" t="s">
        <v>110</v>
      </c>
      <c r="D3895" s="90">
        <v>1000000</v>
      </c>
      <c r="F3895" s="94"/>
    </row>
    <row r="3896" spans="1:7" s="53" customFormat="1" x14ac:dyDescent="0.35">
      <c r="A3896" s="223"/>
      <c r="B3896" s="88" t="s">
        <v>111</v>
      </c>
      <c r="C3896" s="89" t="s">
        <v>112</v>
      </c>
      <c r="D3896" s="90">
        <v>40000</v>
      </c>
      <c r="E3896" s="225" t="s">
        <v>113</v>
      </c>
      <c r="F3896" s="225"/>
    </row>
    <row r="3897" spans="1:7" s="53" customFormat="1" x14ac:dyDescent="0.35">
      <c r="A3897" s="223"/>
      <c r="B3897" s="88" t="s">
        <v>182</v>
      </c>
      <c r="C3897" s="89" t="s">
        <v>115</v>
      </c>
      <c r="D3897" s="90">
        <f>1050*120</f>
        <v>126000</v>
      </c>
      <c r="E3897" s="91" t="s">
        <v>116</v>
      </c>
      <c r="F3897" s="92">
        <f>4100*2650</f>
        <v>10865000</v>
      </c>
    </row>
    <row r="3898" spans="1:7" s="53" customFormat="1" x14ac:dyDescent="0.35">
      <c r="A3898" s="223"/>
      <c r="B3898" s="88"/>
      <c r="C3898" s="89" t="s">
        <v>117</v>
      </c>
      <c r="D3898" s="90">
        <f>2500*120</f>
        <v>300000</v>
      </c>
      <c r="E3898" s="93" t="s">
        <v>118</v>
      </c>
      <c r="F3898" s="94">
        <f>4100*2650</f>
        <v>10865000</v>
      </c>
    </row>
    <row r="3899" spans="1:7" s="53" customFormat="1" ht="15" thickBot="1" x14ac:dyDescent="0.4">
      <c r="A3899" s="223"/>
      <c r="B3899" s="88" t="s">
        <v>119</v>
      </c>
      <c r="C3899" s="89" t="s">
        <v>120</v>
      </c>
      <c r="D3899" s="95">
        <v>30000</v>
      </c>
      <c r="E3899" s="96" t="s">
        <v>121</v>
      </c>
      <c r="F3899" s="97">
        <f>F3897-F3898</f>
        <v>0</v>
      </c>
      <c r="G3899" s="98">
        <f>F3899/2650</f>
        <v>0</v>
      </c>
    </row>
    <row r="3900" spans="1:7" s="53" customFormat="1" ht="15" thickTop="1" x14ac:dyDescent="0.35">
      <c r="A3900" s="223"/>
      <c r="B3900" s="88"/>
      <c r="C3900" s="89" t="s">
        <v>122</v>
      </c>
      <c r="D3900" s="90">
        <v>140000</v>
      </c>
      <c r="F3900" s="94"/>
    </row>
    <row r="3901" spans="1:7" s="53" customFormat="1" x14ac:dyDescent="0.35">
      <c r="A3901" s="223"/>
      <c r="B3901" s="88" t="s">
        <v>1032</v>
      </c>
      <c r="C3901" s="99" t="s">
        <v>123</v>
      </c>
      <c r="D3901" s="90">
        <v>15000</v>
      </c>
      <c r="E3901" s="91" t="s">
        <v>124</v>
      </c>
      <c r="F3901" s="92"/>
    </row>
    <row r="3902" spans="1:7" s="53" customFormat="1" x14ac:dyDescent="0.35">
      <c r="A3902" s="223"/>
      <c r="B3902" s="101"/>
      <c r="C3902" s="99" t="s">
        <v>125</v>
      </c>
      <c r="D3902" s="100">
        <v>10000</v>
      </c>
      <c r="E3902" s="102"/>
      <c r="F3902" s="103"/>
    </row>
    <row r="3903" spans="1:7" s="53" customFormat="1" x14ac:dyDescent="0.35">
      <c r="A3903" s="223"/>
      <c r="B3903" s="101"/>
      <c r="C3903" s="99" t="s">
        <v>126</v>
      </c>
      <c r="D3903" s="100">
        <v>40000</v>
      </c>
      <c r="E3903" s="102" t="s">
        <v>127</v>
      </c>
      <c r="F3903" s="103"/>
    </row>
    <row r="3904" spans="1:7" s="53" customFormat="1" x14ac:dyDescent="0.35">
      <c r="A3904" s="223"/>
      <c r="B3904" s="101"/>
      <c r="C3904" s="89"/>
      <c r="D3904" s="104"/>
      <c r="E3904" s="102" t="s">
        <v>1244</v>
      </c>
      <c r="F3904" s="103"/>
    </row>
    <row r="3905" spans="1:6" s="53" customFormat="1" ht="15" thickBot="1" x14ac:dyDescent="0.4">
      <c r="A3905" s="223"/>
      <c r="B3905" s="105"/>
      <c r="C3905" s="106"/>
      <c r="D3905" s="107"/>
      <c r="F3905" s="94"/>
    </row>
    <row r="3906" spans="1:6" s="53" customFormat="1" ht="15" thickBot="1" x14ac:dyDescent="0.4">
      <c r="A3906" s="223"/>
      <c r="B3906" s="108"/>
      <c r="C3906" s="109" t="s">
        <v>129</v>
      </c>
      <c r="D3906" s="110">
        <f>SUM(D3893:D3905)</f>
        <v>7679350</v>
      </c>
      <c r="F3906" s="94"/>
    </row>
    <row r="3907" spans="1:6" s="53" customFormat="1" ht="15.5" thickTop="1" thickBot="1" x14ac:dyDescent="0.4">
      <c r="A3907" s="224"/>
      <c r="B3907" s="226"/>
      <c r="C3907" s="226"/>
      <c r="D3907" s="226"/>
      <c r="F3907" s="94"/>
    </row>
    <row r="3908" spans="1:6" s="53" customFormat="1" x14ac:dyDescent="0.35">
      <c r="B3908" s="87"/>
      <c r="C3908" s="53" t="s">
        <v>130</v>
      </c>
      <c r="D3908" s="111">
        <f>D3890-D3906</f>
        <v>3185650</v>
      </c>
      <c r="F3908" s="94"/>
    </row>
    <row r="3909" spans="1:6" s="53" customFormat="1" x14ac:dyDescent="0.35">
      <c r="B3909" s="87"/>
      <c r="D3909" s="111"/>
      <c r="F3909" s="94"/>
    </row>
    <row r="3910" spans="1:6" s="53" customFormat="1" x14ac:dyDescent="0.35">
      <c r="A3910" s="112"/>
      <c r="B3910" s="113"/>
      <c r="C3910" s="112"/>
      <c r="D3910" s="114"/>
      <c r="E3910" s="112"/>
      <c r="F3910" s="178"/>
    </row>
    <row r="3912" spans="1:6" s="53" customFormat="1" ht="23.5" x14ac:dyDescent="0.55000000000000004">
      <c r="B3912" s="227" t="s">
        <v>0</v>
      </c>
      <c r="C3912" s="227"/>
      <c r="D3912" s="227"/>
      <c r="E3912" s="70"/>
      <c r="F3912" s="176"/>
    </row>
    <row r="3913" spans="1:6" s="53" customFormat="1" ht="20.5" x14ac:dyDescent="0.45">
      <c r="B3913" s="71"/>
      <c r="C3913" s="72" t="s">
        <v>1043</v>
      </c>
      <c r="D3913" s="73"/>
      <c r="F3913" s="94"/>
    </row>
    <row r="3914" spans="1:6" s="53" customFormat="1" ht="21" thickBot="1" x14ac:dyDescent="0.5">
      <c r="B3914" s="71" t="s">
        <v>296</v>
      </c>
      <c r="C3914" s="74" t="s">
        <v>103</v>
      </c>
      <c r="D3914" s="73"/>
      <c r="F3914" s="94"/>
    </row>
    <row r="3915" spans="1:6" s="53" customFormat="1" ht="15" thickBot="1" x14ac:dyDescent="0.4">
      <c r="A3915" s="75" t="s">
        <v>104</v>
      </c>
      <c r="B3915" s="76" t="s">
        <v>81</v>
      </c>
      <c r="C3915" s="76" t="s">
        <v>105</v>
      </c>
      <c r="D3915" s="77" t="s">
        <v>84</v>
      </c>
      <c r="F3915" s="94"/>
    </row>
    <row r="3916" spans="1:6" s="53" customFormat="1" ht="14.5" customHeight="1" x14ac:dyDescent="0.35">
      <c r="A3916" s="222" t="s">
        <v>92</v>
      </c>
      <c r="B3916" s="78" t="s">
        <v>1044</v>
      </c>
      <c r="C3916" s="79" t="s">
        <v>319</v>
      </c>
      <c r="D3916" s="80">
        <f>F3923</f>
        <v>10865000</v>
      </c>
      <c r="F3916" s="94"/>
    </row>
    <row r="3917" spans="1:6" s="53" customFormat="1" ht="21" thickBot="1" x14ac:dyDescent="0.5">
      <c r="A3917" s="223"/>
      <c r="B3917" s="71"/>
      <c r="C3917" s="71"/>
      <c r="D3917" s="73"/>
      <c r="F3917" s="94"/>
    </row>
    <row r="3918" spans="1:6" s="53" customFormat="1" ht="15" thickBot="1" x14ac:dyDescent="0.4">
      <c r="A3918" s="223"/>
      <c r="B3918" s="81" t="s">
        <v>81</v>
      </c>
      <c r="C3918" s="82" t="s">
        <v>107</v>
      </c>
      <c r="D3918" s="83" t="s">
        <v>108</v>
      </c>
      <c r="F3918" s="94"/>
    </row>
    <row r="3919" spans="1:6" s="87" customFormat="1" x14ac:dyDescent="0.35">
      <c r="A3919" s="223"/>
      <c r="B3919" s="84" t="str">
        <f>B3916</f>
        <v>20th August,2025</v>
      </c>
      <c r="C3919" s="85" t="s">
        <v>1150</v>
      </c>
      <c r="D3919" s="86">
        <f>2000*2777</f>
        <v>5554000</v>
      </c>
      <c r="F3919" s="177"/>
    </row>
    <row r="3920" spans="1:6" s="53" customFormat="1" x14ac:dyDescent="0.35">
      <c r="A3920" s="223"/>
      <c r="B3920" s="88"/>
      <c r="C3920" s="89" t="s">
        <v>188</v>
      </c>
      <c r="D3920" s="90">
        <f>325*2650</f>
        <v>861250</v>
      </c>
      <c r="F3920" s="94"/>
    </row>
    <row r="3921" spans="1:7" s="53" customFormat="1" x14ac:dyDescent="0.35">
      <c r="A3921" s="223"/>
      <c r="B3921" s="88" t="s">
        <v>109</v>
      </c>
      <c r="C3921" s="89" t="s">
        <v>110</v>
      </c>
      <c r="D3921" s="90">
        <v>1000000</v>
      </c>
      <c r="F3921" s="94"/>
    </row>
    <row r="3922" spans="1:7" s="53" customFormat="1" x14ac:dyDescent="0.35">
      <c r="A3922" s="223"/>
      <c r="B3922" s="88" t="s">
        <v>111</v>
      </c>
      <c r="C3922" s="89" t="s">
        <v>112</v>
      </c>
      <c r="D3922" s="90">
        <v>40000</v>
      </c>
      <c r="E3922" s="225" t="s">
        <v>113</v>
      </c>
      <c r="F3922" s="225"/>
    </row>
    <row r="3923" spans="1:7" s="53" customFormat="1" x14ac:dyDescent="0.35">
      <c r="A3923" s="223"/>
      <c r="B3923" s="88" t="s">
        <v>182</v>
      </c>
      <c r="C3923" s="89" t="s">
        <v>115</v>
      </c>
      <c r="D3923" s="90">
        <f>900*120</f>
        <v>108000</v>
      </c>
      <c r="E3923" s="91" t="s">
        <v>116</v>
      </c>
      <c r="F3923" s="92">
        <f>4100*2650</f>
        <v>10865000</v>
      </c>
    </row>
    <row r="3924" spans="1:7" s="53" customFormat="1" x14ac:dyDescent="0.35">
      <c r="A3924" s="223"/>
      <c r="B3924" s="88"/>
      <c r="C3924" s="89" t="s">
        <v>117</v>
      </c>
      <c r="D3924" s="90">
        <f>2050*120</f>
        <v>246000</v>
      </c>
      <c r="E3924" s="93" t="s">
        <v>118</v>
      </c>
      <c r="F3924" s="94">
        <f>4100*2650</f>
        <v>10865000</v>
      </c>
    </row>
    <row r="3925" spans="1:7" s="53" customFormat="1" ht="15" thickBot="1" x14ac:dyDescent="0.4">
      <c r="A3925" s="223"/>
      <c r="B3925" s="88" t="s">
        <v>119</v>
      </c>
      <c r="C3925" s="89" t="s">
        <v>120</v>
      </c>
      <c r="D3925" s="95">
        <v>30000</v>
      </c>
      <c r="E3925" s="96" t="s">
        <v>121</v>
      </c>
      <c r="F3925" s="97">
        <f>F3923-F3924</f>
        <v>0</v>
      </c>
      <c r="G3925" s="98">
        <f>F3925/2650</f>
        <v>0</v>
      </c>
    </row>
    <row r="3926" spans="1:7" s="53" customFormat="1" ht="15" thickTop="1" x14ac:dyDescent="0.35">
      <c r="A3926" s="223"/>
      <c r="B3926" s="88"/>
      <c r="C3926" s="89" t="s">
        <v>122</v>
      </c>
      <c r="D3926" s="90">
        <v>140000</v>
      </c>
      <c r="F3926" s="94"/>
    </row>
    <row r="3927" spans="1:7" s="53" customFormat="1" x14ac:dyDescent="0.35">
      <c r="A3927" s="223"/>
      <c r="B3927" s="88" t="s">
        <v>1042</v>
      </c>
      <c r="C3927" s="99" t="s">
        <v>123</v>
      </c>
      <c r="D3927" s="90">
        <v>15000</v>
      </c>
      <c r="E3927" s="91" t="s">
        <v>124</v>
      </c>
      <c r="F3927" s="92"/>
    </row>
    <row r="3928" spans="1:7" s="53" customFormat="1" x14ac:dyDescent="0.35">
      <c r="A3928" s="223"/>
      <c r="B3928" s="101"/>
      <c r="C3928" s="99" t="s">
        <v>125</v>
      </c>
      <c r="D3928" s="100">
        <v>10000</v>
      </c>
      <c r="E3928" s="102"/>
      <c r="F3928" s="103"/>
    </row>
    <row r="3929" spans="1:7" s="53" customFormat="1" x14ac:dyDescent="0.35">
      <c r="A3929" s="223"/>
      <c r="B3929" s="101"/>
      <c r="C3929" s="99" t="s">
        <v>126</v>
      </c>
      <c r="D3929" s="100">
        <v>30000</v>
      </c>
      <c r="E3929" s="102" t="s">
        <v>127</v>
      </c>
      <c r="F3929" s="103"/>
    </row>
    <row r="3930" spans="1:7" s="53" customFormat="1" x14ac:dyDescent="0.35">
      <c r="A3930" s="223"/>
      <c r="B3930" s="101"/>
      <c r="C3930" s="89" t="s">
        <v>265</v>
      </c>
      <c r="D3930" s="104">
        <v>0</v>
      </c>
      <c r="E3930" s="102" t="s">
        <v>1244</v>
      </c>
      <c r="F3930" s="103"/>
    </row>
    <row r="3931" spans="1:7" s="53" customFormat="1" ht="15" thickBot="1" x14ac:dyDescent="0.4">
      <c r="A3931" s="223"/>
      <c r="B3931" s="105"/>
      <c r="C3931" s="106"/>
      <c r="D3931" s="107"/>
      <c r="F3931" s="94"/>
    </row>
    <row r="3932" spans="1:7" s="53" customFormat="1" ht="15" thickBot="1" x14ac:dyDescent="0.4">
      <c r="A3932" s="223"/>
      <c r="B3932" s="108"/>
      <c r="C3932" s="109" t="s">
        <v>129</v>
      </c>
      <c r="D3932" s="110">
        <f>SUM(D3919:D3931)</f>
        <v>8034250</v>
      </c>
      <c r="F3932" s="94"/>
    </row>
    <row r="3933" spans="1:7" s="53" customFormat="1" ht="15.5" thickTop="1" thickBot="1" x14ac:dyDescent="0.4">
      <c r="A3933" s="224"/>
      <c r="B3933" s="226"/>
      <c r="C3933" s="226"/>
      <c r="D3933" s="226"/>
      <c r="F3933" s="94"/>
    </row>
    <row r="3934" spans="1:7" s="53" customFormat="1" x14ac:dyDescent="0.35">
      <c r="B3934" s="87"/>
      <c r="C3934" s="53" t="s">
        <v>130</v>
      </c>
      <c r="D3934" s="111">
        <f>D3916-D3932</f>
        <v>2830750</v>
      </c>
      <c r="F3934" s="94"/>
    </row>
    <row r="3935" spans="1:7" s="53" customFormat="1" x14ac:dyDescent="0.35">
      <c r="B3935" s="87"/>
      <c r="D3935" s="111"/>
      <c r="F3935" s="94"/>
    </row>
    <row r="3936" spans="1:7" s="53" customFormat="1" x14ac:dyDescent="0.35">
      <c r="A3936" s="112"/>
      <c r="B3936" s="113"/>
      <c r="C3936" s="112"/>
      <c r="D3936" s="114"/>
      <c r="E3936" s="112"/>
      <c r="F3936" s="178"/>
    </row>
    <row r="3938" spans="1:7" s="53" customFormat="1" ht="23.5" x14ac:dyDescent="0.55000000000000004">
      <c r="B3938" s="227" t="s">
        <v>0</v>
      </c>
      <c r="C3938" s="227"/>
      <c r="D3938" s="227"/>
      <c r="E3938" s="70"/>
      <c r="F3938" s="176"/>
    </row>
    <row r="3939" spans="1:7" s="53" customFormat="1" ht="20.5" x14ac:dyDescent="0.45">
      <c r="B3939" s="71"/>
      <c r="C3939" s="72" t="s">
        <v>1047</v>
      </c>
      <c r="D3939" s="73"/>
      <c r="F3939" s="94"/>
    </row>
    <row r="3940" spans="1:7" s="53" customFormat="1" ht="21" thickBot="1" x14ac:dyDescent="0.5">
      <c r="B3940" s="71" t="s">
        <v>844</v>
      </c>
      <c r="C3940" s="74" t="s">
        <v>103</v>
      </c>
      <c r="D3940" s="73"/>
      <c r="F3940" s="94"/>
    </row>
    <row r="3941" spans="1:7" s="53" customFormat="1" ht="15" thickBot="1" x14ac:dyDescent="0.4">
      <c r="A3941" s="75" t="s">
        <v>104</v>
      </c>
      <c r="B3941" s="76" t="s">
        <v>81</v>
      </c>
      <c r="C3941" s="76" t="s">
        <v>105</v>
      </c>
      <c r="D3941" s="77" t="s">
        <v>84</v>
      </c>
      <c r="F3941" s="94"/>
    </row>
    <row r="3942" spans="1:7" s="53" customFormat="1" ht="14.5" customHeight="1" x14ac:dyDescent="0.35">
      <c r="A3942" s="222" t="s">
        <v>92</v>
      </c>
      <c r="B3942" s="78" t="s">
        <v>1048</v>
      </c>
      <c r="C3942" s="79" t="s">
        <v>959</v>
      </c>
      <c r="D3942" s="80">
        <f>F3949</f>
        <v>10710000</v>
      </c>
      <c r="F3942" s="94"/>
    </row>
    <row r="3943" spans="1:7" s="53" customFormat="1" ht="21" thickBot="1" x14ac:dyDescent="0.5">
      <c r="A3943" s="223"/>
      <c r="B3943" s="71"/>
      <c r="C3943" s="71"/>
      <c r="D3943" s="73"/>
      <c r="F3943" s="94"/>
    </row>
    <row r="3944" spans="1:7" s="53" customFormat="1" ht="15" thickBot="1" x14ac:dyDescent="0.4">
      <c r="A3944" s="223"/>
      <c r="B3944" s="81" t="s">
        <v>81</v>
      </c>
      <c r="C3944" s="82" t="s">
        <v>107</v>
      </c>
      <c r="D3944" s="83" t="s">
        <v>108</v>
      </c>
      <c r="F3944" s="94"/>
    </row>
    <row r="3945" spans="1:7" s="87" customFormat="1" x14ac:dyDescent="0.35">
      <c r="A3945" s="223"/>
      <c r="B3945" s="84" t="str">
        <f>B3942</f>
        <v>23rd August,2025</v>
      </c>
      <c r="C3945" s="85" t="s">
        <v>1236</v>
      </c>
      <c r="D3945" s="86">
        <f>1850*2754</f>
        <v>5094900</v>
      </c>
      <c r="F3945" s="177"/>
    </row>
    <row r="3946" spans="1:7" s="53" customFormat="1" x14ac:dyDescent="0.35">
      <c r="A3946" s="223"/>
      <c r="B3946" s="88"/>
      <c r="C3946" s="89" t="s">
        <v>210</v>
      </c>
      <c r="D3946" s="90">
        <f>319*2650</f>
        <v>845350</v>
      </c>
      <c r="F3946" s="94"/>
    </row>
    <row r="3947" spans="1:7" s="53" customFormat="1" x14ac:dyDescent="0.35">
      <c r="A3947" s="223"/>
      <c r="B3947" s="88" t="s">
        <v>109</v>
      </c>
      <c r="C3947" s="89" t="s">
        <v>110</v>
      </c>
      <c r="D3947" s="90">
        <v>1000000</v>
      </c>
      <c r="F3947" s="94"/>
    </row>
    <row r="3948" spans="1:7" s="53" customFormat="1" x14ac:dyDescent="0.35">
      <c r="A3948" s="223"/>
      <c r="B3948" s="88" t="s">
        <v>111</v>
      </c>
      <c r="C3948" s="89" t="s">
        <v>112</v>
      </c>
      <c r="D3948" s="90">
        <v>40000</v>
      </c>
      <c r="E3948" s="225" t="s">
        <v>113</v>
      </c>
      <c r="F3948" s="225"/>
    </row>
    <row r="3949" spans="1:7" s="53" customFormat="1" x14ac:dyDescent="0.35">
      <c r="A3949" s="223"/>
      <c r="B3949" s="88" t="s">
        <v>206</v>
      </c>
      <c r="C3949" s="89" t="s">
        <v>115</v>
      </c>
      <c r="D3949" s="90">
        <f>600*120</f>
        <v>72000</v>
      </c>
      <c r="E3949" s="91" t="s">
        <v>116</v>
      </c>
      <c r="F3949" s="92">
        <f>4200*2550</f>
        <v>10710000</v>
      </c>
    </row>
    <row r="3950" spans="1:7" s="53" customFormat="1" x14ac:dyDescent="0.35">
      <c r="A3950" s="223"/>
      <c r="B3950" s="88"/>
      <c r="C3950" s="89" t="s">
        <v>117</v>
      </c>
      <c r="D3950" s="90">
        <f>3650*120</f>
        <v>438000</v>
      </c>
      <c r="E3950" s="93" t="s">
        <v>118</v>
      </c>
      <c r="F3950" s="94">
        <f>(2520*2550)+(1680*2550)</f>
        <v>10710000</v>
      </c>
    </row>
    <row r="3951" spans="1:7" s="53" customFormat="1" ht="15" thickBot="1" x14ac:dyDescent="0.4">
      <c r="A3951" s="223"/>
      <c r="B3951" s="88" t="s">
        <v>119</v>
      </c>
      <c r="C3951" s="89" t="s">
        <v>120</v>
      </c>
      <c r="D3951" s="95">
        <v>30000</v>
      </c>
      <c r="E3951" s="96" t="s">
        <v>121</v>
      </c>
      <c r="F3951" s="97">
        <f>F3949-F3950</f>
        <v>0</v>
      </c>
      <c r="G3951" s="98">
        <f>F3951/2550</f>
        <v>0</v>
      </c>
    </row>
    <row r="3952" spans="1:7" s="53" customFormat="1" ht="15" thickTop="1" x14ac:dyDescent="0.35">
      <c r="A3952" s="223"/>
      <c r="B3952" s="88"/>
      <c r="C3952" s="89" t="s">
        <v>122</v>
      </c>
      <c r="D3952" s="90">
        <v>140000</v>
      </c>
      <c r="F3952" s="94"/>
    </row>
    <row r="3953" spans="1:6" s="53" customFormat="1" x14ac:dyDescent="0.35">
      <c r="A3953" s="223"/>
      <c r="B3953" s="88" t="s">
        <v>1046</v>
      </c>
      <c r="C3953" s="99" t="s">
        <v>123</v>
      </c>
      <c r="D3953" s="90">
        <v>15000</v>
      </c>
      <c r="E3953" s="91" t="s">
        <v>124</v>
      </c>
      <c r="F3953" s="92"/>
    </row>
    <row r="3954" spans="1:6" s="53" customFormat="1" x14ac:dyDescent="0.35">
      <c r="A3954" s="223"/>
      <c r="B3954" s="101"/>
      <c r="C3954" s="99" t="s">
        <v>125</v>
      </c>
      <c r="D3954" s="100">
        <v>10000</v>
      </c>
      <c r="E3954" s="102"/>
      <c r="F3954" s="103"/>
    </row>
    <row r="3955" spans="1:6" s="53" customFormat="1" x14ac:dyDescent="0.35">
      <c r="A3955" s="223"/>
      <c r="B3955" s="101"/>
      <c r="C3955" s="99" t="s">
        <v>126</v>
      </c>
      <c r="D3955" s="100">
        <v>40000</v>
      </c>
      <c r="E3955" s="102" t="s">
        <v>127</v>
      </c>
      <c r="F3955" s="103"/>
    </row>
    <row r="3956" spans="1:6" s="53" customFormat="1" x14ac:dyDescent="0.35">
      <c r="A3956" s="223"/>
      <c r="B3956" s="101"/>
      <c r="C3956" s="89" t="s">
        <v>710</v>
      </c>
      <c r="D3956" s="104">
        <v>20000</v>
      </c>
      <c r="E3956" s="102" t="s">
        <v>1056</v>
      </c>
      <c r="F3956" s="103"/>
    </row>
    <row r="3957" spans="1:6" s="53" customFormat="1" ht="15" thickBot="1" x14ac:dyDescent="0.4">
      <c r="A3957" s="223"/>
      <c r="B3957" s="105"/>
      <c r="C3957" s="106"/>
      <c r="D3957" s="107"/>
      <c r="E3957" s="53" t="s">
        <v>1581</v>
      </c>
      <c r="F3957" s="94"/>
    </row>
    <row r="3958" spans="1:6" s="53" customFormat="1" ht="15" thickBot="1" x14ac:dyDescent="0.4">
      <c r="A3958" s="223"/>
      <c r="B3958" s="108"/>
      <c r="C3958" s="109" t="s">
        <v>129</v>
      </c>
      <c r="D3958" s="110">
        <f>SUM(D3945:D3957)</f>
        <v>7745250</v>
      </c>
      <c r="F3958" s="94"/>
    </row>
    <row r="3959" spans="1:6" s="53" customFormat="1" ht="15.5" thickTop="1" thickBot="1" x14ac:dyDescent="0.4">
      <c r="A3959" s="224"/>
      <c r="B3959" s="226"/>
      <c r="C3959" s="226"/>
      <c r="D3959" s="226"/>
      <c r="F3959" s="94"/>
    </row>
    <row r="3960" spans="1:6" s="53" customFormat="1" x14ac:dyDescent="0.35">
      <c r="B3960" s="87"/>
      <c r="C3960" s="53" t="s">
        <v>130</v>
      </c>
      <c r="D3960" s="111">
        <f>D3942-D3958</f>
        <v>2964750</v>
      </c>
      <c r="F3960" s="94"/>
    </row>
    <row r="3961" spans="1:6" s="53" customFormat="1" x14ac:dyDescent="0.35">
      <c r="B3961" s="87"/>
      <c r="D3961" s="111"/>
      <c r="F3961" s="94"/>
    </row>
    <row r="3962" spans="1:6" s="53" customFormat="1" x14ac:dyDescent="0.35">
      <c r="A3962" s="112"/>
      <c r="B3962" s="113"/>
      <c r="C3962" s="112"/>
      <c r="D3962" s="114"/>
      <c r="E3962" s="112"/>
      <c r="F3962" s="178"/>
    </row>
    <row r="3964" spans="1:6" s="53" customFormat="1" ht="23.5" x14ac:dyDescent="0.55000000000000004">
      <c r="B3964" s="227" t="s">
        <v>0</v>
      </c>
      <c r="C3964" s="227"/>
      <c r="D3964" s="227"/>
      <c r="E3964" s="70"/>
      <c r="F3964" s="176"/>
    </row>
    <row r="3965" spans="1:6" s="53" customFormat="1" ht="20.5" x14ac:dyDescent="0.45">
      <c r="B3965" s="71"/>
      <c r="C3965" s="72" t="s">
        <v>1051</v>
      </c>
      <c r="D3965" s="73"/>
      <c r="F3965" s="94"/>
    </row>
    <row r="3966" spans="1:6" s="53" customFormat="1" ht="21" thickBot="1" x14ac:dyDescent="0.5">
      <c r="B3966" s="71" t="s">
        <v>761</v>
      </c>
      <c r="C3966" s="74" t="s">
        <v>103</v>
      </c>
      <c r="D3966" s="73"/>
      <c r="F3966" s="94"/>
    </row>
    <row r="3967" spans="1:6" s="53" customFormat="1" ht="15" thickBot="1" x14ac:dyDescent="0.4">
      <c r="A3967" s="75" t="s">
        <v>104</v>
      </c>
      <c r="B3967" s="76" t="s">
        <v>81</v>
      </c>
      <c r="C3967" s="76" t="s">
        <v>105</v>
      </c>
      <c r="D3967" s="77" t="s">
        <v>84</v>
      </c>
      <c r="F3967" s="94"/>
    </row>
    <row r="3968" spans="1:6" s="53" customFormat="1" ht="14.5" customHeight="1" x14ac:dyDescent="0.35">
      <c r="A3968" s="222" t="s">
        <v>92</v>
      </c>
      <c r="B3968" s="78" t="s">
        <v>1052</v>
      </c>
      <c r="C3968" s="79" t="s">
        <v>959</v>
      </c>
      <c r="D3968" s="80">
        <f>F3975</f>
        <v>10710000</v>
      </c>
      <c r="F3968" s="94"/>
    </row>
    <row r="3969" spans="1:7" s="53" customFormat="1" ht="21" thickBot="1" x14ac:dyDescent="0.5">
      <c r="A3969" s="223"/>
      <c r="B3969" s="71"/>
      <c r="C3969" s="71"/>
      <c r="D3969" s="73"/>
      <c r="F3969" s="94"/>
    </row>
    <row r="3970" spans="1:7" s="53" customFormat="1" ht="15" thickBot="1" x14ac:dyDescent="0.4">
      <c r="A3970" s="223"/>
      <c r="B3970" s="81" t="s">
        <v>81</v>
      </c>
      <c r="C3970" s="82" t="s">
        <v>107</v>
      </c>
      <c r="D3970" s="83" t="s">
        <v>108</v>
      </c>
      <c r="F3970" s="94"/>
    </row>
    <row r="3971" spans="1:7" s="87" customFormat="1" x14ac:dyDescent="0.35">
      <c r="A3971" s="223"/>
      <c r="B3971" s="84" t="str">
        <f>B3968</f>
        <v>25th August,2025</v>
      </c>
      <c r="C3971" s="85" t="s">
        <v>1236</v>
      </c>
      <c r="D3971" s="86">
        <f>1850*2754</f>
        <v>5094900</v>
      </c>
      <c r="F3971" s="177"/>
    </row>
    <row r="3972" spans="1:7" s="53" customFormat="1" x14ac:dyDescent="0.35">
      <c r="A3972" s="223"/>
      <c r="B3972" s="88"/>
      <c r="C3972" s="89" t="s">
        <v>159</v>
      </c>
      <c r="D3972" s="90">
        <f>299*2650</f>
        <v>792350</v>
      </c>
      <c r="F3972" s="94"/>
    </row>
    <row r="3973" spans="1:7" s="53" customFormat="1" x14ac:dyDescent="0.35">
      <c r="A3973" s="223"/>
      <c r="B3973" s="88" t="s">
        <v>109</v>
      </c>
      <c r="C3973" s="89" t="s">
        <v>110</v>
      </c>
      <c r="D3973" s="90">
        <v>1000000</v>
      </c>
      <c r="F3973" s="94"/>
    </row>
    <row r="3974" spans="1:7" s="53" customFormat="1" x14ac:dyDescent="0.35">
      <c r="A3974" s="223"/>
      <c r="B3974" s="88" t="s">
        <v>111</v>
      </c>
      <c r="C3974" s="89" t="s">
        <v>112</v>
      </c>
      <c r="D3974" s="90">
        <v>40000</v>
      </c>
      <c r="E3974" s="225" t="s">
        <v>113</v>
      </c>
      <c r="F3974" s="225"/>
    </row>
    <row r="3975" spans="1:7" s="53" customFormat="1" x14ac:dyDescent="0.35">
      <c r="A3975" s="223"/>
      <c r="B3975" s="88" t="s">
        <v>114</v>
      </c>
      <c r="C3975" s="89" t="s">
        <v>115</v>
      </c>
      <c r="D3975" s="90">
        <f>500*120</f>
        <v>60000</v>
      </c>
      <c r="E3975" s="91" t="s">
        <v>116</v>
      </c>
      <c r="F3975" s="92">
        <f>4200*2550</f>
        <v>10710000</v>
      </c>
    </row>
    <row r="3976" spans="1:7" s="53" customFormat="1" x14ac:dyDescent="0.35">
      <c r="A3976" s="223"/>
      <c r="B3976" s="88"/>
      <c r="C3976" s="89" t="s">
        <v>117</v>
      </c>
      <c r="D3976" s="90">
        <f>2500*120</f>
        <v>300000</v>
      </c>
      <c r="E3976" s="93" t="s">
        <v>118</v>
      </c>
      <c r="F3976" s="94">
        <f>(2520*2550)+(1680*2550)</f>
        <v>10710000</v>
      </c>
    </row>
    <row r="3977" spans="1:7" s="53" customFormat="1" ht="15" thickBot="1" x14ac:dyDescent="0.4">
      <c r="A3977" s="223"/>
      <c r="B3977" s="88" t="s">
        <v>119</v>
      </c>
      <c r="C3977" s="89" t="s">
        <v>120</v>
      </c>
      <c r="D3977" s="95">
        <v>30000</v>
      </c>
      <c r="E3977" s="96" t="s">
        <v>121</v>
      </c>
      <c r="F3977" s="97">
        <f>F3975-F3976</f>
        <v>0</v>
      </c>
      <c r="G3977" s="98">
        <f>F3977/2550</f>
        <v>0</v>
      </c>
    </row>
    <row r="3978" spans="1:7" s="53" customFormat="1" ht="15" thickTop="1" x14ac:dyDescent="0.35">
      <c r="A3978" s="223"/>
      <c r="B3978" s="88"/>
      <c r="C3978" s="89" t="s">
        <v>122</v>
      </c>
      <c r="D3978" s="90">
        <v>140000</v>
      </c>
      <c r="F3978" s="94"/>
    </row>
    <row r="3979" spans="1:7" s="53" customFormat="1" x14ac:dyDescent="0.35">
      <c r="A3979" s="223"/>
      <c r="B3979" s="88" t="s">
        <v>1050</v>
      </c>
      <c r="C3979" s="99" t="s">
        <v>123</v>
      </c>
      <c r="D3979" s="90">
        <v>15000</v>
      </c>
      <c r="E3979" s="91" t="s">
        <v>124</v>
      </c>
      <c r="F3979" s="92"/>
    </row>
    <row r="3980" spans="1:7" s="53" customFormat="1" x14ac:dyDescent="0.35">
      <c r="A3980" s="223"/>
      <c r="B3980" s="101"/>
      <c r="C3980" s="99" t="s">
        <v>125</v>
      </c>
      <c r="D3980" s="100">
        <v>10000</v>
      </c>
      <c r="E3980" s="102"/>
      <c r="F3980" s="103"/>
    </row>
    <row r="3981" spans="1:7" s="53" customFormat="1" x14ac:dyDescent="0.35">
      <c r="A3981" s="223"/>
      <c r="B3981" s="101"/>
      <c r="C3981" s="99" t="s">
        <v>126</v>
      </c>
      <c r="D3981" s="100">
        <v>40000</v>
      </c>
      <c r="E3981" s="102" t="s">
        <v>127</v>
      </c>
      <c r="F3981" s="103"/>
    </row>
    <row r="3982" spans="1:7" s="53" customFormat="1" x14ac:dyDescent="0.35">
      <c r="A3982" s="223"/>
      <c r="B3982" s="101"/>
      <c r="C3982" s="89" t="s">
        <v>710</v>
      </c>
      <c r="D3982" s="104">
        <v>20000</v>
      </c>
      <c r="E3982" s="102" t="s">
        <v>1056</v>
      </c>
      <c r="F3982" s="103"/>
    </row>
    <row r="3983" spans="1:7" s="53" customFormat="1" ht="15" thickBot="1" x14ac:dyDescent="0.4">
      <c r="A3983" s="223"/>
      <c r="B3983" s="105"/>
      <c r="C3983" s="106"/>
      <c r="D3983" s="107"/>
      <c r="E3983" s="53" t="s">
        <v>1581</v>
      </c>
      <c r="F3983" s="94"/>
    </row>
    <row r="3984" spans="1:7" s="53" customFormat="1" ht="15" thickBot="1" x14ac:dyDescent="0.4">
      <c r="A3984" s="223"/>
      <c r="B3984" s="108"/>
      <c r="C3984" s="109" t="s">
        <v>129</v>
      </c>
      <c r="D3984" s="110">
        <f>SUM(D3971:D3983)</f>
        <v>7542250</v>
      </c>
      <c r="F3984" s="94"/>
    </row>
    <row r="3985" spans="1:6" s="53" customFormat="1" ht="15.5" thickTop="1" thickBot="1" x14ac:dyDescent="0.4">
      <c r="A3985" s="224"/>
      <c r="B3985" s="226"/>
      <c r="C3985" s="226"/>
      <c r="D3985" s="226"/>
      <c r="F3985" s="94"/>
    </row>
    <row r="3986" spans="1:6" s="53" customFormat="1" x14ac:dyDescent="0.35">
      <c r="B3986" s="87"/>
      <c r="C3986" s="53" t="s">
        <v>130</v>
      </c>
      <c r="D3986" s="111">
        <f>D3968-D3984</f>
        <v>3167750</v>
      </c>
      <c r="F3986" s="94"/>
    </row>
    <row r="3987" spans="1:6" s="53" customFormat="1" x14ac:dyDescent="0.35">
      <c r="B3987" s="87"/>
      <c r="D3987" s="111"/>
      <c r="F3987" s="94"/>
    </row>
    <row r="3988" spans="1:6" s="53" customFormat="1" x14ac:dyDescent="0.35">
      <c r="A3988" s="112"/>
      <c r="B3988" s="113"/>
      <c r="C3988" s="112"/>
      <c r="D3988" s="114"/>
      <c r="E3988" s="112"/>
      <c r="F3988" s="178"/>
    </row>
    <row r="3991" spans="1:6" s="53" customFormat="1" ht="23.5" x14ac:dyDescent="0.55000000000000004">
      <c r="B3991" s="227" t="s">
        <v>0</v>
      </c>
      <c r="C3991" s="227"/>
      <c r="D3991" s="227"/>
      <c r="E3991" s="70"/>
      <c r="F3991" s="176"/>
    </row>
    <row r="3992" spans="1:6" s="53" customFormat="1" ht="20.5" x14ac:dyDescent="0.45">
      <c r="B3992" s="71"/>
      <c r="C3992" s="72" t="s">
        <v>1062</v>
      </c>
      <c r="D3992" s="73"/>
      <c r="F3992" s="94"/>
    </row>
    <row r="3993" spans="1:6" s="53" customFormat="1" ht="21" thickBot="1" x14ac:dyDescent="0.5">
      <c r="B3993" s="71" t="s">
        <v>218</v>
      </c>
      <c r="C3993" s="74" t="s">
        <v>103</v>
      </c>
      <c r="D3993" s="73"/>
      <c r="F3993" s="94"/>
    </row>
    <row r="3994" spans="1:6" s="53" customFormat="1" ht="15" thickBot="1" x14ac:dyDescent="0.4">
      <c r="A3994" s="75" t="s">
        <v>104</v>
      </c>
      <c r="B3994" s="76" t="s">
        <v>81</v>
      </c>
      <c r="C3994" s="76" t="s">
        <v>105</v>
      </c>
      <c r="D3994" s="77" t="s">
        <v>84</v>
      </c>
      <c r="F3994" s="94"/>
    </row>
    <row r="3995" spans="1:6" s="53" customFormat="1" ht="14.5" customHeight="1" x14ac:dyDescent="0.35">
      <c r="A3995" s="222" t="s">
        <v>92</v>
      </c>
      <c r="B3995" s="78" t="s">
        <v>1063</v>
      </c>
      <c r="C3995" s="79" t="s">
        <v>959</v>
      </c>
      <c r="D3995" s="80">
        <f>F4002</f>
        <v>10710000</v>
      </c>
      <c r="F3995" s="94"/>
    </row>
    <row r="3996" spans="1:6" s="53" customFormat="1" ht="21" thickBot="1" x14ac:dyDescent="0.5">
      <c r="A3996" s="223"/>
      <c r="B3996" s="71"/>
      <c r="C3996" s="71"/>
      <c r="D3996" s="73"/>
      <c r="F3996" s="94"/>
    </row>
    <row r="3997" spans="1:6" s="53" customFormat="1" ht="15" thickBot="1" x14ac:dyDescent="0.4">
      <c r="A3997" s="223"/>
      <c r="B3997" s="81" t="s">
        <v>81</v>
      </c>
      <c r="C3997" s="82" t="s">
        <v>107</v>
      </c>
      <c r="D3997" s="83" t="s">
        <v>108</v>
      </c>
      <c r="F3997" s="94"/>
    </row>
    <row r="3998" spans="1:6" s="87" customFormat="1" x14ac:dyDescent="0.35">
      <c r="A3998" s="223"/>
      <c r="B3998" s="84" t="str">
        <f>B3995</f>
        <v>28th August,2025</v>
      </c>
      <c r="C3998" s="85" t="s">
        <v>1236</v>
      </c>
      <c r="D3998" s="86">
        <f>1850*2754</f>
        <v>5094900</v>
      </c>
      <c r="F3998" s="177"/>
    </row>
    <row r="3999" spans="1:6" s="53" customFormat="1" x14ac:dyDescent="0.35">
      <c r="A3999" s="223"/>
      <c r="B3999" s="88"/>
      <c r="C3999" s="89" t="s">
        <v>159</v>
      </c>
      <c r="D3999" s="90">
        <f>299*2650</f>
        <v>792350</v>
      </c>
      <c r="F3999" s="94"/>
    </row>
    <row r="4000" spans="1:6" s="53" customFormat="1" x14ac:dyDescent="0.35">
      <c r="A4000" s="223"/>
      <c r="B4000" s="88" t="s">
        <v>109</v>
      </c>
      <c r="C4000" s="89" t="s">
        <v>110</v>
      </c>
      <c r="D4000" s="90">
        <v>1000000</v>
      </c>
      <c r="F4000" s="94"/>
    </row>
    <row r="4001" spans="1:7" s="53" customFormat="1" x14ac:dyDescent="0.35">
      <c r="A4001" s="223"/>
      <c r="B4001" s="88" t="s">
        <v>111</v>
      </c>
      <c r="C4001" s="89" t="s">
        <v>112</v>
      </c>
      <c r="D4001" s="90">
        <v>40000</v>
      </c>
      <c r="E4001" s="225" t="s">
        <v>113</v>
      </c>
      <c r="F4001" s="225"/>
    </row>
    <row r="4002" spans="1:7" s="53" customFormat="1" x14ac:dyDescent="0.35">
      <c r="A4002" s="223"/>
      <c r="B4002" s="88" t="s">
        <v>114</v>
      </c>
      <c r="C4002" s="89" t="s">
        <v>115</v>
      </c>
      <c r="D4002" s="90">
        <f>500*120</f>
        <v>60000</v>
      </c>
      <c r="E4002" s="91" t="s">
        <v>116</v>
      </c>
      <c r="F4002" s="92">
        <f>4200*2550</f>
        <v>10710000</v>
      </c>
    </row>
    <row r="4003" spans="1:7" s="53" customFormat="1" x14ac:dyDescent="0.35">
      <c r="A4003" s="223"/>
      <c r="B4003" s="88"/>
      <c r="C4003" s="89" t="s">
        <v>117</v>
      </c>
      <c r="D4003" s="90">
        <f>2500*120</f>
        <v>300000</v>
      </c>
      <c r="E4003" s="93" t="s">
        <v>118</v>
      </c>
      <c r="F4003" s="94">
        <f>(2520*2550)+(1560*2550)</f>
        <v>10404000</v>
      </c>
    </row>
    <row r="4004" spans="1:7" s="53" customFormat="1" ht="15" thickBot="1" x14ac:dyDescent="0.4">
      <c r="A4004" s="223"/>
      <c r="B4004" s="88" t="s">
        <v>119</v>
      </c>
      <c r="C4004" s="89" t="s">
        <v>120</v>
      </c>
      <c r="D4004" s="95">
        <v>30000</v>
      </c>
      <c r="E4004" s="96" t="s">
        <v>121</v>
      </c>
      <c r="F4004" s="97">
        <f>F4002-F4003</f>
        <v>306000</v>
      </c>
      <c r="G4004" s="98">
        <f>F4004/2550</f>
        <v>120</v>
      </c>
    </row>
    <row r="4005" spans="1:7" s="53" customFormat="1" ht="15" thickTop="1" x14ac:dyDescent="0.35">
      <c r="A4005" s="223"/>
      <c r="B4005" s="88"/>
      <c r="C4005" s="89" t="s">
        <v>122</v>
      </c>
      <c r="D4005" s="90">
        <v>140000</v>
      </c>
      <c r="F4005" s="94"/>
    </row>
    <row r="4006" spans="1:7" s="53" customFormat="1" x14ac:dyDescent="0.35">
      <c r="A4006" s="223"/>
      <c r="B4006" s="88" t="s">
        <v>1061</v>
      </c>
      <c r="C4006" s="99" t="s">
        <v>123</v>
      </c>
      <c r="D4006" s="90">
        <v>15000</v>
      </c>
      <c r="E4006" s="91" t="s">
        <v>124</v>
      </c>
      <c r="F4006" s="92"/>
    </row>
    <row r="4007" spans="1:7" s="53" customFormat="1" x14ac:dyDescent="0.35">
      <c r="A4007" s="223"/>
      <c r="B4007" s="101"/>
      <c r="C4007" s="99" t="s">
        <v>125</v>
      </c>
      <c r="D4007" s="100">
        <v>10000</v>
      </c>
      <c r="E4007" s="102"/>
      <c r="F4007" s="103"/>
    </row>
    <row r="4008" spans="1:7" s="53" customFormat="1" x14ac:dyDescent="0.35">
      <c r="A4008" s="223"/>
      <c r="B4008" s="101"/>
      <c r="C4008" s="99" t="s">
        <v>126</v>
      </c>
      <c r="D4008" s="100">
        <v>40000</v>
      </c>
      <c r="E4008" s="102" t="s">
        <v>127</v>
      </c>
      <c r="F4008" s="103"/>
    </row>
    <row r="4009" spans="1:7" s="53" customFormat="1" x14ac:dyDescent="0.35">
      <c r="A4009" s="223"/>
      <c r="B4009" s="101"/>
      <c r="C4009" s="89" t="s">
        <v>710</v>
      </c>
      <c r="D4009" s="104">
        <v>20000</v>
      </c>
      <c r="E4009" s="102" t="s">
        <v>1069</v>
      </c>
      <c r="F4009" s="103"/>
    </row>
    <row r="4010" spans="1:7" s="53" customFormat="1" ht="15" thickBot="1" x14ac:dyDescent="0.4">
      <c r="A4010" s="223"/>
      <c r="B4010" s="105"/>
      <c r="C4010" s="106"/>
      <c r="D4010" s="107"/>
      <c r="E4010" s="53" t="s">
        <v>1611</v>
      </c>
      <c r="F4010" s="94"/>
    </row>
    <row r="4011" spans="1:7" s="53" customFormat="1" ht="15" thickBot="1" x14ac:dyDescent="0.4">
      <c r="A4011" s="223"/>
      <c r="B4011" s="108"/>
      <c r="C4011" s="109" t="s">
        <v>129</v>
      </c>
      <c r="D4011" s="110">
        <f>SUM(D3998:D4010)</f>
        <v>7542250</v>
      </c>
      <c r="F4011" s="94"/>
    </row>
    <row r="4012" spans="1:7" s="53" customFormat="1" ht="15.5" thickTop="1" thickBot="1" x14ac:dyDescent="0.4">
      <c r="A4012" s="224"/>
      <c r="B4012" s="226"/>
      <c r="C4012" s="226"/>
      <c r="D4012" s="226"/>
      <c r="F4012" s="94"/>
    </row>
    <row r="4013" spans="1:7" s="53" customFormat="1" x14ac:dyDescent="0.35">
      <c r="B4013" s="87"/>
      <c r="C4013" s="53" t="s">
        <v>130</v>
      </c>
      <c r="D4013" s="111">
        <f>D3995-D4011</f>
        <v>3167750</v>
      </c>
      <c r="F4013" s="94"/>
    </row>
    <row r="4014" spans="1:7" s="53" customFormat="1" x14ac:dyDescent="0.35">
      <c r="B4014" s="87"/>
      <c r="D4014" s="111"/>
      <c r="F4014" s="94"/>
    </row>
    <row r="4015" spans="1:7" s="53" customFormat="1" x14ac:dyDescent="0.35">
      <c r="A4015" s="112"/>
      <c r="B4015" s="113"/>
      <c r="C4015" s="112"/>
      <c r="D4015" s="114"/>
      <c r="E4015" s="112"/>
      <c r="F4015" s="178"/>
    </row>
    <row r="4017" spans="1:7" s="53" customFormat="1" ht="23.5" x14ac:dyDescent="0.55000000000000004">
      <c r="B4017" s="227" t="s">
        <v>0</v>
      </c>
      <c r="C4017" s="227"/>
      <c r="D4017" s="227"/>
      <c r="E4017" s="70"/>
      <c r="F4017" s="176"/>
    </row>
    <row r="4018" spans="1:7" s="53" customFormat="1" ht="20.5" x14ac:dyDescent="0.45">
      <c r="B4018" s="71"/>
      <c r="C4018" s="72" t="s">
        <v>1072</v>
      </c>
      <c r="D4018" s="73"/>
      <c r="F4018" s="94"/>
    </row>
    <row r="4019" spans="1:7" s="53" customFormat="1" ht="21" thickBot="1" x14ac:dyDescent="0.5">
      <c r="B4019" s="71" t="s">
        <v>518</v>
      </c>
      <c r="C4019" s="74" t="s">
        <v>103</v>
      </c>
      <c r="D4019" s="73"/>
      <c r="F4019" s="94"/>
    </row>
    <row r="4020" spans="1:7" s="53" customFormat="1" ht="15" thickBot="1" x14ac:dyDescent="0.4">
      <c r="A4020" s="75" t="s">
        <v>104</v>
      </c>
      <c r="B4020" s="76" t="s">
        <v>81</v>
      </c>
      <c r="C4020" s="76" t="s">
        <v>105</v>
      </c>
      <c r="D4020" s="77" t="s">
        <v>84</v>
      </c>
      <c r="F4020" s="94"/>
    </row>
    <row r="4021" spans="1:7" s="53" customFormat="1" ht="14.5" customHeight="1" x14ac:dyDescent="0.35">
      <c r="A4021" s="222" t="s">
        <v>92</v>
      </c>
      <c r="B4021" s="78" t="s">
        <v>1073</v>
      </c>
      <c r="C4021" s="79" t="s">
        <v>959</v>
      </c>
      <c r="D4021" s="80">
        <f>F4028</f>
        <v>10710000</v>
      </c>
      <c r="F4021" s="94"/>
    </row>
    <row r="4022" spans="1:7" s="53" customFormat="1" ht="21" thickBot="1" x14ac:dyDescent="0.5">
      <c r="A4022" s="223"/>
      <c r="B4022" s="71"/>
      <c r="C4022" s="71"/>
      <c r="D4022" s="73"/>
      <c r="F4022" s="94"/>
    </row>
    <row r="4023" spans="1:7" s="53" customFormat="1" ht="15" thickBot="1" x14ac:dyDescent="0.4">
      <c r="A4023" s="223"/>
      <c r="B4023" s="81" t="s">
        <v>81</v>
      </c>
      <c r="C4023" s="82" t="s">
        <v>107</v>
      </c>
      <c r="D4023" s="83" t="s">
        <v>108</v>
      </c>
      <c r="F4023" s="94"/>
    </row>
    <row r="4024" spans="1:7" s="87" customFormat="1" x14ac:dyDescent="0.35">
      <c r="A4024" s="223"/>
      <c r="B4024" s="84" t="str">
        <f>B4021</f>
        <v>30th August,2025</v>
      </c>
      <c r="C4024" s="85" t="s">
        <v>1236</v>
      </c>
      <c r="D4024" s="86">
        <f>1850*2754</f>
        <v>5094900</v>
      </c>
      <c r="F4024" s="177"/>
    </row>
    <row r="4025" spans="1:7" s="53" customFormat="1" x14ac:dyDescent="0.35">
      <c r="A4025" s="223"/>
      <c r="B4025" s="88"/>
      <c r="C4025" s="89" t="s">
        <v>159</v>
      </c>
      <c r="D4025" s="90">
        <f>299*2650</f>
        <v>792350</v>
      </c>
      <c r="F4025" s="94"/>
    </row>
    <row r="4026" spans="1:7" s="53" customFormat="1" x14ac:dyDescent="0.35">
      <c r="A4026" s="223"/>
      <c r="B4026" s="88" t="s">
        <v>109</v>
      </c>
      <c r="C4026" s="89" t="s">
        <v>110</v>
      </c>
      <c r="D4026" s="90">
        <v>1000000</v>
      </c>
      <c r="F4026" s="94"/>
    </row>
    <row r="4027" spans="1:7" s="53" customFormat="1" x14ac:dyDescent="0.35">
      <c r="A4027" s="223"/>
      <c r="B4027" s="88" t="s">
        <v>111</v>
      </c>
      <c r="C4027" s="89" t="s">
        <v>112</v>
      </c>
      <c r="D4027" s="90">
        <v>40000</v>
      </c>
      <c r="E4027" s="225" t="s">
        <v>113</v>
      </c>
      <c r="F4027" s="225"/>
    </row>
    <row r="4028" spans="1:7" s="53" customFormat="1" x14ac:dyDescent="0.35">
      <c r="A4028" s="223"/>
      <c r="B4028" s="88" t="s">
        <v>114</v>
      </c>
      <c r="C4028" s="89" t="s">
        <v>115</v>
      </c>
      <c r="D4028" s="90">
        <f>500*120</f>
        <v>60000</v>
      </c>
      <c r="E4028" s="91" t="s">
        <v>116</v>
      </c>
      <c r="F4028" s="92">
        <f>4200*2550</f>
        <v>10710000</v>
      </c>
    </row>
    <row r="4029" spans="1:7" s="53" customFormat="1" x14ac:dyDescent="0.35">
      <c r="A4029" s="223"/>
      <c r="B4029" s="88"/>
      <c r="C4029" s="89" t="s">
        <v>117</v>
      </c>
      <c r="D4029" s="90">
        <f>2500*120</f>
        <v>300000</v>
      </c>
      <c r="E4029" s="93" t="s">
        <v>118</v>
      </c>
      <c r="F4029" s="94">
        <f>(2520*2550)+(1680*2550)</f>
        <v>10710000</v>
      </c>
    </row>
    <row r="4030" spans="1:7" s="53" customFormat="1" ht="15" thickBot="1" x14ac:dyDescent="0.4">
      <c r="A4030" s="223"/>
      <c r="B4030" s="88" t="s">
        <v>119</v>
      </c>
      <c r="C4030" s="89" t="s">
        <v>120</v>
      </c>
      <c r="D4030" s="95">
        <v>30000</v>
      </c>
      <c r="E4030" s="96" t="s">
        <v>121</v>
      </c>
      <c r="F4030" s="97">
        <f>F4028-F4029</f>
        <v>0</v>
      </c>
      <c r="G4030" s="98">
        <f>F4030/2550</f>
        <v>0</v>
      </c>
    </row>
    <row r="4031" spans="1:7" s="53" customFormat="1" ht="15" thickTop="1" x14ac:dyDescent="0.35">
      <c r="A4031" s="223"/>
      <c r="B4031" s="88"/>
      <c r="C4031" s="89" t="s">
        <v>122</v>
      </c>
      <c r="D4031" s="90">
        <v>140000</v>
      </c>
      <c r="F4031" s="94"/>
    </row>
    <row r="4032" spans="1:7" s="53" customFormat="1" x14ac:dyDescent="0.35">
      <c r="A4032" s="223"/>
      <c r="B4032" s="88" t="s">
        <v>1071</v>
      </c>
      <c r="C4032" s="99" t="s">
        <v>123</v>
      </c>
      <c r="D4032" s="90">
        <v>15000</v>
      </c>
      <c r="E4032" s="91" t="s">
        <v>124</v>
      </c>
      <c r="F4032" s="92"/>
    </row>
    <row r="4033" spans="1:6" s="53" customFormat="1" x14ac:dyDescent="0.35">
      <c r="A4033" s="223"/>
      <c r="B4033" s="101"/>
      <c r="C4033" s="99" t="s">
        <v>125</v>
      </c>
      <c r="D4033" s="100">
        <v>10000</v>
      </c>
      <c r="E4033" s="102"/>
      <c r="F4033" s="103"/>
    </row>
    <row r="4034" spans="1:6" s="53" customFormat="1" x14ac:dyDescent="0.35">
      <c r="A4034" s="223"/>
      <c r="B4034" s="101"/>
      <c r="C4034" s="99" t="s">
        <v>126</v>
      </c>
      <c r="D4034" s="100">
        <v>40000</v>
      </c>
      <c r="E4034" s="102" t="s">
        <v>127</v>
      </c>
      <c r="F4034" s="103"/>
    </row>
    <row r="4035" spans="1:6" s="53" customFormat="1" x14ac:dyDescent="0.35">
      <c r="A4035" s="223"/>
      <c r="B4035" s="101"/>
      <c r="C4035" s="89" t="s">
        <v>710</v>
      </c>
      <c r="D4035" s="104">
        <v>20000</v>
      </c>
      <c r="E4035" s="102" t="s">
        <v>1108</v>
      </c>
      <c r="F4035" s="103"/>
    </row>
    <row r="4036" spans="1:6" s="53" customFormat="1" ht="15" thickBot="1" x14ac:dyDescent="0.4">
      <c r="A4036" s="223"/>
      <c r="B4036" s="105"/>
      <c r="C4036" s="106"/>
      <c r="D4036" s="107"/>
      <c r="E4036" s="53" t="s">
        <v>1581</v>
      </c>
      <c r="F4036" s="94"/>
    </row>
    <row r="4037" spans="1:6" s="53" customFormat="1" ht="15" thickBot="1" x14ac:dyDescent="0.4">
      <c r="A4037" s="223"/>
      <c r="B4037" s="108"/>
      <c r="C4037" s="109" t="s">
        <v>129</v>
      </c>
      <c r="D4037" s="110">
        <f>SUM(D4024:D4036)</f>
        <v>7542250</v>
      </c>
      <c r="F4037" s="94"/>
    </row>
    <row r="4038" spans="1:6" s="53" customFormat="1" ht="15.5" thickTop="1" thickBot="1" x14ac:dyDescent="0.4">
      <c r="A4038" s="224"/>
      <c r="B4038" s="226"/>
      <c r="C4038" s="226"/>
      <c r="D4038" s="226"/>
      <c r="F4038" s="94"/>
    </row>
    <row r="4039" spans="1:6" s="53" customFormat="1" x14ac:dyDescent="0.35">
      <c r="B4039" s="87"/>
      <c r="C4039" s="53" t="s">
        <v>130</v>
      </c>
      <c r="D4039" s="111">
        <f>D4021-D4037</f>
        <v>3167750</v>
      </c>
      <c r="F4039" s="94"/>
    </row>
    <row r="4040" spans="1:6" s="53" customFormat="1" x14ac:dyDescent="0.35">
      <c r="B4040" s="87"/>
      <c r="D4040" s="111"/>
      <c r="F4040" s="94"/>
    </row>
    <row r="4041" spans="1:6" s="53" customFormat="1" x14ac:dyDescent="0.35">
      <c r="A4041" s="112"/>
      <c r="B4041" s="113"/>
      <c r="C4041" s="112"/>
      <c r="D4041" s="114"/>
      <c r="E4041" s="112"/>
      <c r="F4041" s="178"/>
    </row>
    <row r="4043" spans="1:6" s="53" customFormat="1" ht="23.5" x14ac:dyDescent="0.55000000000000004">
      <c r="B4043" s="227" t="s">
        <v>0</v>
      </c>
      <c r="C4043" s="227"/>
      <c r="D4043" s="227"/>
      <c r="E4043" s="70"/>
      <c r="F4043" s="176"/>
    </row>
    <row r="4044" spans="1:6" s="53" customFormat="1" ht="20.5" x14ac:dyDescent="0.45">
      <c r="B4044" s="71"/>
      <c r="C4044" s="72" t="s">
        <v>1076</v>
      </c>
      <c r="D4044" s="73"/>
      <c r="F4044" s="94"/>
    </row>
    <row r="4045" spans="1:6" s="53" customFormat="1" ht="21" thickBot="1" x14ac:dyDescent="0.5">
      <c r="B4045" s="71" t="s">
        <v>735</v>
      </c>
      <c r="C4045" s="74" t="s">
        <v>103</v>
      </c>
      <c r="D4045" s="73"/>
      <c r="F4045" s="94"/>
    </row>
    <row r="4046" spans="1:6" s="53" customFormat="1" ht="15" thickBot="1" x14ac:dyDescent="0.4">
      <c r="A4046" s="75" t="s">
        <v>104</v>
      </c>
      <c r="B4046" s="76" t="s">
        <v>81</v>
      </c>
      <c r="C4046" s="76" t="s">
        <v>105</v>
      </c>
      <c r="D4046" s="77" t="s">
        <v>84</v>
      </c>
      <c r="F4046" s="94"/>
    </row>
    <row r="4047" spans="1:6" s="53" customFormat="1" ht="14.5" customHeight="1" x14ac:dyDescent="0.35">
      <c r="A4047" s="222" t="s">
        <v>92</v>
      </c>
      <c r="B4047" s="78" t="s">
        <v>1073</v>
      </c>
      <c r="C4047" s="79" t="s">
        <v>959</v>
      </c>
      <c r="D4047" s="80">
        <f>F4054</f>
        <v>10710000</v>
      </c>
      <c r="F4047" s="94"/>
    </row>
    <row r="4048" spans="1:6" s="53" customFormat="1" ht="21" thickBot="1" x14ac:dyDescent="0.5">
      <c r="A4048" s="223"/>
      <c r="B4048" s="71"/>
      <c r="C4048" s="71"/>
      <c r="D4048" s="73"/>
      <c r="F4048" s="94"/>
    </row>
    <row r="4049" spans="1:7" s="53" customFormat="1" ht="15" thickBot="1" x14ac:dyDescent="0.4">
      <c r="A4049" s="223"/>
      <c r="B4049" s="81" t="s">
        <v>81</v>
      </c>
      <c r="C4049" s="82" t="s">
        <v>107</v>
      </c>
      <c r="D4049" s="83" t="s">
        <v>108</v>
      </c>
      <c r="F4049" s="94"/>
    </row>
    <row r="4050" spans="1:7" s="87" customFormat="1" x14ac:dyDescent="0.35">
      <c r="A4050" s="223"/>
      <c r="B4050" s="84" t="str">
        <f>B4047</f>
        <v>30th August,2025</v>
      </c>
      <c r="C4050" s="85" t="s">
        <v>1236</v>
      </c>
      <c r="D4050" s="86">
        <f>1850*2754</f>
        <v>5094900</v>
      </c>
      <c r="F4050" s="177"/>
    </row>
    <row r="4051" spans="1:7" s="53" customFormat="1" x14ac:dyDescent="0.35">
      <c r="A4051" s="223"/>
      <c r="B4051" s="88"/>
      <c r="C4051" s="89" t="s">
        <v>188</v>
      </c>
      <c r="D4051" s="90">
        <f>325*2650</f>
        <v>861250</v>
      </c>
      <c r="F4051" s="94"/>
    </row>
    <row r="4052" spans="1:7" s="53" customFormat="1" x14ac:dyDescent="0.35">
      <c r="A4052" s="223"/>
      <c r="B4052" s="88" t="s">
        <v>109</v>
      </c>
      <c r="C4052" s="89" t="s">
        <v>110</v>
      </c>
      <c r="D4052" s="90">
        <v>1000000</v>
      </c>
      <c r="F4052" s="94"/>
    </row>
    <row r="4053" spans="1:7" s="53" customFormat="1" x14ac:dyDescent="0.35">
      <c r="A4053" s="223"/>
      <c r="B4053" s="88" t="s">
        <v>111</v>
      </c>
      <c r="C4053" s="89" t="s">
        <v>112</v>
      </c>
      <c r="D4053" s="90">
        <v>40000</v>
      </c>
      <c r="E4053" s="225" t="s">
        <v>113</v>
      </c>
      <c r="F4053" s="225"/>
    </row>
    <row r="4054" spans="1:7" s="53" customFormat="1" x14ac:dyDescent="0.35">
      <c r="A4054" s="223"/>
      <c r="B4054" s="88" t="s">
        <v>182</v>
      </c>
      <c r="C4054" s="89" t="s">
        <v>115</v>
      </c>
      <c r="D4054" s="90">
        <f>900*120</f>
        <v>108000</v>
      </c>
      <c r="E4054" s="91" t="s">
        <v>116</v>
      </c>
      <c r="F4054" s="92">
        <f>4200*2550</f>
        <v>10710000</v>
      </c>
    </row>
    <row r="4055" spans="1:7" s="53" customFormat="1" x14ac:dyDescent="0.35">
      <c r="A4055" s="223"/>
      <c r="B4055" s="88"/>
      <c r="C4055" s="89" t="s">
        <v>117</v>
      </c>
      <c r="D4055" s="90">
        <f>3500*120</f>
        <v>420000</v>
      </c>
      <c r="E4055" s="93" t="s">
        <v>118</v>
      </c>
      <c r="F4055" s="94">
        <f>(2520*2550)+(1510*2550)</f>
        <v>10276500</v>
      </c>
    </row>
    <row r="4056" spans="1:7" s="53" customFormat="1" ht="15" thickBot="1" x14ac:dyDescent="0.4">
      <c r="A4056" s="223"/>
      <c r="B4056" s="88" t="s">
        <v>119</v>
      </c>
      <c r="C4056" s="89" t="s">
        <v>120</v>
      </c>
      <c r="D4056" s="95">
        <v>30000</v>
      </c>
      <c r="E4056" s="96" t="s">
        <v>121</v>
      </c>
      <c r="F4056" s="97">
        <f>F4054-F4055</f>
        <v>433500</v>
      </c>
      <c r="G4056" s="98">
        <f>F4056/2550</f>
        <v>170</v>
      </c>
    </row>
    <row r="4057" spans="1:7" s="53" customFormat="1" ht="15" thickTop="1" x14ac:dyDescent="0.35">
      <c r="A4057" s="223"/>
      <c r="B4057" s="88"/>
      <c r="C4057" s="89" t="s">
        <v>122</v>
      </c>
      <c r="D4057" s="90">
        <v>140000</v>
      </c>
      <c r="F4057" s="94"/>
    </row>
    <row r="4058" spans="1:7" s="53" customFormat="1" x14ac:dyDescent="0.35">
      <c r="A4058" s="223"/>
      <c r="B4058" s="88" t="s">
        <v>1071</v>
      </c>
      <c r="C4058" s="99" t="s">
        <v>123</v>
      </c>
      <c r="D4058" s="90">
        <v>15000</v>
      </c>
      <c r="E4058" s="91" t="s">
        <v>124</v>
      </c>
      <c r="F4058" s="92"/>
    </row>
    <row r="4059" spans="1:7" s="53" customFormat="1" x14ac:dyDescent="0.35">
      <c r="A4059" s="223"/>
      <c r="B4059" s="101"/>
      <c r="C4059" s="99" t="s">
        <v>125</v>
      </c>
      <c r="D4059" s="100">
        <v>10000</v>
      </c>
      <c r="E4059" s="102"/>
      <c r="F4059" s="103"/>
    </row>
    <row r="4060" spans="1:7" s="53" customFormat="1" x14ac:dyDescent="0.35">
      <c r="A4060" s="223"/>
      <c r="B4060" s="101"/>
      <c r="C4060" s="99" t="s">
        <v>126</v>
      </c>
      <c r="D4060" s="100">
        <v>40000</v>
      </c>
      <c r="E4060" s="102" t="s">
        <v>127</v>
      </c>
      <c r="F4060" s="103"/>
    </row>
    <row r="4061" spans="1:7" s="53" customFormat="1" x14ac:dyDescent="0.35">
      <c r="A4061" s="223"/>
      <c r="B4061" s="101"/>
      <c r="C4061" s="89" t="s">
        <v>710</v>
      </c>
      <c r="D4061" s="104">
        <v>20000</v>
      </c>
      <c r="E4061" s="102" t="s">
        <v>1108</v>
      </c>
      <c r="F4061" s="103"/>
    </row>
    <row r="4062" spans="1:7" s="53" customFormat="1" ht="15" thickBot="1" x14ac:dyDescent="0.4">
      <c r="A4062" s="223"/>
      <c r="B4062" s="105"/>
      <c r="C4062" s="106" t="s">
        <v>265</v>
      </c>
      <c r="D4062" s="107">
        <f>886*121</f>
        <v>107206</v>
      </c>
      <c r="E4062" s="53" t="s">
        <v>1611</v>
      </c>
      <c r="F4062" s="94"/>
    </row>
    <row r="4063" spans="1:7" s="53" customFormat="1" ht="15" thickBot="1" x14ac:dyDescent="0.4">
      <c r="A4063" s="223"/>
      <c r="B4063" s="108"/>
      <c r="C4063" s="109" t="s">
        <v>129</v>
      </c>
      <c r="D4063" s="110">
        <f>SUM(D4050:D4062)</f>
        <v>7886356</v>
      </c>
      <c r="F4063" s="94"/>
    </row>
    <row r="4064" spans="1:7" s="53" customFormat="1" ht="15.5" thickTop="1" thickBot="1" x14ac:dyDescent="0.4">
      <c r="A4064" s="224"/>
      <c r="B4064" s="226"/>
      <c r="C4064" s="226"/>
      <c r="D4064" s="226"/>
      <c r="F4064" s="94"/>
    </row>
    <row r="4065" spans="1:6" s="53" customFormat="1" x14ac:dyDescent="0.35">
      <c r="B4065" s="87"/>
      <c r="C4065" s="53" t="s">
        <v>130</v>
      </c>
      <c r="D4065" s="111">
        <f>D4047-D4063</f>
        <v>2823644</v>
      </c>
      <c r="F4065" s="94"/>
    </row>
    <row r="4066" spans="1:6" s="53" customFormat="1" x14ac:dyDescent="0.35">
      <c r="B4066" s="87"/>
      <c r="D4066" s="111"/>
      <c r="F4066" s="94"/>
    </row>
    <row r="4067" spans="1:6" s="53" customFormat="1" x14ac:dyDescent="0.35">
      <c r="A4067" s="112"/>
      <c r="B4067" s="113"/>
      <c r="C4067" s="112"/>
      <c r="D4067" s="114"/>
      <c r="E4067" s="112"/>
      <c r="F4067" s="178"/>
    </row>
    <row r="4069" spans="1:6" s="53" customFormat="1" ht="23.5" x14ac:dyDescent="0.55000000000000004">
      <c r="B4069" s="227" t="s">
        <v>0</v>
      </c>
      <c r="C4069" s="227"/>
      <c r="D4069" s="227"/>
      <c r="E4069" s="70"/>
      <c r="F4069" s="176"/>
    </row>
    <row r="4070" spans="1:6" s="53" customFormat="1" ht="20.5" x14ac:dyDescent="0.45">
      <c r="B4070" s="71"/>
      <c r="C4070" s="72" t="s">
        <v>1081</v>
      </c>
      <c r="D4070" s="73"/>
      <c r="F4070" s="94"/>
    </row>
    <row r="4071" spans="1:6" s="53" customFormat="1" ht="21" thickBot="1" x14ac:dyDescent="0.5">
      <c r="B4071" s="71" t="s">
        <v>396</v>
      </c>
      <c r="C4071" s="74" t="s">
        <v>103</v>
      </c>
      <c r="D4071" s="73"/>
      <c r="F4071" s="94"/>
    </row>
    <row r="4072" spans="1:6" s="53" customFormat="1" ht="15" thickBot="1" x14ac:dyDescent="0.4">
      <c r="A4072" s="75" t="s">
        <v>104</v>
      </c>
      <c r="B4072" s="76" t="s">
        <v>81</v>
      </c>
      <c r="C4072" s="76" t="s">
        <v>105</v>
      </c>
      <c r="D4072" s="77" t="s">
        <v>84</v>
      </c>
      <c r="F4072" s="94"/>
    </row>
    <row r="4073" spans="1:6" s="53" customFormat="1" ht="14.5" customHeight="1" x14ac:dyDescent="0.35">
      <c r="A4073" s="222" t="s">
        <v>92</v>
      </c>
      <c r="B4073" s="78" t="s">
        <v>1073</v>
      </c>
      <c r="C4073" s="79" t="s">
        <v>959</v>
      </c>
      <c r="D4073" s="80">
        <f>F4080</f>
        <v>10710000</v>
      </c>
      <c r="F4073" s="94"/>
    </row>
    <row r="4074" spans="1:6" s="53" customFormat="1" ht="21" thickBot="1" x14ac:dyDescent="0.5">
      <c r="A4074" s="223"/>
      <c r="B4074" s="71"/>
      <c r="C4074" s="71"/>
      <c r="D4074" s="73"/>
      <c r="F4074" s="94"/>
    </row>
    <row r="4075" spans="1:6" s="53" customFormat="1" ht="15" thickBot="1" x14ac:dyDescent="0.4">
      <c r="A4075" s="223"/>
      <c r="B4075" s="81" t="s">
        <v>81</v>
      </c>
      <c r="C4075" s="82" t="s">
        <v>107</v>
      </c>
      <c r="D4075" s="83" t="s">
        <v>108</v>
      </c>
      <c r="F4075" s="94"/>
    </row>
    <row r="4076" spans="1:6" s="87" customFormat="1" x14ac:dyDescent="0.35">
      <c r="A4076" s="223"/>
      <c r="B4076" s="84" t="str">
        <f>B4073</f>
        <v>30th August,2025</v>
      </c>
      <c r="C4076" s="85" t="s">
        <v>1236</v>
      </c>
      <c r="D4076" s="86">
        <f>1850*2754</f>
        <v>5094900</v>
      </c>
      <c r="F4076" s="177"/>
    </row>
    <row r="4077" spans="1:6" s="53" customFormat="1" x14ac:dyDescent="0.35">
      <c r="A4077" s="223"/>
      <c r="B4077" s="88"/>
      <c r="C4077" s="89" t="s">
        <v>159</v>
      </c>
      <c r="D4077" s="90">
        <f>299*2650</f>
        <v>792350</v>
      </c>
      <c r="F4077" s="94"/>
    </row>
    <row r="4078" spans="1:6" s="53" customFormat="1" x14ac:dyDescent="0.35">
      <c r="A4078" s="223"/>
      <c r="B4078" s="88" t="s">
        <v>109</v>
      </c>
      <c r="C4078" s="89" t="s">
        <v>110</v>
      </c>
      <c r="D4078" s="90">
        <v>1000000</v>
      </c>
      <c r="F4078" s="94"/>
    </row>
    <row r="4079" spans="1:6" s="53" customFormat="1" x14ac:dyDescent="0.35">
      <c r="A4079" s="223"/>
      <c r="B4079" s="88" t="s">
        <v>111</v>
      </c>
      <c r="C4079" s="89" t="s">
        <v>112</v>
      </c>
      <c r="D4079" s="90">
        <v>40000</v>
      </c>
      <c r="E4079" s="225" t="s">
        <v>113</v>
      </c>
      <c r="F4079" s="225"/>
    </row>
    <row r="4080" spans="1:6" s="53" customFormat="1" x14ac:dyDescent="0.35">
      <c r="A4080" s="223"/>
      <c r="B4080" s="88" t="s">
        <v>114</v>
      </c>
      <c r="C4080" s="89" t="s">
        <v>115</v>
      </c>
      <c r="D4080" s="90">
        <f>500*120</f>
        <v>60000</v>
      </c>
      <c r="E4080" s="91" t="s">
        <v>116</v>
      </c>
      <c r="F4080" s="92">
        <f>4200*2550</f>
        <v>10710000</v>
      </c>
    </row>
    <row r="4081" spans="1:7" s="53" customFormat="1" x14ac:dyDescent="0.35">
      <c r="A4081" s="223"/>
      <c r="B4081" s="88"/>
      <c r="C4081" s="89" t="s">
        <v>117</v>
      </c>
      <c r="D4081" s="90">
        <f>2500*120</f>
        <v>300000</v>
      </c>
      <c r="E4081" s="93" t="s">
        <v>118</v>
      </c>
      <c r="F4081" s="94">
        <f>(2520*2550)</f>
        <v>6426000</v>
      </c>
    </row>
    <row r="4082" spans="1:7" s="53" customFormat="1" ht="15" thickBot="1" x14ac:dyDescent="0.4">
      <c r="A4082" s="223"/>
      <c r="B4082" s="88" t="s">
        <v>119</v>
      </c>
      <c r="C4082" s="89" t="s">
        <v>120</v>
      </c>
      <c r="D4082" s="95">
        <v>30000</v>
      </c>
      <c r="E4082" s="96" t="s">
        <v>121</v>
      </c>
      <c r="F4082" s="97">
        <f>F4080-F4081</f>
        <v>4284000</v>
      </c>
      <c r="G4082" s="98">
        <f>F4082/2550</f>
        <v>1680</v>
      </c>
    </row>
    <row r="4083" spans="1:7" s="53" customFormat="1" ht="15" thickTop="1" x14ac:dyDescent="0.35">
      <c r="A4083" s="223"/>
      <c r="B4083" s="88"/>
      <c r="C4083" s="89" t="s">
        <v>122</v>
      </c>
      <c r="D4083" s="90">
        <v>140000</v>
      </c>
      <c r="F4083" s="94"/>
    </row>
    <row r="4084" spans="1:7" s="53" customFormat="1" x14ac:dyDescent="0.35">
      <c r="A4084" s="223"/>
      <c r="B4084" s="88" t="s">
        <v>1078</v>
      </c>
      <c r="C4084" s="99" t="s">
        <v>123</v>
      </c>
      <c r="D4084" s="90">
        <v>15000</v>
      </c>
      <c r="E4084" s="91" t="s">
        <v>124</v>
      </c>
      <c r="F4084" s="92"/>
    </row>
    <row r="4085" spans="1:7" s="53" customFormat="1" x14ac:dyDescent="0.35">
      <c r="A4085" s="223"/>
      <c r="B4085" s="101"/>
      <c r="C4085" s="99" t="s">
        <v>125</v>
      </c>
      <c r="D4085" s="100">
        <v>10000</v>
      </c>
      <c r="E4085" s="102"/>
      <c r="F4085" s="103"/>
    </row>
    <row r="4086" spans="1:7" s="53" customFormat="1" x14ac:dyDescent="0.35">
      <c r="A4086" s="223"/>
      <c r="B4086" s="101"/>
      <c r="C4086" s="99" t="s">
        <v>126</v>
      </c>
      <c r="D4086" s="100">
        <v>40000</v>
      </c>
      <c r="E4086" s="102" t="s">
        <v>127</v>
      </c>
      <c r="F4086" s="103"/>
    </row>
    <row r="4087" spans="1:7" s="53" customFormat="1" x14ac:dyDescent="0.35">
      <c r="A4087" s="223"/>
      <c r="B4087" s="101"/>
      <c r="C4087" s="89" t="s">
        <v>710</v>
      </c>
      <c r="D4087" s="104">
        <v>20000</v>
      </c>
      <c r="E4087" s="102" t="s">
        <v>1108</v>
      </c>
      <c r="F4087" s="103"/>
    </row>
    <row r="4088" spans="1:7" s="53" customFormat="1" ht="15" thickBot="1" x14ac:dyDescent="0.4">
      <c r="A4088" s="223"/>
      <c r="B4088" s="105"/>
      <c r="C4088" s="106"/>
      <c r="D4088" s="107"/>
      <c r="F4088" s="94"/>
    </row>
    <row r="4089" spans="1:7" s="53" customFormat="1" ht="15" thickBot="1" x14ac:dyDescent="0.4">
      <c r="A4089" s="223"/>
      <c r="B4089" s="108"/>
      <c r="C4089" s="109" t="s">
        <v>129</v>
      </c>
      <c r="D4089" s="110">
        <f>SUM(D4076:D4088)</f>
        <v>7542250</v>
      </c>
      <c r="F4089" s="94"/>
    </row>
    <row r="4090" spans="1:7" s="53" customFormat="1" ht="15.5" thickTop="1" thickBot="1" x14ac:dyDescent="0.4">
      <c r="A4090" s="224"/>
      <c r="B4090" s="226"/>
      <c r="C4090" s="226"/>
      <c r="D4090" s="226"/>
      <c r="F4090" s="94"/>
    </row>
    <row r="4091" spans="1:7" s="53" customFormat="1" x14ac:dyDescent="0.35">
      <c r="B4091" s="87"/>
      <c r="C4091" s="53" t="s">
        <v>130</v>
      </c>
      <c r="D4091" s="111">
        <f>D4073-D4089</f>
        <v>3167750</v>
      </c>
      <c r="F4091" s="94"/>
    </row>
    <row r="4092" spans="1:7" s="53" customFormat="1" x14ac:dyDescent="0.35">
      <c r="B4092" s="87"/>
      <c r="D4092" s="111"/>
      <c r="F4092" s="94"/>
    </row>
    <row r="4093" spans="1:7" s="53" customFormat="1" x14ac:dyDescent="0.35">
      <c r="A4093" s="112"/>
      <c r="B4093" s="113"/>
      <c r="C4093" s="112"/>
      <c r="D4093" s="114"/>
      <c r="E4093" s="112"/>
      <c r="F4093" s="178"/>
    </row>
    <row r="4095" spans="1:7" s="53" customFormat="1" ht="23.5" x14ac:dyDescent="0.55000000000000004">
      <c r="B4095" s="227" t="s">
        <v>0</v>
      </c>
      <c r="C4095" s="227"/>
      <c r="D4095" s="227"/>
      <c r="E4095" s="70"/>
      <c r="F4095" s="176"/>
    </row>
    <row r="4096" spans="1:7" s="53" customFormat="1" ht="20.5" x14ac:dyDescent="0.45">
      <c r="B4096" s="71"/>
      <c r="C4096" s="72" t="s">
        <v>1082</v>
      </c>
      <c r="D4096" s="73"/>
      <c r="F4096" s="94"/>
    </row>
    <row r="4097" spans="1:7" s="53" customFormat="1" ht="21" thickBot="1" x14ac:dyDescent="0.5">
      <c r="B4097" s="71" t="s">
        <v>964</v>
      </c>
      <c r="C4097" s="74" t="s">
        <v>103</v>
      </c>
      <c r="D4097" s="73"/>
      <c r="F4097" s="94"/>
    </row>
    <row r="4098" spans="1:7" s="53" customFormat="1" ht="15" thickBot="1" x14ac:dyDescent="0.4">
      <c r="A4098" s="75" t="s">
        <v>104</v>
      </c>
      <c r="B4098" s="76" t="s">
        <v>81</v>
      </c>
      <c r="C4098" s="76" t="s">
        <v>105</v>
      </c>
      <c r="D4098" s="77" t="s">
        <v>84</v>
      </c>
      <c r="F4098" s="94"/>
    </row>
    <row r="4099" spans="1:7" s="53" customFormat="1" ht="14.5" customHeight="1" x14ac:dyDescent="0.35">
      <c r="A4099" s="222" t="s">
        <v>92</v>
      </c>
      <c r="B4099" s="78" t="s">
        <v>1073</v>
      </c>
      <c r="C4099" s="79" t="s">
        <v>319</v>
      </c>
      <c r="D4099" s="80">
        <f>F4106</f>
        <v>10865000</v>
      </c>
      <c r="F4099" s="94"/>
    </row>
    <row r="4100" spans="1:7" s="53" customFormat="1" ht="21" thickBot="1" x14ac:dyDescent="0.5">
      <c r="A4100" s="223"/>
      <c r="B4100" s="71"/>
      <c r="C4100" s="71"/>
      <c r="D4100" s="73"/>
      <c r="F4100" s="94"/>
    </row>
    <row r="4101" spans="1:7" s="53" customFormat="1" ht="15" thickBot="1" x14ac:dyDescent="0.4">
      <c r="A4101" s="223"/>
      <c r="B4101" s="81" t="s">
        <v>81</v>
      </c>
      <c r="C4101" s="82" t="s">
        <v>107</v>
      </c>
      <c r="D4101" s="83" t="s">
        <v>108</v>
      </c>
      <c r="F4101" s="94"/>
    </row>
    <row r="4102" spans="1:7" s="87" customFormat="1" x14ac:dyDescent="0.35">
      <c r="A4102" s="223"/>
      <c r="B4102" s="84" t="str">
        <f>B4099</f>
        <v>30th August,2025</v>
      </c>
      <c r="C4102" s="85" t="s">
        <v>1236</v>
      </c>
      <c r="D4102" s="86">
        <f>1850*2754</f>
        <v>5094900</v>
      </c>
      <c r="F4102" s="177"/>
    </row>
    <row r="4103" spans="1:7" s="53" customFormat="1" x14ac:dyDescent="0.35">
      <c r="A4103" s="223"/>
      <c r="B4103" s="88"/>
      <c r="C4103" s="89" t="s">
        <v>188</v>
      </c>
      <c r="D4103" s="90">
        <f>325*2650</f>
        <v>861250</v>
      </c>
      <c r="F4103" s="94"/>
    </row>
    <row r="4104" spans="1:7" s="53" customFormat="1" x14ac:dyDescent="0.35">
      <c r="A4104" s="223"/>
      <c r="B4104" s="88" t="s">
        <v>109</v>
      </c>
      <c r="C4104" s="89" t="s">
        <v>110</v>
      </c>
      <c r="D4104" s="90">
        <v>1000000</v>
      </c>
      <c r="F4104" s="94"/>
    </row>
    <row r="4105" spans="1:7" s="53" customFormat="1" x14ac:dyDescent="0.35">
      <c r="A4105" s="223"/>
      <c r="B4105" s="88" t="s">
        <v>111</v>
      </c>
      <c r="C4105" s="89" t="s">
        <v>112</v>
      </c>
      <c r="D4105" s="90">
        <v>40000</v>
      </c>
      <c r="E4105" s="225" t="s">
        <v>113</v>
      </c>
      <c r="F4105" s="225"/>
    </row>
    <row r="4106" spans="1:7" s="53" customFormat="1" x14ac:dyDescent="0.35">
      <c r="A4106" s="223"/>
      <c r="B4106" s="88" t="s">
        <v>182</v>
      </c>
      <c r="C4106" s="89" t="s">
        <v>115</v>
      </c>
      <c r="D4106" s="90">
        <f>1050*120</f>
        <v>126000</v>
      </c>
      <c r="E4106" s="91" t="s">
        <v>116</v>
      </c>
      <c r="F4106" s="92">
        <f>4100*2650</f>
        <v>10865000</v>
      </c>
    </row>
    <row r="4107" spans="1:7" s="53" customFormat="1" x14ac:dyDescent="0.35">
      <c r="A4107" s="223"/>
      <c r="B4107" s="88"/>
      <c r="C4107" s="89" t="s">
        <v>117</v>
      </c>
      <c r="D4107" s="90">
        <f>3650*120</f>
        <v>438000</v>
      </c>
      <c r="E4107" s="93" t="s">
        <v>118</v>
      </c>
      <c r="F4107" s="94">
        <f>4100*2650</f>
        <v>10865000</v>
      </c>
    </row>
    <row r="4108" spans="1:7" s="53" customFormat="1" ht="15" thickBot="1" x14ac:dyDescent="0.4">
      <c r="A4108" s="223"/>
      <c r="B4108" s="88" t="s">
        <v>119</v>
      </c>
      <c r="C4108" s="89" t="s">
        <v>120</v>
      </c>
      <c r="D4108" s="95">
        <v>30000</v>
      </c>
      <c r="E4108" s="96" t="s">
        <v>121</v>
      </c>
      <c r="F4108" s="97">
        <f>F4106-F4107</f>
        <v>0</v>
      </c>
      <c r="G4108" s="98">
        <f>F4108/2650</f>
        <v>0</v>
      </c>
    </row>
    <row r="4109" spans="1:7" s="53" customFormat="1" ht="15" thickTop="1" x14ac:dyDescent="0.35">
      <c r="A4109" s="223"/>
      <c r="B4109" s="88"/>
      <c r="C4109" s="89" t="s">
        <v>122</v>
      </c>
      <c r="D4109" s="90">
        <v>140000</v>
      </c>
      <c r="F4109" s="94"/>
    </row>
    <row r="4110" spans="1:7" s="53" customFormat="1" x14ac:dyDescent="0.35">
      <c r="A4110" s="223"/>
      <c r="B4110" s="88" t="s">
        <v>1080</v>
      </c>
      <c r="C4110" s="99" t="s">
        <v>123</v>
      </c>
      <c r="D4110" s="90">
        <v>15000</v>
      </c>
      <c r="E4110" s="91" t="s">
        <v>124</v>
      </c>
      <c r="F4110" s="92"/>
    </row>
    <row r="4111" spans="1:7" s="53" customFormat="1" x14ac:dyDescent="0.35">
      <c r="A4111" s="223"/>
      <c r="B4111" s="101"/>
      <c r="C4111" s="99" t="s">
        <v>125</v>
      </c>
      <c r="D4111" s="100">
        <v>10000</v>
      </c>
      <c r="E4111" s="102"/>
      <c r="F4111" s="103"/>
    </row>
    <row r="4112" spans="1:7" s="53" customFormat="1" x14ac:dyDescent="0.35">
      <c r="A4112" s="223"/>
      <c r="B4112" s="101"/>
      <c r="C4112" s="99" t="s">
        <v>126</v>
      </c>
      <c r="D4112" s="100">
        <v>20000</v>
      </c>
      <c r="E4112" s="102" t="s">
        <v>127</v>
      </c>
      <c r="F4112" s="103"/>
    </row>
    <row r="4113" spans="1:6" s="53" customFormat="1" x14ac:dyDescent="0.35">
      <c r="A4113" s="223"/>
      <c r="B4113" s="101"/>
      <c r="C4113" s="89" t="s">
        <v>265</v>
      </c>
      <c r="D4113" s="104">
        <f>886*121</f>
        <v>107206</v>
      </c>
      <c r="E4113" s="102" t="s">
        <v>1411</v>
      </c>
      <c r="F4113" s="103"/>
    </row>
    <row r="4114" spans="1:6" s="53" customFormat="1" ht="15" thickBot="1" x14ac:dyDescent="0.4">
      <c r="A4114" s="223"/>
      <c r="B4114" s="105"/>
      <c r="C4114" s="106"/>
      <c r="D4114" s="107"/>
      <c r="F4114" s="94"/>
    </row>
    <row r="4115" spans="1:6" s="53" customFormat="1" ht="15" thickBot="1" x14ac:dyDescent="0.4">
      <c r="A4115" s="223"/>
      <c r="B4115" s="108"/>
      <c r="C4115" s="109" t="s">
        <v>129</v>
      </c>
      <c r="D4115" s="110">
        <f>SUM(D4102:D4114)</f>
        <v>7882356</v>
      </c>
      <c r="F4115" s="94"/>
    </row>
    <row r="4116" spans="1:6" s="53" customFormat="1" ht="15.5" thickTop="1" thickBot="1" x14ac:dyDescent="0.4">
      <c r="A4116" s="224"/>
      <c r="B4116" s="226"/>
      <c r="C4116" s="226"/>
      <c r="D4116" s="226"/>
      <c r="F4116" s="94"/>
    </row>
    <row r="4117" spans="1:6" s="53" customFormat="1" x14ac:dyDescent="0.35">
      <c r="B4117" s="87"/>
      <c r="C4117" s="53" t="s">
        <v>130</v>
      </c>
      <c r="D4117" s="111">
        <f>D4099-D4115</f>
        <v>2982644</v>
      </c>
      <c r="F4117" s="94"/>
    </row>
    <row r="4118" spans="1:6" s="53" customFormat="1" x14ac:dyDescent="0.35">
      <c r="B4118" s="87"/>
      <c r="D4118" s="111"/>
      <c r="F4118" s="94"/>
    </row>
    <row r="4119" spans="1:6" s="53" customFormat="1" x14ac:dyDescent="0.35">
      <c r="A4119" s="112"/>
      <c r="B4119" s="113"/>
      <c r="C4119" s="112"/>
      <c r="D4119" s="114"/>
      <c r="E4119" s="112"/>
      <c r="F4119" s="178"/>
    </row>
    <row r="4121" spans="1:6" s="53" customFormat="1" ht="23.5" x14ac:dyDescent="0.55000000000000004">
      <c r="B4121" s="227" t="s">
        <v>0</v>
      </c>
      <c r="C4121" s="227"/>
      <c r="D4121" s="227"/>
      <c r="E4121" s="70"/>
      <c r="F4121" s="176"/>
    </row>
    <row r="4122" spans="1:6" s="53" customFormat="1" ht="20.5" x14ac:dyDescent="0.45">
      <c r="B4122" s="71"/>
      <c r="C4122" s="72" t="s">
        <v>1085</v>
      </c>
      <c r="D4122" s="73"/>
      <c r="F4122" s="94"/>
    </row>
    <row r="4123" spans="1:6" s="53" customFormat="1" ht="21" thickBot="1" x14ac:dyDescent="0.5">
      <c r="B4123" s="71" t="s">
        <v>239</v>
      </c>
      <c r="C4123" s="74" t="s">
        <v>103</v>
      </c>
      <c r="D4123" s="73"/>
      <c r="F4123" s="94"/>
    </row>
    <row r="4124" spans="1:6" s="53" customFormat="1" ht="15" thickBot="1" x14ac:dyDescent="0.4">
      <c r="A4124" s="75" t="s">
        <v>104</v>
      </c>
      <c r="B4124" s="76" t="s">
        <v>81</v>
      </c>
      <c r="C4124" s="76" t="s">
        <v>105</v>
      </c>
      <c r="D4124" s="77" t="s">
        <v>84</v>
      </c>
      <c r="F4124" s="94"/>
    </row>
    <row r="4125" spans="1:6" s="53" customFormat="1" ht="14.5" customHeight="1" x14ac:dyDescent="0.35">
      <c r="A4125" s="222" t="s">
        <v>92</v>
      </c>
      <c r="B4125" s="78" t="s">
        <v>1073</v>
      </c>
      <c r="C4125" s="79" t="s">
        <v>319</v>
      </c>
      <c r="D4125" s="80">
        <f>F4132</f>
        <v>10865000</v>
      </c>
      <c r="F4125" s="94"/>
    </row>
    <row r="4126" spans="1:6" s="53" customFormat="1" ht="21" thickBot="1" x14ac:dyDescent="0.5">
      <c r="A4126" s="223"/>
      <c r="B4126" s="71"/>
      <c r="C4126" s="71"/>
      <c r="D4126" s="73"/>
      <c r="F4126" s="94"/>
    </row>
    <row r="4127" spans="1:6" s="53" customFormat="1" ht="15" thickBot="1" x14ac:dyDescent="0.4">
      <c r="A4127" s="223"/>
      <c r="B4127" s="81" t="s">
        <v>81</v>
      </c>
      <c r="C4127" s="82" t="s">
        <v>107</v>
      </c>
      <c r="D4127" s="83" t="s">
        <v>108</v>
      </c>
      <c r="F4127" s="94"/>
    </row>
    <row r="4128" spans="1:6" s="87" customFormat="1" x14ac:dyDescent="0.35">
      <c r="A4128" s="223"/>
      <c r="B4128" s="84" t="str">
        <f>B4125</f>
        <v>30th August,2025</v>
      </c>
      <c r="C4128" s="85" t="s">
        <v>1236</v>
      </c>
      <c r="D4128" s="86">
        <f>1850*2754</f>
        <v>5094900</v>
      </c>
      <c r="F4128" s="177"/>
    </row>
    <row r="4129" spans="1:7" s="53" customFormat="1" x14ac:dyDescent="0.35">
      <c r="A4129" s="223"/>
      <c r="B4129" s="88"/>
      <c r="C4129" s="89" t="s">
        <v>188</v>
      </c>
      <c r="D4129" s="90">
        <f>325*2650</f>
        <v>861250</v>
      </c>
      <c r="F4129" s="94"/>
    </row>
    <row r="4130" spans="1:7" s="53" customFormat="1" x14ac:dyDescent="0.35">
      <c r="A4130" s="223"/>
      <c r="B4130" s="88" t="s">
        <v>109</v>
      </c>
      <c r="C4130" s="89" t="s">
        <v>110</v>
      </c>
      <c r="D4130" s="90">
        <v>1000000</v>
      </c>
      <c r="F4130" s="94"/>
    </row>
    <row r="4131" spans="1:7" s="53" customFormat="1" x14ac:dyDescent="0.35">
      <c r="A4131" s="223"/>
      <c r="B4131" s="88" t="s">
        <v>111</v>
      </c>
      <c r="C4131" s="89" t="s">
        <v>112</v>
      </c>
      <c r="D4131" s="90">
        <v>40000</v>
      </c>
      <c r="E4131" s="225" t="s">
        <v>113</v>
      </c>
      <c r="F4131" s="225"/>
    </row>
    <row r="4132" spans="1:7" s="53" customFormat="1" x14ac:dyDescent="0.35">
      <c r="A4132" s="223"/>
      <c r="B4132" s="88" t="s">
        <v>182</v>
      </c>
      <c r="C4132" s="89" t="s">
        <v>115</v>
      </c>
      <c r="D4132" s="90">
        <f>650*120</f>
        <v>78000</v>
      </c>
      <c r="E4132" s="91" t="s">
        <v>116</v>
      </c>
      <c r="F4132" s="92">
        <f>4100*2650</f>
        <v>10865000</v>
      </c>
    </row>
    <row r="4133" spans="1:7" s="53" customFormat="1" x14ac:dyDescent="0.35">
      <c r="A4133" s="223"/>
      <c r="B4133" s="88"/>
      <c r="C4133" s="89" t="s">
        <v>117</v>
      </c>
      <c r="D4133" s="90">
        <f>5150*120</f>
        <v>618000</v>
      </c>
      <c r="E4133" s="93" t="s">
        <v>118</v>
      </c>
      <c r="F4133" s="94">
        <f>4100*2650</f>
        <v>10865000</v>
      </c>
    </row>
    <row r="4134" spans="1:7" s="53" customFormat="1" ht="15" thickBot="1" x14ac:dyDescent="0.4">
      <c r="A4134" s="223"/>
      <c r="B4134" s="88" t="s">
        <v>119</v>
      </c>
      <c r="C4134" s="89" t="s">
        <v>120</v>
      </c>
      <c r="D4134" s="95">
        <v>30000</v>
      </c>
      <c r="E4134" s="96" t="s">
        <v>121</v>
      </c>
      <c r="F4134" s="97">
        <f>F4132-F4133</f>
        <v>0</v>
      </c>
      <c r="G4134" s="98">
        <f>F4134/2650</f>
        <v>0</v>
      </c>
    </row>
    <row r="4135" spans="1:7" s="53" customFormat="1" ht="15" thickTop="1" x14ac:dyDescent="0.35">
      <c r="A4135" s="223"/>
      <c r="B4135" s="88"/>
      <c r="C4135" s="89" t="s">
        <v>122</v>
      </c>
      <c r="D4135" s="90">
        <v>140000</v>
      </c>
      <c r="F4135" s="94"/>
    </row>
    <row r="4136" spans="1:7" s="53" customFormat="1" x14ac:dyDescent="0.35">
      <c r="A4136" s="223"/>
      <c r="B4136" s="88" t="s">
        <v>1084</v>
      </c>
      <c r="C4136" s="99" t="s">
        <v>123</v>
      </c>
      <c r="D4136" s="90">
        <v>15000</v>
      </c>
      <c r="E4136" s="91" t="s">
        <v>124</v>
      </c>
      <c r="F4136" s="92"/>
    </row>
    <row r="4137" spans="1:7" s="53" customFormat="1" x14ac:dyDescent="0.35">
      <c r="A4137" s="223"/>
      <c r="B4137" s="101"/>
      <c r="C4137" s="99" t="s">
        <v>125</v>
      </c>
      <c r="D4137" s="100">
        <v>10000</v>
      </c>
      <c r="E4137" s="102"/>
      <c r="F4137" s="103"/>
    </row>
    <row r="4138" spans="1:7" s="53" customFormat="1" x14ac:dyDescent="0.35">
      <c r="A4138" s="223"/>
      <c r="B4138" s="101"/>
      <c r="C4138" s="99" t="s">
        <v>126</v>
      </c>
      <c r="D4138" s="100">
        <v>20000</v>
      </c>
      <c r="E4138" s="102" t="s">
        <v>127</v>
      </c>
      <c r="F4138" s="103"/>
    </row>
    <row r="4139" spans="1:7" s="53" customFormat="1" x14ac:dyDescent="0.35">
      <c r="A4139" s="223"/>
      <c r="B4139" s="101"/>
      <c r="C4139" s="89" t="s">
        <v>265</v>
      </c>
      <c r="D4139" s="104">
        <f>1577*120</f>
        <v>189240</v>
      </c>
      <c r="E4139" s="102" t="s">
        <v>1464</v>
      </c>
      <c r="F4139" s="103"/>
    </row>
    <row r="4140" spans="1:7" s="53" customFormat="1" ht="15" thickBot="1" x14ac:dyDescent="0.4">
      <c r="A4140" s="223"/>
      <c r="B4140" s="105"/>
      <c r="C4140" s="106" t="s">
        <v>710</v>
      </c>
      <c r="D4140" s="107">
        <v>20000</v>
      </c>
      <c r="F4140" s="94"/>
    </row>
    <row r="4141" spans="1:7" s="53" customFormat="1" ht="15" thickBot="1" x14ac:dyDescent="0.4">
      <c r="A4141" s="223"/>
      <c r="B4141" s="108"/>
      <c r="C4141" s="109" t="s">
        <v>129</v>
      </c>
      <c r="D4141" s="110">
        <f>SUM(D4128:D4140)</f>
        <v>8116390</v>
      </c>
      <c r="F4141" s="94"/>
    </row>
    <row r="4142" spans="1:7" s="53" customFormat="1" ht="15.5" thickTop="1" thickBot="1" x14ac:dyDescent="0.4">
      <c r="A4142" s="224"/>
      <c r="B4142" s="226"/>
      <c r="C4142" s="226"/>
      <c r="D4142" s="226"/>
      <c r="F4142" s="94"/>
    </row>
    <row r="4143" spans="1:7" s="53" customFormat="1" x14ac:dyDescent="0.35">
      <c r="B4143" s="87"/>
      <c r="C4143" s="53" t="s">
        <v>130</v>
      </c>
      <c r="D4143" s="111">
        <f>D4125-D4141</f>
        <v>2748610</v>
      </c>
      <c r="F4143" s="94"/>
    </row>
    <row r="4144" spans="1:7" s="53" customFormat="1" x14ac:dyDescent="0.35">
      <c r="B4144" s="87"/>
      <c r="D4144" s="111"/>
      <c r="F4144" s="94"/>
    </row>
    <row r="4145" spans="1:7" s="53" customFormat="1" x14ac:dyDescent="0.35">
      <c r="A4145" s="112"/>
      <c r="B4145" s="113"/>
      <c r="C4145" s="112"/>
      <c r="D4145" s="114"/>
      <c r="E4145" s="112"/>
      <c r="F4145" s="178"/>
    </row>
    <row r="4147" spans="1:7" s="53" customFormat="1" ht="20.5" x14ac:dyDescent="0.45">
      <c r="B4147" s="71"/>
      <c r="C4147" s="72" t="s">
        <v>1088</v>
      </c>
      <c r="D4147" s="73"/>
      <c r="F4147" s="94"/>
    </row>
    <row r="4148" spans="1:7" s="53" customFormat="1" ht="21" thickBot="1" x14ac:dyDescent="0.5">
      <c r="B4148" s="71" t="s">
        <v>1089</v>
      </c>
      <c r="C4148" s="74" t="s">
        <v>103</v>
      </c>
      <c r="D4148" s="73"/>
      <c r="F4148" s="94"/>
    </row>
    <row r="4149" spans="1:7" s="53" customFormat="1" ht="15" thickBot="1" x14ac:dyDescent="0.4">
      <c r="A4149" s="75" t="s">
        <v>104</v>
      </c>
      <c r="B4149" s="76" t="s">
        <v>81</v>
      </c>
      <c r="C4149" s="76" t="s">
        <v>105</v>
      </c>
      <c r="D4149" s="77" t="s">
        <v>84</v>
      </c>
      <c r="F4149" s="94"/>
    </row>
    <row r="4150" spans="1:7" s="53" customFormat="1" ht="14.5" customHeight="1" x14ac:dyDescent="0.35">
      <c r="A4150" s="222" t="s">
        <v>92</v>
      </c>
      <c r="B4150" s="78" t="s">
        <v>1073</v>
      </c>
      <c r="C4150" s="79" t="s">
        <v>319</v>
      </c>
      <c r="D4150" s="80">
        <f>F4157</f>
        <v>10865000</v>
      </c>
      <c r="F4150" s="94"/>
    </row>
    <row r="4151" spans="1:7" s="53" customFormat="1" ht="21" thickBot="1" x14ac:dyDescent="0.5">
      <c r="A4151" s="223"/>
      <c r="B4151" s="71"/>
      <c r="C4151" s="71"/>
      <c r="D4151" s="73"/>
      <c r="F4151" s="94"/>
    </row>
    <row r="4152" spans="1:7" s="53" customFormat="1" ht="15" thickBot="1" x14ac:dyDescent="0.4">
      <c r="A4152" s="223"/>
      <c r="B4152" s="81" t="s">
        <v>81</v>
      </c>
      <c r="C4152" s="82" t="s">
        <v>107</v>
      </c>
      <c r="D4152" s="83" t="s">
        <v>108</v>
      </c>
      <c r="F4152" s="94"/>
    </row>
    <row r="4153" spans="1:7" s="87" customFormat="1" x14ac:dyDescent="0.35">
      <c r="A4153" s="223"/>
      <c r="B4153" s="84" t="str">
        <f>B4150</f>
        <v>30th August,2025</v>
      </c>
      <c r="C4153" s="85" t="s">
        <v>1236</v>
      </c>
      <c r="D4153" s="86">
        <f>1850*2754</f>
        <v>5094900</v>
      </c>
      <c r="F4153" s="177"/>
    </row>
    <row r="4154" spans="1:7" s="53" customFormat="1" x14ac:dyDescent="0.35">
      <c r="A4154" s="223"/>
      <c r="B4154" s="88"/>
      <c r="C4154" s="89" t="s">
        <v>188</v>
      </c>
      <c r="D4154" s="90">
        <f>325*2650</f>
        <v>861250</v>
      </c>
      <c r="F4154" s="94"/>
    </row>
    <row r="4155" spans="1:7" s="53" customFormat="1" x14ac:dyDescent="0.35">
      <c r="A4155" s="223"/>
      <c r="B4155" s="88" t="s">
        <v>109</v>
      </c>
      <c r="C4155" s="89" t="s">
        <v>110</v>
      </c>
      <c r="D4155" s="90">
        <v>1000000</v>
      </c>
      <c r="F4155" s="94"/>
    </row>
    <row r="4156" spans="1:7" s="53" customFormat="1" x14ac:dyDescent="0.35">
      <c r="A4156" s="223"/>
      <c r="B4156" s="88" t="s">
        <v>111</v>
      </c>
      <c r="C4156" s="89" t="s">
        <v>112</v>
      </c>
      <c r="D4156" s="90">
        <v>40000</v>
      </c>
      <c r="E4156" s="225" t="s">
        <v>113</v>
      </c>
      <c r="F4156" s="225"/>
    </row>
    <row r="4157" spans="1:7" s="53" customFormat="1" x14ac:dyDescent="0.35">
      <c r="A4157" s="223"/>
      <c r="B4157" s="88" t="s">
        <v>182</v>
      </c>
      <c r="C4157" s="89" t="s">
        <v>115</v>
      </c>
      <c r="D4157" s="90">
        <f>650*120</f>
        <v>78000</v>
      </c>
      <c r="E4157" s="91" t="s">
        <v>116</v>
      </c>
      <c r="F4157" s="92">
        <f>4100*2650</f>
        <v>10865000</v>
      </c>
    </row>
    <row r="4158" spans="1:7" s="53" customFormat="1" x14ac:dyDescent="0.35">
      <c r="A4158" s="223"/>
      <c r="B4158" s="88"/>
      <c r="C4158" s="89" t="s">
        <v>117</v>
      </c>
      <c r="D4158" s="90">
        <f>5150*120</f>
        <v>618000</v>
      </c>
      <c r="E4158" s="93" t="s">
        <v>118</v>
      </c>
      <c r="F4158" s="94">
        <f>4100*2650</f>
        <v>10865000</v>
      </c>
    </row>
    <row r="4159" spans="1:7" s="53" customFormat="1" ht="15" thickBot="1" x14ac:dyDescent="0.4">
      <c r="A4159" s="223"/>
      <c r="B4159" s="88" t="s">
        <v>119</v>
      </c>
      <c r="C4159" s="89" t="s">
        <v>120</v>
      </c>
      <c r="D4159" s="95">
        <v>30000</v>
      </c>
      <c r="E4159" s="96" t="s">
        <v>121</v>
      </c>
      <c r="F4159" s="97">
        <f>F4157-F4158</f>
        <v>0</v>
      </c>
      <c r="G4159" s="98">
        <f>F4159/2650</f>
        <v>0</v>
      </c>
    </row>
    <row r="4160" spans="1:7" s="53" customFormat="1" ht="15" thickTop="1" x14ac:dyDescent="0.35">
      <c r="A4160" s="223"/>
      <c r="B4160" s="88"/>
      <c r="C4160" s="89" t="s">
        <v>122</v>
      </c>
      <c r="D4160" s="90">
        <v>140000</v>
      </c>
      <c r="F4160" s="94"/>
    </row>
    <row r="4161" spans="1:6" s="53" customFormat="1" x14ac:dyDescent="0.35">
      <c r="A4161" s="223"/>
      <c r="B4161" s="88" t="s">
        <v>1087</v>
      </c>
      <c r="C4161" s="99" t="s">
        <v>123</v>
      </c>
      <c r="D4161" s="90">
        <v>15000</v>
      </c>
      <c r="E4161" s="91" t="s">
        <v>124</v>
      </c>
      <c r="F4161" s="92"/>
    </row>
    <row r="4162" spans="1:6" s="53" customFormat="1" x14ac:dyDescent="0.35">
      <c r="A4162" s="223"/>
      <c r="B4162" s="101"/>
      <c r="C4162" s="99" t="s">
        <v>125</v>
      </c>
      <c r="D4162" s="100">
        <v>10000</v>
      </c>
      <c r="E4162" s="102"/>
      <c r="F4162" s="103"/>
    </row>
    <row r="4163" spans="1:6" s="53" customFormat="1" x14ac:dyDescent="0.35">
      <c r="A4163" s="223"/>
      <c r="B4163" s="101"/>
      <c r="C4163" s="99" t="s">
        <v>126</v>
      </c>
      <c r="D4163" s="100">
        <v>20000</v>
      </c>
      <c r="E4163" s="102" t="s">
        <v>127</v>
      </c>
      <c r="F4163" s="103"/>
    </row>
    <row r="4164" spans="1:6" s="53" customFormat="1" x14ac:dyDescent="0.35">
      <c r="A4164" s="223"/>
      <c r="B4164" s="101"/>
      <c r="C4164" s="89" t="s">
        <v>265</v>
      </c>
      <c r="D4164" s="104">
        <f>1577*120</f>
        <v>189240</v>
      </c>
      <c r="E4164" s="102" t="s">
        <v>1411</v>
      </c>
      <c r="F4164" s="103"/>
    </row>
    <row r="4165" spans="1:6" s="53" customFormat="1" ht="15" thickBot="1" x14ac:dyDescent="0.4">
      <c r="A4165" s="223"/>
      <c r="B4165" s="105"/>
      <c r="C4165" s="106" t="s">
        <v>710</v>
      </c>
      <c r="D4165" s="107">
        <v>20000</v>
      </c>
      <c r="F4165" s="94"/>
    </row>
    <row r="4166" spans="1:6" s="53" customFormat="1" ht="15" thickBot="1" x14ac:dyDescent="0.4">
      <c r="A4166" s="223"/>
      <c r="B4166" s="108"/>
      <c r="C4166" s="109" t="s">
        <v>129</v>
      </c>
      <c r="D4166" s="110">
        <f>SUM(D4153:D4165)</f>
        <v>8116390</v>
      </c>
      <c r="F4166" s="94"/>
    </row>
    <row r="4167" spans="1:6" s="53" customFormat="1" ht="15.5" thickTop="1" thickBot="1" x14ac:dyDescent="0.4">
      <c r="A4167" s="224"/>
      <c r="B4167" s="226"/>
      <c r="C4167" s="226"/>
      <c r="D4167" s="226"/>
      <c r="F4167" s="94"/>
    </row>
    <row r="4168" spans="1:6" s="53" customFormat="1" x14ac:dyDescent="0.35">
      <c r="B4168" s="87"/>
      <c r="C4168" s="53" t="s">
        <v>130</v>
      </c>
      <c r="D4168" s="111">
        <f>D4150-D4166</f>
        <v>2748610</v>
      </c>
      <c r="F4168" s="94"/>
    </row>
    <row r="4169" spans="1:6" s="53" customFormat="1" x14ac:dyDescent="0.35">
      <c r="B4169" s="87"/>
      <c r="D4169" s="111"/>
      <c r="F4169" s="94"/>
    </row>
    <row r="4170" spans="1:6" s="53" customFormat="1" x14ac:dyDescent="0.35">
      <c r="A4170" s="112"/>
      <c r="B4170" s="113"/>
      <c r="C4170" s="112"/>
      <c r="D4170" s="114"/>
      <c r="E4170" s="112"/>
      <c r="F4170" s="178"/>
    </row>
    <row r="4172" spans="1:6" s="53" customFormat="1" ht="20.5" x14ac:dyDescent="0.45">
      <c r="B4172" s="71"/>
      <c r="C4172" s="72" t="s">
        <v>1092</v>
      </c>
      <c r="D4172" s="73"/>
      <c r="F4172" s="94"/>
    </row>
    <row r="4173" spans="1:6" s="53" customFormat="1" ht="21" thickBot="1" x14ac:dyDescent="0.5">
      <c r="B4173" s="71" t="s">
        <v>208</v>
      </c>
      <c r="C4173" s="74" t="s">
        <v>103</v>
      </c>
      <c r="D4173" s="73"/>
      <c r="F4173" s="94"/>
    </row>
    <row r="4174" spans="1:6" s="53" customFormat="1" ht="15" thickBot="1" x14ac:dyDescent="0.4">
      <c r="A4174" s="75" t="s">
        <v>104</v>
      </c>
      <c r="B4174" s="76" t="s">
        <v>81</v>
      </c>
      <c r="C4174" s="76" t="s">
        <v>105</v>
      </c>
      <c r="D4174" s="77" t="s">
        <v>84</v>
      </c>
      <c r="F4174" s="94"/>
    </row>
    <row r="4175" spans="1:6" s="53" customFormat="1" ht="14.5" customHeight="1" x14ac:dyDescent="0.35">
      <c r="A4175" s="222" t="s">
        <v>92</v>
      </c>
      <c r="B4175" s="78" t="s">
        <v>1073</v>
      </c>
      <c r="C4175" s="79" t="s">
        <v>319</v>
      </c>
      <c r="D4175" s="80">
        <f>F4182</f>
        <v>10865000</v>
      </c>
      <c r="F4175" s="94"/>
    </row>
    <row r="4176" spans="1:6" s="53" customFormat="1" ht="21" thickBot="1" x14ac:dyDescent="0.5">
      <c r="A4176" s="223"/>
      <c r="B4176" s="71"/>
      <c r="C4176" s="71"/>
      <c r="D4176" s="73"/>
      <c r="F4176" s="94"/>
    </row>
    <row r="4177" spans="1:7" s="53" customFormat="1" ht="15" thickBot="1" x14ac:dyDescent="0.4">
      <c r="A4177" s="223"/>
      <c r="B4177" s="81" t="s">
        <v>81</v>
      </c>
      <c r="C4177" s="82" t="s">
        <v>107</v>
      </c>
      <c r="D4177" s="83" t="s">
        <v>108</v>
      </c>
      <c r="F4177" s="94"/>
    </row>
    <row r="4178" spans="1:7" s="87" customFormat="1" x14ac:dyDescent="0.35">
      <c r="A4178" s="223"/>
      <c r="B4178" s="84" t="str">
        <f>B4175</f>
        <v>30th August,2025</v>
      </c>
      <c r="C4178" s="85" t="s">
        <v>1236</v>
      </c>
      <c r="D4178" s="86">
        <f>1850*2754</f>
        <v>5094900</v>
      </c>
      <c r="F4178" s="177"/>
    </row>
    <row r="4179" spans="1:7" s="53" customFormat="1" x14ac:dyDescent="0.35">
      <c r="A4179" s="223"/>
      <c r="B4179" s="88"/>
      <c r="C4179" s="89" t="s">
        <v>188</v>
      </c>
      <c r="D4179" s="90">
        <f>325*2650</f>
        <v>861250</v>
      </c>
      <c r="F4179" s="94"/>
    </row>
    <row r="4180" spans="1:7" s="53" customFormat="1" x14ac:dyDescent="0.35">
      <c r="A4180" s="223"/>
      <c r="B4180" s="88" t="s">
        <v>109</v>
      </c>
      <c r="C4180" s="89" t="s">
        <v>110</v>
      </c>
      <c r="D4180" s="90">
        <v>1000000</v>
      </c>
      <c r="F4180" s="94"/>
    </row>
    <row r="4181" spans="1:7" s="53" customFormat="1" x14ac:dyDescent="0.35">
      <c r="A4181" s="223"/>
      <c r="B4181" s="88" t="s">
        <v>111</v>
      </c>
      <c r="C4181" s="89" t="s">
        <v>112</v>
      </c>
      <c r="D4181" s="90">
        <v>40000</v>
      </c>
      <c r="E4181" s="225" t="s">
        <v>113</v>
      </c>
      <c r="F4181" s="225"/>
    </row>
    <row r="4182" spans="1:7" s="53" customFormat="1" x14ac:dyDescent="0.35">
      <c r="A4182" s="223"/>
      <c r="B4182" s="88" t="s">
        <v>182</v>
      </c>
      <c r="C4182" s="89" t="s">
        <v>115</v>
      </c>
      <c r="D4182" s="90">
        <f>1000*120</f>
        <v>120000</v>
      </c>
      <c r="E4182" s="91" t="s">
        <v>116</v>
      </c>
      <c r="F4182" s="92">
        <f>4100*2650</f>
        <v>10865000</v>
      </c>
    </row>
    <row r="4183" spans="1:7" s="53" customFormat="1" x14ac:dyDescent="0.35">
      <c r="A4183" s="223"/>
      <c r="B4183" s="88"/>
      <c r="C4183" s="89" t="s">
        <v>117</v>
      </c>
      <c r="D4183" s="90">
        <f>3500*120</f>
        <v>420000</v>
      </c>
      <c r="E4183" s="93" t="s">
        <v>118</v>
      </c>
      <c r="F4183" s="94">
        <f>4100*2650</f>
        <v>10865000</v>
      </c>
    </row>
    <row r="4184" spans="1:7" s="53" customFormat="1" ht="15" thickBot="1" x14ac:dyDescent="0.4">
      <c r="A4184" s="223"/>
      <c r="B4184" s="88" t="s">
        <v>119</v>
      </c>
      <c r="C4184" s="89" t="s">
        <v>120</v>
      </c>
      <c r="D4184" s="95">
        <v>30000</v>
      </c>
      <c r="E4184" s="96" t="s">
        <v>121</v>
      </c>
      <c r="F4184" s="97">
        <f>F4182-F4183</f>
        <v>0</v>
      </c>
      <c r="G4184" s="98">
        <f>F4184/2650</f>
        <v>0</v>
      </c>
    </row>
    <row r="4185" spans="1:7" s="53" customFormat="1" ht="15" thickTop="1" x14ac:dyDescent="0.35">
      <c r="A4185" s="223"/>
      <c r="B4185" s="88"/>
      <c r="C4185" s="89" t="s">
        <v>122</v>
      </c>
      <c r="D4185" s="90">
        <v>140000</v>
      </c>
      <c r="F4185" s="94"/>
    </row>
    <row r="4186" spans="1:7" s="53" customFormat="1" x14ac:dyDescent="0.35">
      <c r="A4186" s="223"/>
      <c r="B4186" s="88" t="s">
        <v>1091</v>
      </c>
      <c r="C4186" s="99" t="s">
        <v>123</v>
      </c>
      <c r="D4186" s="90">
        <v>15000</v>
      </c>
      <c r="E4186" s="91" t="s">
        <v>124</v>
      </c>
      <c r="F4186" s="92"/>
    </row>
    <row r="4187" spans="1:7" s="53" customFormat="1" x14ac:dyDescent="0.35">
      <c r="A4187" s="223"/>
      <c r="B4187" s="101"/>
      <c r="C4187" s="99" t="s">
        <v>125</v>
      </c>
      <c r="D4187" s="100">
        <v>10000</v>
      </c>
      <c r="E4187" s="102"/>
      <c r="F4187" s="103"/>
    </row>
    <row r="4188" spans="1:7" s="53" customFormat="1" x14ac:dyDescent="0.35">
      <c r="A4188" s="223"/>
      <c r="B4188" s="101"/>
      <c r="C4188" s="99" t="s">
        <v>126</v>
      </c>
      <c r="D4188" s="100">
        <v>40000</v>
      </c>
      <c r="E4188" s="102" t="s">
        <v>127</v>
      </c>
      <c r="F4188" s="103"/>
    </row>
    <row r="4189" spans="1:7" s="53" customFormat="1" x14ac:dyDescent="0.35">
      <c r="A4189" s="223"/>
      <c r="B4189" s="101"/>
      <c r="C4189" s="89" t="s">
        <v>265</v>
      </c>
      <c r="D4189" s="104">
        <f>886*126</f>
        <v>111636</v>
      </c>
      <c r="E4189" s="102" t="s">
        <v>1362</v>
      </c>
      <c r="F4189" s="103"/>
    </row>
    <row r="4190" spans="1:7" s="53" customFormat="1" ht="15" thickBot="1" x14ac:dyDescent="0.4">
      <c r="A4190" s="223"/>
      <c r="B4190" s="105"/>
      <c r="C4190" s="106" t="s">
        <v>710</v>
      </c>
      <c r="D4190" s="107">
        <v>20000</v>
      </c>
      <c r="F4190" s="94"/>
    </row>
    <row r="4191" spans="1:7" s="53" customFormat="1" ht="15" thickBot="1" x14ac:dyDescent="0.4">
      <c r="A4191" s="223"/>
      <c r="B4191" s="108"/>
      <c r="C4191" s="109" t="s">
        <v>129</v>
      </c>
      <c r="D4191" s="110">
        <f>SUM(D4178:D4190)</f>
        <v>7902786</v>
      </c>
      <c r="F4191" s="94"/>
    </row>
    <row r="4192" spans="1:7" s="53" customFormat="1" ht="15.5" thickTop="1" thickBot="1" x14ac:dyDescent="0.4">
      <c r="A4192" s="224"/>
      <c r="B4192" s="226"/>
      <c r="C4192" s="226"/>
      <c r="D4192" s="226"/>
      <c r="F4192" s="94"/>
    </row>
    <row r="4193" spans="1:6" s="53" customFormat="1" x14ac:dyDescent="0.35">
      <c r="B4193" s="87"/>
      <c r="C4193" s="53" t="s">
        <v>130</v>
      </c>
      <c r="D4193" s="111">
        <f>D4175-D4191</f>
        <v>2962214</v>
      </c>
      <c r="F4193" s="94"/>
    </row>
    <row r="4194" spans="1:6" s="53" customFormat="1" x14ac:dyDescent="0.35">
      <c r="B4194" s="87"/>
      <c r="D4194" s="111"/>
      <c r="F4194" s="94"/>
    </row>
    <row r="4195" spans="1:6" s="53" customFormat="1" x14ac:dyDescent="0.35">
      <c r="A4195" s="112"/>
      <c r="B4195" s="113"/>
      <c r="C4195" s="112"/>
      <c r="D4195" s="114"/>
      <c r="E4195" s="112"/>
      <c r="F4195" s="178"/>
    </row>
    <row r="4197" spans="1:6" s="53" customFormat="1" ht="23.5" x14ac:dyDescent="0.55000000000000004">
      <c r="B4197" s="227" t="s">
        <v>0</v>
      </c>
      <c r="C4197" s="227"/>
      <c r="D4197" s="227"/>
      <c r="E4197" s="70"/>
      <c r="F4197" s="176"/>
    </row>
    <row r="4198" spans="1:6" s="53" customFormat="1" ht="20.5" x14ac:dyDescent="0.45">
      <c r="B4198" s="71"/>
      <c r="C4198" s="72" t="s">
        <v>1111</v>
      </c>
      <c r="D4198" s="73"/>
      <c r="F4198" s="94"/>
    </row>
    <row r="4199" spans="1:6" s="53" customFormat="1" ht="21" thickBot="1" x14ac:dyDescent="0.5">
      <c r="B4199" s="71" t="s">
        <v>949</v>
      </c>
      <c r="C4199" s="74" t="s">
        <v>103</v>
      </c>
      <c r="D4199" s="73"/>
      <c r="F4199" s="94"/>
    </row>
    <row r="4200" spans="1:6" s="53" customFormat="1" ht="15" thickBot="1" x14ac:dyDescent="0.4">
      <c r="A4200" s="75" t="s">
        <v>104</v>
      </c>
      <c r="B4200" s="76" t="s">
        <v>81</v>
      </c>
      <c r="C4200" s="76" t="s">
        <v>105</v>
      </c>
      <c r="D4200" s="77" t="s">
        <v>84</v>
      </c>
      <c r="F4200" s="94"/>
    </row>
    <row r="4201" spans="1:6" s="53" customFormat="1" ht="14.5" customHeight="1" x14ac:dyDescent="0.35">
      <c r="A4201" s="222" t="s">
        <v>93</v>
      </c>
      <c r="B4201" s="78" t="s">
        <v>1112</v>
      </c>
      <c r="C4201" s="79" t="s">
        <v>319</v>
      </c>
      <c r="D4201" s="80">
        <f>F4208</f>
        <v>10455000</v>
      </c>
      <c r="F4201" s="94"/>
    </row>
    <row r="4202" spans="1:6" s="53" customFormat="1" ht="21" thickBot="1" x14ac:dyDescent="0.5">
      <c r="A4202" s="223"/>
      <c r="B4202" s="71"/>
      <c r="C4202" s="71"/>
      <c r="D4202" s="73"/>
      <c r="F4202" s="94"/>
    </row>
    <row r="4203" spans="1:6" s="53" customFormat="1" ht="15" thickBot="1" x14ac:dyDescent="0.4">
      <c r="A4203" s="223"/>
      <c r="B4203" s="81" t="s">
        <v>81</v>
      </c>
      <c r="C4203" s="82" t="s">
        <v>107</v>
      </c>
      <c r="D4203" s="83" t="s">
        <v>108</v>
      </c>
      <c r="F4203" s="94"/>
    </row>
    <row r="4204" spans="1:6" s="87" customFormat="1" x14ac:dyDescent="0.35">
      <c r="A4204" s="223"/>
      <c r="B4204" s="84" t="str">
        <f>B4201</f>
        <v>05th September,2025</v>
      </c>
      <c r="C4204" s="85" t="s">
        <v>1236</v>
      </c>
      <c r="D4204" s="86">
        <f>1850*2754</f>
        <v>5094900</v>
      </c>
      <c r="F4204" s="177"/>
    </row>
    <row r="4205" spans="1:6" s="53" customFormat="1" x14ac:dyDescent="0.35">
      <c r="A4205" s="223"/>
      <c r="B4205" s="88"/>
      <c r="C4205" s="89" t="s">
        <v>159</v>
      </c>
      <c r="D4205" s="90">
        <f>299*2650</f>
        <v>792350</v>
      </c>
      <c r="F4205" s="94"/>
    </row>
    <row r="4206" spans="1:6" s="53" customFormat="1" x14ac:dyDescent="0.35">
      <c r="A4206" s="223"/>
      <c r="B4206" s="88" t="s">
        <v>109</v>
      </c>
      <c r="C4206" s="89" t="s">
        <v>110</v>
      </c>
      <c r="D4206" s="90">
        <v>1000000</v>
      </c>
      <c r="F4206" s="94"/>
    </row>
    <row r="4207" spans="1:6" s="53" customFormat="1" x14ac:dyDescent="0.35">
      <c r="A4207" s="223"/>
      <c r="B4207" s="88" t="s">
        <v>111</v>
      </c>
      <c r="C4207" s="89" t="s">
        <v>112</v>
      </c>
      <c r="D4207" s="90">
        <v>40000</v>
      </c>
      <c r="E4207" s="225" t="s">
        <v>113</v>
      </c>
      <c r="F4207" s="225"/>
    </row>
    <row r="4208" spans="1:6" s="53" customFormat="1" x14ac:dyDescent="0.35">
      <c r="A4208" s="223"/>
      <c r="B4208" s="88" t="s">
        <v>114</v>
      </c>
      <c r="C4208" s="89" t="s">
        <v>115</v>
      </c>
      <c r="D4208" s="90">
        <f>500*120</f>
        <v>60000</v>
      </c>
      <c r="E4208" s="91" t="s">
        <v>116</v>
      </c>
      <c r="F4208" s="92">
        <f>4100*2550</f>
        <v>10455000</v>
      </c>
    </row>
    <row r="4209" spans="1:7" s="53" customFormat="1" x14ac:dyDescent="0.35">
      <c r="A4209" s="223"/>
      <c r="B4209" s="88"/>
      <c r="C4209" s="89" t="s">
        <v>117</v>
      </c>
      <c r="D4209" s="90">
        <f>3920*120</f>
        <v>470400</v>
      </c>
      <c r="E4209" s="93" t="s">
        <v>118</v>
      </c>
      <c r="F4209" s="94">
        <f>4100*2550</f>
        <v>10455000</v>
      </c>
    </row>
    <row r="4210" spans="1:7" s="53" customFormat="1" ht="15" thickBot="1" x14ac:dyDescent="0.4">
      <c r="A4210" s="223"/>
      <c r="B4210" s="88" t="s">
        <v>119</v>
      </c>
      <c r="C4210" s="89" t="s">
        <v>120</v>
      </c>
      <c r="D4210" s="95">
        <v>30000</v>
      </c>
      <c r="E4210" s="96" t="s">
        <v>121</v>
      </c>
      <c r="F4210" s="97">
        <f>F4208-F4209</f>
        <v>0</v>
      </c>
      <c r="G4210" s="98">
        <f>F4210/2550</f>
        <v>0</v>
      </c>
    </row>
    <row r="4211" spans="1:7" s="53" customFormat="1" ht="15" thickTop="1" x14ac:dyDescent="0.35">
      <c r="A4211" s="223"/>
      <c r="B4211" s="88"/>
      <c r="C4211" s="89" t="s">
        <v>122</v>
      </c>
      <c r="D4211" s="90">
        <v>140000</v>
      </c>
      <c r="F4211" s="94"/>
    </row>
    <row r="4212" spans="1:7" s="53" customFormat="1" x14ac:dyDescent="0.35">
      <c r="A4212" s="223"/>
      <c r="B4212" s="88" t="s">
        <v>1110</v>
      </c>
      <c r="C4212" s="99" t="s">
        <v>123</v>
      </c>
      <c r="D4212" s="90">
        <v>15000</v>
      </c>
      <c r="E4212" s="91" t="s">
        <v>124</v>
      </c>
      <c r="F4212" s="92"/>
    </row>
    <row r="4213" spans="1:7" s="53" customFormat="1" x14ac:dyDescent="0.35">
      <c r="A4213" s="223"/>
      <c r="B4213" s="101"/>
      <c r="C4213" s="99" t="s">
        <v>125</v>
      </c>
      <c r="D4213" s="100">
        <v>10000</v>
      </c>
      <c r="E4213" s="102"/>
      <c r="F4213" s="103"/>
    </row>
    <row r="4214" spans="1:7" s="53" customFormat="1" x14ac:dyDescent="0.35">
      <c r="A4214" s="223"/>
      <c r="B4214" s="101"/>
      <c r="C4214" s="99" t="s">
        <v>126</v>
      </c>
      <c r="D4214" s="100">
        <v>30000</v>
      </c>
      <c r="E4214" s="102" t="s">
        <v>127</v>
      </c>
      <c r="F4214" s="103"/>
    </row>
    <row r="4215" spans="1:7" s="53" customFormat="1" x14ac:dyDescent="0.35">
      <c r="A4215" s="223"/>
      <c r="B4215" s="101"/>
      <c r="C4215" s="89" t="s">
        <v>265</v>
      </c>
      <c r="D4215" s="104">
        <f>890*122</f>
        <v>108580</v>
      </c>
      <c r="E4215" s="102" t="s">
        <v>1362</v>
      </c>
      <c r="F4215" s="103"/>
    </row>
    <row r="4216" spans="1:7" s="53" customFormat="1" ht="15" thickBot="1" x14ac:dyDescent="0.4">
      <c r="A4216" s="223"/>
      <c r="B4216" s="105"/>
      <c r="C4216" s="106"/>
      <c r="D4216" s="107"/>
      <c r="F4216" s="94"/>
    </row>
    <row r="4217" spans="1:7" s="53" customFormat="1" ht="15" thickBot="1" x14ac:dyDescent="0.4">
      <c r="A4217" s="223"/>
      <c r="B4217" s="108"/>
      <c r="C4217" s="109" t="s">
        <v>129</v>
      </c>
      <c r="D4217" s="110">
        <f>SUM(D4204:D4216)</f>
        <v>7791230</v>
      </c>
      <c r="F4217" s="94"/>
    </row>
    <row r="4218" spans="1:7" s="53" customFormat="1" ht="15.5" thickTop="1" thickBot="1" x14ac:dyDescent="0.4">
      <c r="A4218" s="224"/>
      <c r="B4218" s="226"/>
      <c r="C4218" s="226"/>
      <c r="D4218" s="226"/>
      <c r="F4218" s="94"/>
    </row>
    <row r="4219" spans="1:7" s="53" customFormat="1" x14ac:dyDescent="0.35">
      <c r="B4219" s="87"/>
      <c r="C4219" s="53" t="s">
        <v>130</v>
      </c>
      <c r="D4219" s="111">
        <f>D4201-D4217</f>
        <v>2663770</v>
      </c>
      <c r="F4219" s="94"/>
    </row>
    <row r="4220" spans="1:7" s="53" customFormat="1" x14ac:dyDescent="0.35">
      <c r="B4220" s="87"/>
      <c r="D4220" s="111"/>
      <c r="F4220" s="94"/>
    </row>
    <row r="4221" spans="1:7" s="53" customFormat="1" x14ac:dyDescent="0.35">
      <c r="A4221" s="112"/>
      <c r="B4221" s="113"/>
      <c r="C4221" s="112"/>
      <c r="D4221" s="114"/>
      <c r="E4221" s="112"/>
      <c r="F4221" s="178"/>
    </row>
    <row r="4223" spans="1:7" s="53" customFormat="1" ht="23.5" x14ac:dyDescent="0.55000000000000004">
      <c r="B4223" s="227" t="s">
        <v>0</v>
      </c>
      <c r="C4223" s="227"/>
      <c r="D4223" s="227"/>
      <c r="E4223" s="70"/>
      <c r="F4223" s="176"/>
    </row>
    <row r="4224" spans="1:7" s="53" customFormat="1" ht="20.5" x14ac:dyDescent="0.45">
      <c r="B4224" s="71"/>
      <c r="C4224" s="72" t="s">
        <v>1117</v>
      </c>
      <c r="D4224" s="73"/>
      <c r="F4224" s="94"/>
    </row>
    <row r="4225" spans="1:7" s="53" customFormat="1" ht="21" thickBot="1" x14ac:dyDescent="0.5">
      <c r="B4225" s="71" t="s">
        <v>156</v>
      </c>
      <c r="C4225" s="74" t="s">
        <v>103</v>
      </c>
      <c r="D4225" s="73"/>
      <c r="F4225" s="94"/>
    </row>
    <row r="4226" spans="1:7" s="53" customFormat="1" ht="15" thickBot="1" x14ac:dyDescent="0.4">
      <c r="A4226" s="75" t="s">
        <v>104</v>
      </c>
      <c r="B4226" s="76" t="s">
        <v>81</v>
      </c>
      <c r="C4226" s="76" t="s">
        <v>105</v>
      </c>
      <c r="D4226" s="77" t="s">
        <v>84</v>
      </c>
      <c r="F4226" s="94"/>
    </row>
    <row r="4227" spans="1:7" s="53" customFormat="1" ht="14.5" customHeight="1" x14ac:dyDescent="0.35">
      <c r="A4227" s="222" t="s">
        <v>93</v>
      </c>
      <c r="B4227" s="78" t="s">
        <v>1112</v>
      </c>
      <c r="C4227" s="79" t="s">
        <v>319</v>
      </c>
      <c r="D4227" s="80">
        <f>F4234</f>
        <v>10455000</v>
      </c>
      <c r="F4227" s="94"/>
    </row>
    <row r="4228" spans="1:7" s="53" customFormat="1" ht="21" thickBot="1" x14ac:dyDescent="0.5">
      <c r="A4228" s="223"/>
      <c r="B4228" s="71"/>
      <c r="C4228" s="71"/>
      <c r="D4228" s="73"/>
      <c r="F4228" s="94"/>
    </row>
    <row r="4229" spans="1:7" s="53" customFormat="1" ht="15" thickBot="1" x14ac:dyDescent="0.4">
      <c r="A4229" s="223"/>
      <c r="B4229" s="81" t="s">
        <v>81</v>
      </c>
      <c r="C4229" s="82" t="s">
        <v>107</v>
      </c>
      <c r="D4229" s="83" t="s">
        <v>108</v>
      </c>
      <c r="F4229" s="94"/>
    </row>
    <row r="4230" spans="1:7" s="87" customFormat="1" x14ac:dyDescent="0.35">
      <c r="A4230" s="223"/>
      <c r="B4230" s="84" t="str">
        <f>B4227</f>
        <v>05th September,2025</v>
      </c>
      <c r="C4230" s="85" t="s">
        <v>1236</v>
      </c>
      <c r="D4230" s="86">
        <f>1850*2754</f>
        <v>5094900</v>
      </c>
      <c r="F4230" s="177"/>
    </row>
    <row r="4231" spans="1:7" s="53" customFormat="1" x14ac:dyDescent="0.35">
      <c r="A4231" s="223"/>
      <c r="B4231" s="88"/>
      <c r="C4231" s="89" t="s">
        <v>159</v>
      </c>
      <c r="D4231" s="90">
        <f>299*2650</f>
        <v>792350</v>
      </c>
      <c r="F4231" s="94"/>
    </row>
    <row r="4232" spans="1:7" s="53" customFormat="1" x14ac:dyDescent="0.35">
      <c r="A4232" s="223"/>
      <c r="B4232" s="88" t="s">
        <v>109</v>
      </c>
      <c r="C4232" s="89" t="s">
        <v>110</v>
      </c>
      <c r="D4232" s="90">
        <v>1000000</v>
      </c>
      <c r="F4232" s="94"/>
    </row>
    <row r="4233" spans="1:7" s="53" customFormat="1" x14ac:dyDescent="0.35">
      <c r="A4233" s="223"/>
      <c r="B4233" s="88" t="s">
        <v>111</v>
      </c>
      <c r="C4233" s="89" t="s">
        <v>112</v>
      </c>
      <c r="D4233" s="90">
        <v>40000</v>
      </c>
      <c r="E4233" s="225" t="s">
        <v>113</v>
      </c>
      <c r="F4233" s="225"/>
    </row>
    <row r="4234" spans="1:7" s="53" customFormat="1" x14ac:dyDescent="0.35">
      <c r="A4234" s="223"/>
      <c r="B4234" s="88" t="s">
        <v>114</v>
      </c>
      <c r="C4234" s="89" t="s">
        <v>115</v>
      </c>
      <c r="D4234" s="90">
        <f>450*120</f>
        <v>54000</v>
      </c>
      <c r="E4234" s="91" t="s">
        <v>116</v>
      </c>
      <c r="F4234" s="92">
        <f>4100*2550</f>
        <v>10455000</v>
      </c>
    </row>
    <row r="4235" spans="1:7" s="53" customFormat="1" x14ac:dyDescent="0.35">
      <c r="A4235" s="223"/>
      <c r="B4235" s="88"/>
      <c r="C4235" s="89" t="s">
        <v>117</v>
      </c>
      <c r="D4235" s="90">
        <f>3460*122</f>
        <v>422120</v>
      </c>
      <c r="E4235" s="93" t="s">
        <v>118</v>
      </c>
      <c r="F4235" s="94">
        <f>4100*2550</f>
        <v>10455000</v>
      </c>
    </row>
    <row r="4236" spans="1:7" s="53" customFormat="1" ht="15" thickBot="1" x14ac:dyDescent="0.4">
      <c r="A4236" s="223"/>
      <c r="B4236" s="88" t="s">
        <v>119</v>
      </c>
      <c r="C4236" s="89" t="s">
        <v>120</v>
      </c>
      <c r="D4236" s="95">
        <v>30000</v>
      </c>
      <c r="E4236" s="96" t="s">
        <v>121</v>
      </c>
      <c r="F4236" s="97">
        <f>F4234-F4235</f>
        <v>0</v>
      </c>
      <c r="G4236" s="98">
        <f>F4236/2550</f>
        <v>0</v>
      </c>
    </row>
    <row r="4237" spans="1:7" s="53" customFormat="1" ht="15" thickTop="1" x14ac:dyDescent="0.35">
      <c r="A4237" s="223"/>
      <c r="B4237" s="88"/>
      <c r="C4237" s="89" t="s">
        <v>122</v>
      </c>
      <c r="D4237" s="90">
        <v>140000</v>
      </c>
      <c r="F4237" s="94"/>
    </row>
    <row r="4238" spans="1:7" s="53" customFormat="1" x14ac:dyDescent="0.35">
      <c r="A4238" s="223"/>
      <c r="B4238" s="88" t="s">
        <v>1116</v>
      </c>
      <c r="C4238" s="99" t="s">
        <v>123</v>
      </c>
      <c r="D4238" s="90">
        <v>15000</v>
      </c>
      <c r="E4238" s="91" t="s">
        <v>124</v>
      </c>
      <c r="F4238" s="92"/>
    </row>
    <row r="4239" spans="1:7" s="53" customFormat="1" x14ac:dyDescent="0.35">
      <c r="A4239" s="223"/>
      <c r="B4239" s="101"/>
      <c r="C4239" s="99" t="s">
        <v>125</v>
      </c>
      <c r="D4239" s="100">
        <v>10000</v>
      </c>
      <c r="E4239" s="102"/>
      <c r="F4239" s="103"/>
    </row>
    <row r="4240" spans="1:7" s="53" customFormat="1" x14ac:dyDescent="0.35">
      <c r="A4240" s="223"/>
      <c r="B4240" s="101"/>
      <c r="C4240" s="99" t="s">
        <v>126</v>
      </c>
      <c r="D4240" s="100">
        <v>40000</v>
      </c>
      <c r="E4240" s="102" t="s">
        <v>127</v>
      </c>
      <c r="F4240" s="103"/>
    </row>
    <row r="4241" spans="1:6" s="53" customFormat="1" x14ac:dyDescent="0.35">
      <c r="A4241" s="223"/>
      <c r="B4241" s="101"/>
      <c r="C4241" s="89" t="s">
        <v>265</v>
      </c>
      <c r="D4241" s="104">
        <f>626*123</f>
        <v>76998</v>
      </c>
      <c r="E4241" s="102" t="s">
        <v>1364</v>
      </c>
      <c r="F4241" s="103"/>
    </row>
    <row r="4242" spans="1:6" s="53" customFormat="1" ht="15" thickBot="1" x14ac:dyDescent="0.4">
      <c r="A4242" s="223"/>
      <c r="B4242" s="105"/>
      <c r="C4242" s="106"/>
      <c r="D4242" s="107"/>
      <c r="F4242" s="94"/>
    </row>
    <row r="4243" spans="1:6" s="53" customFormat="1" ht="15" thickBot="1" x14ac:dyDescent="0.4">
      <c r="A4243" s="223"/>
      <c r="B4243" s="108"/>
      <c r="C4243" s="109" t="s">
        <v>129</v>
      </c>
      <c r="D4243" s="110">
        <f>SUM(D4230:D4242)</f>
        <v>7715368</v>
      </c>
      <c r="F4243" s="94"/>
    </row>
    <row r="4244" spans="1:6" s="53" customFormat="1" ht="15.5" thickTop="1" thickBot="1" x14ac:dyDescent="0.4">
      <c r="A4244" s="224"/>
      <c r="B4244" s="226"/>
      <c r="C4244" s="226"/>
      <c r="D4244" s="226"/>
      <c r="F4244" s="94"/>
    </row>
    <row r="4245" spans="1:6" s="53" customFormat="1" x14ac:dyDescent="0.35">
      <c r="B4245" s="87"/>
      <c r="C4245" s="53" t="s">
        <v>130</v>
      </c>
      <c r="D4245" s="111">
        <f>D4227-D4243</f>
        <v>2739632</v>
      </c>
      <c r="F4245" s="94"/>
    </row>
    <row r="4246" spans="1:6" s="53" customFormat="1" x14ac:dyDescent="0.35">
      <c r="B4246" s="87"/>
      <c r="D4246" s="111"/>
      <c r="F4246" s="94"/>
    </row>
    <row r="4247" spans="1:6" s="53" customFormat="1" x14ac:dyDescent="0.35">
      <c r="A4247" s="112"/>
      <c r="B4247" s="113"/>
      <c r="C4247" s="112"/>
      <c r="D4247" s="114"/>
      <c r="E4247" s="112"/>
      <c r="F4247" s="178"/>
    </row>
    <row r="4249" spans="1:6" s="53" customFormat="1" ht="23.5" x14ac:dyDescent="0.55000000000000004">
      <c r="B4249" s="227" t="s">
        <v>0</v>
      </c>
      <c r="C4249" s="227"/>
      <c r="D4249" s="227"/>
      <c r="E4249" s="70"/>
      <c r="F4249" s="176"/>
    </row>
    <row r="4250" spans="1:6" s="53" customFormat="1" ht="20.5" x14ac:dyDescent="0.45">
      <c r="B4250" s="71"/>
      <c r="C4250" s="72" t="s">
        <v>1119</v>
      </c>
      <c r="D4250" s="73"/>
      <c r="F4250" s="94"/>
    </row>
    <row r="4251" spans="1:6" s="53" customFormat="1" ht="21" thickBot="1" x14ac:dyDescent="0.5">
      <c r="B4251" s="71" t="s">
        <v>173</v>
      </c>
      <c r="C4251" s="74" t="s">
        <v>103</v>
      </c>
      <c r="D4251" s="73"/>
      <c r="F4251" s="94"/>
    </row>
    <row r="4252" spans="1:6" s="53" customFormat="1" ht="15" thickBot="1" x14ac:dyDescent="0.4">
      <c r="A4252" s="75" t="s">
        <v>104</v>
      </c>
      <c r="B4252" s="76" t="s">
        <v>81</v>
      </c>
      <c r="C4252" s="76" t="s">
        <v>105</v>
      </c>
      <c r="D4252" s="77" t="s">
        <v>84</v>
      </c>
      <c r="F4252" s="94"/>
    </row>
    <row r="4253" spans="1:6" s="53" customFormat="1" ht="14.5" customHeight="1" x14ac:dyDescent="0.35">
      <c r="A4253" s="222" t="s">
        <v>93</v>
      </c>
      <c r="B4253" s="78" t="s">
        <v>1112</v>
      </c>
      <c r="C4253" s="79" t="s">
        <v>319</v>
      </c>
      <c r="D4253" s="80">
        <f>F4260</f>
        <v>10455000</v>
      </c>
      <c r="F4253" s="94"/>
    </row>
    <row r="4254" spans="1:6" s="53" customFormat="1" ht="21" thickBot="1" x14ac:dyDescent="0.5">
      <c r="A4254" s="223"/>
      <c r="B4254" s="71"/>
      <c r="C4254" s="71"/>
      <c r="D4254" s="73"/>
      <c r="F4254" s="94"/>
    </row>
    <row r="4255" spans="1:6" s="53" customFormat="1" ht="15" thickBot="1" x14ac:dyDescent="0.4">
      <c r="A4255" s="223"/>
      <c r="B4255" s="81" t="s">
        <v>81</v>
      </c>
      <c r="C4255" s="82" t="s">
        <v>107</v>
      </c>
      <c r="D4255" s="83" t="s">
        <v>108</v>
      </c>
      <c r="F4255" s="94"/>
    </row>
    <row r="4256" spans="1:6" s="87" customFormat="1" x14ac:dyDescent="0.35">
      <c r="A4256" s="223"/>
      <c r="B4256" s="84" t="str">
        <f>B4253</f>
        <v>05th September,2025</v>
      </c>
      <c r="C4256" s="85" t="s">
        <v>1236</v>
      </c>
      <c r="D4256" s="86">
        <f>1850*2754</f>
        <v>5094900</v>
      </c>
      <c r="F4256" s="177"/>
    </row>
    <row r="4257" spans="1:7" s="53" customFormat="1" x14ac:dyDescent="0.35">
      <c r="A4257" s="223"/>
      <c r="B4257" s="88"/>
      <c r="C4257" s="89" t="s">
        <v>159</v>
      </c>
      <c r="D4257" s="90">
        <f>299*2650</f>
        <v>792350</v>
      </c>
      <c r="F4257" s="94"/>
    </row>
    <row r="4258" spans="1:7" s="53" customFormat="1" x14ac:dyDescent="0.35">
      <c r="A4258" s="223"/>
      <c r="B4258" s="88" t="s">
        <v>109</v>
      </c>
      <c r="C4258" s="89" t="s">
        <v>110</v>
      </c>
      <c r="D4258" s="90">
        <v>1000000</v>
      </c>
      <c r="F4258" s="94"/>
    </row>
    <row r="4259" spans="1:7" s="53" customFormat="1" x14ac:dyDescent="0.35">
      <c r="A4259" s="223"/>
      <c r="B4259" s="88" t="s">
        <v>111</v>
      </c>
      <c r="C4259" s="89" t="s">
        <v>112</v>
      </c>
      <c r="D4259" s="90">
        <v>40000</v>
      </c>
      <c r="E4259" s="225" t="s">
        <v>113</v>
      </c>
      <c r="F4259" s="225"/>
    </row>
    <row r="4260" spans="1:7" s="53" customFormat="1" x14ac:dyDescent="0.35">
      <c r="A4260" s="223"/>
      <c r="B4260" s="88" t="s">
        <v>114</v>
      </c>
      <c r="C4260" s="89" t="s">
        <v>115</v>
      </c>
      <c r="D4260" s="90">
        <f>650*120</f>
        <v>78000</v>
      </c>
      <c r="E4260" s="91" t="s">
        <v>116</v>
      </c>
      <c r="F4260" s="92">
        <f>4100*2550</f>
        <v>10455000</v>
      </c>
    </row>
    <row r="4261" spans="1:7" s="53" customFormat="1" x14ac:dyDescent="0.35">
      <c r="A4261" s="223"/>
      <c r="B4261" s="88"/>
      <c r="C4261" s="89" t="s">
        <v>117</v>
      </c>
      <c r="D4261" s="90">
        <f>3950*120</f>
        <v>474000</v>
      </c>
      <c r="E4261" s="93" t="s">
        <v>118</v>
      </c>
      <c r="F4261" s="94">
        <f>4100*2550</f>
        <v>10455000</v>
      </c>
    </row>
    <row r="4262" spans="1:7" s="53" customFormat="1" ht="15" thickBot="1" x14ac:dyDescent="0.4">
      <c r="A4262" s="223"/>
      <c r="B4262" s="88" t="s">
        <v>119</v>
      </c>
      <c r="C4262" s="89" t="s">
        <v>120</v>
      </c>
      <c r="D4262" s="95">
        <v>30000</v>
      </c>
      <c r="E4262" s="96" t="s">
        <v>121</v>
      </c>
      <c r="F4262" s="97">
        <f>F4260-F4261</f>
        <v>0</v>
      </c>
      <c r="G4262" s="98">
        <f>F4262/2550</f>
        <v>0</v>
      </c>
    </row>
    <row r="4263" spans="1:7" s="53" customFormat="1" ht="15" thickTop="1" x14ac:dyDescent="0.35">
      <c r="A4263" s="223"/>
      <c r="B4263" s="88"/>
      <c r="C4263" s="89" t="s">
        <v>122</v>
      </c>
      <c r="D4263" s="90">
        <v>140000</v>
      </c>
      <c r="F4263" s="94"/>
    </row>
    <row r="4264" spans="1:7" s="53" customFormat="1" x14ac:dyDescent="0.35">
      <c r="A4264" s="223"/>
      <c r="B4264" s="88" t="s">
        <v>1118</v>
      </c>
      <c r="C4264" s="99" t="s">
        <v>123</v>
      </c>
      <c r="D4264" s="90">
        <v>15000</v>
      </c>
      <c r="E4264" s="91" t="s">
        <v>124</v>
      </c>
      <c r="F4264" s="92"/>
    </row>
    <row r="4265" spans="1:7" s="53" customFormat="1" x14ac:dyDescent="0.35">
      <c r="A4265" s="223"/>
      <c r="B4265" s="101"/>
      <c r="C4265" s="99" t="s">
        <v>125</v>
      </c>
      <c r="D4265" s="100">
        <v>10000</v>
      </c>
      <c r="E4265" s="102"/>
      <c r="F4265" s="103"/>
    </row>
    <row r="4266" spans="1:7" s="53" customFormat="1" x14ac:dyDescent="0.35">
      <c r="A4266" s="223"/>
      <c r="B4266" s="101"/>
      <c r="C4266" s="99" t="s">
        <v>126</v>
      </c>
      <c r="D4266" s="100">
        <v>30000</v>
      </c>
      <c r="E4266" s="102" t="s">
        <v>127</v>
      </c>
      <c r="F4266" s="103"/>
    </row>
    <row r="4267" spans="1:7" s="53" customFormat="1" x14ac:dyDescent="0.35">
      <c r="A4267" s="223"/>
      <c r="B4267" s="101"/>
      <c r="C4267" s="89" t="s">
        <v>265</v>
      </c>
      <c r="D4267" s="104">
        <f>890*122</f>
        <v>108580</v>
      </c>
      <c r="E4267" s="102" t="s">
        <v>1365</v>
      </c>
      <c r="F4267" s="103"/>
    </row>
    <row r="4268" spans="1:7" s="53" customFormat="1" ht="15" thickBot="1" x14ac:dyDescent="0.4">
      <c r="A4268" s="223"/>
      <c r="B4268" s="105"/>
      <c r="C4268" s="106"/>
      <c r="D4268" s="107"/>
      <c r="F4268" s="94"/>
    </row>
    <row r="4269" spans="1:7" s="53" customFormat="1" ht="15" thickBot="1" x14ac:dyDescent="0.4">
      <c r="A4269" s="223"/>
      <c r="B4269" s="108"/>
      <c r="C4269" s="109" t="s">
        <v>129</v>
      </c>
      <c r="D4269" s="110">
        <f>SUM(D4256:D4268)</f>
        <v>7812830</v>
      </c>
      <c r="F4269" s="94"/>
    </row>
    <row r="4270" spans="1:7" s="53" customFormat="1" ht="15.5" thickTop="1" thickBot="1" x14ac:dyDescent="0.4">
      <c r="A4270" s="224"/>
      <c r="B4270" s="226"/>
      <c r="C4270" s="226"/>
      <c r="D4270" s="226"/>
      <c r="F4270" s="94"/>
    </row>
    <row r="4271" spans="1:7" s="53" customFormat="1" x14ac:dyDescent="0.35">
      <c r="B4271" s="87"/>
      <c r="C4271" s="53" t="s">
        <v>130</v>
      </c>
      <c r="D4271" s="111">
        <f>D4253-D4269</f>
        <v>2642170</v>
      </c>
      <c r="F4271" s="94"/>
    </row>
    <row r="4272" spans="1:7" s="53" customFormat="1" x14ac:dyDescent="0.35">
      <c r="B4272" s="87"/>
      <c r="D4272" s="111"/>
      <c r="F4272" s="94"/>
    </row>
    <row r="4273" spans="1:7" s="53" customFormat="1" x14ac:dyDescent="0.35">
      <c r="A4273" s="112"/>
      <c r="B4273" s="113"/>
      <c r="C4273" s="112"/>
      <c r="D4273" s="114"/>
      <c r="E4273" s="112"/>
      <c r="F4273" s="178"/>
    </row>
    <row r="4275" spans="1:7" s="53" customFormat="1" ht="23.5" x14ac:dyDescent="0.55000000000000004">
      <c r="B4275" s="227" t="s">
        <v>0</v>
      </c>
      <c r="C4275" s="227"/>
      <c r="D4275" s="227"/>
      <c r="E4275" s="70"/>
      <c r="F4275" s="176"/>
    </row>
    <row r="4276" spans="1:7" s="53" customFormat="1" ht="20.5" x14ac:dyDescent="0.45">
      <c r="B4276" s="71"/>
      <c r="C4276" s="72" t="s">
        <v>1121</v>
      </c>
      <c r="D4276" s="73"/>
      <c r="F4276" s="94"/>
    </row>
    <row r="4277" spans="1:7" s="53" customFormat="1" ht="21" thickBot="1" x14ac:dyDescent="0.5">
      <c r="B4277" s="71" t="s">
        <v>401</v>
      </c>
      <c r="C4277" s="74" t="s">
        <v>103</v>
      </c>
      <c r="D4277" s="73"/>
      <c r="F4277" s="94"/>
    </row>
    <row r="4278" spans="1:7" s="53" customFormat="1" ht="15" thickBot="1" x14ac:dyDescent="0.4">
      <c r="A4278" s="75" t="s">
        <v>104</v>
      </c>
      <c r="B4278" s="76" t="s">
        <v>81</v>
      </c>
      <c r="C4278" s="76" t="s">
        <v>105</v>
      </c>
      <c r="D4278" s="77" t="s">
        <v>84</v>
      </c>
      <c r="F4278" s="94"/>
    </row>
    <row r="4279" spans="1:7" s="53" customFormat="1" ht="14.5" customHeight="1" x14ac:dyDescent="0.35">
      <c r="A4279" s="222" t="s">
        <v>93</v>
      </c>
      <c r="B4279" s="78" t="s">
        <v>1122</v>
      </c>
      <c r="C4279" s="79" t="s">
        <v>319</v>
      </c>
      <c r="D4279" s="80">
        <f>F4286</f>
        <v>10455000</v>
      </c>
      <c r="F4279" s="94"/>
    </row>
    <row r="4280" spans="1:7" s="53" customFormat="1" ht="21" thickBot="1" x14ac:dyDescent="0.5">
      <c r="A4280" s="223"/>
      <c r="B4280" s="71"/>
      <c r="C4280" s="71"/>
      <c r="D4280" s="73"/>
      <c r="F4280" s="94"/>
    </row>
    <row r="4281" spans="1:7" s="53" customFormat="1" ht="15" thickBot="1" x14ac:dyDescent="0.4">
      <c r="A4281" s="223"/>
      <c r="B4281" s="81" t="s">
        <v>81</v>
      </c>
      <c r="C4281" s="82" t="s">
        <v>107</v>
      </c>
      <c r="D4281" s="83" t="s">
        <v>108</v>
      </c>
      <c r="F4281" s="94"/>
    </row>
    <row r="4282" spans="1:7" s="87" customFormat="1" x14ac:dyDescent="0.35">
      <c r="A4282" s="223"/>
      <c r="B4282" s="84" t="str">
        <f>B4279</f>
        <v>06th September,2025</v>
      </c>
      <c r="C4282" s="85" t="s">
        <v>1236</v>
      </c>
      <c r="D4282" s="86">
        <f>1850*2754</f>
        <v>5094900</v>
      </c>
      <c r="F4282" s="177"/>
    </row>
    <row r="4283" spans="1:7" s="53" customFormat="1" x14ac:dyDescent="0.35">
      <c r="A4283" s="223"/>
      <c r="B4283" s="88"/>
      <c r="C4283" s="89" t="s">
        <v>159</v>
      </c>
      <c r="D4283" s="90">
        <f>299*2650</f>
        <v>792350</v>
      </c>
      <c r="F4283" s="94"/>
    </row>
    <row r="4284" spans="1:7" s="53" customFormat="1" x14ac:dyDescent="0.35">
      <c r="A4284" s="223"/>
      <c r="B4284" s="88" t="s">
        <v>109</v>
      </c>
      <c r="C4284" s="89" t="s">
        <v>110</v>
      </c>
      <c r="D4284" s="90">
        <v>1000000</v>
      </c>
      <c r="F4284" s="94"/>
    </row>
    <row r="4285" spans="1:7" s="53" customFormat="1" x14ac:dyDescent="0.35">
      <c r="A4285" s="223"/>
      <c r="B4285" s="88" t="s">
        <v>111</v>
      </c>
      <c r="C4285" s="89" t="s">
        <v>112</v>
      </c>
      <c r="D4285" s="90">
        <v>40000</v>
      </c>
      <c r="E4285" s="225" t="s">
        <v>113</v>
      </c>
      <c r="F4285" s="225"/>
    </row>
    <row r="4286" spans="1:7" s="53" customFormat="1" x14ac:dyDescent="0.35">
      <c r="A4286" s="223"/>
      <c r="B4286" s="88" t="s">
        <v>114</v>
      </c>
      <c r="C4286" s="89" t="s">
        <v>115</v>
      </c>
      <c r="D4286" s="90">
        <f>550*120</f>
        <v>66000</v>
      </c>
      <c r="E4286" s="91" t="s">
        <v>116</v>
      </c>
      <c r="F4286" s="92">
        <f>4100*2550</f>
        <v>10455000</v>
      </c>
    </row>
    <row r="4287" spans="1:7" s="53" customFormat="1" x14ac:dyDescent="0.35">
      <c r="A4287" s="223"/>
      <c r="B4287" s="88"/>
      <c r="C4287" s="89" t="s">
        <v>117</v>
      </c>
      <c r="D4287" s="90">
        <f>3920*122</f>
        <v>478240</v>
      </c>
      <c r="E4287" s="93" t="s">
        <v>118</v>
      </c>
      <c r="F4287" s="94">
        <f>4100*2550</f>
        <v>10455000</v>
      </c>
    </row>
    <row r="4288" spans="1:7" s="53" customFormat="1" ht="15" thickBot="1" x14ac:dyDescent="0.4">
      <c r="A4288" s="223"/>
      <c r="B4288" s="88" t="s">
        <v>119</v>
      </c>
      <c r="C4288" s="89" t="s">
        <v>120</v>
      </c>
      <c r="D4288" s="95">
        <v>30000</v>
      </c>
      <c r="E4288" s="96" t="s">
        <v>121</v>
      </c>
      <c r="F4288" s="97">
        <f>F4286-F4287</f>
        <v>0</v>
      </c>
      <c r="G4288" s="98">
        <f>F4288/2550</f>
        <v>0</v>
      </c>
    </row>
    <row r="4289" spans="1:6" s="53" customFormat="1" ht="15" thickTop="1" x14ac:dyDescent="0.35">
      <c r="A4289" s="223"/>
      <c r="B4289" s="88"/>
      <c r="C4289" s="89" t="s">
        <v>122</v>
      </c>
      <c r="D4289" s="90">
        <v>140000</v>
      </c>
      <c r="F4289" s="94"/>
    </row>
    <row r="4290" spans="1:6" s="53" customFormat="1" x14ac:dyDescent="0.35">
      <c r="A4290" s="223"/>
      <c r="B4290" s="88" t="s">
        <v>1120</v>
      </c>
      <c r="C4290" s="99" t="s">
        <v>123</v>
      </c>
      <c r="D4290" s="90">
        <v>15000</v>
      </c>
      <c r="E4290" s="91" t="s">
        <v>124</v>
      </c>
      <c r="F4290" s="92"/>
    </row>
    <row r="4291" spans="1:6" s="53" customFormat="1" x14ac:dyDescent="0.35">
      <c r="A4291" s="223"/>
      <c r="B4291" s="101"/>
      <c r="C4291" s="99" t="s">
        <v>125</v>
      </c>
      <c r="D4291" s="100">
        <v>10000</v>
      </c>
      <c r="E4291" s="102"/>
      <c r="F4291" s="103"/>
    </row>
    <row r="4292" spans="1:6" s="53" customFormat="1" x14ac:dyDescent="0.35">
      <c r="A4292" s="223"/>
      <c r="B4292" s="101"/>
      <c r="C4292" s="99" t="s">
        <v>126</v>
      </c>
      <c r="D4292" s="100">
        <v>40000</v>
      </c>
      <c r="E4292" s="102" t="s">
        <v>127</v>
      </c>
      <c r="F4292" s="103"/>
    </row>
    <row r="4293" spans="1:6" s="53" customFormat="1" x14ac:dyDescent="0.35">
      <c r="A4293" s="223"/>
      <c r="B4293" s="101"/>
      <c r="C4293" s="89" t="s">
        <v>265</v>
      </c>
      <c r="D4293" s="104">
        <f>626*123</f>
        <v>76998</v>
      </c>
      <c r="E4293" s="102" t="s">
        <v>1365</v>
      </c>
      <c r="F4293" s="103"/>
    </row>
    <row r="4294" spans="1:6" s="53" customFormat="1" ht="15" thickBot="1" x14ac:dyDescent="0.4">
      <c r="A4294" s="223"/>
      <c r="B4294" s="105"/>
      <c r="C4294" s="106"/>
      <c r="D4294" s="107"/>
      <c r="F4294" s="94"/>
    </row>
    <row r="4295" spans="1:6" s="53" customFormat="1" ht="15" thickBot="1" x14ac:dyDescent="0.4">
      <c r="A4295" s="223"/>
      <c r="B4295" s="108"/>
      <c r="C4295" s="109" t="s">
        <v>129</v>
      </c>
      <c r="D4295" s="110">
        <f>SUM(D4282:D4294)</f>
        <v>7783488</v>
      </c>
      <c r="F4295" s="94"/>
    </row>
    <row r="4296" spans="1:6" s="53" customFormat="1" ht="15.5" thickTop="1" thickBot="1" x14ac:dyDescent="0.4">
      <c r="A4296" s="224"/>
      <c r="B4296" s="226"/>
      <c r="C4296" s="226"/>
      <c r="D4296" s="226"/>
      <c r="F4296" s="94"/>
    </row>
    <row r="4297" spans="1:6" s="53" customFormat="1" x14ac:dyDescent="0.35">
      <c r="B4297" s="87"/>
      <c r="C4297" s="53" t="s">
        <v>130</v>
      </c>
      <c r="D4297" s="111">
        <f>D4279-D4295</f>
        <v>2671512</v>
      </c>
      <c r="F4297" s="94"/>
    </row>
    <row r="4298" spans="1:6" s="53" customFormat="1" x14ac:dyDescent="0.35">
      <c r="B4298" s="87"/>
      <c r="D4298" s="111"/>
      <c r="F4298" s="94"/>
    </row>
    <row r="4299" spans="1:6" s="53" customFormat="1" x14ac:dyDescent="0.35">
      <c r="A4299" s="112"/>
      <c r="B4299" s="113"/>
      <c r="C4299" s="112"/>
      <c r="D4299" s="114"/>
      <c r="E4299" s="112"/>
      <c r="F4299" s="178"/>
    </row>
    <row r="4301" spans="1:6" s="53" customFormat="1" ht="23.5" x14ac:dyDescent="0.55000000000000004">
      <c r="B4301" s="227" t="s">
        <v>0</v>
      </c>
      <c r="C4301" s="227"/>
      <c r="D4301" s="227"/>
      <c r="E4301" s="70"/>
      <c r="F4301" s="176"/>
    </row>
    <row r="4302" spans="1:6" s="53" customFormat="1" ht="20.5" x14ac:dyDescent="0.45">
      <c r="B4302" s="71"/>
      <c r="C4302" s="72" t="s">
        <v>1125</v>
      </c>
      <c r="D4302" s="73"/>
      <c r="F4302" s="94"/>
    </row>
    <row r="4303" spans="1:6" s="53" customFormat="1" ht="21" thickBot="1" x14ac:dyDescent="0.5">
      <c r="B4303" s="71" t="s">
        <v>222</v>
      </c>
      <c r="C4303" s="74" t="s">
        <v>103</v>
      </c>
      <c r="D4303" s="73"/>
      <c r="F4303" s="94"/>
    </row>
    <row r="4304" spans="1:6" s="53" customFormat="1" ht="15" thickBot="1" x14ac:dyDescent="0.4">
      <c r="A4304" s="75" t="s">
        <v>104</v>
      </c>
      <c r="B4304" s="76" t="s">
        <v>81</v>
      </c>
      <c r="C4304" s="76" t="s">
        <v>105</v>
      </c>
      <c r="D4304" s="77" t="s">
        <v>84</v>
      </c>
      <c r="F4304" s="94"/>
    </row>
    <row r="4305" spans="1:7" s="53" customFormat="1" ht="14.5" customHeight="1" x14ac:dyDescent="0.35">
      <c r="A4305" s="222" t="s">
        <v>93</v>
      </c>
      <c r="B4305" s="78" t="s">
        <v>1122</v>
      </c>
      <c r="C4305" s="79" t="s">
        <v>319</v>
      </c>
      <c r="D4305" s="80">
        <f>F4312</f>
        <v>10455000</v>
      </c>
      <c r="F4305" s="94"/>
    </row>
    <row r="4306" spans="1:7" s="53" customFormat="1" ht="21" thickBot="1" x14ac:dyDescent="0.5">
      <c r="A4306" s="223"/>
      <c r="B4306" s="71"/>
      <c r="C4306" s="71"/>
      <c r="D4306" s="73"/>
      <c r="F4306" s="94"/>
    </row>
    <row r="4307" spans="1:7" s="53" customFormat="1" ht="15" thickBot="1" x14ac:dyDescent="0.4">
      <c r="A4307" s="223"/>
      <c r="B4307" s="81" t="s">
        <v>81</v>
      </c>
      <c r="C4307" s="82" t="s">
        <v>107</v>
      </c>
      <c r="D4307" s="83" t="s">
        <v>108</v>
      </c>
      <c r="F4307" s="94"/>
    </row>
    <row r="4308" spans="1:7" s="87" customFormat="1" x14ac:dyDescent="0.35">
      <c r="A4308" s="223"/>
      <c r="B4308" s="84" t="str">
        <f>B4305</f>
        <v>06th September,2025</v>
      </c>
      <c r="C4308" s="85" t="s">
        <v>1236</v>
      </c>
      <c r="D4308" s="86">
        <f>1850*2754</f>
        <v>5094900</v>
      </c>
      <c r="F4308" s="177"/>
    </row>
    <row r="4309" spans="1:7" s="53" customFormat="1" x14ac:dyDescent="0.35">
      <c r="A4309" s="223"/>
      <c r="B4309" s="88"/>
      <c r="C4309" s="89" t="s">
        <v>159</v>
      </c>
      <c r="D4309" s="90">
        <f>299*2650</f>
        <v>792350</v>
      </c>
      <c r="F4309" s="94"/>
    </row>
    <row r="4310" spans="1:7" s="53" customFormat="1" x14ac:dyDescent="0.35">
      <c r="A4310" s="223"/>
      <c r="B4310" s="88" t="s">
        <v>109</v>
      </c>
      <c r="C4310" s="89" t="s">
        <v>110</v>
      </c>
      <c r="D4310" s="90">
        <v>1000000</v>
      </c>
      <c r="F4310" s="94"/>
    </row>
    <row r="4311" spans="1:7" s="53" customFormat="1" x14ac:dyDescent="0.35">
      <c r="A4311" s="223"/>
      <c r="B4311" s="88" t="s">
        <v>111</v>
      </c>
      <c r="C4311" s="89" t="s">
        <v>112</v>
      </c>
      <c r="D4311" s="90">
        <v>40000</v>
      </c>
      <c r="E4311" s="225" t="s">
        <v>113</v>
      </c>
      <c r="F4311" s="225"/>
    </row>
    <row r="4312" spans="1:7" s="53" customFormat="1" x14ac:dyDescent="0.35">
      <c r="A4312" s="223"/>
      <c r="B4312" s="88" t="s">
        <v>114</v>
      </c>
      <c r="C4312" s="89" t="s">
        <v>115</v>
      </c>
      <c r="D4312" s="90">
        <f>550*120</f>
        <v>66000</v>
      </c>
      <c r="E4312" s="91" t="s">
        <v>116</v>
      </c>
      <c r="F4312" s="92">
        <f>4100*2550</f>
        <v>10455000</v>
      </c>
    </row>
    <row r="4313" spans="1:7" s="53" customFormat="1" x14ac:dyDescent="0.35">
      <c r="A4313" s="223"/>
      <c r="B4313" s="88"/>
      <c r="C4313" s="89" t="s">
        <v>117</v>
      </c>
      <c r="D4313" s="90">
        <f>3920*122</f>
        <v>478240</v>
      </c>
      <c r="E4313" s="93" t="s">
        <v>118</v>
      </c>
      <c r="F4313" s="94">
        <f>4100*2550</f>
        <v>10455000</v>
      </c>
    </row>
    <row r="4314" spans="1:7" s="53" customFormat="1" ht="15" thickBot="1" x14ac:dyDescent="0.4">
      <c r="A4314" s="223"/>
      <c r="B4314" s="88" t="s">
        <v>119</v>
      </c>
      <c r="C4314" s="89" t="s">
        <v>120</v>
      </c>
      <c r="D4314" s="95">
        <v>30000</v>
      </c>
      <c r="E4314" s="96" t="s">
        <v>121</v>
      </c>
      <c r="F4314" s="97">
        <f>F4312-F4313</f>
        <v>0</v>
      </c>
      <c r="G4314" s="98">
        <f>F4314/2550</f>
        <v>0</v>
      </c>
    </row>
    <row r="4315" spans="1:7" s="53" customFormat="1" ht="15" thickTop="1" x14ac:dyDescent="0.35">
      <c r="A4315" s="223"/>
      <c r="B4315" s="88"/>
      <c r="C4315" s="89" t="s">
        <v>122</v>
      </c>
      <c r="D4315" s="90">
        <v>140000</v>
      </c>
      <c r="F4315" s="94"/>
    </row>
    <row r="4316" spans="1:7" s="53" customFormat="1" x14ac:dyDescent="0.35">
      <c r="A4316" s="223"/>
      <c r="B4316" s="88" t="s">
        <v>1127</v>
      </c>
      <c r="C4316" s="99" t="s">
        <v>123</v>
      </c>
      <c r="D4316" s="90">
        <v>15000</v>
      </c>
      <c r="E4316" s="91" t="s">
        <v>124</v>
      </c>
      <c r="F4316" s="92"/>
    </row>
    <row r="4317" spans="1:7" s="53" customFormat="1" x14ac:dyDescent="0.35">
      <c r="A4317" s="223"/>
      <c r="B4317" s="101"/>
      <c r="C4317" s="99" t="s">
        <v>125</v>
      </c>
      <c r="D4317" s="100">
        <v>10000</v>
      </c>
      <c r="E4317" s="102"/>
      <c r="F4317" s="103"/>
    </row>
    <row r="4318" spans="1:7" s="53" customFormat="1" x14ac:dyDescent="0.35">
      <c r="A4318" s="223"/>
      <c r="B4318" s="101"/>
      <c r="C4318" s="99" t="s">
        <v>126</v>
      </c>
      <c r="D4318" s="100">
        <v>40000</v>
      </c>
      <c r="E4318" s="102" t="s">
        <v>127</v>
      </c>
      <c r="F4318" s="103"/>
    </row>
    <row r="4319" spans="1:7" s="53" customFormat="1" x14ac:dyDescent="0.35">
      <c r="A4319" s="223"/>
      <c r="B4319" s="101"/>
      <c r="C4319" s="89" t="s">
        <v>265</v>
      </c>
      <c r="D4319" s="104">
        <f>626*123</f>
        <v>76998</v>
      </c>
      <c r="E4319" s="102" t="s">
        <v>1412</v>
      </c>
      <c r="F4319" s="103"/>
    </row>
    <row r="4320" spans="1:7" s="53" customFormat="1" ht="15" thickBot="1" x14ac:dyDescent="0.4">
      <c r="A4320" s="223"/>
      <c r="B4320" s="105"/>
      <c r="C4320" s="106"/>
      <c r="D4320" s="107"/>
      <c r="F4320" s="94"/>
    </row>
    <row r="4321" spans="1:6" s="53" customFormat="1" ht="15" thickBot="1" x14ac:dyDescent="0.4">
      <c r="A4321" s="223"/>
      <c r="B4321" s="108"/>
      <c r="C4321" s="109" t="s">
        <v>129</v>
      </c>
      <c r="D4321" s="110">
        <f>SUM(D4308:D4320)</f>
        <v>7783488</v>
      </c>
      <c r="F4321" s="94"/>
    </row>
    <row r="4322" spans="1:6" s="53" customFormat="1" ht="15.5" thickTop="1" thickBot="1" x14ac:dyDescent="0.4">
      <c r="A4322" s="224"/>
      <c r="B4322" s="226"/>
      <c r="C4322" s="226"/>
      <c r="D4322" s="226"/>
      <c r="F4322" s="94"/>
    </row>
    <row r="4323" spans="1:6" s="53" customFormat="1" x14ac:dyDescent="0.35">
      <c r="B4323" s="87"/>
      <c r="C4323" s="53" t="s">
        <v>130</v>
      </c>
      <c r="D4323" s="111">
        <f>D4305-D4321</f>
        <v>2671512</v>
      </c>
      <c r="F4323" s="94"/>
    </row>
    <row r="4324" spans="1:6" s="53" customFormat="1" x14ac:dyDescent="0.35">
      <c r="B4324" s="87"/>
      <c r="D4324" s="111"/>
      <c r="F4324" s="94"/>
    </row>
    <row r="4325" spans="1:6" s="53" customFormat="1" x14ac:dyDescent="0.35">
      <c r="A4325" s="112"/>
      <c r="B4325" s="113"/>
      <c r="C4325" s="112"/>
      <c r="D4325" s="114"/>
      <c r="E4325" s="112"/>
      <c r="F4325" s="178"/>
    </row>
    <row r="4327" spans="1:6" s="53" customFormat="1" ht="23.5" x14ac:dyDescent="0.55000000000000004">
      <c r="B4327" s="227" t="s">
        <v>0</v>
      </c>
      <c r="C4327" s="227"/>
      <c r="D4327" s="227"/>
      <c r="E4327" s="70"/>
      <c r="F4327" s="176"/>
    </row>
    <row r="4328" spans="1:6" s="53" customFormat="1" ht="20.5" x14ac:dyDescent="0.45">
      <c r="B4328" s="71"/>
      <c r="C4328" s="72" t="s">
        <v>1129</v>
      </c>
      <c r="D4328" s="73"/>
      <c r="F4328" s="94"/>
    </row>
    <row r="4329" spans="1:6" s="53" customFormat="1" ht="21" thickBot="1" x14ac:dyDescent="0.5">
      <c r="B4329" s="71" t="s">
        <v>954</v>
      </c>
      <c r="C4329" s="74" t="s">
        <v>103</v>
      </c>
      <c r="D4329" s="73"/>
      <c r="F4329" s="94"/>
    </row>
    <row r="4330" spans="1:6" s="53" customFormat="1" ht="15" thickBot="1" x14ac:dyDescent="0.4">
      <c r="A4330" s="75" t="s">
        <v>104</v>
      </c>
      <c r="B4330" s="76" t="s">
        <v>81</v>
      </c>
      <c r="C4330" s="76" t="s">
        <v>105</v>
      </c>
      <c r="D4330" s="77" t="s">
        <v>84</v>
      </c>
      <c r="F4330" s="94"/>
    </row>
    <row r="4331" spans="1:6" s="53" customFormat="1" x14ac:dyDescent="0.35">
      <c r="A4331" s="222" t="s">
        <v>93</v>
      </c>
      <c r="B4331" s="78" t="s">
        <v>1122</v>
      </c>
      <c r="C4331" s="79" t="s">
        <v>319</v>
      </c>
      <c r="D4331" s="80">
        <f>F4338</f>
        <v>10455000</v>
      </c>
      <c r="F4331" s="94"/>
    </row>
    <row r="4332" spans="1:6" s="53" customFormat="1" ht="21" thickBot="1" x14ac:dyDescent="0.5">
      <c r="A4332" s="223"/>
      <c r="B4332" s="71"/>
      <c r="C4332" s="71"/>
      <c r="D4332" s="73"/>
      <c r="F4332" s="94"/>
    </row>
    <row r="4333" spans="1:6" s="53" customFormat="1" ht="15" thickBot="1" x14ac:dyDescent="0.4">
      <c r="A4333" s="223"/>
      <c r="B4333" s="81" t="s">
        <v>81</v>
      </c>
      <c r="C4333" s="82" t="s">
        <v>107</v>
      </c>
      <c r="D4333" s="83" t="s">
        <v>108</v>
      </c>
      <c r="F4333" s="94"/>
    </row>
    <row r="4334" spans="1:6" s="87" customFormat="1" x14ac:dyDescent="0.35">
      <c r="A4334" s="223"/>
      <c r="B4334" s="84" t="str">
        <f>B4331</f>
        <v>06th September,2025</v>
      </c>
      <c r="C4334" s="85" t="s">
        <v>1236</v>
      </c>
      <c r="D4334" s="86">
        <f>1850*2754</f>
        <v>5094900</v>
      </c>
      <c r="F4334" s="177"/>
    </row>
    <row r="4335" spans="1:6" s="53" customFormat="1" x14ac:dyDescent="0.35">
      <c r="A4335" s="223"/>
      <c r="B4335" s="88"/>
      <c r="C4335" s="89" t="s">
        <v>159</v>
      </c>
      <c r="D4335" s="90">
        <f>299*2650</f>
        <v>792350</v>
      </c>
      <c r="F4335" s="94"/>
    </row>
    <row r="4336" spans="1:6" s="53" customFormat="1" x14ac:dyDescent="0.35">
      <c r="A4336" s="223"/>
      <c r="B4336" s="88" t="s">
        <v>109</v>
      </c>
      <c r="C4336" s="89" t="s">
        <v>110</v>
      </c>
      <c r="D4336" s="90">
        <v>1000000</v>
      </c>
      <c r="F4336" s="94"/>
    </row>
    <row r="4337" spans="1:7" s="53" customFormat="1" x14ac:dyDescent="0.35">
      <c r="A4337" s="223"/>
      <c r="B4337" s="88" t="s">
        <v>111</v>
      </c>
      <c r="C4337" s="89" t="s">
        <v>112</v>
      </c>
      <c r="D4337" s="90">
        <v>40000</v>
      </c>
      <c r="E4337" s="225" t="s">
        <v>113</v>
      </c>
      <c r="F4337" s="225"/>
    </row>
    <row r="4338" spans="1:7" s="53" customFormat="1" x14ac:dyDescent="0.35">
      <c r="A4338" s="223"/>
      <c r="B4338" s="88" t="s">
        <v>114</v>
      </c>
      <c r="C4338" s="89" t="s">
        <v>115</v>
      </c>
      <c r="D4338" s="90">
        <f>550*120</f>
        <v>66000</v>
      </c>
      <c r="E4338" s="91" t="s">
        <v>116</v>
      </c>
      <c r="F4338" s="92">
        <f>4100*2550</f>
        <v>10455000</v>
      </c>
    </row>
    <row r="4339" spans="1:7" s="53" customFormat="1" x14ac:dyDescent="0.35">
      <c r="A4339" s="223"/>
      <c r="B4339" s="88"/>
      <c r="C4339" s="89" t="s">
        <v>117</v>
      </c>
      <c r="D4339" s="90">
        <f>3920*122</f>
        <v>478240</v>
      </c>
      <c r="E4339" s="93" t="s">
        <v>118</v>
      </c>
      <c r="F4339" s="94">
        <f>4100*2550</f>
        <v>10455000</v>
      </c>
    </row>
    <row r="4340" spans="1:7" s="53" customFormat="1" ht="15" thickBot="1" x14ac:dyDescent="0.4">
      <c r="A4340" s="223"/>
      <c r="B4340" s="88" t="s">
        <v>119</v>
      </c>
      <c r="C4340" s="89" t="s">
        <v>120</v>
      </c>
      <c r="D4340" s="95">
        <v>30000</v>
      </c>
      <c r="E4340" s="96" t="s">
        <v>121</v>
      </c>
      <c r="F4340" s="97">
        <f>F4338-F4339</f>
        <v>0</v>
      </c>
      <c r="G4340" s="98">
        <f>F4340/2550</f>
        <v>0</v>
      </c>
    </row>
    <row r="4341" spans="1:7" s="53" customFormat="1" ht="15" thickTop="1" x14ac:dyDescent="0.35">
      <c r="A4341" s="223"/>
      <c r="B4341" s="88"/>
      <c r="C4341" s="89" t="s">
        <v>122</v>
      </c>
      <c r="D4341" s="90">
        <v>140000</v>
      </c>
      <c r="F4341" s="94"/>
    </row>
    <row r="4342" spans="1:7" s="53" customFormat="1" x14ac:dyDescent="0.35">
      <c r="A4342" s="223"/>
      <c r="B4342" s="88" t="s">
        <v>1124</v>
      </c>
      <c r="C4342" s="99" t="s">
        <v>123</v>
      </c>
      <c r="D4342" s="90">
        <v>15000</v>
      </c>
      <c r="E4342" s="91" t="s">
        <v>124</v>
      </c>
      <c r="F4342" s="92"/>
    </row>
    <row r="4343" spans="1:7" s="53" customFormat="1" x14ac:dyDescent="0.35">
      <c r="A4343" s="223"/>
      <c r="B4343" s="101"/>
      <c r="C4343" s="99" t="s">
        <v>125</v>
      </c>
      <c r="D4343" s="100">
        <v>10000</v>
      </c>
      <c r="E4343" s="102"/>
      <c r="F4343" s="103"/>
    </row>
    <row r="4344" spans="1:7" s="53" customFormat="1" x14ac:dyDescent="0.35">
      <c r="A4344" s="223"/>
      <c r="B4344" s="101"/>
      <c r="C4344" s="99" t="s">
        <v>126</v>
      </c>
      <c r="D4344" s="100">
        <v>40000</v>
      </c>
      <c r="E4344" s="102" t="s">
        <v>127</v>
      </c>
      <c r="F4344" s="103"/>
    </row>
    <row r="4345" spans="1:7" s="53" customFormat="1" x14ac:dyDescent="0.35">
      <c r="A4345" s="223"/>
      <c r="B4345" s="101"/>
      <c r="C4345" s="89" t="s">
        <v>265</v>
      </c>
      <c r="D4345" s="104">
        <f>626*123</f>
        <v>76998</v>
      </c>
      <c r="E4345" s="102" t="s">
        <v>1412</v>
      </c>
      <c r="F4345" s="103"/>
    </row>
    <row r="4346" spans="1:7" s="53" customFormat="1" ht="15" thickBot="1" x14ac:dyDescent="0.4">
      <c r="A4346" s="223"/>
      <c r="B4346" s="105"/>
      <c r="C4346" s="106"/>
      <c r="D4346" s="107"/>
      <c r="F4346" s="94"/>
    </row>
    <row r="4347" spans="1:7" s="53" customFormat="1" ht="15" thickBot="1" x14ac:dyDescent="0.4">
      <c r="A4347" s="223"/>
      <c r="B4347" s="108"/>
      <c r="C4347" s="109" t="s">
        <v>129</v>
      </c>
      <c r="D4347" s="110">
        <f>SUM(D4334:D4346)</f>
        <v>7783488</v>
      </c>
      <c r="F4347" s="94"/>
    </row>
    <row r="4348" spans="1:7" s="53" customFormat="1" ht="15.5" thickTop="1" thickBot="1" x14ac:dyDescent="0.4">
      <c r="A4348" s="224"/>
      <c r="B4348" s="226"/>
      <c r="C4348" s="226"/>
      <c r="D4348" s="226"/>
      <c r="F4348" s="94"/>
    </row>
    <row r="4349" spans="1:7" s="53" customFormat="1" x14ac:dyDescent="0.35">
      <c r="B4349" s="87"/>
      <c r="C4349" s="53" t="s">
        <v>130</v>
      </c>
      <c r="D4349" s="111">
        <f>D4331-D4347</f>
        <v>2671512</v>
      </c>
      <c r="F4349" s="94"/>
    </row>
    <row r="4350" spans="1:7" s="53" customFormat="1" x14ac:dyDescent="0.35">
      <c r="B4350" s="87"/>
      <c r="D4350" s="111"/>
      <c r="F4350" s="94"/>
    </row>
    <row r="4351" spans="1:7" s="53" customFormat="1" x14ac:dyDescent="0.35">
      <c r="A4351" s="112"/>
      <c r="B4351" s="113"/>
      <c r="C4351" s="112"/>
      <c r="D4351" s="114"/>
      <c r="E4351" s="112"/>
      <c r="F4351" s="178"/>
    </row>
    <row r="4353" spans="1:7" s="53" customFormat="1" ht="23.5" x14ac:dyDescent="0.55000000000000004">
      <c r="B4353" s="227" t="s">
        <v>0</v>
      </c>
      <c r="C4353" s="227"/>
      <c r="D4353" s="227"/>
      <c r="E4353" s="70"/>
      <c r="F4353" s="176"/>
    </row>
    <row r="4354" spans="1:7" s="53" customFormat="1" ht="20.5" x14ac:dyDescent="0.45">
      <c r="B4354" s="71"/>
      <c r="C4354" s="72" t="s">
        <v>1128</v>
      </c>
      <c r="D4354" s="73"/>
      <c r="F4354" s="94"/>
    </row>
    <row r="4355" spans="1:7" s="53" customFormat="1" ht="21" thickBot="1" x14ac:dyDescent="0.5">
      <c r="B4355" s="71" t="s">
        <v>235</v>
      </c>
      <c r="C4355" s="74" t="s">
        <v>103</v>
      </c>
      <c r="D4355" s="73"/>
      <c r="F4355" s="94"/>
    </row>
    <row r="4356" spans="1:7" s="53" customFormat="1" ht="15" thickBot="1" x14ac:dyDescent="0.4">
      <c r="A4356" s="75" t="s">
        <v>104</v>
      </c>
      <c r="B4356" s="76" t="s">
        <v>81</v>
      </c>
      <c r="C4356" s="76" t="s">
        <v>105</v>
      </c>
      <c r="D4356" s="77" t="s">
        <v>84</v>
      </c>
      <c r="F4356" s="94"/>
    </row>
    <row r="4357" spans="1:7" s="53" customFormat="1" x14ac:dyDescent="0.35">
      <c r="A4357" s="222" t="s">
        <v>93</v>
      </c>
      <c r="B4357" s="78" t="s">
        <v>1122</v>
      </c>
      <c r="C4357" s="79" t="s">
        <v>319</v>
      </c>
      <c r="D4357" s="80">
        <f>F4364</f>
        <v>11475000</v>
      </c>
      <c r="F4357" s="94"/>
    </row>
    <row r="4358" spans="1:7" s="53" customFormat="1" ht="21" thickBot="1" x14ac:dyDescent="0.5">
      <c r="A4358" s="223"/>
      <c r="B4358" s="71"/>
      <c r="C4358" s="71"/>
      <c r="D4358" s="73"/>
      <c r="F4358" s="94"/>
    </row>
    <row r="4359" spans="1:7" s="53" customFormat="1" ht="15" thickBot="1" x14ac:dyDescent="0.4">
      <c r="A4359" s="223"/>
      <c r="B4359" s="81" t="s">
        <v>81</v>
      </c>
      <c r="C4359" s="82" t="s">
        <v>107</v>
      </c>
      <c r="D4359" s="83" t="s">
        <v>108</v>
      </c>
      <c r="F4359" s="94"/>
    </row>
    <row r="4360" spans="1:7" s="87" customFormat="1" x14ac:dyDescent="0.35">
      <c r="A4360" s="223"/>
      <c r="B4360" s="84" t="str">
        <f>B4357</f>
        <v>06th September,2025</v>
      </c>
      <c r="C4360" s="85" t="s">
        <v>1236</v>
      </c>
      <c r="D4360" s="86">
        <f>1850*2754</f>
        <v>5094900</v>
      </c>
      <c r="F4360" s="177"/>
    </row>
    <row r="4361" spans="1:7" s="53" customFormat="1" x14ac:dyDescent="0.35">
      <c r="A4361" s="223"/>
      <c r="B4361" s="88"/>
      <c r="C4361" s="89" t="s">
        <v>188</v>
      </c>
      <c r="D4361" s="90">
        <f>325*2650</f>
        <v>861250</v>
      </c>
      <c r="F4361" s="94"/>
    </row>
    <row r="4362" spans="1:7" s="53" customFormat="1" x14ac:dyDescent="0.35">
      <c r="A4362" s="223"/>
      <c r="B4362" s="88" t="s">
        <v>109</v>
      </c>
      <c r="C4362" s="89" t="s">
        <v>110</v>
      </c>
      <c r="D4362" s="90">
        <v>1000000</v>
      </c>
      <c r="F4362" s="94"/>
    </row>
    <row r="4363" spans="1:7" s="53" customFormat="1" x14ac:dyDescent="0.35">
      <c r="A4363" s="223"/>
      <c r="B4363" s="88" t="s">
        <v>111</v>
      </c>
      <c r="C4363" s="89" t="s">
        <v>112</v>
      </c>
      <c r="D4363" s="90">
        <v>40000</v>
      </c>
      <c r="E4363" s="225" t="s">
        <v>113</v>
      </c>
      <c r="F4363" s="225"/>
    </row>
    <row r="4364" spans="1:7" s="53" customFormat="1" x14ac:dyDescent="0.35">
      <c r="A4364" s="223"/>
      <c r="B4364" s="88" t="s">
        <v>1132</v>
      </c>
      <c r="C4364" s="89" t="s">
        <v>115</v>
      </c>
      <c r="D4364" s="90">
        <f>600*120</f>
        <v>72000</v>
      </c>
      <c r="E4364" s="91" t="s">
        <v>116</v>
      </c>
      <c r="F4364" s="92">
        <f>4500*2550</f>
        <v>11475000</v>
      </c>
    </row>
    <row r="4365" spans="1:7" s="53" customFormat="1" x14ac:dyDescent="0.35">
      <c r="A4365" s="223"/>
      <c r="B4365" s="88"/>
      <c r="C4365" s="89" t="s">
        <v>117</v>
      </c>
      <c r="D4365" s="90">
        <f>5650*120</f>
        <v>678000</v>
      </c>
      <c r="E4365" s="93" t="s">
        <v>118</v>
      </c>
      <c r="F4365" s="94">
        <f>4500*2550</f>
        <v>11475000</v>
      </c>
    </row>
    <row r="4366" spans="1:7" s="53" customFormat="1" ht="15" thickBot="1" x14ac:dyDescent="0.4">
      <c r="A4366" s="223"/>
      <c r="B4366" s="88" t="s">
        <v>119</v>
      </c>
      <c r="C4366" s="89" t="s">
        <v>120</v>
      </c>
      <c r="D4366" s="95">
        <v>30000</v>
      </c>
      <c r="E4366" s="96" t="s">
        <v>121</v>
      </c>
      <c r="F4366" s="97">
        <f>F4364-F4365</f>
        <v>0</v>
      </c>
      <c r="G4366" s="98">
        <f>F4366/2550</f>
        <v>0</v>
      </c>
    </row>
    <row r="4367" spans="1:7" s="53" customFormat="1" ht="15" thickTop="1" x14ac:dyDescent="0.35">
      <c r="A4367" s="223"/>
      <c r="B4367" s="88"/>
      <c r="C4367" s="89" t="s">
        <v>122</v>
      </c>
      <c r="D4367" s="90">
        <v>140000</v>
      </c>
      <c r="F4367" s="94"/>
    </row>
    <row r="4368" spans="1:7" s="53" customFormat="1" x14ac:dyDescent="0.35">
      <c r="A4368" s="223"/>
      <c r="B4368" s="88" t="s">
        <v>1131</v>
      </c>
      <c r="C4368" s="99" t="s">
        <v>123</v>
      </c>
      <c r="D4368" s="90">
        <v>15000</v>
      </c>
      <c r="E4368" s="91" t="s">
        <v>124</v>
      </c>
      <c r="F4368" s="92"/>
    </row>
    <row r="4369" spans="1:6" s="53" customFormat="1" x14ac:dyDescent="0.35">
      <c r="A4369" s="223"/>
      <c r="B4369" s="101"/>
      <c r="C4369" s="99" t="s">
        <v>125</v>
      </c>
      <c r="D4369" s="100">
        <v>10000</v>
      </c>
      <c r="E4369" s="102"/>
      <c r="F4369" s="103"/>
    </row>
    <row r="4370" spans="1:6" s="53" customFormat="1" x14ac:dyDescent="0.35">
      <c r="A4370" s="223"/>
      <c r="B4370" s="101"/>
      <c r="C4370" s="99" t="s">
        <v>126</v>
      </c>
      <c r="D4370" s="100">
        <v>30000</v>
      </c>
      <c r="E4370" s="102" t="s">
        <v>127</v>
      </c>
      <c r="F4370" s="103"/>
    </row>
    <row r="4371" spans="1:6" s="53" customFormat="1" x14ac:dyDescent="0.35">
      <c r="A4371" s="223"/>
      <c r="B4371" s="101"/>
      <c r="C4371" s="89" t="s">
        <v>265</v>
      </c>
      <c r="D4371" s="104">
        <f>1736*121</f>
        <v>210056</v>
      </c>
      <c r="E4371" s="102" t="s">
        <v>1363</v>
      </c>
      <c r="F4371" s="103"/>
    </row>
    <row r="4372" spans="1:6" s="53" customFormat="1" ht="15" thickBot="1" x14ac:dyDescent="0.4">
      <c r="A4372" s="223"/>
      <c r="B4372" s="105"/>
      <c r="C4372" s="106"/>
      <c r="D4372" s="107"/>
      <c r="F4372" s="94"/>
    </row>
    <row r="4373" spans="1:6" s="53" customFormat="1" ht="15" thickBot="1" x14ac:dyDescent="0.4">
      <c r="A4373" s="223"/>
      <c r="B4373" s="108"/>
      <c r="C4373" s="109" t="s">
        <v>129</v>
      </c>
      <c r="D4373" s="110">
        <f>SUM(D4360:D4372)</f>
        <v>8181206</v>
      </c>
      <c r="F4373" s="94"/>
    </row>
    <row r="4374" spans="1:6" s="53" customFormat="1" ht="15.5" thickTop="1" thickBot="1" x14ac:dyDescent="0.4">
      <c r="A4374" s="224"/>
      <c r="B4374" s="226"/>
      <c r="C4374" s="226"/>
      <c r="D4374" s="226"/>
      <c r="F4374" s="94"/>
    </row>
    <row r="4375" spans="1:6" s="53" customFormat="1" x14ac:dyDescent="0.35">
      <c r="B4375" s="87"/>
      <c r="C4375" s="53" t="s">
        <v>130</v>
      </c>
      <c r="D4375" s="111">
        <f>D4357-D4373</f>
        <v>3293794</v>
      </c>
      <c r="F4375" s="94"/>
    </row>
    <row r="4376" spans="1:6" s="53" customFormat="1" x14ac:dyDescent="0.35">
      <c r="B4376" s="87"/>
      <c r="D4376" s="111"/>
      <c r="F4376" s="94"/>
    </row>
    <row r="4377" spans="1:6" s="53" customFormat="1" x14ac:dyDescent="0.35">
      <c r="A4377" s="112"/>
      <c r="B4377" s="113"/>
      <c r="C4377" s="112"/>
      <c r="D4377" s="114"/>
      <c r="E4377" s="112"/>
      <c r="F4377" s="178"/>
    </row>
    <row r="4379" spans="1:6" s="53" customFormat="1" ht="20.5" x14ac:dyDescent="0.45">
      <c r="B4379" s="71"/>
      <c r="C4379" s="72" t="s">
        <v>1137</v>
      </c>
      <c r="D4379" s="73"/>
      <c r="F4379" s="94"/>
    </row>
    <row r="4380" spans="1:6" s="53" customFormat="1" ht="21" thickBot="1" x14ac:dyDescent="0.5">
      <c r="B4380" s="71" t="s">
        <v>1136</v>
      </c>
      <c r="C4380" s="74" t="s">
        <v>103</v>
      </c>
      <c r="D4380" s="73"/>
      <c r="F4380" s="94"/>
    </row>
    <row r="4381" spans="1:6" s="53" customFormat="1" ht="15" thickBot="1" x14ac:dyDescent="0.4">
      <c r="A4381" s="75" t="s">
        <v>104</v>
      </c>
      <c r="B4381" s="76" t="s">
        <v>81</v>
      </c>
      <c r="C4381" s="76" t="s">
        <v>105</v>
      </c>
      <c r="D4381" s="77" t="s">
        <v>84</v>
      </c>
      <c r="F4381" s="94"/>
    </row>
    <row r="4382" spans="1:6" s="53" customFormat="1" ht="14.5" customHeight="1" x14ac:dyDescent="0.35">
      <c r="A4382" s="222" t="s">
        <v>93</v>
      </c>
      <c r="B4382" s="78" t="s">
        <v>1122</v>
      </c>
      <c r="C4382" s="79" t="s">
        <v>959</v>
      </c>
      <c r="D4382" s="80">
        <f>F4389</f>
        <v>10710000</v>
      </c>
      <c r="F4382" s="94"/>
    </row>
    <row r="4383" spans="1:6" s="53" customFormat="1" ht="21" thickBot="1" x14ac:dyDescent="0.5">
      <c r="A4383" s="223"/>
      <c r="B4383" s="71"/>
      <c r="C4383" s="71"/>
      <c r="D4383" s="73"/>
      <c r="F4383" s="94"/>
    </row>
    <row r="4384" spans="1:6" s="53" customFormat="1" ht="15" thickBot="1" x14ac:dyDescent="0.4">
      <c r="A4384" s="223"/>
      <c r="B4384" s="81" t="s">
        <v>81</v>
      </c>
      <c r="C4384" s="82" t="s">
        <v>107</v>
      </c>
      <c r="D4384" s="83" t="s">
        <v>108</v>
      </c>
      <c r="F4384" s="94"/>
    </row>
    <row r="4385" spans="1:7" s="87" customFormat="1" x14ac:dyDescent="0.35">
      <c r="A4385" s="223"/>
      <c r="B4385" s="84" t="str">
        <f>B4382</f>
        <v>06th September,2025</v>
      </c>
      <c r="C4385" s="85" t="s">
        <v>1237</v>
      </c>
      <c r="D4385" s="86">
        <f>2000*2754</f>
        <v>5508000</v>
      </c>
      <c r="F4385" s="177"/>
    </row>
    <row r="4386" spans="1:7" s="53" customFormat="1" x14ac:dyDescent="0.35">
      <c r="A4386" s="223"/>
      <c r="B4386" s="88"/>
      <c r="C4386" s="89" t="s">
        <v>188</v>
      </c>
      <c r="D4386" s="90">
        <f>325*2650</f>
        <v>861250</v>
      </c>
      <c r="F4386" s="94"/>
    </row>
    <row r="4387" spans="1:7" s="53" customFormat="1" x14ac:dyDescent="0.35">
      <c r="A4387" s="223"/>
      <c r="B4387" s="88" t="s">
        <v>109</v>
      </c>
      <c r="C4387" s="89" t="s">
        <v>110</v>
      </c>
      <c r="D4387" s="90">
        <v>1000000</v>
      </c>
      <c r="F4387" s="94"/>
    </row>
    <row r="4388" spans="1:7" s="53" customFormat="1" x14ac:dyDescent="0.35">
      <c r="A4388" s="223"/>
      <c r="B4388" s="88" t="s">
        <v>111</v>
      </c>
      <c r="C4388" s="89" t="s">
        <v>112</v>
      </c>
      <c r="D4388" s="90">
        <v>40000</v>
      </c>
      <c r="E4388" s="225" t="s">
        <v>113</v>
      </c>
      <c r="F4388" s="225"/>
    </row>
    <row r="4389" spans="1:7" s="53" customFormat="1" x14ac:dyDescent="0.35">
      <c r="A4389" s="223"/>
      <c r="B4389" s="88" t="s">
        <v>182</v>
      </c>
      <c r="C4389" s="89" t="s">
        <v>115</v>
      </c>
      <c r="D4389" s="90">
        <f>800*120</f>
        <v>96000</v>
      </c>
      <c r="E4389" s="91" t="s">
        <v>116</v>
      </c>
      <c r="F4389" s="92">
        <f>4200*2550</f>
        <v>10710000</v>
      </c>
    </row>
    <row r="4390" spans="1:7" s="53" customFormat="1" x14ac:dyDescent="0.35">
      <c r="A4390" s="223"/>
      <c r="B4390" s="88"/>
      <c r="C4390" s="89" t="s">
        <v>117</v>
      </c>
      <c r="D4390" s="90">
        <f>5150*120</f>
        <v>618000</v>
      </c>
      <c r="E4390" s="93" t="s">
        <v>118</v>
      </c>
      <c r="F4390" s="94">
        <f>(2520*2550)</f>
        <v>6426000</v>
      </c>
    </row>
    <row r="4391" spans="1:7" s="53" customFormat="1" ht="15" thickBot="1" x14ac:dyDescent="0.4">
      <c r="A4391" s="223"/>
      <c r="B4391" s="88" t="s">
        <v>119</v>
      </c>
      <c r="C4391" s="89" t="s">
        <v>120</v>
      </c>
      <c r="D4391" s="95">
        <v>30000</v>
      </c>
      <c r="E4391" s="96" t="s">
        <v>121</v>
      </c>
      <c r="F4391" s="97">
        <f>F4389-F4390</f>
        <v>4284000</v>
      </c>
      <c r="G4391" s="98">
        <f>F4391/2550</f>
        <v>1680</v>
      </c>
    </row>
    <row r="4392" spans="1:7" s="53" customFormat="1" ht="15" thickTop="1" x14ac:dyDescent="0.35">
      <c r="A4392" s="223"/>
      <c r="B4392" s="88"/>
      <c r="C4392" s="89" t="s">
        <v>710</v>
      </c>
      <c r="D4392" s="90">
        <v>20000</v>
      </c>
      <c r="F4392" s="94"/>
    </row>
    <row r="4393" spans="1:7" s="53" customFormat="1" x14ac:dyDescent="0.35">
      <c r="A4393" s="223"/>
      <c r="B4393" s="88" t="s">
        <v>213</v>
      </c>
      <c r="C4393" s="99" t="s">
        <v>123</v>
      </c>
      <c r="D4393" s="90">
        <v>15000</v>
      </c>
      <c r="E4393" s="91" t="s">
        <v>124</v>
      </c>
      <c r="F4393" s="92"/>
    </row>
    <row r="4394" spans="1:7" s="53" customFormat="1" x14ac:dyDescent="0.35">
      <c r="A4394" s="223"/>
      <c r="B4394" s="101"/>
      <c r="C4394" s="99" t="s">
        <v>126</v>
      </c>
      <c r="D4394" s="100">
        <v>40000</v>
      </c>
      <c r="E4394" s="102"/>
      <c r="F4394" s="103"/>
    </row>
    <row r="4395" spans="1:7" s="53" customFormat="1" x14ac:dyDescent="0.35">
      <c r="A4395" s="223"/>
      <c r="B4395" s="101"/>
      <c r="C4395" s="89" t="s">
        <v>265</v>
      </c>
      <c r="D4395" s="100">
        <f>1577*123</f>
        <v>193971</v>
      </c>
      <c r="E4395" s="102" t="s">
        <v>127</v>
      </c>
      <c r="F4395" s="103"/>
    </row>
    <row r="4396" spans="1:7" s="53" customFormat="1" x14ac:dyDescent="0.35">
      <c r="A4396" s="223"/>
      <c r="B4396" s="101"/>
      <c r="C4396" s="89"/>
      <c r="D4396" s="104"/>
      <c r="E4396" s="102" t="s">
        <v>1164</v>
      </c>
      <c r="F4396" s="103"/>
    </row>
    <row r="4397" spans="1:7" s="53" customFormat="1" ht="15" thickBot="1" x14ac:dyDescent="0.4">
      <c r="A4397" s="223"/>
      <c r="B4397" s="105"/>
      <c r="C4397" s="106"/>
      <c r="D4397" s="107"/>
      <c r="F4397" s="94"/>
    </row>
    <row r="4398" spans="1:7" s="53" customFormat="1" ht="15" thickBot="1" x14ac:dyDescent="0.4">
      <c r="A4398" s="223"/>
      <c r="B4398" s="108"/>
      <c r="C4398" s="109" t="s">
        <v>129</v>
      </c>
      <c r="D4398" s="110">
        <f>SUM(D4385:D4397)</f>
        <v>8422221</v>
      </c>
      <c r="F4398" s="94"/>
    </row>
    <row r="4399" spans="1:7" s="53" customFormat="1" ht="15.5" thickTop="1" thickBot="1" x14ac:dyDescent="0.4">
      <c r="A4399" s="224"/>
      <c r="B4399" s="226"/>
      <c r="C4399" s="226"/>
      <c r="D4399" s="226"/>
      <c r="F4399" s="94"/>
    </row>
    <row r="4400" spans="1:7" s="53" customFormat="1" x14ac:dyDescent="0.35">
      <c r="B4400" s="87"/>
      <c r="C4400" s="53" t="s">
        <v>130</v>
      </c>
      <c r="D4400" s="111">
        <f>D4382-D4398</f>
        <v>2287779</v>
      </c>
      <c r="F4400" s="94"/>
    </row>
    <row r="4401" spans="1:7" s="53" customFormat="1" x14ac:dyDescent="0.35">
      <c r="B4401" s="87"/>
      <c r="D4401" s="111"/>
      <c r="F4401" s="94"/>
    </row>
    <row r="4402" spans="1:7" s="53" customFormat="1" x14ac:dyDescent="0.35">
      <c r="A4402" s="112"/>
      <c r="B4402" s="113"/>
      <c r="C4402" s="112"/>
      <c r="D4402" s="114"/>
      <c r="E4402" s="112"/>
      <c r="F4402" s="178"/>
    </row>
    <row r="4404" spans="1:7" s="53" customFormat="1" ht="20.5" x14ac:dyDescent="0.45">
      <c r="B4404" s="71"/>
      <c r="C4404" s="72" t="s">
        <v>1138</v>
      </c>
      <c r="D4404" s="73"/>
      <c r="F4404" s="94"/>
    </row>
    <row r="4405" spans="1:7" s="53" customFormat="1" ht="21" thickBot="1" x14ac:dyDescent="0.5">
      <c r="B4405" s="71" t="s">
        <v>704</v>
      </c>
      <c r="C4405" s="74" t="s">
        <v>103</v>
      </c>
      <c r="D4405" s="73"/>
      <c r="F4405" s="94"/>
    </row>
    <row r="4406" spans="1:7" s="53" customFormat="1" ht="15" thickBot="1" x14ac:dyDescent="0.4">
      <c r="A4406" s="75" t="s">
        <v>104</v>
      </c>
      <c r="B4406" s="76" t="s">
        <v>81</v>
      </c>
      <c r="C4406" s="76" t="s">
        <v>105</v>
      </c>
      <c r="D4406" s="77" t="s">
        <v>84</v>
      </c>
      <c r="F4406" s="94"/>
    </row>
    <row r="4407" spans="1:7" s="53" customFormat="1" ht="14.5" customHeight="1" x14ac:dyDescent="0.35">
      <c r="A4407" s="222" t="s">
        <v>93</v>
      </c>
      <c r="B4407" s="78" t="s">
        <v>1122</v>
      </c>
      <c r="C4407" s="79" t="s">
        <v>959</v>
      </c>
      <c r="D4407" s="80">
        <f>F4414</f>
        <v>10710000</v>
      </c>
      <c r="F4407" s="94"/>
    </row>
    <row r="4408" spans="1:7" s="53" customFormat="1" ht="21" thickBot="1" x14ac:dyDescent="0.5">
      <c r="A4408" s="223"/>
      <c r="B4408" s="71"/>
      <c r="C4408" s="71"/>
      <c r="D4408" s="73"/>
      <c r="F4408" s="94"/>
    </row>
    <row r="4409" spans="1:7" s="53" customFormat="1" ht="15" thickBot="1" x14ac:dyDescent="0.4">
      <c r="A4409" s="223"/>
      <c r="B4409" s="81" t="s">
        <v>81</v>
      </c>
      <c r="C4409" s="82" t="s">
        <v>107</v>
      </c>
      <c r="D4409" s="83" t="s">
        <v>108</v>
      </c>
      <c r="F4409" s="94"/>
    </row>
    <row r="4410" spans="1:7" s="87" customFormat="1" x14ac:dyDescent="0.35">
      <c r="A4410" s="223"/>
      <c r="B4410" s="84" t="str">
        <f>B4407</f>
        <v>06th September,2025</v>
      </c>
      <c r="C4410" s="85" t="s">
        <v>1236</v>
      </c>
      <c r="D4410" s="86">
        <f>1850*2754</f>
        <v>5094900</v>
      </c>
      <c r="F4410" s="177"/>
    </row>
    <row r="4411" spans="1:7" s="53" customFormat="1" x14ac:dyDescent="0.35">
      <c r="A4411" s="223"/>
      <c r="B4411" s="88"/>
      <c r="C4411" s="89" t="s">
        <v>188</v>
      </c>
      <c r="D4411" s="90">
        <f>325*2650</f>
        <v>861250</v>
      </c>
      <c r="F4411" s="94"/>
    </row>
    <row r="4412" spans="1:7" s="53" customFormat="1" x14ac:dyDescent="0.35">
      <c r="A4412" s="223"/>
      <c r="B4412" s="88" t="s">
        <v>109</v>
      </c>
      <c r="C4412" s="89" t="s">
        <v>110</v>
      </c>
      <c r="D4412" s="90">
        <v>1000000</v>
      </c>
      <c r="F4412" s="94"/>
    </row>
    <row r="4413" spans="1:7" s="53" customFormat="1" x14ac:dyDescent="0.35">
      <c r="A4413" s="223"/>
      <c r="B4413" s="88" t="s">
        <v>111</v>
      </c>
      <c r="C4413" s="89" t="s">
        <v>112</v>
      </c>
      <c r="D4413" s="90">
        <v>40000</v>
      </c>
      <c r="E4413" s="225" t="s">
        <v>113</v>
      </c>
      <c r="F4413" s="225"/>
    </row>
    <row r="4414" spans="1:7" s="53" customFormat="1" x14ac:dyDescent="0.35">
      <c r="A4414" s="223"/>
      <c r="B4414" s="88" t="s">
        <v>182</v>
      </c>
      <c r="C4414" s="89" t="s">
        <v>115</v>
      </c>
      <c r="D4414" s="90">
        <f>750*120</f>
        <v>90000</v>
      </c>
      <c r="E4414" s="91" t="s">
        <v>116</v>
      </c>
      <c r="F4414" s="92">
        <f>4200*2550</f>
        <v>10710000</v>
      </c>
    </row>
    <row r="4415" spans="1:7" s="53" customFormat="1" x14ac:dyDescent="0.35">
      <c r="A4415" s="223"/>
      <c r="B4415" s="88"/>
      <c r="C4415" s="89" t="s">
        <v>117</v>
      </c>
      <c r="D4415" s="90">
        <f>5150*120</f>
        <v>618000</v>
      </c>
      <c r="E4415" s="93" t="s">
        <v>118</v>
      </c>
      <c r="F4415" s="94">
        <f>(2520*2550)+(1680*2550)</f>
        <v>10710000</v>
      </c>
    </row>
    <row r="4416" spans="1:7" s="53" customFormat="1" ht="15" thickBot="1" x14ac:dyDescent="0.4">
      <c r="A4416" s="223"/>
      <c r="B4416" s="88" t="s">
        <v>119</v>
      </c>
      <c r="C4416" s="89" t="s">
        <v>120</v>
      </c>
      <c r="D4416" s="95">
        <v>30000</v>
      </c>
      <c r="E4416" s="96" t="s">
        <v>121</v>
      </c>
      <c r="F4416" s="97">
        <f>F4414-F4415</f>
        <v>0</v>
      </c>
      <c r="G4416" s="98">
        <f>F4416/2550</f>
        <v>0</v>
      </c>
    </row>
    <row r="4417" spans="1:6" s="53" customFormat="1" ht="15" thickTop="1" x14ac:dyDescent="0.35">
      <c r="A4417" s="223"/>
      <c r="B4417" s="88"/>
      <c r="C4417" s="89" t="s">
        <v>265</v>
      </c>
      <c r="D4417" s="90">
        <f>1577*123</f>
        <v>193971</v>
      </c>
      <c r="F4417" s="94"/>
    </row>
    <row r="4418" spans="1:6" s="53" customFormat="1" x14ac:dyDescent="0.35">
      <c r="A4418" s="223"/>
      <c r="B4418" s="88" t="s">
        <v>213</v>
      </c>
      <c r="C4418" s="99" t="s">
        <v>123</v>
      </c>
      <c r="D4418" s="90">
        <v>15000</v>
      </c>
      <c r="E4418" s="91" t="s">
        <v>124</v>
      </c>
      <c r="F4418" s="92"/>
    </row>
    <row r="4419" spans="1:6" s="53" customFormat="1" x14ac:dyDescent="0.35">
      <c r="A4419" s="223"/>
      <c r="B4419" s="101"/>
      <c r="C4419" s="99" t="s">
        <v>126</v>
      </c>
      <c r="D4419" s="100">
        <v>30000</v>
      </c>
      <c r="E4419" s="102"/>
      <c r="F4419" s="103"/>
    </row>
    <row r="4420" spans="1:6" s="53" customFormat="1" x14ac:dyDescent="0.35">
      <c r="A4420" s="223"/>
      <c r="B4420" s="101"/>
      <c r="C4420" s="99"/>
      <c r="D4420" s="100"/>
      <c r="E4420" s="102" t="s">
        <v>127</v>
      </c>
      <c r="F4420" s="103"/>
    </row>
    <row r="4421" spans="1:6" s="53" customFormat="1" x14ac:dyDescent="0.35">
      <c r="A4421" s="223"/>
      <c r="B4421" s="101"/>
      <c r="C4421" s="89"/>
      <c r="D4421" s="104"/>
      <c r="E4421" s="102" t="s">
        <v>1164</v>
      </c>
      <c r="F4421" s="103"/>
    </row>
    <row r="4422" spans="1:6" s="53" customFormat="1" ht="15" thickBot="1" x14ac:dyDescent="0.4">
      <c r="A4422" s="223"/>
      <c r="B4422" s="105"/>
      <c r="C4422" s="106"/>
      <c r="D4422" s="107"/>
      <c r="E4422" s="53" t="s">
        <v>1376</v>
      </c>
      <c r="F4422" s="94"/>
    </row>
    <row r="4423" spans="1:6" s="53" customFormat="1" ht="15" thickBot="1" x14ac:dyDescent="0.4">
      <c r="A4423" s="223"/>
      <c r="B4423" s="108"/>
      <c r="C4423" s="109" t="s">
        <v>129</v>
      </c>
      <c r="D4423" s="110">
        <f>SUM(D4410:D4422)</f>
        <v>7973121</v>
      </c>
      <c r="F4423" s="94"/>
    </row>
    <row r="4424" spans="1:6" s="53" customFormat="1" ht="15.5" thickTop="1" thickBot="1" x14ac:dyDescent="0.4">
      <c r="A4424" s="224"/>
      <c r="B4424" s="226"/>
      <c r="C4424" s="226"/>
      <c r="D4424" s="226"/>
      <c r="F4424" s="94"/>
    </row>
    <row r="4425" spans="1:6" s="53" customFormat="1" x14ac:dyDescent="0.35">
      <c r="B4425" s="87"/>
      <c r="C4425" s="53" t="s">
        <v>130</v>
      </c>
      <c r="D4425" s="111">
        <f>D4407-D4423</f>
        <v>2736879</v>
      </c>
      <c r="F4425" s="94"/>
    </row>
    <row r="4426" spans="1:6" s="53" customFormat="1" x14ac:dyDescent="0.35">
      <c r="B4426" s="87"/>
      <c r="D4426" s="111"/>
      <c r="F4426" s="94"/>
    </row>
    <row r="4427" spans="1:6" s="53" customFormat="1" x14ac:dyDescent="0.35">
      <c r="A4427" s="112"/>
      <c r="B4427" s="113"/>
      <c r="C4427" s="112"/>
      <c r="D4427" s="114"/>
      <c r="E4427" s="112"/>
      <c r="F4427" s="178"/>
    </row>
    <row r="4429" spans="1:6" s="53" customFormat="1" ht="20.5" x14ac:dyDescent="0.45">
      <c r="B4429" s="71"/>
      <c r="C4429" s="72" t="s">
        <v>1140</v>
      </c>
      <c r="D4429" s="73"/>
      <c r="F4429" s="94"/>
    </row>
    <row r="4430" spans="1:6" s="53" customFormat="1" ht="21" thickBot="1" x14ac:dyDescent="0.5">
      <c r="B4430" s="71" t="s">
        <v>812</v>
      </c>
      <c r="C4430" s="74" t="s">
        <v>103</v>
      </c>
      <c r="D4430" s="73"/>
      <c r="F4430" s="94"/>
    </row>
    <row r="4431" spans="1:6" s="53" customFormat="1" ht="15" thickBot="1" x14ac:dyDescent="0.4">
      <c r="A4431" s="75" t="s">
        <v>104</v>
      </c>
      <c r="B4431" s="76" t="s">
        <v>81</v>
      </c>
      <c r="C4431" s="76" t="s">
        <v>105</v>
      </c>
      <c r="D4431" s="77" t="s">
        <v>84</v>
      </c>
      <c r="F4431" s="94"/>
    </row>
    <row r="4432" spans="1:6" s="53" customFormat="1" ht="14.5" customHeight="1" x14ac:dyDescent="0.35">
      <c r="A4432" s="222" t="s">
        <v>93</v>
      </c>
      <c r="B4432" s="78" t="s">
        <v>1122</v>
      </c>
      <c r="C4432" s="79" t="s">
        <v>959</v>
      </c>
      <c r="D4432" s="80">
        <f>F4439</f>
        <v>10710000</v>
      </c>
      <c r="F4432" s="94"/>
    </row>
    <row r="4433" spans="1:7" s="53" customFormat="1" ht="21" thickBot="1" x14ac:dyDescent="0.5">
      <c r="A4433" s="223"/>
      <c r="B4433" s="71"/>
      <c r="C4433" s="71"/>
      <c r="D4433" s="73"/>
      <c r="F4433" s="94"/>
    </row>
    <row r="4434" spans="1:7" s="53" customFormat="1" ht="15" thickBot="1" x14ac:dyDescent="0.4">
      <c r="A4434" s="223"/>
      <c r="B4434" s="81" t="s">
        <v>81</v>
      </c>
      <c r="C4434" s="82" t="s">
        <v>107</v>
      </c>
      <c r="D4434" s="83" t="s">
        <v>108</v>
      </c>
      <c r="F4434" s="94"/>
    </row>
    <row r="4435" spans="1:7" s="87" customFormat="1" x14ac:dyDescent="0.35">
      <c r="A4435" s="223"/>
      <c r="B4435" s="84" t="str">
        <f>B4432</f>
        <v>06th September,2025</v>
      </c>
      <c r="C4435" s="85" t="s">
        <v>1237</v>
      </c>
      <c r="D4435" s="86">
        <f>2000*2754</f>
        <v>5508000</v>
      </c>
      <c r="F4435" s="177"/>
    </row>
    <row r="4436" spans="1:7" s="53" customFormat="1" x14ac:dyDescent="0.35">
      <c r="A4436" s="223"/>
      <c r="B4436" s="88"/>
      <c r="C4436" s="89" t="s">
        <v>188</v>
      </c>
      <c r="D4436" s="90">
        <f>325*2650</f>
        <v>861250</v>
      </c>
      <c r="F4436" s="94"/>
    </row>
    <row r="4437" spans="1:7" s="53" customFormat="1" x14ac:dyDescent="0.35">
      <c r="A4437" s="223"/>
      <c r="B4437" s="88" t="s">
        <v>109</v>
      </c>
      <c r="C4437" s="89" t="s">
        <v>110</v>
      </c>
      <c r="D4437" s="90">
        <v>1000000</v>
      </c>
      <c r="F4437" s="94"/>
    </row>
    <row r="4438" spans="1:7" s="53" customFormat="1" x14ac:dyDescent="0.35">
      <c r="A4438" s="223"/>
      <c r="B4438" s="88" t="s">
        <v>111</v>
      </c>
      <c r="C4438" s="89" t="s">
        <v>112</v>
      </c>
      <c r="D4438" s="90">
        <v>40000</v>
      </c>
      <c r="E4438" s="225" t="s">
        <v>113</v>
      </c>
      <c r="F4438" s="225"/>
    </row>
    <row r="4439" spans="1:7" s="53" customFormat="1" x14ac:dyDescent="0.35">
      <c r="A4439" s="223"/>
      <c r="B4439" s="88" t="s">
        <v>182</v>
      </c>
      <c r="C4439" s="89" t="s">
        <v>115</v>
      </c>
      <c r="D4439" s="90">
        <f>800*120</f>
        <v>96000</v>
      </c>
      <c r="E4439" s="91" t="s">
        <v>116</v>
      </c>
      <c r="F4439" s="92">
        <f>4200*2550</f>
        <v>10710000</v>
      </c>
    </row>
    <row r="4440" spans="1:7" s="53" customFormat="1" x14ac:dyDescent="0.35">
      <c r="A4440" s="223"/>
      <c r="B4440" s="88"/>
      <c r="C4440" s="89" t="s">
        <v>117</v>
      </c>
      <c r="D4440" s="90">
        <f>5150*120</f>
        <v>618000</v>
      </c>
      <c r="E4440" s="93" t="s">
        <v>118</v>
      </c>
      <c r="F4440" s="94">
        <f>(2520*2550)+(1680*2550)</f>
        <v>10710000</v>
      </c>
    </row>
    <row r="4441" spans="1:7" s="53" customFormat="1" ht="15" thickBot="1" x14ac:dyDescent="0.4">
      <c r="A4441" s="223"/>
      <c r="B4441" s="88" t="s">
        <v>119</v>
      </c>
      <c r="C4441" s="89" t="s">
        <v>120</v>
      </c>
      <c r="D4441" s="95">
        <v>30000</v>
      </c>
      <c r="E4441" s="96" t="s">
        <v>121</v>
      </c>
      <c r="F4441" s="97">
        <f>F4439-F4440</f>
        <v>0</v>
      </c>
      <c r="G4441" s="98">
        <f>F4441/2550</f>
        <v>0</v>
      </c>
    </row>
    <row r="4442" spans="1:7" s="53" customFormat="1" ht="15" thickTop="1" x14ac:dyDescent="0.35">
      <c r="A4442" s="223"/>
      <c r="B4442" s="88"/>
      <c r="C4442" s="89" t="s">
        <v>710</v>
      </c>
      <c r="D4442" s="90">
        <v>20000</v>
      </c>
      <c r="F4442" s="94"/>
    </row>
    <row r="4443" spans="1:7" s="53" customFormat="1" x14ac:dyDescent="0.35">
      <c r="A4443" s="223"/>
      <c r="B4443" s="88" t="s">
        <v>213</v>
      </c>
      <c r="C4443" s="99" t="s">
        <v>123</v>
      </c>
      <c r="D4443" s="90">
        <v>15000</v>
      </c>
      <c r="E4443" s="91" t="s">
        <v>124</v>
      </c>
      <c r="F4443" s="92"/>
    </row>
    <row r="4444" spans="1:7" s="53" customFormat="1" x14ac:dyDescent="0.35">
      <c r="A4444" s="223"/>
      <c r="B4444" s="101"/>
      <c r="C4444" s="99" t="s">
        <v>126</v>
      </c>
      <c r="D4444" s="100">
        <v>40000</v>
      </c>
      <c r="E4444" s="102"/>
      <c r="F4444" s="103"/>
    </row>
    <row r="4445" spans="1:7" s="53" customFormat="1" x14ac:dyDescent="0.35">
      <c r="A4445" s="223"/>
      <c r="B4445" s="101"/>
      <c r="C4445" s="89" t="s">
        <v>265</v>
      </c>
      <c r="D4445" s="100">
        <f>1329*123</f>
        <v>163467</v>
      </c>
      <c r="E4445" s="102" t="s">
        <v>127</v>
      </c>
      <c r="F4445" s="103"/>
    </row>
    <row r="4446" spans="1:7" s="53" customFormat="1" x14ac:dyDescent="0.35">
      <c r="A4446" s="223"/>
      <c r="B4446" s="101"/>
      <c r="C4446" s="89"/>
      <c r="D4446" s="104"/>
      <c r="E4446" s="102" t="s">
        <v>1163</v>
      </c>
      <c r="F4446" s="103"/>
    </row>
    <row r="4447" spans="1:7" s="53" customFormat="1" ht="15" thickBot="1" x14ac:dyDescent="0.4">
      <c r="A4447" s="223"/>
      <c r="B4447" s="105"/>
      <c r="C4447" s="106"/>
      <c r="D4447" s="107"/>
      <c r="E4447" s="53" t="s">
        <v>1376</v>
      </c>
      <c r="F4447" s="94"/>
    </row>
    <row r="4448" spans="1:7" s="53" customFormat="1" ht="15" thickBot="1" x14ac:dyDescent="0.4">
      <c r="A4448" s="223"/>
      <c r="B4448" s="108"/>
      <c r="C4448" s="109" t="s">
        <v>129</v>
      </c>
      <c r="D4448" s="110">
        <f>SUM(D4435:D4447)</f>
        <v>8391717</v>
      </c>
      <c r="F4448" s="94"/>
    </row>
    <row r="4449" spans="1:6" s="53" customFormat="1" ht="15.5" thickTop="1" thickBot="1" x14ac:dyDescent="0.4">
      <c r="A4449" s="224"/>
      <c r="B4449" s="226"/>
      <c r="C4449" s="226"/>
      <c r="D4449" s="226"/>
      <c r="F4449" s="94"/>
    </row>
    <row r="4450" spans="1:6" s="53" customFormat="1" x14ac:dyDescent="0.35">
      <c r="B4450" s="87"/>
      <c r="C4450" s="53" t="s">
        <v>130</v>
      </c>
      <c r="D4450" s="111">
        <f>D4432-D4448</f>
        <v>2318283</v>
      </c>
      <c r="F4450" s="94"/>
    </row>
    <row r="4451" spans="1:6" s="53" customFormat="1" x14ac:dyDescent="0.35">
      <c r="B4451" s="87"/>
      <c r="D4451" s="111"/>
      <c r="F4451" s="94"/>
    </row>
    <row r="4452" spans="1:6" s="53" customFormat="1" x14ac:dyDescent="0.35">
      <c r="A4452" s="112"/>
      <c r="B4452" s="113"/>
      <c r="C4452" s="112"/>
      <c r="D4452" s="114"/>
      <c r="E4452" s="112"/>
      <c r="F4452" s="178"/>
    </row>
    <row r="4454" spans="1:6" s="53" customFormat="1" ht="20.5" x14ac:dyDescent="0.45">
      <c r="B4454" s="71"/>
      <c r="C4454" s="72" t="s">
        <v>1142</v>
      </c>
      <c r="D4454" s="73"/>
      <c r="F4454" s="94"/>
    </row>
    <row r="4455" spans="1:6" s="53" customFormat="1" ht="21" thickBot="1" x14ac:dyDescent="0.5">
      <c r="B4455" s="71" t="s">
        <v>167</v>
      </c>
      <c r="C4455" s="74" t="s">
        <v>103</v>
      </c>
      <c r="D4455" s="73"/>
      <c r="F4455" s="94"/>
    </row>
    <row r="4456" spans="1:6" s="53" customFormat="1" ht="15" thickBot="1" x14ac:dyDescent="0.4">
      <c r="A4456" s="75" t="s">
        <v>104</v>
      </c>
      <c r="B4456" s="76" t="s">
        <v>81</v>
      </c>
      <c r="C4456" s="76" t="s">
        <v>105</v>
      </c>
      <c r="D4456" s="77" t="s">
        <v>84</v>
      </c>
      <c r="F4456" s="94"/>
    </row>
    <row r="4457" spans="1:6" s="53" customFormat="1" ht="14.5" customHeight="1" x14ac:dyDescent="0.35">
      <c r="A4457" s="222" t="s">
        <v>93</v>
      </c>
      <c r="B4457" s="78" t="s">
        <v>1145</v>
      </c>
      <c r="C4457" s="79" t="s">
        <v>959</v>
      </c>
      <c r="D4457" s="80">
        <f>F4464</f>
        <v>10710000</v>
      </c>
      <c r="F4457" s="94"/>
    </row>
    <row r="4458" spans="1:6" s="53" customFormat="1" ht="21" thickBot="1" x14ac:dyDescent="0.5">
      <c r="A4458" s="223"/>
      <c r="B4458" s="71"/>
      <c r="C4458" s="71"/>
      <c r="D4458" s="73"/>
      <c r="F4458" s="94"/>
    </row>
    <row r="4459" spans="1:6" s="53" customFormat="1" ht="15" thickBot="1" x14ac:dyDescent="0.4">
      <c r="A4459" s="223"/>
      <c r="B4459" s="81" t="s">
        <v>81</v>
      </c>
      <c r="C4459" s="82" t="s">
        <v>107</v>
      </c>
      <c r="D4459" s="83" t="s">
        <v>108</v>
      </c>
      <c r="F4459" s="94"/>
    </row>
    <row r="4460" spans="1:6" s="87" customFormat="1" x14ac:dyDescent="0.35">
      <c r="A4460" s="223"/>
      <c r="B4460" s="84" t="str">
        <f>B4457</f>
        <v>08th September,2025</v>
      </c>
      <c r="C4460" s="85" t="s">
        <v>1237</v>
      </c>
      <c r="D4460" s="86">
        <f>2000*2754</f>
        <v>5508000</v>
      </c>
      <c r="F4460" s="177"/>
    </row>
    <row r="4461" spans="1:6" s="53" customFormat="1" x14ac:dyDescent="0.35">
      <c r="A4461" s="223"/>
      <c r="B4461" s="88"/>
      <c r="C4461" s="89" t="s">
        <v>188</v>
      </c>
      <c r="D4461" s="90">
        <f>325*2650</f>
        <v>861250</v>
      </c>
      <c r="F4461" s="94"/>
    </row>
    <row r="4462" spans="1:6" s="53" customFormat="1" x14ac:dyDescent="0.35">
      <c r="A4462" s="223"/>
      <c r="B4462" s="88" t="s">
        <v>109</v>
      </c>
      <c r="C4462" s="89" t="s">
        <v>110</v>
      </c>
      <c r="D4462" s="90">
        <v>1000000</v>
      </c>
      <c r="F4462" s="94"/>
    </row>
    <row r="4463" spans="1:6" s="53" customFormat="1" x14ac:dyDescent="0.35">
      <c r="A4463" s="223"/>
      <c r="B4463" s="88" t="s">
        <v>111</v>
      </c>
      <c r="C4463" s="89" t="s">
        <v>112</v>
      </c>
      <c r="D4463" s="90">
        <v>40000</v>
      </c>
      <c r="E4463" s="225" t="s">
        <v>113</v>
      </c>
      <c r="F4463" s="225"/>
    </row>
    <row r="4464" spans="1:6" s="53" customFormat="1" x14ac:dyDescent="0.35">
      <c r="A4464" s="223"/>
      <c r="B4464" s="88" t="s">
        <v>182</v>
      </c>
      <c r="C4464" s="89" t="s">
        <v>115</v>
      </c>
      <c r="D4464" s="90">
        <f>800*120</f>
        <v>96000</v>
      </c>
      <c r="E4464" s="91" t="s">
        <v>116</v>
      </c>
      <c r="F4464" s="92">
        <f>4200*2550</f>
        <v>10710000</v>
      </c>
    </row>
    <row r="4465" spans="1:7" s="53" customFormat="1" x14ac:dyDescent="0.35">
      <c r="A4465" s="223"/>
      <c r="B4465" s="88"/>
      <c r="C4465" s="89" t="s">
        <v>117</v>
      </c>
      <c r="D4465" s="90">
        <f>5150*120</f>
        <v>618000</v>
      </c>
      <c r="E4465" s="93" t="s">
        <v>118</v>
      </c>
      <c r="F4465" s="94">
        <f>(2520*2550)+(1680*2550)</f>
        <v>10710000</v>
      </c>
    </row>
    <row r="4466" spans="1:7" s="53" customFormat="1" ht="15" thickBot="1" x14ac:dyDescent="0.4">
      <c r="A4466" s="223"/>
      <c r="B4466" s="88" t="s">
        <v>119</v>
      </c>
      <c r="C4466" s="89" t="s">
        <v>120</v>
      </c>
      <c r="D4466" s="95">
        <v>30000</v>
      </c>
      <c r="E4466" s="96" t="s">
        <v>121</v>
      </c>
      <c r="F4466" s="97">
        <f>F4464-F4465</f>
        <v>0</v>
      </c>
      <c r="G4466" s="98">
        <f>F4466/2550</f>
        <v>0</v>
      </c>
    </row>
    <row r="4467" spans="1:7" s="53" customFormat="1" ht="15" thickTop="1" x14ac:dyDescent="0.35">
      <c r="A4467" s="223"/>
      <c r="B4467" s="88"/>
      <c r="C4467" s="89" t="s">
        <v>710</v>
      </c>
      <c r="D4467" s="90">
        <v>20000</v>
      </c>
      <c r="F4467" s="94"/>
    </row>
    <row r="4468" spans="1:7" s="53" customFormat="1" x14ac:dyDescent="0.35">
      <c r="A4468" s="223"/>
      <c r="B4468" s="88" t="s">
        <v>213</v>
      </c>
      <c r="C4468" s="99" t="s">
        <v>123</v>
      </c>
      <c r="D4468" s="90">
        <v>15000</v>
      </c>
      <c r="E4468" s="91" t="s">
        <v>124</v>
      </c>
      <c r="F4468" s="92"/>
    </row>
    <row r="4469" spans="1:7" s="53" customFormat="1" x14ac:dyDescent="0.35">
      <c r="A4469" s="223"/>
      <c r="B4469" s="101"/>
      <c r="C4469" s="99" t="s">
        <v>126</v>
      </c>
      <c r="D4469" s="100">
        <v>40000</v>
      </c>
      <c r="E4469" s="102"/>
      <c r="F4469" s="103"/>
    </row>
    <row r="4470" spans="1:7" s="53" customFormat="1" x14ac:dyDescent="0.35">
      <c r="A4470" s="223"/>
      <c r="B4470" s="101"/>
      <c r="C4470" s="89" t="s">
        <v>265</v>
      </c>
      <c r="D4470" s="100">
        <f>1329*123</f>
        <v>163467</v>
      </c>
      <c r="E4470" s="102" t="s">
        <v>127</v>
      </c>
      <c r="F4470" s="103"/>
    </row>
    <row r="4471" spans="1:7" s="53" customFormat="1" x14ac:dyDescent="0.35">
      <c r="A4471" s="223"/>
      <c r="B4471" s="101"/>
      <c r="C4471" s="89"/>
      <c r="D4471" s="104"/>
      <c r="E4471" s="102" t="s">
        <v>1164</v>
      </c>
      <c r="F4471" s="103"/>
    </row>
    <row r="4472" spans="1:7" s="53" customFormat="1" ht="15" thickBot="1" x14ac:dyDescent="0.4">
      <c r="A4472" s="223"/>
      <c r="B4472" s="105"/>
      <c r="C4472" s="106"/>
      <c r="D4472" s="107"/>
      <c r="E4472" s="53" t="s">
        <v>1376</v>
      </c>
      <c r="F4472" s="94"/>
    </row>
    <row r="4473" spans="1:7" s="53" customFormat="1" ht="15" thickBot="1" x14ac:dyDescent="0.4">
      <c r="A4473" s="223"/>
      <c r="B4473" s="108"/>
      <c r="C4473" s="109" t="s">
        <v>129</v>
      </c>
      <c r="D4473" s="110">
        <f>SUM(D4460:D4472)</f>
        <v>8391717</v>
      </c>
      <c r="F4473" s="94"/>
    </row>
    <row r="4474" spans="1:7" s="53" customFormat="1" ht="15.5" thickTop="1" thickBot="1" x14ac:dyDescent="0.4">
      <c r="A4474" s="224"/>
      <c r="B4474" s="226"/>
      <c r="C4474" s="226"/>
      <c r="D4474" s="226"/>
      <c r="F4474" s="94"/>
    </row>
    <row r="4475" spans="1:7" s="53" customFormat="1" x14ac:dyDescent="0.35">
      <c r="B4475" s="87"/>
      <c r="C4475" s="53" t="s">
        <v>130</v>
      </c>
      <c r="D4475" s="111">
        <f>D4457-D4473</f>
        <v>2318283</v>
      </c>
      <c r="F4475" s="94"/>
    </row>
    <row r="4476" spans="1:7" s="53" customFormat="1" x14ac:dyDescent="0.35">
      <c r="B4476" s="87"/>
      <c r="D4476" s="111"/>
      <c r="F4476" s="94"/>
    </row>
    <row r="4477" spans="1:7" s="53" customFormat="1" x14ac:dyDescent="0.35">
      <c r="A4477" s="112"/>
      <c r="B4477" s="113"/>
      <c r="C4477" s="112"/>
      <c r="D4477" s="114"/>
      <c r="E4477" s="112"/>
      <c r="F4477" s="178"/>
    </row>
    <row r="4479" spans="1:7" s="53" customFormat="1" ht="20.5" x14ac:dyDescent="0.45">
      <c r="B4479" s="71"/>
      <c r="C4479" s="72" t="s">
        <v>1144</v>
      </c>
      <c r="D4479" s="73"/>
      <c r="F4479" s="94"/>
    </row>
    <row r="4480" spans="1:7" s="53" customFormat="1" ht="21" thickBot="1" x14ac:dyDescent="0.5">
      <c r="B4480" s="71" t="s">
        <v>163</v>
      </c>
      <c r="C4480" s="74" t="s">
        <v>103</v>
      </c>
      <c r="D4480" s="73"/>
      <c r="F4480" s="94"/>
    </row>
    <row r="4481" spans="1:7" s="53" customFormat="1" ht="15" thickBot="1" x14ac:dyDescent="0.4">
      <c r="A4481" s="75" t="s">
        <v>104</v>
      </c>
      <c r="B4481" s="76" t="s">
        <v>81</v>
      </c>
      <c r="C4481" s="76" t="s">
        <v>105</v>
      </c>
      <c r="D4481" s="77" t="s">
        <v>84</v>
      </c>
      <c r="F4481" s="94"/>
    </row>
    <row r="4482" spans="1:7" s="53" customFormat="1" ht="14.5" customHeight="1" x14ac:dyDescent="0.35">
      <c r="A4482" s="222" t="s">
        <v>93</v>
      </c>
      <c r="B4482" s="78" t="s">
        <v>1145</v>
      </c>
      <c r="C4482" s="79" t="s">
        <v>959</v>
      </c>
      <c r="D4482" s="80">
        <f>F4489</f>
        <v>10710000</v>
      </c>
      <c r="F4482" s="94"/>
    </row>
    <row r="4483" spans="1:7" s="53" customFormat="1" ht="21" thickBot="1" x14ac:dyDescent="0.5">
      <c r="A4483" s="223"/>
      <c r="B4483" s="71"/>
      <c r="C4483" s="71"/>
      <c r="D4483" s="73"/>
      <c r="F4483" s="94"/>
    </row>
    <row r="4484" spans="1:7" s="53" customFormat="1" ht="15" thickBot="1" x14ac:dyDescent="0.4">
      <c r="A4484" s="223"/>
      <c r="B4484" s="81" t="s">
        <v>81</v>
      </c>
      <c r="C4484" s="82" t="s">
        <v>107</v>
      </c>
      <c r="D4484" s="83" t="s">
        <v>108</v>
      </c>
      <c r="F4484" s="94"/>
    </row>
    <row r="4485" spans="1:7" s="87" customFormat="1" x14ac:dyDescent="0.35">
      <c r="A4485" s="223"/>
      <c r="B4485" s="84" t="str">
        <f>B4482</f>
        <v>08th September,2025</v>
      </c>
      <c r="C4485" s="85" t="s">
        <v>1237</v>
      </c>
      <c r="D4485" s="86">
        <f>2000*2754</f>
        <v>5508000</v>
      </c>
      <c r="F4485" s="177"/>
    </row>
    <row r="4486" spans="1:7" s="53" customFormat="1" x14ac:dyDescent="0.35">
      <c r="A4486" s="223"/>
      <c r="B4486" s="88"/>
      <c r="C4486" s="89" t="s">
        <v>188</v>
      </c>
      <c r="D4486" s="90">
        <f>325*2650</f>
        <v>861250</v>
      </c>
      <c r="F4486" s="94"/>
    </row>
    <row r="4487" spans="1:7" s="53" customFormat="1" x14ac:dyDescent="0.35">
      <c r="A4487" s="223"/>
      <c r="B4487" s="88" t="s">
        <v>109</v>
      </c>
      <c r="C4487" s="89" t="s">
        <v>110</v>
      </c>
      <c r="D4487" s="90">
        <v>1000000</v>
      </c>
      <c r="F4487" s="94"/>
    </row>
    <row r="4488" spans="1:7" s="53" customFormat="1" x14ac:dyDescent="0.35">
      <c r="A4488" s="223"/>
      <c r="B4488" s="88" t="s">
        <v>111</v>
      </c>
      <c r="C4488" s="89" t="s">
        <v>112</v>
      </c>
      <c r="D4488" s="90">
        <v>40000</v>
      </c>
      <c r="E4488" s="225" t="s">
        <v>113</v>
      </c>
      <c r="F4488" s="225"/>
    </row>
    <row r="4489" spans="1:7" s="53" customFormat="1" x14ac:dyDescent="0.35">
      <c r="A4489" s="223"/>
      <c r="B4489" s="88" t="s">
        <v>182</v>
      </c>
      <c r="C4489" s="89" t="s">
        <v>115</v>
      </c>
      <c r="D4489" s="90">
        <f>800*120</f>
        <v>96000</v>
      </c>
      <c r="E4489" s="91" t="s">
        <v>116</v>
      </c>
      <c r="F4489" s="92">
        <f>4200*2550</f>
        <v>10710000</v>
      </c>
    </row>
    <row r="4490" spans="1:7" s="53" customFormat="1" x14ac:dyDescent="0.35">
      <c r="A4490" s="223"/>
      <c r="B4490" s="88"/>
      <c r="C4490" s="89" t="s">
        <v>117</v>
      </c>
      <c r="D4490" s="90">
        <f>5150*120</f>
        <v>618000</v>
      </c>
      <c r="E4490" s="93" t="s">
        <v>118</v>
      </c>
      <c r="F4490" s="94">
        <f>(2520*2550)+(1680*2550)</f>
        <v>10710000</v>
      </c>
    </row>
    <row r="4491" spans="1:7" s="53" customFormat="1" ht="15" thickBot="1" x14ac:dyDescent="0.4">
      <c r="A4491" s="223"/>
      <c r="B4491" s="88" t="s">
        <v>119</v>
      </c>
      <c r="C4491" s="89" t="s">
        <v>120</v>
      </c>
      <c r="D4491" s="95">
        <v>30000</v>
      </c>
      <c r="E4491" s="96" t="s">
        <v>121</v>
      </c>
      <c r="F4491" s="97">
        <f>F4489-F4490</f>
        <v>0</v>
      </c>
      <c r="G4491" s="98">
        <f>F4491/2550</f>
        <v>0</v>
      </c>
    </row>
    <row r="4492" spans="1:7" s="53" customFormat="1" ht="15" thickTop="1" x14ac:dyDescent="0.35">
      <c r="A4492" s="223"/>
      <c r="B4492" s="88"/>
      <c r="C4492" s="89" t="s">
        <v>710</v>
      </c>
      <c r="D4492" s="90">
        <v>20000</v>
      </c>
      <c r="F4492" s="94"/>
    </row>
    <row r="4493" spans="1:7" s="53" customFormat="1" x14ac:dyDescent="0.35">
      <c r="A4493" s="223"/>
      <c r="B4493" s="88" t="s">
        <v>213</v>
      </c>
      <c r="C4493" s="99" t="s">
        <v>123</v>
      </c>
      <c r="D4493" s="90">
        <v>15000</v>
      </c>
      <c r="E4493" s="91" t="s">
        <v>124</v>
      </c>
      <c r="F4493" s="92"/>
    </row>
    <row r="4494" spans="1:7" s="53" customFormat="1" x14ac:dyDescent="0.35">
      <c r="A4494" s="223"/>
      <c r="B4494" s="101"/>
      <c r="C4494" s="99" t="s">
        <v>126</v>
      </c>
      <c r="D4494" s="100">
        <v>40000</v>
      </c>
      <c r="E4494" s="102"/>
      <c r="F4494" s="103"/>
    </row>
    <row r="4495" spans="1:7" s="53" customFormat="1" x14ac:dyDescent="0.35">
      <c r="A4495" s="223"/>
      <c r="B4495" s="101"/>
      <c r="C4495" s="89" t="s">
        <v>265</v>
      </c>
      <c r="D4495" s="100">
        <f>1577*123</f>
        <v>193971</v>
      </c>
      <c r="E4495" s="102" t="s">
        <v>127</v>
      </c>
      <c r="F4495" s="103"/>
    </row>
    <row r="4496" spans="1:7" s="53" customFormat="1" x14ac:dyDescent="0.35">
      <c r="A4496" s="223"/>
      <c r="B4496" s="101"/>
      <c r="C4496" s="89"/>
      <c r="D4496" s="104"/>
      <c r="E4496" s="102" t="s">
        <v>1163</v>
      </c>
      <c r="F4496" s="103"/>
    </row>
    <row r="4497" spans="1:6" s="53" customFormat="1" ht="15" thickBot="1" x14ac:dyDescent="0.4">
      <c r="A4497" s="223"/>
      <c r="B4497" s="105"/>
      <c r="C4497" s="106"/>
      <c r="D4497" s="107"/>
      <c r="E4497" s="53" t="s">
        <v>1376</v>
      </c>
      <c r="F4497" s="94"/>
    </row>
    <row r="4498" spans="1:6" s="53" customFormat="1" ht="15" thickBot="1" x14ac:dyDescent="0.4">
      <c r="A4498" s="223"/>
      <c r="B4498" s="108"/>
      <c r="C4498" s="109" t="s">
        <v>129</v>
      </c>
      <c r="D4498" s="110">
        <f>SUM(D4485:D4497)</f>
        <v>8422221</v>
      </c>
      <c r="F4498" s="94"/>
    </row>
    <row r="4499" spans="1:6" s="53" customFormat="1" ht="15.5" thickTop="1" thickBot="1" x14ac:dyDescent="0.4">
      <c r="A4499" s="224"/>
      <c r="B4499" s="226"/>
      <c r="C4499" s="226"/>
      <c r="D4499" s="226"/>
      <c r="F4499" s="94"/>
    </row>
    <row r="4500" spans="1:6" s="53" customFormat="1" x14ac:dyDescent="0.35">
      <c r="B4500" s="87"/>
      <c r="C4500" s="53" t="s">
        <v>130</v>
      </c>
      <c r="D4500" s="111">
        <f>D4482-D4498</f>
        <v>2287779</v>
      </c>
      <c r="F4500" s="94"/>
    </row>
    <row r="4501" spans="1:6" s="53" customFormat="1" x14ac:dyDescent="0.35">
      <c r="B4501" s="87"/>
      <c r="D4501" s="111"/>
      <c r="F4501" s="94"/>
    </row>
    <row r="4502" spans="1:6" s="53" customFormat="1" x14ac:dyDescent="0.35">
      <c r="A4502" s="112"/>
      <c r="B4502" s="113"/>
      <c r="C4502" s="112"/>
      <c r="D4502" s="114"/>
      <c r="E4502" s="112"/>
      <c r="F4502" s="178"/>
    </row>
    <row r="4504" spans="1:6" s="53" customFormat="1" ht="20.5" x14ac:dyDescent="0.45">
      <c r="B4504" s="71"/>
      <c r="C4504" s="72" t="s">
        <v>1147</v>
      </c>
      <c r="D4504" s="73"/>
      <c r="F4504" s="94"/>
    </row>
    <row r="4505" spans="1:6" s="53" customFormat="1" ht="21" thickBot="1" x14ac:dyDescent="0.5">
      <c r="B4505" s="71" t="s">
        <v>1148</v>
      </c>
      <c r="C4505" s="74" t="s">
        <v>103</v>
      </c>
      <c r="D4505" s="73"/>
      <c r="F4505" s="94"/>
    </row>
    <row r="4506" spans="1:6" s="53" customFormat="1" ht="15" thickBot="1" x14ac:dyDescent="0.4">
      <c r="A4506" s="75" t="s">
        <v>104</v>
      </c>
      <c r="B4506" s="76" t="s">
        <v>81</v>
      </c>
      <c r="C4506" s="76" t="s">
        <v>105</v>
      </c>
      <c r="D4506" s="77" t="s">
        <v>84</v>
      </c>
      <c r="F4506" s="94"/>
    </row>
    <row r="4507" spans="1:6" s="53" customFormat="1" ht="14.5" customHeight="1" x14ac:dyDescent="0.35">
      <c r="A4507" s="222" t="s">
        <v>93</v>
      </c>
      <c r="B4507" s="78" t="s">
        <v>1145</v>
      </c>
      <c r="C4507" s="79" t="s">
        <v>959</v>
      </c>
      <c r="D4507" s="80">
        <f>F4514</f>
        <v>10710000</v>
      </c>
      <c r="F4507" s="94"/>
    </row>
    <row r="4508" spans="1:6" s="53" customFormat="1" ht="21" thickBot="1" x14ac:dyDescent="0.5">
      <c r="A4508" s="223"/>
      <c r="B4508" s="71"/>
      <c r="C4508" s="71"/>
      <c r="D4508" s="73"/>
      <c r="F4508" s="94"/>
    </row>
    <row r="4509" spans="1:6" s="53" customFormat="1" ht="15" thickBot="1" x14ac:dyDescent="0.4">
      <c r="A4509" s="223"/>
      <c r="B4509" s="81" t="s">
        <v>81</v>
      </c>
      <c r="C4509" s="82" t="s">
        <v>107</v>
      </c>
      <c r="D4509" s="83" t="s">
        <v>108</v>
      </c>
      <c r="F4509" s="94"/>
    </row>
    <row r="4510" spans="1:6" s="87" customFormat="1" x14ac:dyDescent="0.35">
      <c r="A4510" s="223"/>
      <c r="B4510" s="84" t="str">
        <f>B4507</f>
        <v>08th September,2025</v>
      </c>
      <c r="C4510" s="85" t="s">
        <v>1237</v>
      </c>
      <c r="D4510" s="86">
        <f>2000*2754</f>
        <v>5508000</v>
      </c>
      <c r="F4510" s="177"/>
    </row>
    <row r="4511" spans="1:6" s="53" customFormat="1" x14ac:dyDescent="0.35">
      <c r="A4511" s="223"/>
      <c r="B4511" s="88"/>
      <c r="C4511" s="89" t="s">
        <v>188</v>
      </c>
      <c r="D4511" s="90">
        <f>325*2650</f>
        <v>861250</v>
      </c>
      <c r="F4511" s="94"/>
    </row>
    <row r="4512" spans="1:6" s="53" customFormat="1" x14ac:dyDescent="0.35">
      <c r="A4512" s="223"/>
      <c r="B4512" s="88" t="s">
        <v>109</v>
      </c>
      <c r="C4512" s="89" t="s">
        <v>110</v>
      </c>
      <c r="D4512" s="90">
        <v>1000000</v>
      </c>
      <c r="F4512" s="94"/>
    </row>
    <row r="4513" spans="1:7" s="53" customFormat="1" x14ac:dyDescent="0.35">
      <c r="A4513" s="223"/>
      <c r="B4513" s="88" t="s">
        <v>111</v>
      </c>
      <c r="C4513" s="89" t="s">
        <v>112</v>
      </c>
      <c r="D4513" s="90">
        <v>40000</v>
      </c>
      <c r="E4513" s="225" t="s">
        <v>113</v>
      </c>
      <c r="F4513" s="225"/>
    </row>
    <row r="4514" spans="1:7" s="53" customFormat="1" x14ac:dyDescent="0.35">
      <c r="A4514" s="223"/>
      <c r="B4514" s="88" t="s">
        <v>182</v>
      </c>
      <c r="C4514" s="89" t="s">
        <v>115</v>
      </c>
      <c r="D4514" s="90">
        <f>250*120</f>
        <v>30000</v>
      </c>
      <c r="E4514" s="91" t="s">
        <v>116</v>
      </c>
      <c r="F4514" s="92">
        <f>4200*2550</f>
        <v>10710000</v>
      </c>
    </row>
    <row r="4515" spans="1:7" s="53" customFormat="1" x14ac:dyDescent="0.35">
      <c r="A4515" s="223"/>
      <c r="B4515" s="88"/>
      <c r="C4515" s="89" t="s">
        <v>117</v>
      </c>
      <c r="D4515" s="90">
        <f>2000*120</f>
        <v>240000</v>
      </c>
      <c r="E4515" s="93" t="s">
        <v>118</v>
      </c>
      <c r="F4515" s="94">
        <f>(2520*2550)+(1680*2550)</f>
        <v>10710000</v>
      </c>
    </row>
    <row r="4516" spans="1:7" s="53" customFormat="1" ht="15" thickBot="1" x14ac:dyDescent="0.4">
      <c r="A4516" s="223"/>
      <c r="B4516" s="88" t="s">
        <v>119</v>
      </c>
      <c r="C4516" s="89" t="s">
        <v>120</v>
      </c>
      <c r="D4516" s="95">
        <v>30000</v>
      </c>
      <c r="E4516" s="96" t="s">
        <v>121</v>
      </c>
      <c r="F4516" s="97">
        <f>F4514-F4515</f>
        <v>0</v>
      </c>
      <c r="G4516" s="98">
        <f>F4516/2550</f>
        <v>0</v>
      </c>
    </row>
    <row r="4517" spans="1:7" s="53" customFormat="1" ht="15" thickTop="1" x14ac:dyDescent="0.35">
      <c r="A4517" s="223"/>
      <c r="B4517" s="88"/>
      <c r="C4517" s="89" t="s">
        <v>122</v>
      </c>
      <c r="D4517" s="90">
        <v>0</v>
      </c>
      <c r="F4517" s="94"/>
    </row>
    <row r="4518" spans="1:7" s="53" customFormat="1" x14ac:dyDescent="0.35">
      <c r="A4518" s="223"/>
      <c r="B4518" s="88" t="s">
        <v>213</v>
      </c>
      <c r="C4518" s="99" t="s">
        <v>123</v>
      </c>
      <c r="D4518" s="90">
        <v>15000</v>
      </c>
      <c r="E4518" s="91" t="s">
        <v>124</v>
      </c>
      <c r="F4518" s="92"/>
    </row>
    <row r="4519" spans="1:7" s="53" customFormat="1" x14ac:dyDescent="0.35">
      <c r="A4519" s="223"/>
      <c r="B4519" s="101"/>
      <c r="C4519" s="99" t="s">
        <v>125</v>
      </c>
      <c r="D4519" s="100">
        <v>0</v>
      </c>
      <c r="E4519" s="102"/>
      <c r="F4519" s="103"/>
    </row>
    <row r="4520" spans="1:7" s="53" customFormat="1" x14ac:dyDescent="0.35">
      <c r="A4520" s="223"/>
      <c r="B4520" s="101"/>
      <c r="C4520" s="99" t="s">
        <v>126</v>
      </c>
      <c r="D4520" s="100">
        <v>0</v>
      </c>
      <c r="E4520" s="102" t="s">
        <v>127</v>
      </c>
      <c r="F4520" s="103"/>
    </row>
    <row r="4521" spans="1:7" s="53" customFormat="1" x14ac:dyDescent="0.35">
      <c r="A4521" s="223"/>
      <c r="B4521" s="101"/>
      <c r="C4521" s="89" t="s">
        <v>265</v>
      </c>
      <c r="D4521" s="104">
        <v>0</v>
      </c>
      <c r="E4521" s="102" t="s">
        <v>1163</v>
      </c>
      <c r="F4521" s="103"/>
    </row>
    <row r="4522" spans="1:7" s="53" customFormat="1" ht="15" thickBot="1" x14ac:dyDescent="0.4">
      <c r="A4522" s="223"/>
      <c r="B4522" s="105"/>
      <c r="C4522" s="106"/>
      <c r="D4522" s="107"/>
      <c r="E4522" s="53" t="s">
        <v>1387</v>
      </c>
      <c r="F4522" s="94"/>
    </row>
    <row r="4523" spans="1:7" s="53" customFormat="1" ht="15" thickBot="1" x14ac:dyDescent="0.4">
      <c r="A4523" s="223"/>
      <c r="B4523" s="108"/>
      <c r="C4523" s="109" t="s">
        <v>129</v>
      </c>
      <c r="D4523" s="110">
        <f>SUM(D4510:D4522)</f>
        <v>7724250</v>
      </c>
      <c r="F4523" s="94"/>
    </row>
    <row r="4524" spans="1:7" s="53" customFormat="1" ht="15.5" thickTop="1" thickBot="1" x14ac:dyDescent="0.4">
      <c r="A4524" s="224"/>
      <c r="B4524" s="226"/>
      <c r="C4524" s="226"/>
      <c r="D4524" s="226"/>
      <c r="F4524" s="94"/>
    </row>
    <row r="4525" spans="1:7" s="53" customFormat="1" x14ac:dyDescent="0.35">
      <c r="B4525" s="87"/>
      <c r="C4525" s="53" t="s">
        <v>130</v>
      </c>
      <c r="D4525" s="111">
        <f>D4507-D4523</f>
        <v>2985750</v>
      </c>
      <c r="F4525" s="94"/>
    </row>
    <row r="4526" spans="1:7" s="53" customFormat="1" x14ac:dyDescent="0.35">
      <c r="B4526" s="87"/>
      <c r="D4526" s="111"/>
      <c r="F4526" s="94"/>
    </row>
    <row r="4527" spans="1:7" s="53" customFormat="1" x14ac:dyDescent="0.35">
      <c r="A4527" s="112"/>
      <c r="B4527" s="113"/>
      <c r="C4527" s="112"/>
      <c r="D4527" s="114"/>
      <c r="E4527" s="112"/>
      <c r="F4527" s="178"/>
    </row>
    <row r="4529" spans="1:7" s="53" customFormat="1" ht="20.5" x14ac:dyDescent="0.45">
      <c r="B4529" s="71"/>
      <c r="C4529" s="72" t="s">
        <v>1154</v>
      </c>
      <c r="D4529" s="73"/>
      <c r="F4529" s="94"/>
    </row>
    <row r="4530" spans="1:7" s="53" customFormat="1" ht="21" thickBot="1" x14ac:dyDescent="0.5">
      <c r="B4530" s="71" t="s">
        <v>102</v>
      </c>
      <c r="C4530" s="74" t="s">
        <v>103</v>
      </c>
      <c r="D4530" s="73"/>
      <c r="F4530" s="94"/>
    </row>
    <row r="4531" spans="1:7" s="53" customFormat="1" ht="15" thickBot="1" x14ac:dyDescent="0.4">
      <c r="A4531" s="75" t="s">
        <v>104</v>
      </c>
      <c r="B4531" s="76" t="s">
        <v>81</v>
      </c>
      <c r="C4531" s="76" t="s">
        <v>105</v>
      </c>
      <c r="D4531" s="77" t="s">
        <v>84</v>
      </c>
      <c r="F4531" s="94"/>
    </row>
    <row r="4532" spans="1:7" s="53" customFormat="1" ht="14.5" customHeight="1" x14ac:dyDescent="0.35">
      <c r="A4532" s="222" t="s">
        <v>93</v>
      </c>
      <c r="B4532" s="78" t="s">
        <v>1155</v>
      </c>
      <c r="C4532" s="79" t="s">
        <v>959</v>
      </c>
      <c r="D4532" s="80">
        <f>F4539</f>
        <v>10710000</v>
      </c>
      <c r="F4532" s="94"/>
    </row>
    <row r="4533" spans="1:7" s="53" customFormat="1" ht="21" thickBot="1" x14ac:dyDescent="0.5">
      <c r="A4533" s="223"/>
      <c r="B4533" s="71"/>
      <c r="C4533" s="71"/>
      <c r="D4533" s="73"/>
      <c r="F4533" s="94"/>
    </row>
    <row r="4534" spans="1:7" s="53" customFormat="1" ht="15" thickBot="1" x14ac:dyDescent="0.4">
      <c r="A4534" s="223"/>
      <c r="B4534" s="81" t="s">
        <v>81</v>
      </c>
      <c r="C4534" s="82" t="s">
        <v>107</v>
      </c>
      <c r="D4534" s="83" t="s">
        <v>108</v>
      </c>
      <c r="F4534" s="94"/>
    </row>
    <row r="4535" spans="1:7" s="87" customFormat="1" x14ac:dyDescent="0.35">
      <c r="A4535" s="223"/>
      <c r="B4535" s="84" t="str">
        <f>B4532</f>
        <v>09th September,2025</v>
      </c>
      <c r="C4535" s="85" t="s">
        <v>1237</v>
      </c>
      <c r="D4535" s="86">
        <f>2000*2754</f>
        <v>5508000</v>
      </c>
      <c r="F4535" s="177"/>
    </row>
    <row r="4536" spans="1:7" s="53" customFormat="1" x14ac:dyDescent="0.35">
      <c r="A4536" s="223"/>
      <c r="B4536" s="88"/>
      <c r="C4536" s="89" t="s">
        <v>188</v>
      </c>
      <c r="D4536" s="90">
        <f>325*2650</f>
        <v>861250</v>
      </c>
      <c r="F4536" s="94"/>
    </row>
    <row r="4537" spans="1:7" s="53" customFormat="1" x14ac:dyDescent="0.35">
      <c r="A4537" s="223"/>
      <c r="B4537" s="88" t="s">
        <v>109</v>
      </c>
      <c r="C4537" s="89" t="s">
        <v>110</v>
      </c>
      <c r="D4537" s="90">
        <v>1000000</v>
      </c>
      <c r="F4537" s="94"/>
    </row>
    <row r="4538" spans="1:7" s="53" customFormat="1" x14ac:dyDescent="0.35">
      <c r="A4538" s="223"/>
      <c r="B4538" s="88" t="s">
        <v>111</v>
      </c>
      <c r="C4538" s="89" t="s">
        <v>112</v>
      </c>
      <c r="D4538" s="90">
        <v>40000</v>
      </c>
      <c r="E4538" s="225" t="s">
        <v>113</v>
      </c>
      <c r="F4538" s="225"/>
    </row>
    <row r="4539" spans="1:7" s="53" customFormat="1" x14ac:dyDescent="0.35">
      <c r="A4539" s="223"/>
      <c r="B4539" s="88" t="s">
        <v>182</v>
      </c>
      <c r="C4539" s="89" t="s">
        <v>115</v>
      </c>
      <c r="D4539" s="90">
        <f>250*120</f>
        <v>30000</v>
      </c>
      <c r="E4539" s="91" t="s">
        <v>116</v>
      </c>
      <c r="F4539" s="92">
        <f>4200*2550</f>
        <v>10710000</v>
      </c>
    </row>
    <row r="4540" spans="1:7" s="53" customFormat="1" x14ac:dyDescent="0.35">
      <c r="A4540" s="223"/>
      <c r="B4540" s="88"/>
      <c r="C4540" s="89" t="s">
        <v>117</v>
      </c>
      <c r="D4540" s="90">
        <f>2500*120</f>
        <v>300000</v>
      </c>
      <c r="E4540" s="93" t="s">
        <v>118</v>
      </c>
      <c r="F4540" s="94">
        <f>(2520*2550)+(1385.06*2550)</f>
        <v>9957903</v>
      </c>
    </row>
    <row r="4541" spans="1:7" s="53" customFormat="1" ht="15" thickBot="1" x14ac:dyDescent="0.4">
      <c r="A4541" s="223"/>
      <c r="B4541" s="88" t="s">
        <v>119</v>
      </c>
      <c r="C4541" s="89" t="s">
        <v>120</v>
      </c>
      <c r="D4541" s="95">
        <v>30000</v>
      </c>
      <c r="E4541" s="96" t="s">
        <v>121</v>
      </c>
      <c r="F4541" s="97">
        <f>F4539-F4540</f>
        <v>752097</v>
      </c>
      <c r="G4541" s="98">
        <f>F4541/2550</f>
        <v>294.94</v>
      </c>
    </row>
    <row r="4542" spans="1:7" s="53" customFormat="1" ht="15" thickTop="1" x14ac:dyDescent="0.35">
      <c r="A4542" s="223"/>
      <c r="B4542" s="88"/>
      <c r="C4542" s="99" t="s">
        <v>123</v>
      </c>
      <c r="D4542" s="90">
        <v>15000</v>
      </c>
      <c r="F4542" s="94"/>
    </row>
    <row r="4543" spans="1:7" s="53" customFormat="1" x14ac:dyDescent="0.35">
      <c r="A4543" s="223"/>
      <c r="B4543" s="88" t="s">
        <v>1153</v>
      </c>
      <c r="C4543" s="99" t="s">
        <v>126</v>
      </c>
      <c r="D4543" s="100">
        <v>30000</v>
      </c>
      <c r="E4543" s="91" t="s">
        <v>124</v>
      </c>
      <c r="F4543" s="92"/>
    </row>
    <row r="4544" spans="1:7" s="53" customFormat="1" x14ac:dyDescent="0.35">
      <c r="A4544" s="223"/>
      <c r="B4544" s="101"/>
      <c r="C4544" s="99"/>
      <c r="D4544" s="100"/>
      <c r="E4544" s="102"/>
      <c r="F4544" s="103"/>
    </row>
    <row r="4545" spans="1:6" s="53" customFormat="1" x14ac:dyDescent="0.35">
      <c r="A4545" s="223"/>
      <c r="B4545" s="101"/>
      <c r="C4545" s="89"/>
      <c r="D4545" s="104"/>
      <c r="E4545" s="102" t="s">
        <v>127</v>
      </c>
      <c r="F4545" s="103"/>
    </row>
    <row r="4546" spans="1:6" s="53" customFormat="1" x14ac:dyDescent="0.35">
      <c r="A4546" s="223"/>
      <c r="B4546" s="101"/>
      <c r="C4546" s="89"/>
      <c r="D4546" s="104"/>
      <c r="E4546" s="102" t="s">
        <v>1366</v>
      </c>
      <c r="F4546" s="103"/>
    </row>
    <row r="4547" spans="1:6" s="53" customFormat="1" ht="15" thickBot="1" x14ac:dyDescent="0.4">
      <c r="A4547" s="223"/>
      <c r="B4547" s="105"/>
      <c r="C4547" s="106"/>
      <c r="D4547" s="107"/>
      <c r="E4547" s="53" t="s">
        <v>1611</v>
      </c>
      <c r="F4547" s="94"/>
    </row>
    <row r="4548" spans="1:6" s="53" customFormat="1" ht="15" thickBot="1" x14ac:dyDescent="0.4">
      <c r="A4548" s="223"/>
      <c r="B4548" s="108"/>
      <c r="C4548" s="109" t="s">
        <v>129</v>
      </c>
      <c r="D4548" s="110">
        <f>SUM(D4535:D4547)</f>
        <v>7814250</v>
      </c>
      <c r="F4548" s="94"/>
    </row>
    <row r="4549" spans="1:6" s="53" customFormat="1" ht="15.5" thickTop="1" thickBot="1" x14ac:dyDescent="0.4">
      <c r="A4549" s="224"/>
      <c r="B4549" s="226"/>
      <c r="C4549" s="226"/>
      <c r="D4549" s="226"/>
      <c r="F4549" s="94"/>
    </row>
    <row r="4550" spans="1:6" s="53" customFormat="1" x14ac:dyDescent="0.35">
      <c r="B4550" s="87"/>
      <c r="C4550" s="53" t="s">
        <v>130</v>
      </c>
      <c r="D4550" s="111">
        <f>D4532-D4548</f>
        <v>2895750</v>
      </c>
      <c r="F4550" s="94"/>
    </row>
    <row r="4551" spans="1:6" s="53" customFormat="1" x14ac:dyDescent="0.35">
      <c r="B4551" s="87"/>
      <c r="D4551" s="111"/>
      <c r="F4551" s="94"/>
    </row>
    <row r="4552" spans="1:6" s="53" customFormat="1" x14ac:dyDescent="0.35">
      <c r="A4552" s="112"/>
      <c r="B4552" s="113"/>
      <c r="C4552" s="112"/>
      <c r="D4552" s="114"/>
      <c r="E4552" s="112"/>
      <c r="F4552" s="178"/>
    </row>
    <row r="4554" spans="1:6" s="53" customFormat="1" ht="23.5" x14ac:dyDescent="0.55000000000000004">
      <c r="B4554" s="227" t="s">
        <v>0</v>
      </c>
      <c r="C4554" s="227"/>
      <c r="D4554" s="227"/>
      <c r="E4554" s="70"/>
      <c r="F4554" s="176"/>
    </row>
    <row r="4555" spans="1:6" s="53" customFormat="1" ht="20.5" x14ac:dyDescent="0.45">
      <c r="B4555" s="71"/>
      <c r="C4555" s="72" t="s">
        <v>1161</v>
      </c>
      <c r="D4555" s="73"/>
      <c r="F4555" s="94"/>
    </row>
    <row r="4556" spans="1:6" s="53" customFormat="1" ht="21" thickBot="1" x14ac:dyDescent="0.5">
      <c r="B4556" s="71" t="s">
        <v>334</v>
      </c>
      <c r="C4556" s="74" t="s">
        <v>103</v>
      </c>
      <c r="D4556" s="73"/>
      <c r="F4556" s="94"/>
    </row>
    <row r="4557" spans="1:6" s="53" customFormat="1" ht="15" thickBot="1" x14ac:dyDescent="0.4">
      <c r="A4557" s="75" t="s">
        <v>104</v>
      </c>
      <c r="B4557" s="76" t="s">
        <v>81</v>
      </c>
      <c r="C4557" s="76" t="s">
        <v>105</v>
      </c>
      <c r="D4557" s="77" t="s">
        <v>84</v>
      </c>
      <c r="F4557" s="94"/>
    </row>
    <row r="4558" spans="1:6" s="53" customFormat="1" x14ac:dyDescent="0.35">
      <c r="A4558" s="222" t="s">
        <v>93</v>
      </c>
      <c r="B4558" s="78" t="s">
        <v>1162</v>
      </c>
      <c r="C4558" s="79" t="s">
        <v>319</v>
      </c>
      <c r="D4558" s="80">
        <f>F4565</f>
        <v>10455000</v>
      </c>
      <c r="F4558" s="94"/>
    </row>
    <row r="4559" spans="1:6" s="53" customFormat="1" ht="21" thickBot="1" x14ac:dyDescent="0.5">
      <c r="A4559" s="223"/>
      <c r="B4559" s="71"/>
      <c r="C4559" s="71"/>
      <c r="D4559" s="73"/>
      <c r="F4559" s="94"/>
    </row>
    <row r="4560" spans="1:6" s="53" customFormat="1" ht="15" thickBot="1" x14ac:dyDescent="0.4">
      <c r="A4560" s="223"/>
      <c r="B4560" s="81" t="s">
        <v>81</v>
      </c>
      <c r="C4560" s="82" t="s">
        <v>107</v>
      </c>
      <c r="D4560" s="83" t="s">
        <v>108</v>
      </c>
      <c r="F4560" s="94"/>
    </row>
    <row r="4561" spans="1:7" s="87" customFormat="1" x14ac:dyDescent="0.35">
      <c r="A4561" s="223"/>
      <c r="B4561" s="84" t="str">
        <f>B4558</f>
        <v>10th September,2025</v>
      </c>
      <c r="C4561" s="85" t="s">
        <v>1237</v>
      </c>
      <c r="D4561" s="86">
        <f>2000*2754</f>
        <v>5508000</v>
      </c>
      <c r="F4561" s="177"/>
    </row>
    <row r="4562" spans="1:7" s="53" customFormat="1" x14ac:dyDescent="0.35">
      <c r="A4562" s="223"/>
      <c r="B4562" s="88"/>
      <c r="C4562" s="89" t="s">
        <v>188</v>
      </c>
      <c r="D4562" s="90">
        <f>325*2650</f>
        <v>861250</v>
      </c>
      <c r="F4562" s="94"/>
    </row>
    <row r="4563" spans="1:7" s="53" customFormat="1" x14ac:dyDescent="0.35">
      <c r="A4563" s="223"/>
      <c r="B4563" s="88" t="s">
        <v>109</v>
      </c>
      <c r="C4563" s="89" t="s">
        <v>110</v>
      </c>
      <c r="D4563" s="90">
        <v>1000000</v>
      </c>
      <c r="F4563" s="94"/>
    </row>
    <row r="4564" spans="1:7" s="53" customFormat="1" x14ac:dyDescent="0.35">
      <c r="A4564" s="223"/>
      <c r="B4564" s="88" t="s">
        <v>111</v>
      </c>
      <c r="C4564" s="89" t="s">
        <v>112</v>
      </c>
      <c r="D4564" s="90">
        <v>40000</v>
      </c>
      <c r="E4564" s="225" t="s">
        <v>113</v>
      </c>
      <c r="F4564" s="225"/>
    </row>
    <row r="4565" spans="1:7" s="53" customFormat="1" x14ac:dyDescent="0.35">
      <c r="A4565" s="223"/>
      <c r="B4565" s="88" t="s">
        <v>114</v>
      </c>
      <c r="C4565" s="89" t="s">
        <v>115</v>
      </c>
      <c r="D4565" s="90">
        <f>550*120</f>
        <v>66000</v>
      </c>
      <c r="E4565" s="91" t="s">
        <v>116</v>
      </c>
      <c r="F4565" s="92">
        <f>4100*2550</f>
        <v>10455000</v>
      </c>
    </row>
    <row r="4566" spans="1:7" s="53" customFormat="1" x14ac:dyDescent="0.35">
      <c r="A4566" s="223"/>
      <c r="B4566" s="88"/>
      <c r="C4566" s="89" t="s">
        <v>117</v>
      </c>
      <c r="D4566" s="90">
        <f>3920*120</f>
        <v>470400</v>
      </c>
      <c r="E4566" s="93" t="s">
        <v>118</v>
      </c>
      <c r="F4566" s="94">
        <f>4100*2550</f>
        <v>10455000</v>
      </c>
    </row>
    <row r="4567" spans="1:7" s="53" customFormat="1" ht="15" thickBot="1" x14ac:dyDescent="0.4">
      <c r="A4567" s="223"/>
      <c r="B4567" s="88" t="s">
        <v>119</v>
      </c>
      <c r="C4567" s="89" t="s">
        <v>120</v>
      </c>
      <c r="D4567" s="95">
        <v>30000</v>
      </c>
      <c r="E4567" s="96" t="s">
        <v>121</v>
      </c>
      <c r="F4567" s="97">
        <f>F4565-F4566</f>
        <v>0</v>
      </c>
      <c r="G4567" s="98">
        <f>F4567/2550</f>
        <v>0</v>
      </c>
    </row>
    <row r="4568" spans="1:7" s="53" customFormat="1" ht="15" thickTop="1" x14ac:dyDescent="0.35">
      <c r="A4568" s="223"/>
      <c r="B4568" s="88"/>
      <c r="C4568" s="89" t="s">
        <v>122</v>
      </c>
      <c r="D4568" s="90">
        <v>140000</v>
      </c>
      <c r="F4568" s="94"/>
    </row>
    <row r="4569" spans="1:7" s="53" customFormat="1" x14ac:dyDescent="0.35">
      <c r="A4569" s="223"/>
      <c r="B4569" s="88" t="s">
        <v>1160</v>
      </c>
      <c r="C4569" s="99" t="s">
        <v>123</v>
      </c>
      <c r="D4569" s="90">
        <v>15000</v>
      </c>
      <c r="E4569" s="91" t="s">
        <v>124</v>
      </c>
      <c r="F4569" s="92"/>
    </row>
    <row r="4570" spans="1:7" s="53" customFormat="1" x14ac:dyDescent="0.35">
      <c r="A4570" s="223"/>
      <c r="B4570" s="101"/>
      <c r="C4570" s="99" t="s">
        <v>125</v>
      </c>
      <c r="D4570" s="100">
        <v>10000</v>
      </c>
      <c r="E4570" s="102"/>
      <c r="F4570" s="103"/>
    </row>
    <row r="4571" spans="1:7" s="53" customFormat="1" x14ac:dyDescent="0.35">
      <c r="A4571" s="223"/>
      <c r="B4571" s="101"/>
      <c r="C4571" s="99" t="s">
        <v>126</v>
      </c>
      <c r="D4571" s="100">
        <v>30000</v>
      </c>
      <c r="E4571" s="102" t="s">
        <v>127</v>
      </c>
      <c r="F4571" s="103"/>
    </row>
    <row r="4572" spans="1:7" s="53" customFormat="1" x14ac:dyDescent="0.35">
      <c r="A4572" s="223"/>
      <c r="B4572" s="101"/>
      <c r="C4572" s="89" t="s">
        <v>265</v>
      </c>
      <c r="D4572" s="104">
        <f>890*122</f>
        <v>108580</v>
      </c>
      <c r="E4572" s="102" t="s">
        <v>1364</v>
      </c>
      <c r="F4572" s="103"/>
    </row>
    <row r="4573" spans="1:7" s="53" customFormat="1" ht="15" thickBot="1" x14ac:dyDescent="0.4">
      <c r="A4573" s="223"/>
      <c r="B4573" s="105"/>
      <c r="C4573" s="106"/>
      <c r="D4573" s="107"/>
      <c r="F4573" s="94"/>
    </row>
    <row r="4574" spans="1:7" s="53" customFormat="1" ht="15" thickBot="1" x14ac:dyDescent="0.4">
      <c r="A4574" s="223"/>
      <c r="B4574" s="108"/>
      <c r="C4574" s="109" t="s">
        <v>129</v>
      </c>
      <c r="D4574" s="110">
        <f>SUM(D4561:D4573)</f>
        <v>8279230</v>
      </c>
      <c r="F4574" s="94"/>
    </row>
    <row r="4575" spans="1:7" s="53" customFormat="1" ht="15.5" thickTop="1" thickBot="1" x14ac:dyDescent="0.4">
      <c r="A4575" s="224"/>
      <c r="B4575" s="226"/>
      <c r="C4575" s="226"/>
      <c r="D4575" s="226"/>
      <c r="F4575" s="94"/>
    </row>
    <row r="4576" spans="1:7" s="53" customFormat="1" x14ac:dyDescent="0.35">
      <c r="B4576" s="87"/>
      <c r="C4576" s="53" t="s">
        <v>130</v>
      </c>
      <c r="D4576" s="111">
        <f>D4558-D4574</f>
        <v>2175770</v>
      </c>
      <c r="F4576" s="94"/>
    </row>
    <row r="4577" spans="1:6" s="53" customFormat="1" x14ac:dyDescent="0.35">
      <c r="B4577" s="87"/>
      <c r="D4577" s="111"/>
      <c r="F4577" s="94"/>
    </row>
    <row r="4578" spans="1:6" s="53" customFormat="1" x14ac:dyDescent="0.35">
      <c r="A4578" s="112"/>
      <c r="B4578" s="113"/>
      <c r="C4578" s="112"/>
      <c r="D4578" s="114"/>
      <c r="E4578" s="112"/>
      <c r="F4578" s="178"/>
    </row>
    <row r="4580" spans="1:6" s="53" customFormat="1" ht="23.5" x14ac:dyDescent="0.55000000000000004">
      <c r="B4580" s="227" t="s">
        <v>0</v>
      </c>
      <c r="C4580" s="227"/>
      <c r="D4580" s="227"/>
      <c r="E4580" s="70"/>
      <c r="F4580" s="176"/>
    </row>
    <row r="4581" spans="1:6" s="53" customFormat="1" ht="20.5" x14ac:dyDescent="0.45">
      <c r="B4581" s="71"/>
      <c r="C4581" s="72" t="s">
        <v>1173</v>
      </c>
      <c r="D4581" s="73"/>
      <c r="F4581" s="94"/>
    </row>
    <row r="4582" spans="1:6" s="53" customFormat="1" ht="21" thickBot="1" x14ac:dyDescent="0.5">
      <c r="B4582" s="71" t="s">
        <v>996</v>
      </c>
      <c r="C4582" s="74" t="s">
        <v>103</v>
      </c>
      <c r="D4582" s="73"/>
      <c r="F4582" s="94"/>
    </row>
    <row r="4583" spans="1:6" s="53" customFormat="1" ht="15" thickBot="1" x14ac:dyDescent="0.4">
      <c r="A4583" s="75" t="s">
        <v>104</v>
      </c>
      <c r="B4583" s="76" t="s">
        <v>81</v>
      </c>
      <c r="C4583" s="76" t="s">
        <v>105</v>
      </c>
      <c r="D4583" s="77" t="s">
        <v>84</v>
      </c>
      <c r="F4583" s="94"/>
    </row>
    <row r="4584" spans="1:6" s="53" customFormat="1" x14ac:dyDescent="0.35">
      <c r="A4584" s="222" t="s">
        <v>93</v>
      </c>
      <c r="B4584" s="78" t="s">
        <v>1174</v>
      </c>
      <c r="C4584" s="79" t="s">
        <v>319</v>
      </c>
      <c r="D4584" s="80">
        <f>F4591</f>
        <v>10455000</v>
      </c>
      <c r="F4584" s="94"/>
    </row>
    <row r="4585" spans="1:6" s="53" customFormat="1" ht="21" thickBot="1" x14ac:dyDescent="0.5">
      <c r="A4585" s="223"/>
      <c r="B4585" s="71"/>
      <c r="C4585" s="71"/>
      <c r="D4585" s="73"/>
      <c r="F4585" s="94"/>
    </row>
    <row r="4586" spans="1:6" s="53" customFormat="1" ht="15" thickBot="1" x14ac:dyDescent="0.4">
      <c r="A4586" s="223"/>
      <c r="B4586" s="81" t="s">
        <v>81</v>
      </c>
      <c r="C4586" s="82" t="s">
        <v>107</v>
      </c>
      <c r="D4586" s="83" t="s">
        <v>108</v>
      </c>
      <c r="F4586" s="94"/>
    </row>
    <row r="4587" spans="1:6" s="87" customFormat="1" x14ac:dyDescent="0.35">
      <c r="A4587" s="223"/>
      <c r="B4587" s="84" t="str">
        <f>B4584</f>
        <v>12th September,2025</v>
      </c>
      <c r="C4587" s="85" t="s">
        <v>467</v>
      </c>
      <c r="D4587" s="86"/>
      <c r="F4587" s="177"/>
    </row>
    <row r="4588" spans="1:6" s="53" customFormat="1" x14ac:dyDescent="0.35">
      <c r="A4588" s="223"/>
      <c r="B4588" s="88"/>
      <c r="C4588" s="89" t="s">
        <v>188</v>
      </c>
      <c r="D4588" s="90">
        <f>325*2650</f>
        <v>861250</v>
      </c>
      <c r="F4588" s="94"/>
    </row>
    <row r="4589" spans="1:6" s="53" customFormat="1" x14ac:dyDescent="0.35">
      <c r="A4589" s="223"/>
      <c r="B4589" s="88" t="s">
        <v>109</v>
      </c>
      <c r="C4589" s="89" t="s">
        <v>110</v>
      </c>
      <c r="D4589" s="90">
        <v>1000000</v>
      </c>
      <c r="F4589" s="94"/>
    </row>
    <row r="4590" spans="1:6" s="53" customFormat="1" x14ac:dyDescent="0.35">
      <c r="A4590" s="223"/>
      <c r="B4590" s="88" t="s">
        <v>111</v>
      </c>
      <c r="C4590" s="89" t="s">
        <v>112</v>
      </c>
      <c r="D4590" s="90">
        <v>40000</v>
      </c>
      <c r="E4590" s="225" t="s">
        <v>113</v>
      </c>
      <c r="F4590" s="225"/>
    </row>
    <row r="4591" spans="1:6" s="53" customFormat="1" x14ac:dyDescent="0.35">
      <c r="A4591" s="223"/>
      <c r="B4591" s="88" t="s">
        <v>182</v>
      </c>
      <c r="C4591" s="89" t="s">
        <v>115</v>
      </c>
      <c r="D4591" s="90">
        <f>600*120</f>
        <v>72000</v>
      </c>
      <c r="E4591" s="91" t="s">
        <v>116</v>
      </c>
      <c r="F4591" s="92">
        <f>4100*2550</f>
        <v>10455000</v>
      </c>
    </row>
    <row r="4592" spans="1:6" s="53" customFormat="1" x14ac:dyDescent="0.35">
      <c r="A4592" s="223"/>
      <c r="B4592" s="88"/>
      <c r="C4592" s="89" t="s">
        <v>117</v>
      </c>
      <c r="D4592" s="90">
        <f>3500*120</f>
        <v>420000</v>
      </c>
      <c r="E4592" s="93" t="s">
        <v>118</v>
      </c>
      <c r="F4592" s="94">
        <f>4100*2550</f>
        <v>10455000</v>
      </c>
    </row>
    <row r="4593" spans="1:7" s="53" customFormat="1" ht="15" thickBot="1" x14ac:dyDescent="0.4">
      <c r="A4593" s="223"/>
      <c r="B4593" s="88" t="s">
        <v>119</v>
      </c>
      <c r="C4593" s="89" t="s">
        <v>120</v>
      </c>
      <c r="D4593" s="95">
        <v>30000</v>
      </c>
      <c r="E4593" s="96" t="s">
        <v>121</v>
      </c>
      <c r="F4593" s="97">
        <f>F4591-F4592</f>
        <v>0</v>
      </c>
      <c r="G4593" s="98">
        <f>F4593/2550</f>
        <v>0</v>
      </c>
    </row>
    <row r="4594" spans="1:7" s="53" customFormat="1" ht="15" thickTop="1" x14ac:dyDescent="0.35">
      <c r="A4594" s="223"/>
      <c r="B4594" s="88"/>
      <c r="C4594" s="89" t="s">
        <v>122</v>
      </c>
      <c r="D4594" s="90">
        <v>140000</v>
      </c>
      <c r="F4594" s="94"/>
    </row>
    <row r="4595" spans="1:7" s="53" customFormat="1" x14ac:dyDescent="0.35">
      <c r="A4595" s="223"/>
      <c r="B4595" s="88" t="s">
        <v>1172</v>
      </c>
      <c r="C4595" s="99" t="s">
        <v>123</v>
      </c>
      <c r="D4595" s="90">
        <v>15000</v>
      </c>
      <c r="E4595" s="91" t="s">
        <v>124</v>
      </c>
      <c r="F4595" s="92"/>
    </row>
    <row r="4596" spans="1:7" s="53" customFormat="1" x14ac:dyDescent="0.35">
      <c r="A4596" s="223"/>
      <c r="B4596" s="101"/>
      <c r="C4596" s="99" t="s">
        <v>125</v>
      </c>
      <c r="D4596" s="100">
        <v>10000</v>
      </c>
      <c r="E4596" s="102"/>
      <c r="F4596" s="103"/>
    </row>
    <row r="4597" spans="1:7" s="53" customFormat="1" x14ac:dyDescent="0.35">
      <c r="A4597" s="223"/>
      <c r="B4597" s="101"/>
      <c r="C4597" s="99" t="s">
        <v>126</v>
      </c>
      <c r="D4597" s="100">
        <v>30000</v>
      </c>
      <c r="E4597" s="102" t="s">
        <v>127</v>
      </c>
      <c r="F4597" s="103"/>
    </row>
    <row r="4598" spans="1:7" s="53" customFormat="1" x14ac:dyDescent="0.35">
      <c r="A4598" s="223"/>
      <c r="B4598" s="101"/>
      <c r="C4598" s="89" t="s">
        <v>265</v>
      </c>
      <c r="D4598" s="104">
        <f>381*122</f>
        <v>46482</v>
      </c>
      <c r="E4598" s="102" t="s">
        <v>1363</v>
      </c>
      <c r="F4598" s="103"/>
    </row>
    <row r="4599" spans="1:7" s="53" customFormat="1" ht="15" thickBot="1" x14ac:dyDescent="0.4">
      <c r="A4599" s="223"/>
      <c r="B4599" s="105"/>
      <c r="C4599" s="106"/>
      <c r="D4599" s="107"/>
      <c r="F4599" s="94"/>
    </row>
    <row r="4600" spans="1:7" s="53" customFormat="1" ht="15" thickBot="1" x14ac:dyDescent="0.4">
      <c r="A4600" s="223"/>
      <c r="B4600" s="108"/>
      <c r="C4600" s="109" t="s">
        <v>129</v>
      </c>
      <c r="D4600" s="110">
        <f>SUM(D4587:D4599)</f>
        <v>2664732</v>
      </c>
      <c r="F4600" s="94"/>
    </row>
    <row r="4601" spans="1:7" s="53" customFormat="1" ht="15.5" thickTop="1" thickBot="1" x14ac:dyDescent="0.4">
      <c r="A4601" s="224"/>
      <c r="B4601" s="226"/>
      <c r="C4601" s="226"/>
      <c r="D4601" s="226"/>
      <c r="F4601" s="94"/>
    </row>
    <row r="4602" spans="1:7" s="53" customFormat="1" x14ac:dyDescent="0.35">
      <c r="B4602" s="87"/>
      <c r="C4602" s="53" t="s">
        <v>130</v>
      </c>
      <c r="D4602" s="111">
        <f>D4584-D4600</f>
        <v>7790268</v>
      </c>
      <c r="F4602" s="94"/>
    </row>
    <row r="4603" spans="1:7" s="53" customFormat="1" x14ac:dyDescent="0.35">
      <c r="B4603" s="87"/>
      <c r="D4603" s="111"/>
      <c r="F4603" s="94"/>
    </row>
    <row r="4604" spans="1:7" s="53" customFormat="1" x14ac:dyDescent="0.35">
      <c r="A4604" s="112"/>
      <c r="B4604" s="113"/>
      <c r="C4604" s="112"/>
      <c r="D4604" s="114"/>
      <c r="E4604" s="112"/>
      <c r="F4604" s="178"/>
    </row>
    <row r="4606" spans="1:7" s="53" customFormat="1" ht="23.5" x14ac:dyDescent="0.55000000000000004">
      <c r="B4606" s="227" t="s">
        <v>0</v>
      </c>
      <c r="C4606" s="227"/>
      <c r="D4606" s="227"/>
      <c r="E4606" s="70"/>
      <c r="F4606" s="176"/>
    </row>
    <row r="4607" spans="1:7" s="53" customFormat="1" ht="20.5" x14ac:dyDescent="0.45">
      <c r="B4607" s="71"/>
      <c r="C4607" s="72" t="s">
        <v>1179</v>
      </c>
      <c r="D4607" s="73"/>
      <c r="F4607" s="94"/>
    </row>
    <row r="4608" spans="1:7" s="53" customFormat="1" ht="21" thickBot="1" x14ac:dyDescent="0.5">
      <c r="B4608" s="71" t="s">
        <v>296</v>
      </c>
      <c r="C4608" s="74" t="s">
        <v>103</v>
      </c>
      <c r="D4608" s="73"/>
      <c r="F4608" s="94"/>
    </row>
    <row r="4609" spans="1:7" s="53" customFormat="1" ht="15" thickBot="1" x14ac:dyDescent="0.4">
      <c r="A4609" s="75" t="s">
        <v>104</v>
      </c>
      <c r="B4609" s="76" t="s">
        <v>81</v>
      </c>
      <c r="C4609" s="76" t="s">
        <v>105</v>
      </c>
      <c r="D4609" s="77" t="s">
        <v>84</v>
      </c>
      <c r="F4609" s="94"/>
    </row>
    <row r="4610" spans="1:7" s="53" customFormat="1" x14ac:dyDescent="0.35">
      <c r="A4610" s="222" t="s">
        <v>93</v>
      </c>
      <c r="B4610" s="78" t="s">
        <v>1180</v>
      </c>
      <c r="C4610" s="79" t="s">
        <v>319</v>
      </c>
      <c r="D4610" s="80">
        <f>F4617</f>
        <v>10455000</v>
      </c>
      <c r="F4610" s="94"/>
    </row>
    <row r="4611" spans="1:7" s="53" customFormat="1" ht="21" thickBot="1" x14ac:dyDescent="0.5">
      <c r="A4611" s="223"/>
      <c r="B4611" s="71"/>
      <c r="C4611" s="71"/>
      <c r="D4611" s="73"/>
      <c r="F4611" s="94"/>
    </row>
    <row r="4612" spans="1:7" s="53" customFormat="1" ht="15" thickBot="1" x14ac:dyDescent="0.4">
      <c r="A4612" s="223"/>
      <c r="B4612" s="81" t="s">
        <v>81</v>
      </c>
      <c r="C4612" s="82" t="s">
        <v>107</v>
      </c>
      <c r="D4612" s="83" t="s">
        <v>108</v>
      </c>
      <c r="F4612" s="94"/>
    </row>
    <row r="4613" spans="1:7" s="87" customFormat="1" x14ac:dyDescent="0.35">
      <c r="A4613" s="223"/>
      <c r="B4613" s="84" t="str">
        <f>B4610</f>
        <v>15th September,2025</v>
      </c>
      <c r="C4613" s="85" t="s">
        <v>1340</v>
      </c>
      <c r="D4613" s="86">
        <f>1850*2704</f>
        <v>5002400</v>
      </c>
      <c r="F4613" s="177"/>
    </row>
    <row r="4614" spans="1:7" s="53" customFormat="1" x14ac:dyDescent="0.35">
      <c r="A4614" s="223"/>
      <c r="B4614" s="88"/>
      <c r="C4614" s="89" t="s">
        <v>210</v>
      </c>
      <c r="D4614" s="90">
        <f>319*2650</f>
        <v>845350</v>
      </c>
      <c r="F4614" s="94"/>
    </row>
    <row r="4615" spans="1:7" s="53" customFormat="1" x14ac:dyDescent="0.35">
      <c r="A4615" s="223"/>
      <c r="B4615" s="88" t="s">
        <v>109</v>
      </c>
      <c r="C4615" s="89" t="s">
        <v>110</v>
      </c>
      <c r="D4615" s="90">
        <v>1000000</v>
      </c>
      <c r="F4615" s="94"/>
    </row>
    <row r="4616" spans="1:7" s="53" customFormat="1" x14ac:dyDescent="0.35">
      <c r="A4616" s="223"/>
      <c r="B4616" s="88" t="s">
        <v>111</v>
      </c>
      <c r="C4616" s="89" t="s">
        <v>112</v>
      </c>
      <c r="D4616" s="90">
        <v>40000</v>
      </c>
      <c r="E4616" s="225" t="s">
        <v>113</v>
      </c>
      <c r="F4616" s="225"/>
    </row>
    <row r="4617" spans="1:7" s="53" customFormat="1" x14ac:dyDescent="0.35">
      <c r="A4617" s="223"/>
      <c r="B4617" s="88" t="s">
        <v>206</v>
      </c>
      <c r="C4617" s="89" t="s">
        <v>115</v>
      </c>
      <c r="D4617" s="90">
        <f>500*120</f>
        <v>60000</v>
      </c>
      <c r="E4617" s="91" t="s">
        <v>116</v>
      </c>
      <c r="F4617" s="92">
        <f>4100*2550</f>
        <v>10455000</v>
      </c>
    </row>
    <row r="4618" spans="1:7" s="53" customFormat="1" x14ac:dyDescent="0.35">
      <c r="A4618" s="223"/>
      <c r="B4618" s="88"/>
      <c r="C4618" s="89" t="s">
        <v>117</v>
      </c>
      <c r="D4618" s="90">
        <f>4150*123</f>
        <v>510450</v>
      </c>
      <c r="E4618" s="93" t="s">
        <v>118</v>
      </c>
      <c r="F4618" s="94">
        <f>4100*2550</f>
        <v>10455000</v>
      </c>
    </row>
    <row r="4619" spans="1:7" s="53" customFormat="1" ht="15" thickBot="1" x14ac:dyDescent="0.4">
      <c r="A4619" s="223"/>
      <c r="B4619" s="88" t="s">
        <v>119</v>
      </c>
      <c r="C4619" s="89" t="s">
        <v>120</v>
      </c>
      <c r="D4619" s="95">
        <v>30000</v>
      </c>
      <c r="E4619" s="96" t="s">
        <v>121</v>
      </c>
      <c r="F4619" s="97">
        <f>F4617-F4618</f>
        <v>0</v>
      </c>
      <c r="G4619" s="98">
        <f>F4619/2550</f>
        <v>0</v>
      </c>
    </row>
    <row r="4620" spans="1:7" s="53" customFormat="1" ht="15" thickTop="1" x14ac:dyDescent="0.35">
      <c r="A4620" s="223"/>
      <c r="B4620" s="88"/>
      <c r="C4620" s="89" t="s">
        <v>122</v>
      </c>
      <c r="D4620" s="90">
        <v>140000</v>
      </c>
      <c r="F4620" s="94"/>
    </row>
    <row r="4621" spans="1:7" s="53" customFormat="1" x14ac:dyDescent="0.35">
      <c r="A4621" s="223"/>
      <c r="B4621" s="88" t="s">
        <v>1181</v>
      </c>
      <c r="C4621" s="99" t="s">
        <v>123</v>
      </c>
      <c r="D4621" s="90">
        <v>15000</v>
      </c>
      <c r="E4621" s="91" t="s">
        <v>124</v>
      </c>
      <c r="F4621" s="92"/>
    </row>
    <row r="4622" spans="1:7" s="53" customFormat="1" x14ac:dyDescent="0.35">
      <c r="A4622" s="223"/>
      <c r="B4622" s="101"/>
      <c r="C4622" s="99" t="s">
        <v>125</v>
      </c>
      <c r="D4622" s="100">
        <v>10000</v>
      </c>
      <c r="E4622" s="102"/>
      <c r="F4622" s="103"/>
    </row>
    <row r="4623" spans="1:7" s="53" customFormat="1" x14ac:dyDescent="0.35">
      <c r="A4623" s="223"/>
      <c r="B4623" s="101"/>
      <c r="C4623" s="99" t="s">
        <v>126</v>
      </c>
      <c r="D4623" s="100">
        <v>20000</v>
      </c>
      <c r="E4623" s="102" t="s">
        <v>127</v>
      </c>
      <c r="F4623" s="103"/>
    </row>
    <row r="4624" spans="1:7" s="53" customFormat="1" x14ac:dyDescent="0.35">
      <c r="A4624" s="223"/>
      <c r="B4624" s="101"/>
      <c r="C4624" s="89" t="s">
        <v>265</v>
      </c>
      <c r="D4624" s="104">
        <v>0</v>
      </c>
      <c r="E4624" s="102" t="s">
        <v>1464</v>
      </c>
      <c r="F4624" s="103"/>
    </row>
    <row r="4625" spans="1:6" s="53" customFormat="1" ht="15" thickBot="1" x14ac:dyDescent="0.4">
      <c r="A4625" s="223"/>
      <c r="B4625" s="105"/>
      <c r="C4625" s="106"/>
      <c r="D4625" s="107"/>
      <c r="F4625" s="94"/>
    </row>
    <row r="4626" spans="1:6" s="53" customFormat="1" ht="15" thickBot="1" x14ac:dyDescent="0.4">
      <c r="A4626" s="223"/>
      <c r="B4626" s="108"/>
      <c r="C4626" s="109" t="s">
        <v>129</v>
      </c>
      <c r="D4626" s="110">
        <f>SUM(D4613:D4625)</f>
        <v>7673200</v>
      </c>
      <c r="F4626" s="94"/>
    </row>
    <row r="4627" spans="1:6" s="53" customFormat="1" ht="15.5" thickTop="1" thickBot="1" x14ac:dyDescent="0.4">
      <c r="A4627" s="224"/>
      <c r="B4627" s="226"/>
      <c r="C4627" s="226"/>
      <c r="D4627" s="226"/>
      <c r="F4627" s="94"/>
    </row>
    <row r="4628" spans="1:6" s="53" customFormat="1" x14ac:dyDescent="0.35">
      <c r="B4628" s="87"/>
      <c r="C4628" s="53" t="s">
        <v>130</v>
      </c>
      <c r="D4628" s="111">
        <f>D4610-D4626</f>
        <v>2781800</v>
      </c>
      <c r="F4628" s="94"/>
    </row>
    <row r="4629" spans="1:6" s="53" customFormat="1" x14ac:dyDescent="0.35">
      <c r="B4629" s="87"/>
      <c r="D4629" s="111"/>
      <c r="F4629" s="94"/>
    </row>
    <row r="4630" spans="1:6" s="53" customFormat="1" x14ac:dyDescent="0.35">
      <c r="A4630" s="112"/>
      <c r="B4630" s="113"/>
      <c r="C4630" s="112"/>
      <c r="D4630" s="114"/>
      <c r="E4630" s="112"/>
      <c r="F4630" s="178"/>
    </row>
    <row r="4632" spans="1:6" s="53" customFormat="1" ht="23.5" x14ac:dyDescent="0.55000000000000004">
      <c r="B4632" s="227" t="s">
        <v>0</v>
      </c>
      <c r="C4632" s="227"/>
      <c r="D4632" s="227"/>
      <c r="E4632" s="70"/>
      <c r="F4632" s="176"/>
    </row>
    <row r="4633" spans="1:6" s="53" customFormat="1" ht="20.5" x14ac:dyDescent="0.45">
      <c r="B4633" s="71"/>
      <c r="C4633" s="72" t="s">
        <v>1184</v>
      </c>
      <c r="D4633" s="73"/>
      <c r="F4633" s="94"/>
    </row>
    <row r="4634" spans="1:6" s="53" customFormat="1" ht="21" thickBot="1" x14ac:dyDescent="0.5">
      <c r="B4634" s="71" t="s">
        <v>1002</v>
      </c>
      <c r="C4634" s="74" t="s">
        <v>103</v>
      </c>
      <c r="D4634" s="73"/>
      <c r="F4634" s="94"/>
    </row>
    <row r="4635" spans="1:6" s="53" customFormat="1" ht="15" thickBot="1" x14ac:dyDescent="0.4">
      <c r="A4635" s="75" t="s">
        <v>104</v>
      </c>
      <c r="B4635" s="76" t="s">
        <v>81</v>
      </c>
      <c r="C4635" s="76" t="s">
        <v>105</v>
      </c>
      <c r="D4635" s="77" t="s">
        <v>84</v>
      </c>
      <c r="F4635" s="94"/>
    </row>
    <row r="4636" spans="1:6" s="53" customFormat="1" ht="14.5" customHeight="1" x14ac:dyDescent="0.35">
      <c r="A4636" s="222" t="s">
        <v>93</v>
      </c>
      <c r="B4636" s="78" t="s">
        <v>1180</v>
      </c>
      <c r="C4636" s="79" t="s">
        <v>959</v>
      </c>
      <c r="D4636" s="80">
        <f>F4643</f>
        <v>10710000</v>
      </c>
      <c r="F4636" s="94"/>
    </row>
    <row r="4637" spans="1:6" s="53" customFormat="1" ht="21" thickBot="1" x14ac:dyDescent="0.5">
      <c r="A4637" s="223"/>
      <c r="B4637" s="71"/>
      <c r="C4637" s="71"/>
      <c r="D4637" s="73"/>
      <c r="F4637" s="94"/>
    </row>
    <row r="4638" spans="1:6" s="53" customFormat="1" ht="15" thickBot="1" x14ac:dyDescent="0.4">
      <c r="A4638" s="223"/>
      <c r="B4638" s="81" t="s">
        <v>81</v>
      </c>
      <c r="C4638" s="82" t="s">
        <v>107</v>
      </c>
      <c r="D4638" s="83" t="s">
        <v>108</v>
      </c>
      <c r="F4638" s="94"/>
    </row>
    <row r="4639" spans="1:6" s="87" customFormat="1" x14ac:dyDescent="0.35">
      <c r="A4639" s="223"/>
      <c r="B4639" s="84" t="str">
        <f>B4636</f>
        <v>15th September,2025</v>
      </c>
      <c r="C4639" s="85" t="s">
        <v>1340</v>
      </c>
      <c r="D4639" s="86">
        <f>1850*2704</f>
        <v>5002400</v>
      </c>
      <c r="F4639" s="177"/>
    </row>
    <row r="4640" spans="1:6" s="53" customFormat="1" x14ac:dyDescent="0.35">
      <c r="A4640" s="223"/>
      <c r="B4640" s="88"/>
      <c r="C4640" s="89" t="s">
        <v>210</v>
      </c>
      <c r="D4640" s="90">
        <f>319*2650</f>
        <v>845350</v>
      </c>
      <c r="F4640" s="94"/>
    </row>
    <row r="4641" spans="1:7" s="53" customFormat="1" x14ac:dyDescent="0.35">
      <c r="A4641" s="223"/>
      <c r="B4641" s="88" t="s">
        <v>109</v>
      </c>
      <c r="C4641" s="89" t="s">
        <v>110</v>
      </c>
      <c r="D4641" s="90">
        <v>1000000</v>
      </c>
      <c r="F4641" s="94"/>
    </row>
    <row r="4642" spans="1:7" s="53" customFormat="1" x14ac:dyDescent="0.35">
      <c r="A4642" s="223"/>
      <c r="B4642" s="88" t="s">
        <v>111</v>
      </c>
      <c r="C4642" s="89" t="s">
        <v>112</v>
      </c>
      <c r="D4642" s="90">
        <v>40000</v>
      </c>
      <c r="E4642" s="225" t="s">
        <v>113</v>
      </c>
      <c r="F4642" s="225"/>
    </row>
    <row r="4643" spans="1:7" s="53" customFormat="1" x14ac:dyDescent="0.35">
      <c r="A4643" s="223"/>
      <c r="B4643" s="88" t="s">
        <v>206</v>
      </c>
      <c r="C4643" s="89" t="s">
        <v>115</v>
      </c>
      <c r="D4643" s="90">
        <f>500*120</f>
        <v>60000</v>
      </c>
      <c r="E4643" s="91" t="s">
        <v>116</v>
      </c>
      <c r="F4643" s="92">
        <f>4200*2550</f>
        <v>10710000</v>
      </c>
    </row>
    <row r="4644" spans="1:7" s="53" customFormat="1" x14ac:dyDescent="0.35">
      <c r="A4644" s="223"/>
      <c r="B4644" s="88"/>
      <c r="C4644" s="89" t="s">
        <v>117</v>
      </c>
      <c r="D4644" s="90">
        <f>4150*123</f>
        <v>510450</v>
      </c>
      <c r="E4644" s="93" t="s">
        <v>118</v>
      </c>
      <c r="F4644" s="94">
        <f>(2520*2550)+(1680*2550)</f>
        <v>10710000</v>
      </c>
    </row>
    <row r="4645" spans="1:7" s="53" customFormat="1" ht="15" thickBot="1" x14ac:dyDescent="0.4">
      <c r="A4645" s="223"/>
      <c r="B4645" s="88" t="s">
        <v>119</v>
      </c>
      <c r="C4645" s="89" t="s">
        <v>120</v>
      </c>
      <c r="D4645" s="95">
        <v>30000</v>
      </c>
      <c r="E4645" s="96" t="s">
        <v>121</v>
      </c>
      <c r="F4645" s="97">
        <f>F4643-F4644</f>
        <v>0</v>
      </c>
      <c r="G4645" s="98">
        <f>F4645/2550</f>
        <v>0</v>
      </c>
    </row>
    <row r="4646" spans="1:7" s="53" customFormat="1" ht="15" thickTop="1" x14ac:dyDescent="0.35">
      <c r="A4646" s="223"/>
      <c r="B4646" s="88"/>
      <c r="C4646" s="89" t="s">
        <v>122</v>
      </c>
      <c r="D4646" s="90">
        <v>140000</v>
      </c>
      <c r="F4646" s="94"/>
    </row>
    <row r="4647" spans="1:7" s="53" customFormat="1" x14ac:dyDescent="0.35">
      <c r="A4647" s="223"/>
      <c r="B4647" s="88" t="s">
        <v>1183</v>
      </c>
      <c r="C4647" s="99" t="s">
        <v>123</v>
      </c>
      <c r="D4647" s="90">
        <v>15000</v>
      </c>
      <c r="E4647" s="91" t="s">
        <v>124</v>
      </c>
      <c r="F4647" s="92"/>
    </row>
    <row r="4648" spans="1:7" s="53" customFormat="1" x14ac:dyDescent="0.35">
      <c r="A4648" s="223"/>
      <c r="B4648" s="101"/>
      <c r="C4648" s="99" t="s">
        <v>125</v>
      </c>
      <c r="D4648" s="100">
        <v>10000</v>
      </c>
      <c r="E4648" s="102"/>
      <c r="F4648" s="103"/>
    </row>
    <row r="4649" spans="1:7" s="53" customFormat="1" x14ac:dyDescent="0.35">
      <c r="A4649" s="223"/>
      <c r="B4649" s="101"/>
      <c r="C4649" s="99" t="s">
        <v>126</v>
      </c>
      <c r="D4649" s="100">
        <v>20000</v>
      </c>
      <c r="E4649" s="102" t="s">
        <v>127</v>
      </c>
      <c r="F4649" s="103"/>
    </row>
    <row r="4650" spans="1:7" s="53" customFormat="1" x14ac:dyDescent="0.35">
      <c r="A4650" s="223"/>
      <c r="B4650" s="101"/>
      <c r="C4650" s="89" t="s">
        <v>265</v>
      </c>
      <c r="D4650" s="104">
        <f>379*123</f>
        <v>46617</v>
      </c>
      <c r="E4650" s="102" t="s">
        <v>1206</v>
      </c>
      <c r="F4650" s="103"/>
    </row>
    <row r="4651" spans="1:7" s="53" customFormat="1" ht="15" thickBot="1" x14ac:dyDescent="0.4">
      <c r="A4651" s="223"/>
      <c r="B4651" s="105"/>
      <c r="C4651" s="106" t="s">
        <v>710</v>
      </c>
      <c r="D4651" s="107">
        <v>20000</v>
      </c>
      <c r="E4651" s="53" t="s">
        <v>1611</v>
      </c>
      <c r="F4651" s="94"/>
    </row>
    <row r="4652" spans="1:7" s="53" customFormat="1" ht="15" thickBot="1" x14ac:dyDescent="0.4">
      <c r="A4652" s="223"/>
      <c r="B4652" s="108"/>
      <c r="C4652" s="109" t="s">
        <v>129</v>
      </c>
      <c r="D4652" s="110">
        <f>SUM(D4639:D4651)</f>
        <v>7739817</v>
      </c>
      <c r="F4652" s="94"/>
    </row>
    <row r="4653" spans="1:7" s="53" customFormat="1" ht="15.5" thickTop="1" thickBot="1" x14ac:dyDescent="0.4">
      <c r="A4653" s="224"/>
      <c r="B4653" s="226"/>
      <c r="C4653" s="226"/>
      <c r="D4653" s="226"/>
      <c r="F4653" s="94"/>
    </row>
    <row r="4654" spans="1:7" s="53" customFormat="1" x14ac:dyDescent="0.35">
      <c r="B4654" s="87"/>
      <c r="C4654" s="53" t="s">
        <v>130</v>
      </c>
      <c r="D4654" s="111">
        <f>D4636-D4652</f>
        <v>2970183</v>
      </c>
      <c r="F4654" s="94"/>
    </row>
    <row r="4655" spans="1:7" s="53" customFormat="1" x14ac:dyDescent="0.35">
      <c r="B4655" s="87"/>
      <c r="D4655" s="111"/>
      <c r="F4655" s="94"/>
    </row>
    <row r="4656" spans="1:7" s="53" customFormat="1" x14ac:dyDescent="0.35">
      <c r="A4656" s="112"/>
      <c r="B4656" s="113"/>
      <c r="C4656" s="112"/>
      <c r="D4656" s="114"/>
      <c r="E4656" s="112"/>
      <c r="F4656" s="178"/>
    </row>
    <row r="4658" spans="1:7" s="53" customFormat="1" ht="23.5" x14ac:dyDescent="0.55000000000000004">
      <c r="B4658" s="227" t="s">
        <v>0</v>
      </c>
      <c r="C4658" s="227"/>
      <c r="D4658" s="227"/>
      <c r="E4658" s="70"/>
      <c r="F4658" s="176"/>
    </row>
    <row r="4659" spans="1:7" s="53" customFormat="1" ht="20.5" x14ac:dyDescent="0.45">
      <c r="B4659" s="71"/>
      <c r="C4659" s="72" t="s">
        <v>1188</v>
      </c>
      <c r="D4659" s="73"/>
      <c r="F4659" s="94"/>
    </row>
    <row r="4660" spans="1:7" s="53" customFormat="1" ht="21" thickBot="1" x14ac:dyDescent="0.5">
      <c r="B4660" s="71" t="s">
        <v>984</v>
      </c>
      <c r="C4660" s="74" t="s">
        <v>103</v>
      </c>
      <c r="D4660" s="73"/>
      <c r="F4660" s="94"/>
    </row>
    <row r="4661" spans="1:7" s="53" customFormat="1" ht="15" thickBot="1" x14ac:dyDescent="0.4">
      <c r="A4661" s="75" t="s">
        <v>104</v>
      </c>
      <c r="B4661" s="76" t="s">
        <v>81</v>
      </c>
      <c r="C4661" s="76" t="s">
        <v>105</v>
      </c>
      <c r="D4661" s="77" t="s">
        <v>84</v>
      </c>
      <c r="F4661" s="94"/>
    </row>
    <row r="4662" spans="1:7" s="53" customFormat="1" ht="14.5" customHeight="1" x14ac:dyDescent="0.35">
      <c r="A4662" s="222" t="s">
        <v>93</v>
      </c>
      <c r="B4662" s="78" t="s">
        <v>1180</v>
      </c>
      <c r="C4662" s="79" t="s">
        <v>959</v>
      </c>
      <c r="D4662" s="80">
        <f>F4669</f>
        <v>11475000</v>
      </c>
      <c r="F4662" s="94"/>
    </row>
    <row r="4663" spans="1:7" s="53" customFormat="1" ht="21" thickBot="1" x14ac:dyDescent="0.5">
      <c r="A4663" s="223"/>
      <c r="B4663" s="71"/>
      <c r="C4663" s="71"/>
      <c r="D4663" s="73"/>
      <c r="F4663" s="94"/>
    </row>
    <row r="4664" spans="1:7" s="53" customFormat="1" ht="15" thickBot="1" x14ac:dyDescent="0.4">
      <c r="A4664" s="223"/>
      <c r="B4664" s="81" t="s">
        <v>81</v>
      </c>
      <c r="C4664" s="82" t="s">
        <v>107</v>
      </c>
      <c r="D4664" s="83" t="s">
        <v>108</v>
      </c>
      <c r="F4664" s="94"/>
    </row>
    <row r="4665" spans="1:7" s="87" customFormat="1" x14ac:dyDescent="0.35">
      <c r="A4665" s="223"/>
      <c r="B4665" s="84" t="str">
        <f>B4662</f>
        <v>15th September,2025</v>
      </c>
      <c r="C4665" s="85" t="s">
        <v>1390</v>
      </c>
      <c r="D4665" s="86">
        <f>1800*2777</f>
        <v>4998600</v>
      </c>
      <c r="F4665" s="177"/>
    </row>
    <row r="4666" spans="1:7" s="53" customFormat="1" x14ac:dyDescent="0.35">
      <c r="A4666" s="223"/>
      <c r="B4666" s="88"/>
      <c r="C4666" s="89" t="s">
        <v>388</v>
      </c>
      <c r="D4666" s="90">
        <f>356*2650</f>
        <v>943400</v>
      </c>
      <c r="F4666" s="94"/>
    </row>
    <row r="4667" spans="1:7" s="53" customFormat="1" x14ac:dyDescent="0.35">
      <c r="A4667" s="223"/>
      <c r="B4667" s="88" t="s">
        <v>109</v>
      </c>
      <c r="C4667" s="89" t="s">
        <v>110</v>
      </c>
      <c r="D4667" s="90">
        <v>1000000</v>
      </c>
      <c r="F4667" s="94"/>
    </row>
    <row r="4668" spans="1:7" s="53" customFormat="1" x14ac:dyDescent="0.35">
      <c r="A4668" s="223"/>
      <c r="B4668" s="88" t="s">
        <v>111</v>
      </c>
      <c r="C4668" s="89" t="s">
        <v>112</v>
      </c>
      <c r="D4668" s="90">
        <v>40000</v>
      </c>
      <c r="E4668" s="225" t="s">
        <v>113</v>
      </c>
      <c r="F4668" s="225"/>
    </row>
    <row r="4669" spans="1:7" s="53" customFormat="1" x14ac:dyDescent="0.35">
      <c r="A4669" s="223"/>
      <c r="B4669" s="88" t="s">
        <v>415</v>
      </c>
      <c r="C4669" s="89" t="s">
        <v>115</v>
      </c>
      <c r="D4669" s="90">
        <f>550*120</f>
        <v>66000</v>
      </c>
      <c r="E4669" s="91" t="s">
        <v>116</v>
      </c>
      <c r="F4669" s="92">
        <f>4500*2550</f>
        <v>11475000</v>
      </c>
    </row>
    <row r="4670" spans="1:7" s="53" customFormat="1" x14ac:dyDescent="0.35">
      <c r="A4670" s="223"/>
      <c r="B4670" s="88"/>
      <c r="C4670" s="89" t="s">
        <v>117</v>
      </c>
      <c r="D4670" s="90">
        <f>4400*123</f>
        <v>541200</v>
      </c>
      <c r="E4670" s="93" t="s">
        <v>118</v>
      </c>
      <c r="F4670" s="94">
        <f>(2700*2550)+(1800*2550)</f>
        <v>11475000</v>
      </c>
    </row>
    <row r="4671" spans="1:7" s="53" customFormat="1" ht="15" thickBot="1" x14ac:dyDescent="0.4">
      <c r="A4671" s="223"/>
      <c r="B4671" s="88" t="s">
        <v>119</v>
      </c>
      <c r="C4671" s="89" t="s">
        <v>120</v>
      </c>
      <c r="D4671" s="95">
        <v>30000</v>
      </c>
      <c r="E4671" s="96" t="s">
        <v>121</v>
      </c>
      <c r="F4671" s="97">
        <f>F4669-F4670</f>
        <v>0</v>
      </c>
      <c r="G4671" s="98">
        <f>F4671/2550</f>
        <v>0</v>
      </c>
    </row>
    <row r="4672" spans="1:7" s="53" customFormat="1" ht="15" thickTop="1" x14ac:dyDescent="0.35">
      <c r="A4672" s="223"/>
      <c r="B4672" s="88"/>
      <c r="C4672" s="89" t="s">
        <v>122</v>
      </c>
      <c r="D4672" s="90">
        <v>150000</v>
      </c>
      <c r="F4672" s="94"/>
    </row>
    <row r="4673" spans="1:6" s="53" customFormat="1" x14ac:dyDescent="0.35">
      <c r="A4673" s="223"/>
      <c r="B4673" s="88" t="s">
        <v>1181</v>
      </c>
      <c r="C4673" s="99" t="s">
        <v>123</v>
      </c>
      <c r="D4673" s="90">
        <v>15000</v>
      </c>
      <c r="E4673" s="91" t="s">
        <v>124</v>
      </c>
      <c r="F4673" s="92"/>
    </row>
    <row r="4674" spans="1:6" s="53" customFormat="1" x14ac:dyDescent="0.35">
      <c r="A4674" s="223"/>
      <c r="B4674" s="101"/>
      <c r="C4674" s="99" t="s">
        <v>125</v>
      </c>
      <c r="D4674" s="100">
        <v>10000</v>
      </c>
      <c r="E4674" s="102"/>
      <c r="F4674" s="103"/>
    </row>
    <row r="4675" spans="1:6" s="53" customFormat="1" x14ac:dyDescent="0.35">
      <c r="A4675" s="223"/>
      <c r="B4675" s="101"/>
      <c r="C4675" s="99" t="s">
        <v>126</v>
      </c>
      <c r="D4675" s="100">
        <v>40000</v>
      </c>
      <c r="E4675" s="102" t="s">
        <v>127</v>
      </c>
      <c r="F4675" s="103"/>
    </row>
    <row r="4676" spans="1:6" s="53" customFormat="1" x14ac:dyDescent="0.35">
      <c r="A4676" s="223"/>
      <c r="B4676" s="101"/>
      <c r="C4676" s="89" t="s">
        <v>1391</v>
      </c>
      <c r="D4676" s="104">
        <f>300*2550</f>
        <v>765000</v>
      </c>
      <c r="E4676" s="102" t="s">
        <v>1206</v>
      </c>
      <c r="F4676" s="103"/>
    </row>
    <row r="4677" spans="1:6" s="53" customFormat="1" ht="15" thickBot="1" x14ac:dyDescent="0.4">
      <c r="A4677" s="223"/>
      <c r="B4677" s="105"/>
      <c r="C4677" s="106"/>
      <c r="D4677" s="107"/>
      <c r="E4677" s="53" t="s">
        <v>1561</v>
      </c>
      <c r="F4677" s="94"/>
    </row>
    <row r="4678" spans="1:6" s="53" customFormat="1" ht="15" thickBot="1" x14ac:dyDescent="0.4">
      <c r="A4678" s="223"/>
      <c r="B4678" s="108"/>
      <c r="C4678" s="109" t="s">
        <v>129</v>
      </c>
      <c r="D4678" s="110">
        <f>SUM(D4665:D4677)</f>
        <v>8599200</v>
      </c>
      <c r="F4678" s="94"/>
    </row>
    <row r="4679" spans="1:6" s="53" customFormat="1" ht="15.5" thickTop="1" thickBot="1" x14ac:dyDescent="0.4">
      <c r="A4679" s="224"/>
      <c r="B4679" s="226"/>
      <c r="C4679" s="226"/>
      <c r="D4679" s="226"/>
      <c r="F4679" s="94"/>
    </row>
    <row r="4680" spans="1:6" s="53" customFormat="1" x14ac:dyDescent="0.35">
      <c r="B4680" s="87"/>
      <c r="C4680" s="53" t="s">
        <v>130</v>
      </c>
      <c r="D4680" s="111">
        <f>D4662-D4678</f>
        <v>2875800</v>
      </c>
      <c r="F4680" s="94"/>
    </row>
    <row r="4681" spans="1:6" s="53" customFormat="1" x14ac:dyDescent="0.35">
      <c r="B4681" s="87"/>
      <c r="D4681" s="111"/>
      <c r="F4681" s="94"/>
    </row>
    <row r="4682" spans="1:6" s="53" customFormat="1" x14ac:dyDescent="0.35">
      <c r="A4682" s="112"/>
      <c r="B4682" s="113"/>
      <c r="C4682" s="112"/>
      <c r="D4682" s="114"/>
      <c r="E4682" s="112"/>
      <c r="F4682" s="178"/>
    </row>
    <row r="4684" spans="1:6" s="53" customFormat="1" ht="23.5" x14ac:dyDescent="0.55000000000000004">
      <c r="B4684" s="227" t="s">
        <v>0</v>
      </c>
      <c r="C4684" s="227"/>
      <c r="D4684" s="227"/>
      <c r="E4684" s="70"/>
      <c r="F4684" s="176"/>
    </row>
    <row r="4685" spans="1:6" s="53" customFormat="1" ht="20.5" x14ac:dyDescent="0.45">
      <c r="B4685" s="71"/>
      <c r="C4685" s="72" t="s">
        <v>1187</v>
      </c>
      <c r="D4685" s="73"/>
      <c r="F4685" s="94"/>
    </row>
    <row r="4686" spans="1:6" s="53" customFormat="1" ht="21" thickBot="1" x14ac:dyDescent="0.5">
      <c r="B4686" s="71" t="s">
        <v>724</v>
      </c>
      <c r="C4686" s="74" t="s">
        <v>103</v>
      </c>
      <c r="D4686" s="73"/>
      <c r="F4686" s="94"/>
    </row>
    <row r="4687" spans="1:6" s="53" customFormat="1" ht="15" thickBot="1" x14ac:dyDescent="0.4">
      <c r="A4687" s="75" t="s">
        <v>104</v>
      </c>
      <c r="B4687" s="76" t="s">
        <v>81</v>
      </c>
      <c r="C4687" s="76" t="s">
        <v>105</v>
      </c>
      <c r="D4687" s="77" t="s">
        <v>84</v>
      </c>
      <c r="F4687" s="94"/>
    </row>
    <row r="4688" spans="1:6" s="53" customFormat="1" ht="14.5" customHeight="1" x14ac:dyDescent="0.35">
      <c r="A4688" s="222" t="s">
        <v>93</v>
      </c>
      <c r="B4688" s="78" t="s">
        <v>1180</v>
      </c>
      <c r="C4688" s="79" t="s">
        <v>959</v>
      </c>
      <c r="D4688" s="80">
        <f>F4695</f>
        <v>11475000</v>
      </c>
      <c r="F4688" s="94"/>
    </row>
    <row r="4689" spans="1:7" s="53" customFormat="1" ht="21" thickBot="1" x14ac:dyDescent="0.5">
      <c r="A4689" s="223"/>
      <c r="B4689" s="71"/>
      <c r="C4689" s="71"/>
      <c r="D4689" s="73"/>
      <c r="F4689" s="94"/>
    </row>
    <row r="4690" spans="1:7" s="53" customFormat="1" ht="15" thickBot="1" x14ac:dyDescent="0.4">
      <c r="A4690" s="223"/>
      <c r="B4690" s="81" t="s">
        <v>81</v>
      </c>
      <c r="C4690" s="82" t="s">
        <v>107</v>
      </c>
      <c r="D4690" s="83" t="s">
        <v>108</v>
      </c>
      <c r="F4690" s="94"/>
    </row>
    <row r="4691" spans="1:7" s="87" customFormat="1" x14ac:dyDescent="0.35">
      <c r="A4691" s="223"/>
      <c r="B4691" s="84" t="str">
        <f>B4688</f>
        <v>15th September,2025</v>
      </c>
      <c r="C4691" s="85" t="s">
        <v>1156</v>
      </c>
      <c r="D4691" s="86">
        <f>2100*2777</f>
        <v>5831700</v>
      </c>
      <c r="F4691" s="177"/>
    </row>
    <row r="4692" spans="1:7" s="53" customFormat="1" x14ac:dyDescent="0.35">
      <c r="A4692" s="223"/>
      <c r="B4692" s="88"/>
      <c r="C4692" s="89" t="s">
        <v>388</v>
      </c>
      <c r="D4692" s="90">
        <f>356*2650</f>
        <v>943400</v>
      </c>
      <c r="F4692" s="94"/>
    </row>
    <row r="4693" spans="1:7" s="53" customFormat="1" x14ac:dyDescent="0.35">
      <c r="A4693" s="223"/>
      <c r="B4693" s="88" t="s">
        <v>109</v>
      </c>
      <c r="C4693" s="89" t="s">
        <v>110</v>
      </c>
      <c r="D4693" s="90">
        <v>1000000</v>
      </c>
      <c r="F4693" s="94"/>
    </row>
    <row r="4694" spans="1:7" s="53" customFormat="1" x14ac:dyDescent="0.35">
      <c r="A4694" s="223"/>
      <c r="B4694" s="88" t="s">
        <v>111</v>
      </c>
      <c r="C4694" s="89" t="s">
        <v>112</v>
      </c>
      <c r="D4694" s="90">
        <v>40000</v>
      </c>
      <c r="E4694" s="225" t="s">
        <v>113</v>
      </c>
      <c r="F4694" s="225"/>
    </row>
    <row r="4695" spans="1:7" s="53" customFormat="1" x14ac:dyDescent="0.35">
      <c r="A4695" s="223"/>
      <c r="B4695" s="88" t="s">
        <v>383</v>
      </c>
      <c r="C4695" s="89" t="s">
        <v>115</v>
      </c>
      <c r="D4695" s="90">
        <f>450*120</f>
        <v>54000</v>
      </c>
      <c r="E4695" s="91" t="s">
        <v>116</v>
      </c>
      <c r="F4695" s="92">
        <f>4500*2550</f>
        <v>11475000</v>
      </c>
    </row>
    <row r="4696" spans="1:7" s="53" customFormat="1" x14ac:dyDescent="0.35">
      <c r="A4696" s="223"/>
      <c r="B4696" s="88"/>
      <c r="C4696" s="89" t="s">
        <v>117</v>
      </c>
      <c r="D4696" s="90">
        <f>7020*128</f>
        <v>898560</v>
      </c>
      <c r="E4696" s="93" t="s">
        <v>118</v>
      </c>
      <c r="F4696" s="94">
        <f>(2700*2550)+(1800*2550)</f>
        <v>11475000</v>
      </c>
    </row>
    <row r="4697" spans="1:7" s="53" customFormat="1" ht="15" thickBot="1" x14ac:dyDescent="0.4">
      <c r="A4697" s="223"/>
      <c r="B4697" s="88" t="s">
        <v>119</v>
      </c>
      <c r="C4697" s="89" t="s">
        <v>120</v>
      </c>
      <c r="D4697" s="95">
        <v>30000</v>
      </c>
      <c r="E4697" s="96" t="s">
        <v>121</v>
      </c>
      <c r="F4697" s="97">
        <f>F4695-F4696</f>
        <v>0</v>
      </c>
      <c r="G4697" s="98">
        <f>F4697/2550</f>
        <v>0</v>
      </c>
    </row>
    <row r="4698" spans="1:7" s="53" customFormat="1" ht="15" thickTop="1" x14ac:dyDescent="0.35">
      <c r="A4698" s="223"/>
      <c r="B4698" s="88"/>
      <c r="C4698" s="89" t="s">
        <v>126</v>
      </c>
      <c r="D4698" s="90">
        <v>30000</v>
      </c>
      <c r="F4698" s="94"/>
    </row>
    <row r="4699" spans="1:7" s="53" customFormat="1" x14ac:dyDescent="0.35">
      <c r="A4699" s="223"/>
      <c r="B4699" s="88" t="s">
        <v>213</v>
      </c>
      <c r="C4699" s="99" t="s">
        <v>123</v>
      </c>
      <c r="D4699" s="90">
        <v>15000</v>
      </c>
      <c r="E4699" s="91" t="s">
        <v>124</v>
      </c>
      <c r="F4699" s="92"/>
    </row>
    <row r="4700" spans="1:7" s="53" customFormat="1" x14ac:dyDescent="0.35">
      <c r="A4700" s="223"/>
      <c r="B4700" s="101"/>
      <c r="C4700" s="99"/>
      <c r="D4700" s="100"/>
      <c r="E4700" s="102"/>
      <c r="F4700" s="103"/>
    </row>
    <row r="4701" spans="1:7" s="53" customFormat="1" x14ac:dyDescent="0.35">
      <c r="A4701" s="223"/>
      <c r="B4701" s="101"/>
      <c r="C4701" s="99"/>
      <c r="D4701" s="100"/>
      <c r="E4701" s="102" t="s">
        <v>127</v>
      </c>
      <c r="F4701" s="103"/>
    </row>
    <row r="4702" spans="1:7" s="53" customFormat="1" x14ac:dyDescent="0.35">
      <c r="A4702" s="223"/>
      <c r="B4702" s="101"/>
      <c r="C4702" s="89"/>
      <c r="D4702" s="104"/>
      <c r="E4702" s="102" t="s">
        <v>1206</v>
      </c>
      <c r="F4702" s="103"/>
    </row>
    <row r="4703" spans="1:7" s="53" customFormat="1" ht="15" thickBot="1" x14ac:dyDescent="0.4">
      <c r="A4703" s="223"/>
      <c r="B4703" s="105"/>
      <c r="C4703" s="106"/>
      <c r="D4703" s="107"/>
      <c r="E4703" s="53" t="s">
        <v>1611</v>
      </c>
      <c r="F4703" s="94"/>
    </row>
    <row r="4704" spans="1:7" s="53" customFormat="1" ht="15" thickBot="1" x14ac:dyDescent="0.4">
      <c r="A4704" s="223"/>
      <c r="B4704" s="108"/>
      <c r="C4704" s="109" t="s">
        <v>129</v>
      </c>
      <c r="D4704" s="110">
        <f>SUM(D4691:D4703)</f>
        <v>8842660</v>
      </c>
      <c r="F4704" s="94"/>
    </row>
    <row r="4705" spans="1:6" s="53" customFormat="1" ht="15.5" thickTop="1" thickBot="1" x14ac:dyDescent="0.4">
      <c r="A4705" s="224"/>
      <c r="B4705" s="226"/>
      <c r="C4705" s="226"/>
      <c r="D4705" s="226"/>
      <c r="F4705" s="94"/>
    </row>
    <row r="4706" spans="1:6" s="53" customFormat="1" x14ac:dyDescent="0.35">
      <c r="B4706" s="87"/>
      <c r="C4706" s="53" t="s">
        <v>130</v>
      </c>
      <c r="D4706" s="111">
        <f>D4688-D4704</f>
        <v>2632340</v>
      </c>
      <c r="F4706" s="94"/>
    </row>
    <row r="4707" spans="1:6" s="53" customFormat="1" x14ac:dyDescent="0.35">
      <c r="B4707" s="87"/>
      <c r="D4707" s="111"/>
      <c r="F4707" s="94"/>
    </row>
    <row r="4708" spans="1:6" s="53" customFormat="1" x14ac:dyDescent="0.35">
      <c r="A4708" s="112"/>
      <c r="B4708" s="113"/>
      <c r="C4708" s="112"/>
      <c r="D4708" s="114"/>
      <c r="E4708" s="112"/>
      <c r="F4708" s="178"/>
    </row>
    <row r="4710" spans="1:6" s="53" customFormat="1" ht="23.5" x14ac:dyDescent="0.55000000000000004">
      <c r="B4710" s="227" t="s">
        <v>0</v>
      </c>
      <c r="C4710" s="227"/>
      <c r="D4710" s="227"/>
      <c r="E4710" s="70"/>
      <c r="F4710" s="176"/>
    </row>
    <row r="4711" spans="1:6" s="53" customFormat="1" ht="20.5" x14ac:dyDescent="0.45">
      <c r="B4711" s="71"/>
      <c r="C4711" s="72" t="s">
        <v>1196</v>
      </c>
      <c r="D4711" s="73"/>
      <c r="F4711" s="94"/>
    </row>
    <row r="4712" spans="1:6" s="53" customFormat="1" ht="21" thickBot="1" x14ac:dyDescent="0.5">
      <c r="B4712" s="71" t="s">
        <v>193</v>
      </c>
      <c r="C4712" s="74" t="s">
        <v>103</v>
      </c>
      <c r="D4712" s="73"/>
      <c r="F4712" s="94"/>
    </row>
    <row r="4713" spans="1:6" s="53" customFormat="1" ht="15" thickBot="1" x14ac:dyDescent="0.4">
      <c r="A4713" s="75" t="s">
        <v>104</v>
      </c>
      <c r="B4713" s="76" t="s">
        <v>81</v>
      </c>
      <c r="C4713" s="76" t="s">
        <v>105</v>
      </c>
      <c r="D4713" s="77" t="s">
        <v>84</v>
      </c>
      <c r="F4713" s="94"/>
    </row>
    <row r="4714" spans="1:6" s="53" customFormat="1" ht="14.5" customHeight="1" x14ac:dyDescent="0.35">
      <c r="A4714" s="222" t="s">
        <v>93</v>
      </c>
      <c r="B4714" s="78" t="s">
        <v>1193</v>
      </c>
      <c r="C4714" s="79" t="s">
        <v>959</v>
      </c>
      <c r="D4714" s="80">
        <f>F4721</f>
        <v>11475000</v>
      </c>
      <c r="F4714" s="94"/>
    </row>
    <row r="4715" spans="1:6" s="53" customFormat="1" ht="21" thickBot="1" x14ac:dyDescent="0.5">
      <c r="A4715" s="223"/>
      <c r="B4715" s="71"/>
      <c r="C4715" s="71"/>
      <c r="D4715" s="73"/>
      <c r="F4715" s="94"/>
    </row>
    <row r="4716" spans="1:6" s="53" customFormat="1" ht="15" thickBot="1" x14ac:dyDescent="0.4">
      <c r="A4716" s="223"/>
      <c r="B4716" s="81" t="s">
        <v>81</v>
      </c>
      <c r="C4716" s="82" t="s">
        <v>107</v>
      </c>
      <c r="D4716" s="83" t="s">
        <v>108</v>
      </c>
      <c r="F4716" s="94"/>
    </row>
    <row r="4717" spans="1:6" s="87" customFormat="1" x14ac:dyDescent="0.35">
      <c r="A4717" s="223"/>
      <c r="B4717" s="84" t="str">
        <f>B4714</f>
        <v>17th September,2025</v>
      </c>
      <c r="C4717" s="85" t="s">
        <v>1390</v>
      </c>
      <c r="D4717" s="86">
        <f>1800*2777</f>
        <v>4998600</v>
      </c>
      <c r="F4717" s="177"/>
    </row>
    <row r="4718" spans="1:6" s="53" customFormat="1" x14ac:dyDescent="0.35">
      <c r="A4718" s="223"/>
      <c r="B4718" s="88"/>
      <c r="C4718" s="89" t="s">
        <v>388</v>
      </c>
      <c r="D4718" s="90">
        <f>356*2650</f>
        <v>943400</v>
      </c>
      <c r="F4718" s="94"/>
    </row>
    <row r="4719" spans="1:6" s="53" customFormat="1" x14ac:dyDescent="0.35">
      <c r="A4719" s="223"/>
      <c r="B4719" s="88" t="s">
        <v>109</v>
      </c>
      <c r="C4719" s="89" t="s">
        <v>110</v>
      </c>
      <c r="D4719" s="90">
        <v>1000000</v>
      </c>
      <c r="F4719" s="94"/>
    </row>
    <row r="4720" spans="1:6" s="53" customFormat="1" x14ac:dyDescent="0.35">
      <c r="A4720" s="223"/>
      <c r="B4720" s="88" t="s">
        <v>111</v>
      </c>
      <c r="C4720" s="89" t="s">
        <v>112</v>
      </c>
      <c r="D4720" s="90">
        <v>40000</v>
      </c>
      <c r="E4720" s="225" t="s">
        <v>113</v>
      </c>
      <c r="F4720" s="225"/>
    </row>
    <row r="4721" spans="1:7" s="53" customFormat="1" x14ac:dyDescent="0.35">
      <c r="A4721" s="223"/>
      <c r="B4721" s="88" t="s">
        <v>415</v>
      </c>
      <c r="C4721" s="89" t="s">
        <v>115</v>
      </c>
      <c r="D4721" s="90">
        <f>550*120</f>
        <v>66000</v>
      </c>
      <c r="E4721" s="91" t="s">
        <v>116</v>
      </c>
      <c r="F4721" s="92">
        <f>4500*2550</f>
        <v>11475000</v>
      </c>
    </row>
    <row r="4722" spans="1:7" s="53" customFormat="1" x14ac:dyDescent="0.35">
      <c r="A4722" s="223"/>
      <c r="B4722" s="88"/>
      <c r="C4722" s="89" t="s">
        <v>117</v>
      </c>
      <c r="D4722" s="90">
        <f>4400*123</f>
        <v>541200</v>
      </c>
      <c r="E4722" s="93" t="s">
        <v>118</v>
      </c>
      <c r="F4722" s="94">
        <f>(2700*2550)+(1800*2550)</f>
        <v>11475000</v>
      </c>
    </row>
    <row r="4723" spans="1:7" s="53" customFormat="1" ht="15" thickBot="1" x14ac:dyDescent="0.4">
      <c r="A4723" s="223"/>
      <c r="B4723" s="88" t="s">
        <v>119</v>
      </c>
      <c r="C4723" s="89" t="s">
        <v>120</v>
      </c>
      <c r="D4723" s="95">
        <v>30000</v>
      </c>
      <c r="E4723" s="96" t="s">
        <v>121</v>
      </c>
      <c r="F4723" s="97">
        <f>F4721-F4722</f>
        <v>0</v>
      </c>
      <c r="G4723" s="98">
        <f>F4723/2550</f>
        <v>0</v>
      </c>
    </row>
    <row r="4724" spans="1:7" s="53" customFormat="1" ht="15" thickTop="1" x14ac:dyDescent="0.35">
      <c r="A4724" s="223"/>
      <c r="B4724" s="88"/>
      <c r="C4724" s="89" t="s">
        <v>122</v>
      </c>
      <c r="D4724" s="90">
        <v>150000</v>
      </c>
      <c r="F4724" s="94"/>
    </row>
    <row r="4725" spans="1:7" s="53" customFormat="1" x14ac:dyDescent="0.35">
      <c r="A4725" s="223"/>
      <c r="B4725" s="88" t="s">
        <v>1192</v>
      </c>
      <c r="C4725" s="99" t="s">
        <v>123</v>
      </c>
      <c r="D4725" s="90">
        <v>15000</v>
      </c>
      <c r="E4725" s="91" t="s">
        <v>124</v>
      </c>
      <c r="F4725" s="92"/>
    </row>
    <row r="4726" spans="1:7" s="53" customFormat="1" x14ac:dyDescent="0.35">
      <c r="A4726" s="223"/>
      <c r="B4726" s="101"/>
      <c r="C4726" s="99" t="s">
        <v>125</v>
      </c>
      <c r="D4726" s="100">
        <v>10000</v>
      </c>
      <c r="E4726" s="102"/>
      <c r="F4726" s="103"/>
    </row>
    <row r="4727" spans="1:7" s="53" customFormat="1" x14ac:dyDescent="0.35">
      <c r="A4727" s="223"/>
      <c r="B4727" s="101"/>
      <c r="C4727" s="99" t="s">
        <v>126</v>
      </c>
      <c r="D4727" s="100">
        <v>40000</v>
      </c>
      <c r="E4727" s="102" t="s">
        <v>127</v>
      </c>
      <c r="F4727" s="103"/>
    </row>
    <row r="4728" spans="1:7" s="53" customFormat="1" x14ac:dyDescent="0.35">
      <c r="A4728" s="223"/>
      <c r="B4728" s="101"/>
      <c r="C4728" s="89" t="s">
        <v>1391</v>
      </c>
      <c r="D4728" s="104">
        <f>300*2550</f>
        <v>765000</v>
      </c>
      <c r="E4728" s="102" t="s">
        <v>1341</v>
      </c>
      <c r="F4728" s="103"/>
    </row>
    <row r="4729" spans="1:7" s="53" customFormat="1" ht="15" thickBot="1" x14ac:dyDescent="0.4">
      <c r="A4729" s="223"/>
      <c r="B4729" s="105"/>
      <c r="C4729" s="106"/>
      <c r="D4729" s="107"/>
      <c r="E4729" s="53" t="s">
        <v>1561</v>
      </c>
      <c r="F4729" s="94"/>
    </row>
    <row r="4730" spans="1:7" s="53" customFormat="1" ht="15" thickBot="1" x14ac:dyDescent="0.4">
      <c r="A4730" s="223"/>
      <c r="B4730" s="108"/>
      <c r="C4730" s="109" t="s">
        <v>129</v>
      </c>
      <c r="D4730" s="110">
        <f>SUM(D4717:D4729)</f>
        <v>8599200</v>
      </c>
      <c r="F4730" s="94"/>
    </row>
    <row r="4731" spans="1:7" s="53" customFormat="1" ht="15.5" thickTop="1" thickBot="1" x14ac:dyDescent="0.4">
      <c r="A4731" s="224"/>
      <c r="B4731" s="226"/>
      <c r="C4731" s="226"/>
      <c r="D4731" s="226"/>
      <c r="F4731" s="94"/>
    </row>
    <row r="4732" spans="1:7" s="53" customFormat="1" x14ac:dyDescent="0.35">
      <c r="B4732" s="87"/>
      <c r="C4732" s="53" t="s">
        <v>130</v>
      </c>
      <c r="D4732" s="111">
        <f>D4714-D4730</f>
        <v>2875800</v>
      </c>
      <c r="F4732" s="94"/>
    </row>
    <row r="4733" spans="1:7" s="53" customFormat="1" x14ac:dyDescent="0.35">
      <c r="B4733" s="87"/>
      <c r="D4733" s="111"/>
      <c r="F4733" s="94"/>
    </row>
    <row r="4734" spans="1:7" s="53" customFormat="1" x14ac:dyDescent="0.35">
      <c r="A4734" s="112"/>
      <c r="B4734" s="113"/>
      <c r="C4734" s="112"/>
      <c r="D4734" s="114"/>
      <c r="E4734" s="112"/>
      <c r="F4734" s="178"/>
    </row>
    <row r="4736" spans="1:7" s="53" customFormat="1" ht="23.5" x14ac:dyDescent="0.55000000000000004">
      <c r="B4736" s="227" t="s">
        <v>0</v>
      </c>
      <c r="C4736" s="227"/>
      <c r="D4736" s="227"/>
      <c r="E4736" s="70"/>
      <c r="F4736" s="176"/>
    </row>
    <row r="4737" spans="1:7" s="53" customFormat="1" ht="20.5" x14ac:dyDescent="0.45">
      <c r="B4737" s="71"/>
      <c r="C4737" s="72" t="s">
        <v>1197</v>
      </c>
      <c r="D4737" s="73"/>
      <c r="F4737" s="94"/>
    </row>
    <row r="4738" spans="1:7" s="53" customFormat="1" ht="21" thickBot="1" x14ac:dyDescent="0.5">
      <c r="B4738" s="71" t="s">
        <v>185</v>
      </c>
      <c r="C4738" s="74" t="s">
        <v>103</v>
      </c>
      <c r="D4738" s="73"/>
      <c r="F4738" s="94"/>
    </row>
    <row r="4739" spans="1:7" s="53" customFormat="1" ht="15" thickBot="1" x14ac:dyDescent="0.4">
      <c r="A4739" s="75" t="s">
        <v>104</v>
      </c>
      <c r="B4739" s="76" t="s">
        <v>81</v>
      </c>
      <c r="C4739" s="76" t="s">
        <v>105</v>
      </c>
      <c r="D4739" s="77" t="s">
        <v>84</v>
      </c>
      <c r="F4739" s="94"/>
    </row>
    <row r="4740" spans="1:7" s="53" customFormat="1" ht="14.5" customHeight="1" x14ac:dyDescent="0.35">
      <c r="A4740" s="222" t="s">
        <v>93</v>
      </c>
      <c r="B4740" s="78" t="s">
        <v>1193</v>
      </c>
      <c r="C4740" s="79" t="s">
        <v>959</v>
      </c>
      <c r="D4740" s="80">
        <f>F4747</f>
        <v>10710000</v>
      </c>
      <c r="F4740" s="94"/>
    </row>
    <row r="4741" spans="1:7" s="53" customFormat="1" ht="21" thickBot="1" x14ac:dyDescent="0.5">
      <c r="A4741" s="223"/>
      <c r="B4741" s="71"/>
      <c r="C4741" s="71"/>
      <c r="D4741" s="73"/>
      <c r="F4741" s="94"/>
    </row>
    <row r="4742" spans="1:7" s="53" customFormat="1" ht="15" thickBot="1" x14ac:dyDescent="0.4">
      <c r="A4742" s="223"/>
      <c r="B4742" s="81" t="s">
        <v>81</v>
      </c>
      <c r="C4742" s="82" t="s">
        <v>107</v>
      </c>
      <c r="D4742" s="83" t="s">
        <v>108</v>
      </c>
      <c r="F4742" s="94"/>
    </row>
    <row r="4743" spans="1:7" s="87" customFormat="1" x14ac:dyDescent="0.35">
      <c r="A4743" s="223"/>
      <c r="B4743" s="84" t="str">
        <f>B4740</f>
        <v>17th September,2025</v>
      </c>
      <c r="C4743" s="85" t="s">
        <v>1236</v>
      </c>
      <c r="D4743" s="86">
        <f>1850*2754</f>
        <v>5094900</v>
      </c>
      <c r="F4743" s="177"/>
    </row>
    <row r="4744" spans="1:7" s="53" customFormat="1" x14ac:dyDescent="0.35">
      <c r="A4744" s="223"/>
      <c r="B4744" s="88"/>
      <c r="C4744" s="89" t="s">
        <v>210</v>
      </c>
      <c r="D4744" s="90">
        <f>319*2650</f>
        <v>845350</v>
      </c>
      <c r="F4744" s="94"/>
    </row>
    <row r="4745" spans="1:7" s="53" customFormat="1" x14ac:dyDescent="0.35">
      <c r="A4745" s="223"/>
      <c r="B4745" s="88" t="s">
        <v>109</v>
      </c>
      <c r="C4745" s="89" t="s">
        <v>110</v>
      </c>
      <c r="D4745" s="90">
        <v>1000000</v>
      </c>
      <c r="F4745" s="94"/>
    </row>
    <row r="4746" spans="1:7" s="53" customFormat="1" x14ac:dyDescent="0.35">
      <c r="A4746" s="223"/>
      <c r="B4746" s="88" t="s">
        <v>111</v>
      </c>
      <c r="C4746" s="89" t="s">
        <v>112</v>
      </c>
      <c r="D4746" s="90">
        <v>40000</v>
      </c>
      <c r="E4746" s="228" t="s">
        <v>113</v>
      </c>
      <c r="F4746" s="225"/>
    </row>
    <row r="4747" spans="1:7" s="53" customFormat="1" x14ac:dyDescent="0.35">
      <c r="A4747" s="223"/>
      <c r="B4747" s="88" t="s">
        <v>206</v>
      </c>
      <c r="C4747" s="89" t="s">
        <v>115</v>
      </c>
      <c r="D4747" s="90">
        <f>400*120</f>
        <v>48000</v>
      </c>
      <c r="E4747" s="91" t="s">
        <v>116</v>
      </c>
      <c r="F4747" s="92">
        <f>4200*2550</f>
        <v>10710000</v>
      </c>
    </row>
    <row r="4748" spans="1:7" s="53" customFormat="1" x14ac:dyDescent="0.35">
      <c r="A4748" s="223"/>
      <c r="B4748" s="88"/>
      <c r="C4748" s="89" t="s">
        <v>117</v>
      </c>
      <c r="D4748" s="90">
        <f>3650*123</f>
        <v>448950</v>
      </c>
      <c r="E4748" s="93" t="s">
        <v>118</v>
      </c>
      <c r="F4748" s="94">
        <f>(2520*2550)+(1680*2550)</f>
        <v>10710000</v>
      </c>
    </row>
    <row r="4749" spans="1:7" s="53" customFormat="1" ht="15" thickBot="1" x14ac:dyDescent="0.4">
      <c r="A4749" s="223"/>
      <c r="B4749" s="88" t="s">
        <v>119</v>
      </c>
      <c r="C4749" s="89" t="s">
        <v>120</v>
      </c>
      <c r="D4749" s="95">
        <v>30000</v>
      </c>
      <c r="E4749" s="96" t="s">
        <v>121</v>
      </c>
      <c r="F4749" s="97">
        <f>F4747-F4748</f>
        <v>0</v>
      </c>
      <c r="G4749" s="98">
        <f>F4749/2550</f>
        <v>0</v>
      </c>
    </row>
    <row r="4750" spans="1:7" s="53" customFormat="1" ht="15" thickTop="1" x14ac:dyDescent="0.35">
      <c r="A4750" s="223"/>
      <c r="B4750" s="88"/>
      <c r="C4750" s="89" t="s">
        <v>122</v>
      </c>
      <c r="D4750" s="90">
        <v>75000</v>
      </c>
      <c r="F4750" s="94"/>
    </row>
    <row r="4751" spans="1:7" s="53" customFormat="1" x14ac:dyDescent="0.35">
      <c r="A4751" s="223"/>
      <c r="B4751" s="88" t="s">
        <v>1195</v>
      </c>
      <c r="C4751" s="99" t="s">
        <v>123</v>
      </c>
      <c r="D4751" s="90">
        <v>15000</v>
      </c>
      <c r="E4751" s="91" t="s">
        <v>124</v>
      </c>
      <c r="F4751" s="92"/>
    </row>
    <row r="4752" spans="1:7" s="53" customFormat="1" x14ac:dyDescent="0.35">
      <c r="A4752" s="223"/>
      <c r="B4752" s="101"/>
      <c r="C4752" s="99" t="s">
        <v>125</v>
      </c>
      <c r="D4752" s="100">
        <v>10000</v>
      </c>
      <c r="E4752" s="102"/>
      <c r="F4752" s="103"/>
    </row>
    <row r="4753" spans="1:6" s="53" customFormat="1" x14ac:dyDescent="0.35">
      <c r="A4753" s="223"/>
      <c r="B4753" s="101"/>
      <c r="C4753" s="99" t="s">
        <v>126</v>
      </c>
      <c r="D4753" s="100">
        <v>30000</v>
      </c>
      <c r="E4753" s="102" t="s">
        <v>127</v>
      </c>
      <c r="F4753" s="103"/>
    </row>
    <row r="4754" spans="1:6" s="53" customFormat="1" x14ac:dyDescent="0.35">
      <c r="A4754" s="223"/>
      <c r="B4754" s="101"/>
      <c r="C4754" s="89" t="s">
        <v>265</v>
      </c>
      <c r="D4754" s="104">
        <v>0</v>
      </c>
      <c r="E4754" s="102" t="s">
        <v>1341</v>
      </c>
      <c r="F4754" s="103"/>
    </row>
    <row r="4755" spans="1:6" s="53" customFormat="1" ht="15" thickBot="1" x14ac:dyDescent="0.4">
      <c r="A4755" s="223"/>
      <c r="B4755" s="105"/>
      <c r="C4755" s="106"/>
      <c r="D4755" s="107"/>
      <c r="E4755" s="53" t="s">
        <v>1581</v>
      </c>
      <c r="F4755" s="94"/>
    </row>
    <row r="4756" spans="1:6" s="53" customFormat="1" ht="15" thickBot="1" x14ac:dyDescent="0.4">
      <c r="A4756" s="223"/>
      <c r="B4756" s="108"/>
      <c r="C4756" s="109" t="s">
        <v>129</v>
      </c>
      <c r="D4756" s="110">
        <f>SUM(D4743:D4755)</f>
        <v>7637200</v>
      </c>
      <c r="F4756" s="94"/>
    </row>
    <row r="4757" spans="1:6" s="53" customFormat="1" ht="15.5" thickTop="1" thickBot="1" x14ac:dyDescent="0.4">
      <c r="A4757" s="224"/>
      <c r="B4757" s="226"/>
      <c r="C4757" s="226"/>
      <c r="D4757" s="226"/>
      <c r="F4757" s="94"/>
    </row>
    <row r="4758" spans="1:6" s="53" customFormat="1" x14ac:dyDescent="0.35">
      <c r="B4758" s="87"/>
      <c r="C4758" s="53" t="s">
        <v>130</v>
      </c>
      <c r="D4758" s="111">
        <f>D4740-D4756</f>
        <v>3072800</v>
      </c>
      <c r="F4758" s="94"/>
    </row>
    <row r="4759" spans="1:6" s="53" customFormat="1" x14ac:dyDescent="0.35">
      <c r="B4759" s="87"/>
      <c r="D4759" s="111"/>
      <c r="F4759" s="94"/>
    </row>
    <row r="4760" spans="1:6" s="53" customFormat="1" x14ac:dyDescent="0.35">
      <c r="A4760" s="112"/>
      <c r="B4760" s="113"/>
      <c r="C4760" s="112"/>
      <c r="D4760" s="114"/>
      <c r="E4760" s="112"/>
      <c r="F4760" s="178"/>
    </row>
    <row r="4762" spans="1:6" s="53" customFormat="1" ht="23.5" x14ac:dyDescent="0.55000000000000004">
      <c r="B4762" s="227" t="s">
        <v>0</v>
      </c>
      <c r="C4762" s="227"/>
      <c r="D4762" s="227"/>
      <c r="E4762" s="70"/>
      <c r="F4762" s="176"/>
    </row>
    <row r="4763" spans="1:6" s="53" customFormat="1" ht="20.5" x14ac:dyDescent="0.45">
      <c r="B4763" s="71"/>
      <c r="C4763" s="72" t="s">
        <v>1200</v>
      </c>
      <c r="D4763" s="73"/>
      <c r="F4763" s="94"/>
    </row>
    <row r="4764" spans="1:6" s="53" customFormat="1" ht="21" thickBot="1" x14ac:dyDescent="0.5">
      <c r="B4764" s="71" t="s">
        <v>898</v>
      </c>
      <c r="C4764" s="74" t="s">
        <v>103</v>
      </c>
      <c r="D4764" s="73"/>
      <c r="F4764" s="94"/>
    </row>
    <row r="4765" spans="1:6" s="53" customFormat="1" ht="15" thickBot="1" x14ac:dyDescent="0.4">
      <c r="A4765" s="75" t="s">
        <v>104</v>
      </c>
      <c r="B4765" s="76" t="s">
        <v>81</v>
      </c>
      <c r="C4765" s="76" t="s">
        <v>105</v>
      </c>
      <c r="D4765" s="77" t="s">
        <v>84</v>
      </c>
      <c r="F4765" s="94"/>
    </row>
    <row r="4766" spans="1:6" s="53" customFormat="1" ht="14.5" customHeight="1" x14ac:dyDescent="0.35">
      <c r="A4766" s="222" t="s">
        <v>93</v>
      </c>
      <c r="B4766" s="78" t="s">
        <v>1193</v>
      </c>
      <c r="C4766" s="79" t="s">
        <v>959</v>
      </c>
      <c r="D4766" s="80">
        <f>F4773</f>
        <v>10710000</v>
      </c>
      <c r="F4766" s="94"/>
    </row>
    <row r="4767" spans="1:6" s="53" customFormat="1" ht="21" thickBot="1" x14ac:dyDescent="0.5">
      <c r="A4767" s="223"/>
      <c r="B4767" s="71"/>
      <c r="C4767" s="71"/>
      <c r="D4767" s="73"/>
      <c r="F4767" s="94"/>
    </row>
    <row r="4768" spans="1:6" s="53" customFormat="1" ht="15" thickBot="1" x14ac:dyDescent="0.4">
      <c r="A4768" s="223"/>
      <c r="B4768" s="81" t="s">
        <v>81</v>
      </c>
      <c r="C4768" s="82" t="s">
        <v>107</v>
      </c>
      <c r="D4768" s="83" t="s">
        <v>108</v>
      </c>
      <c r="F4768" s="94"/>
    </row>
    <row r="4769" spans="1:7" s="87" customFormat="1" x14ac:dyDescent="0.35">
      <c r="A4769" s="223"/>
      <c r="B4769" s="84" t="str">
        <f>B4766</f>
        <v>17th September,2025</v>
      </c>
      <c r="C4769" s="85" t="s">
        <v>1340</v>
      </c>
      <c r="D4769" s="86">
        <f>1850*2704</f>
        <v>5002400</v>
      </c>
      <c r="F4769" s="177"/>
    </row>
    <row r="4770" spans="1:7" s="53" customFormat="1" x14ac:dyDescent="0.35">
      <c r="A4770" s="223"/>
      <c r="B4770" s="88"/>
      <c r="C4770" s="89" t="s">
        <v>210</v>
      </c>
      <c r="D4770" s="90">
        <f>319*2650</f>
        <v>845350</v>
      </c>
      <c r="F4770" s="94"/>
    </row>
    <row r="4771" spans="1:7" s="53" customFormat="1" x14ac:dyDescent="0.35">
      <c r="A4771" s="223"/>
      <c r="B4771" s="88" t="s">
        <v>109</v>
      </c>
      <c r="C4771" s="89" t="s">
        <v>110</v>
      </c>
      <c r="D4771" s="90">
        <v>1000000</v>
      </c>
      <c r="F4771" s="94"/>
    </row>
    <row r="4772" spans="1:7" s="53" customFormat="1" x14ac:dyDescent="0.35">
      <c r="A4772" s="223"/>
      <c r="B4772" s="88" t="s">
        <v>111</v>
      </c>
      <c r="C4772" s="89" t="s">
        <v>112</v>
      </c>
      <c r="D4772" s="90">
        <v>40000</v>
      </c>
      <c r="E4772" s="228" t="s">
        <v>113</v>
      </c>
      <c r="F4772" s="225"/>
    </row>
    <row r="4773" spans="1:7" s="53" customFormat="1" x14ac:dyDescent="0.35">
      <c r="A4773" s="223"/>
      <c r="B4773" s="88" t="s">
        <v>206</v>
      </c>
      <c r="C4773" s="89" t="s">
        <v>115</v>
      </c>
      <c r="D4773" s="90">
        <f>500*120</f>
        <v>60000</v>
      </c>
      <c r="E4773" s="91" t="s">
        <v>116</v>
      </c>
      <c r="F4773" s="92">
        <f>4200*2550</f>
        <v>10710000</v>
      </c>
    </row>
    <row r="4774" spans="1:7" s="53" customFormat="1" x14ac:dyDescent="0.35">
      <c r="A4774" s="223"/>
      <c r="B4774" s="88"/>
      <c r="C4774" s="89" t="s">
        <v>117</v>
      </c>
      <c r="D4774" s="90">
        <f>4150*123</f>
        <v>510450</v>
      </c>
      <c r="E4774" s="93" t="s">
        <v>118</v>
      </c>
      <c r="F4774" s="94">
        <f>(2520*2550)+(1680*2550)</f>
        <v>10710000</v>
      </c>
    </row>
    <row r="4775" spans="1:7" s="53" customFormat="1" ht="15" thickBot="1" x14ac:dyDescent="0.4">
      <c r="A4775" s="223"/>
      <c r="B4775" s="88" t="s">
        <v>119</v>
      </c>
      <c r="C4775" s="89" t="s">
        <v>120</v>
      </c>
      <c r="D4775" s="95">
        <v>30000</v>
      </c>
      <c r="E4775" s="96" t="s">
        <v>121</v>
      </c>
      <c r="F4775" s="97">
        <f>F4773-F4774</f>
        <v>0</v>
      </c>
      <c r="G4775" s="98">
        <f>F4775/2550</f>
        <v>0</v>
      </c>
    </row>
    <row r="4776" spans="1:7" s="53" customFormat="1" ht="15" thickTop="1" x14ac:dyDescent="0.35">
      <c r="A4776" s="223"/>
      <c r="B4776" s="88"/>
      <c r="C4776" s="89" t="s">
        <v>122</v>
      </c>
      <c r="D4776" s="90">
        <v>140000</v>
      </c>
      <c r="F4776" s="94"/>
    </row>
    <row r="4777" spans="1:7" s="53" customFormat="1" x14ac:dyDescent="0.35">
      <c r="A4777" s="223"/>
      <c r="B4777" s="88" t="s">
        <v>1199</v>
      </c>
      <c r="C4777" s="99" t="s">
        <v>123</v>
      </c>
      <c r="D4777" s="90">
        <v>15000</v>
      </c>
      <c r="E4777" s="91" t="s">
        <v>124</v>
      </c>
      <c r="F4777" s="92"/>
    </row>
    <row r="4778" spans="1:7" s="53" customFormat="1" x14ac:dyDescent="0.35">
      <c r="A4778" s="223"/>
      <c r="B4778" s="101"/>
      <c r="C4778" s="99" t="s">
        <v>125</v>
      </c>
      <c r="D4778" s="100">
        <v>10000</v>
      </c>
      <c r="E4778" s="102"/>
      <c r="F4778" s="103"/>
    </row>
    <row r="4779" spans="1:7" s="53" customFormat="1" x14ac:dyDescent="0.35">
      <c r="A4779" s="223"/>
      <c r="B4779" s="101"/>
      <c r="C4779" s="99" t="s">
        <v>126</v>
      </c>
      <c r="D4779" s="100">
        <v>20000</v>
      </c>
      <c r="E4779" s="102" t="s">
        <v>127</v>
      </c>
      <c r="F4779" s="103"/>
    </row>
    <row r="4780" spans="1:7" s="53" customFormat="1" x14ac:dyDescent="0.35">
      <c r="A4780" s="223"/>
      <c r="B4780" s="101"/>
      <c r="C4780" s="89" t="s">
        <v>265</v>
      </c>
      <c r="D4780" s="104">
        <f>379*123</f>
        <v>46617</v>
      </c>
      <c r="E4780" s="102" t="s">
        <v>1341</v>
      </c>
      <c r="F4780" s="103"/>
    </row>
    <row r="4781" spans="1:7" s="53" customFormat="1" ht="15" thickBot="1" x14ac:dyDescent="0.4">
      <c r="A4781" s="223"/>
      <c r="B4781" s="105"/>
      <c r="C4781" s="106" t="s">
        <v>710</v>
      </c>
      <c r="D4781" s="107">
        <v>20000</v>
      </c>
      <c r="E4781" s="53" t="s">
        <v>1611</v>
      </c>
      <c r="F4781" s="94"/>
    </row>
    <row r="4782" spans="1:7" s="53" customFormat="1" ht="15" thickBot="1" x14ac:dyDescent="0.4">
      <c r="A4782" s="223"/>
      <c r="B4782" s="108"/>
      <c r="C4782" s="109" t="s">
        <v>129</v>
      </c>
      <c r="D4782" s="110">
        <f>SUM(D4769:D4781)</f>
        <v>7739817</v>
      </c>
      <c r="F4782" s="94"/>
    </row>
    <row r="4783" spans="1:7" s="53" customFormat="1" ht="15.5" thickTop="1" thickBot="1" x14ac:dyDescent="0.4">
      <c r="A4783" s="224"/>
      <c r="B4783" s="226"/>
      <c r="C4783" s="226"/>
      <c r="D4783" s="226"/>
      <c r="F4783" s="94"/>
    </row>
    <row r="4784" spans="1:7" s="53" customFormat="1" x14ac:dyDescent="0.35">
      <c r="B4784" s="87"/>
      <c r="C4784" s="53" t="s">
        <v>130</v>
      </c>
      <c r="D4784" s="111">
        <f>D4766-D4782</f>
        <v>2970183</v>
      </c>
      <c r="F4784" s="94"/>
    </row>
    <row r="4785" spans="1:6" s="53" customFormat="1" x14ac:dyDescent="0.35">
      <c r="B4785" s="87"/>
      <c r="D4785" s="111"/>
      <c r="F4785" s="94"/>
    </row>
    <row r="4786" spans="1:6" s="53" customFormat="1" x14ac:dyDescent="0.35">
      <c r="A4786" s="112"/>
      <c r="B4786" s="113"/>
      <c r="C4786" s="112"/>
      <c r="D4786" s="114"/>
      <c r="E4786" s="112"/>
      <c r="F4786" s="178"/>
    </row>
    <row r="4788" spans="1:6" s="53" customFormat="1" ht="23.5" x14ac:dyDescent="0.55000000000000004">
      <c r="B4788" s="227" t="s">
        <v>0</v>
      </c>
      <c r="C4788" s="227"/>
      <c r="D4788" s="227"/>
      <c r="E4788" s="70"/>
      <c r="F4788" s="176"/>
    </row>
    <row r="4789" spans="1:6" s="53" customFormat="1" ht="20.5" x14ac:dyDescent="0.45">
      <c r="B4789" s="71"/>
      <c r="C4789" s="72" t="s">
        <v>1219</v>
      </c>
      <c r="D4789" s="73"/>
      <c r="F4789" s="94"/>
    </row>
    <row r="4790" spans="1:6" s="53" customFormat="1" ht="21" thickBot="1" x14ac:dyDescent="0.5">
      <c r="B4790" s="71" t="s">
        <v>1220</v>
      </c>
      <c r="C4790" s="74" t="s">
        <v>103</v>
      </c>
      <c r="D4790" s="73"/>
      <c r="F4790" s="94"/>
    </row>
    <row r="4791" spans="1:6" s="53" customFormat="1" ht="15" thickBot="1" x14ac:dyDescent="0.4">
      <c r="A4791" s="75" t="s">
        <v>104</v>
      </c>
      <c r="B4791" s="76" t="s">
        <v>81</v>
      </c>
      <c r="C4791" s="76" t="s">
        <v>105</v>
      </c>
      <c r="D4791" s="77" t="s">
        <v>84</v>
      </c>
      <c r="F4791" s="94"/>
    </row>
    <row r="4792" spans="1:6" s="53" customFormat="1" ht="14.5" customHeight="1" x14ac:dyDescent="0.35">
      <c r="A4792" s="222" t="s">
        <v>93</v>
      </c>
      <c r="B4792" s="78" t="s">
        <v>1223</v>
      </c>
      <c r="C4792" s="79" t="s">
        <v>319</v>
      </c>
      <c r="D4792" s="80">
        <f>F4799</f>
        <v>10200000</v>
      </c>
      <c r="F4792" s="94"/>
    </row>
    <row r="4793" spans="1:6" s="53" customFormat="1" ht="21" thickBot="1" x14ac:dyDescent="0.5">
      <c r="A4793" s="223"/>
      <c r="B4793" s="71"/>
      <c r="C4793" s="71"/>
      <c r="D4793" s="73"/>
      <c r="F4793" s="94"/>
    </row>
    <row r="4794" spans="1:6" s="53" customFormat="1" ht="15" thickBot="1" x14ac:dyDescent="0.4">
      <c r="A4794" s="223"/>
      <c r="B4794" s="81" t="s">
        <v>81</v>
      </c>
      <c r="C4794" s="82" t="s">
        <v>107</v>
      </c>
      <c r="D4794" s="83" t="s">
        <v>108</v>
      </c>
      <c r="F4794" s="94"/>
    </row>
    <row r="4795" spans="1:6" s="87" customFormat="1" x14ac:dyDescent="0.35">
      <c r="A4795" s="223"/>
      <c r="B4795" s="84" t="str">
        <f>B4792</f>
        <v>20th September,2025</v>
      </c>
      <c r="C4795" s="85" t="s">
        <v>1236</v>
      </c>
      <c r="D4795" s="86">
        <f>1850*2754</f>
        <v>5094900</v>
      </c>
      <c r="F4795" s="177"/>
    </row>
    <row r="4796" spans="1:6" s="53" customFormat="1" x14ac:dyDescent="0.35">
      <c r="A4796" s="223"/>
      <c r="B4796" s="88"/>
      <c r="C4796" s="89" t="s">
        <v>159</v>
      </c>
      <c r="D4796" s="90">
        <f>299*2650</f>
        <v>792350</v>
      </c>
      <c r="F4796" s="94"/>
    </row>
    <row r="4797" spans="1:6" s="53" customFormat="1" x14ac:dyDescent="0.35">
      <c r="A4797" s="223"/>
      <c r="B4797" s="88" t="s">
        <v>109</v>
      </c>
      <c r="C4797" s="89" t="s">
        <v>110</v>
      </c>
      <c r="D4797" s="90">
        <v>1000000</v>
      </c>
      <c r="F4797" s="94"/>
    </row>
    <row r="4798" spans="1:6" s="53" customFormat="1" x14ac:dyDescent="0.35">
      <c r="A4798" s="223"/>
      <c r="B4798" s="88" t="s">
        <v>111</v>
      </c>
      <c r="C4798" s="89" t="s">
        <v>112</v>
      </c>
      <c r="D4798" s="90">
        <v>40000</v>
      </c>
      <c r="E4798" s="225" t="s">
        <v>113</v>
      </c>
      <c r="F4798" s="225"/>
    </row>
    <row r="4799" spans="1:6" s="53" customFormat="1" x14ac:dyDescent="0.35">
      <c r="A4799" s="223"/>
      <c r="B4799" s="88" t="s">
        <v>114</v>
      </c>
      <c r="C4799" s="89" t="s">
        <v>115</v>
      </c>
      <c r="D4799" s="90">
        <f>400*120</f>
        <v>48000</v>
      </c>
      <c r="E4799" s="91" t="s">
        <v>116</v>
      </c>
      <c r="F4799" s="92">
        <f>4000*2550</f>
        <v>10200000</v>
      </c>
    </row>
    <row r="4800" spans="1:6" s="53" customFormat="1" x14ac:dyDescent="0.35">
      <c r="A4800" s="223"/>
      <c r="B4800" s="88"/>
      <c r="C4800" s="89" t="s">
        <v>117</v>
      </c>
      <c r="D4800" s="90">
        <f>1500*120</f>
        <v>180000</v>
      </c>
      <c r="E4800" s="93" t="s">
        <v>118</v>
      </c>
      <c r="F4800" s="94">
        <f>4000*2550</f>
        <v>10200000</v>
      </c>
    </row>
    <row r="4801" spans="1:7" s="53" customFormat="1" ht="15" thickBot="1" x14ac:dyDescent="0.4">
      <c r="A4801" s="223"/>
      <c r="B4801" s="88" t="s">
        <v>119</v>
      </c>
      <c r="C4801" s="89" t="s">
        <v>120</v>
      </c>
      <c r="D4801" s="95">
        <v>30000</v>
      </c>
      <c r="E4801" s="96" t="s">
        <v>121</v>
      </c>
      <c r="F4801" s="97">
        <f>F4799-F4800</f>
        <v>0</v>
      </c>
      <c r="G4801" s="98">
        <f>F4801/2550</f>
        <v>0</v>
      </c>
    </row>
    <row r="4802" spans="1:7" s="53" customFormat="1" ht="15" thickTop="1" x14ac:dyDescent="0.35">
      <c r="A4802" s="223"/>
      <c r="B4802" s="88"/>
      <c r="C4802" s="99" t="s">
        <v>123</v>
      </c>
      <c r="D4802" s="90">
        <v>15000</v>
      </c>
      <c r="F4802" s="94"/>
    </row>
    <row r="4803" spans="1:7" s="53" customFormat="1" x14ac:dyDescent="0.35">
      <c r="A4803" s="223"/>
      <c r="B4803" s="88" t="s">
        <v>1218</v>
      </c>
      <c r="C4803" s="99"/>
      <c r="D4803" s="100"/>
      <c r="E4803" s="91" t="s">
        <v>124</v>
      </c>
      <c r="F4803" s="92"/>
    </row>
    <row r="4804" spans="1:7" s="53" customFormat="1" x14ac:dyDescent="0.35">
      <c r="A4804" s="223"/>
      <c r="B4804" s="101"/>
      <c r="C4804" s="99"/>
      <c r="D4804" s="100"/>
      <c r="E4804" s="102"/>
      <c r="F4804" s="103"/>
    </row>
    <row r="4805" spans="1:7" s="53" customFormat="1" x14ac:dyDescent="0.35">
      <c r="A4805" s="223"/>
      <c r="B4805" s="101"/>
      <c r="C4805" s="89"/>
      <c r="D4805" s="104"/>
      <c r="E4805" s="102" t="s">
        <v>127</v>
      </c>
      <c r="F4805" s="103"/>
    </row>
    <row r="4806" spans="1:7" s="53" customFormat="1" x14ac:dyDescent="0.35">
      <c r="A4806" s="223"/>
      <c r="B4806" s="101"/>
      <c r="C4806" s="89"/>
      <c r="D4806" s="104"/>
      <c r="E4806" s="102" t="s">
        <v>1463</v>
      </c>
      <c r="F4806" s="103"/>
    </row>
    <row r="4807" spans="1:7" s="53" customFormat="1" ht="15" thickBot="1" x14ac:dyDescent="0.4">
      <c r="A4807" s="223"/>
      <c r="B4807" s="105"/>
      <c r="C4807" s="106"/>
      <c r="D4807" s="107"/>
      <c r="F4807" s="94"/>
    </row>
    <row r="4808" spans="1:7" s="53" customFormat="1" ht="15" thickBot="1" x14ac:dyDescent="0.4">
      <c r="A4808" s="223"/>
      <c r="B4808" s="108"/>
      <c r="C4808" s="109" t="s">
        <v>129</v>
      </c>
      <c r="D4808" s="110">
        <f>SUM(D4795:D4807)</f>
        <v>7200250</v>
      </c>
      <c r="F4808" s="94"/>
    </row>
    <row r="4809" spans="1:7" s="53" customFormat="1" ht="15.5" thickTop="1" thickBot="1" x14ac:dyDescent="0.4">
      <c r="A4809" s="224"/>
      <c r="B4809" s="226"/>
      <c r="C4809" s="226"/>
      <c r="D4809" s="226"/>
      <c r="F4809" s="94"/>
    </row>
    <row r="4810" spans="1:7" s="53" customFormat="1" x14ac:dyDescent="0.35">
      <c r="B4810" s="87"/>
      <c r="C4810" s="53" t="s">
        <v>130</v>
      </c>
      <c r="D4810" s="111">
        <f>D4792-D4808</f>
        <v>2999750</v>
      </c>
      <c r="F4810" s="94"/>
    </row>
    <row r="4811" spans="1:7" s="53" customFormat="1" x14ac:dyDescent="0.35">
      <c r="B4811" s="87"/>
      <c r="D4811" s="111"/>
      <c r="F4811" s="94"/>
    </row>
    <row r="4812" spans="1:7" s="53" customFormat="1" x14ac:dyDescent="0.35">
      <c r="A4812" s="112"/>
      <c r="B4812" s="113"/>
      <c r="C4812" s="112"/>
      <c r="D4812" s="114"/>
      <c r="E4812" s="112"/>
      <c r="F4812" s="178"/>
    </row>
    <row r="4814" spans="1:7" s="53" customFormat="1" ht="23.5" x14ac:dyDescent="0.55000000000000004">
      <c r="B4814" s="227" t="s">
        <v>0</v>
      </c>
      <c r="C4814" s="227"/>
      <c r="D4814" s="227"/>
      <c r="E4814" s="70"/>
      <c r="F4814" s="176"/>
    </row>
    <row r="4815" spans="1:7" s="53" customFormat="1" ht="20.5" x14ac:dyDescent="0.45">
      <c r="B4815" s="71"/>
      <c r="C4815" s="72" t="s">
        <v>1221</v>
      </c>
      <c r="D4815" s="73"/>
      <c r="F4815" s="94"/>
    </row>
    <row r="4816" spans="1:7" s="53" customFormat="1" ht="21" thickBot="1" x14ac:dyDescent="0.5">
      <c r="B4816" s="71" t="s">
        <v>1222</v>
      </c>
      <c r="C4816" s="74" t="s">
        <v>103</v>
      </c>
      <c r="D4816" s="73"/>
      <c r="F4816" s="94"/>
    </row>
    <row r="4817" spans="1:7" s="53" customFormat="1" ht="15" thickBot="1" x14ac:dyDescent="0.4">
      <c r="A4817" s="75" t="s">
        <v>104</v>
      </c>
      <c r="B4817" s="76" t="s">
        <v>81</v>
      </c>
      <c r="C4817" s="76" t="s">
        <v>105</v>
      </c>
      <c r="D4817" s="77" t="s">
        <v>84</v>
      </c>
      <c r="F4817" s="94"/>
    </row>
    <row r="4818" spans="1:7" s="53" customFormat="1" ht="14.5" customHeight="1" x14ac:dyDescent="0.35">
      <c r="A4818" s="222" t="s">
        <v>93</v>
      </c>
      <c r="B4818" s="78" t="s">
        <v>1223</v>
      </c>
      <c r="C4818" s="79" t="s">
        <v>319</v>
      </c>
      <c r="D4818" s="80">
        <f>F4825</f>
        <v>10200000</v>
      </c>
      <c r="F4818" s="94"/>
    </row>
    <row r="4819" spans="1:7" s="53" customFormat="1" ht="21" thickBot="1" x14ac:dyDescent="0.5">
      <c r="A4819" s="223"/>
      <c r="B4819" s="71"/>
      <c r="C4819" s="71"/>
      <c r="D4819" s="73"/>
      <c r="F4819" s="94"/>
    </row>
    <row r="4820" spans="1:7" s="53" customFormat="1" ht="15" thickBot="1" x14ac:dyDescent="0.4">
      <c r="A4820" s="223"/>
      <c r="B4820" s="81" t="s">
        <v>81</v>
      </c>
      <c r="C4820" s="82" t="s">
        <v>107</v>
      </c>
      <c r="D4820" s="83" t="s">
        <v>108</v>
      </c>
      <c r="F4820" s="94"/>
    </row>
    <row r="4821" spans="1:7" s="87" customFormat="1" x14ac:dyDescent="0.35">
      <c r="A4821" s="223"/>
      <c r="B4821" s="84" t="str">
        <f>B4818</f>
        <v>20th September,2025</v>
      </c>
      <c r="C4821" s="85" t="s">
        <v>467</v>
      </c>
      <c r="D4821" s="86"/>
      <c r="F4821" s="177"/>
    </row>
    <row r="4822" spans="1:7" s="53" customFormat="1" x14ac:dyDescent="0.35">
      <c r="A4822" s="223"/>
      <c r="B4822" s="88"/>
      <c r="C4822" s="89" t="s">
        <v>159</v>
      </c>
      <c r="D4822" s="90">
        <f>299*2650</f>
        <v>792350</v>
      </c>
      <c r="F4822" s="94"/>
    </row>
    <row r="4823" spans="1:7" s="53" customFormat="1" x14ac:dyDescent="0.35">
      <c r="A4823" s="223"/>
      <c r="B4823" s="88" t="s">
        <v>109</v>
      </c>
      <c r="C4823" s="89" t="s">
        <v>110</v>
      </c>
      <c r="D4823" s="90">
        <v>1000000</v>
      </c>
      <c r="F4823" s="94"/>
    </row>
    <row r="4824" spans="1:7" s="53" customFormat="1" x14ac:dyDescent="0.35">
      <c r="A4824" s="223"/>
      <c r="B4824" s="88" t="s">
        <v>111</v>
      </c>
      <c r="C4824" s="89" t="s">
        <v>112</v>
      </c>
      <c r="D4824" s="90">
        <v>40000</v>
      </c>
      <c r="E4824" s="225" t="s">
        <v>113</v>
      </c>
      <c r="F4824" s="225"/>
    </row>
    <row r="4825" spans="1:7" s="53" customFormat="1" x14ac:dyDescent="0.35">
      <c r="A4825" s="223"/>
      <c r="B4825" s="88" t="s">
        <v>114</v>
      </c>
      <c r="C4825" s="89" t="s">
        <v>115</v>
      </c>
      <c r="D4825" s="90">
        <f>250*120</f>
        <v>30000</v>
      </c>
      <c r="E4825" s="91" t="s">
        <v>116</v>
      </c>
      <c r="F4825" s="92">
        <f>4000*2550</f>
        <v>10200000</v>
      </c>
    </row>
    <row r="4826" spans="1:7" s="53" customFormat="1" x14ac:dyDescent="0.35">
      <c r="A4826" s="223"/>
      <c r="B4826" s="88"/>
      <c r="C4826" s="89" t="s">
        <v>117</v>
      </c>
      <c r="D4826" s="90">
        <f>2000*120</f>
        <v>240000</v>
      </c>
      <c r="E4826" s="93" t="s">
        <v>118</v>
      </c>
      <c r="F4826" s="94">
        <f>4000*2550</f>
        <v>10200000</v>
      </c>
    </row>
    <row r="4827" spans="1:7" s="53" customFormat="1" ht="15" thickBot="1" x14ac:dyDescent="0.4">
      <c r="A4827" s="223"/>
      <c r="B4827" s="88" t="s">
        <v>119</v>
      </c>
      <c r="C4827" s="89" t="s">
        <v>120</v>
      </c>
      <c r="D4827" s="95">
        <v>30000</v>
      </c>
      <c r="E4827" s="96" t="s">
        <v>121</v>
      </c>
      <c r="F4827" s="97">
        <f>F4825-F4826</f>
        <v>0</v>
      </c>
      <c r="G4827" s="98">
        <f>F4827/2550</f>
        <v>0</v>
      </c>
    </row>
    <row r="4828" spans="1:7" s="53" customFormat="1" ht="15" thickTop="1" x14ac:dyDescent="0.35">
      <c r="A4828" s="223"/>
      <c r="B4828" s="88"/>
      <c r="C4828" s="89" t="s">
        <v>122</v>
      </c>
      <c r="D4828" s="90">
        <v>0</v>
      </c>
      <c r="F4828" s="94"/>
    </row>
    <row r="4829" spans="1:7" s="53" customFormat="1" x14ac:dyDescent="0.35">
      <c r="A4829" s="223"/>
      <c r="B4829" s="88" t="s">
        <v>1218</v>
      </c>
      <c r="C4829" s="99" t="s">
        <v>123</v>
      </c>
      <c r="D4829" s="90">
        <v>15000</v>
      </c>
      <c r="E4829" s="91" t="s">
        <v>124</v>
      </c>
      <c r="F4829" s="92"/>
    </row>
    <row r="4830" spans="1:7" s="53" customFormat="1" x14ac:dyDescent="0.35">
      <c r="A4830" s="223"/>
      <c r="B4830" s="101"/>
      <c r="C4830" s="99" t="s">
        <v>125</v>
      </c>
      <c r="D4830" s="100">
        <v>0</v>
      </c>
      <c r="E4830" s="102"/>
      <c r="F4830" s="103"/>
    </row>
    <row r="4831" spans="1:7" s="53" customFormat="1" x14ac:dyDescent="0.35">
      <c r="A4831" s="223"/>
      <c r="B4831" s="101"/>
      <c r="C4831" s="99" t="s">
        <v>126</v>
      </c>
      <c r="D4831" s="100">
        <v>0</v>
      </c>
      <c r="E4831" s="102" t="s">
        <v>127</v>
      </c>
      <c r="F4831" s="103"/>
    </row>
    <row r="4832" spans="1:7" s="53" customFormat="1" x14ac:dyDescent="0.35">
      <c r="A4832" s="223"/>
      <c r="B4832" s="101"/>
      <c r="C4832" s="89" t="s">
        <v>265</v>
      </c>
      <c r="D4832" s="104">
        <v>0</v>
      </c>
      <c r="E4832" s="102" t="s">
        <v>1463</v>
      </c>
      <c r="F4832" s="103"/>
    </row>
    <row r="4833" spans="1:6" s="53" customFormat="1" ht="15" thickBot="1" x14ac:dyDescent="0.4">
      <c r="A4833" s="223"/>
      <c r="B4833" s="105"/>
      <c r="C4833" s="106"/>
      <c r="D4833" s="107"/>
      <c r="F4833" s="94"/>
    </row>
    <row r="4834" spans="1:6" s="53" customFormat="1" ht="15" thickBot="1" x14ac:dyDescent="0.4">
      <c r="A4834" s="223"/>
      <c r="B4834" s="108"/>
      <c r="C4834" s="109" t="s">
        <v>129</v>
      </c>
      <c r="D4834" s="110">
        <f>SUM(D4821:D4833)</f>
        <v>2147350</v>
      </c>
      <c r="F4834" s="94"/>
    </row>
    <row r="4835" spans="1:6" s="53" customFormat="1" ht="15.5" thickTop="1" thickBot="1" x14ac:dyDescent="0.4">
      <c r="A4835" s="224"/>
      <c r="B4835" s="226"/>
      <c r="C4835" s="226"/>
      <c r="D4835" s="226"/>
      <c r="F4835" s="94"/>
    </row>
    <row r="4836" spans="1:6" s="53" customFormat="1" x14ac:dyDescent="0.35">
      <c r="B4836" s="87"/>
      <c r="C4836" s="53" t="s">
        <v>130</v>
      </c>
      <c r="D4836" s="111">
        <f>D4818-D4834</f>
        <v>8052650</v>
      </c>
      <c r="F4836" s="94"/>
    </row>
    <row r="4837" spans="1:6" s="53" customFormat="1" x14ac:dyDescent="0.35">
      <c r="B4837" s="87"/>
      <c r="D4837" s="111"/>
      <c r="F4837" s="94"/>
    </row>
    <row r="4838" spans="1:6" s="53" customFormat="1" x14ac:dyDescent="0.35">
      <c r="A4838" s="112"/>
      <c r="B4838" s="113"/>
      <c r="C4838" s="112"/>
      <c r="D4838" s="114"/>
      <c r="E4838" s="112"/>
      <c r="F4838" s="178"/>
    </row>
    <row r="4840" spans="1:6" s="53" customFormat="1" ht="23.5" x14ac:dyDescent="0.55000000000000004">
      <c r="B4840" s="227" t="s">
        <v>0</v>
      </c>
      <c r="C4840" s="227"/>
      <c r="D4840" s="227"/>
      <c r="E4840" s="70"/>
      <c r="F4840" s="176"/>
    </row>
    <row r="4841" spans="1:6" s="53" customFormat="1" ht="20.5" x14ac:dyDescent="0.45">
      <c r="B4841" s="71"/>
      <c r="C4841" s="72" t="s">
        <v>1252</v>
      </c>
      <c r="D4841" s="73"/>
      <c r="F4841" s="94"/>
    </row>
    <row r="4842" spans="1:6" s="53" customFormat="1" ht="21" thickBot="1" x14ac:dyDescent="0.5">
      <c r="B4842" s="71" t="s">
        <v>1089</v>
      </c>
      <c r="C4842" s="74" t="s">
        <v>103</v>
      </c>
      <c r="D4842" s="73"/>
      <c r="F4842" s="94"/>
    </row>
    <row r="4843" spans="1:6" s="53" customFormat="1" ht="15" thickBot="1" x14ac:dyDescent="0.4">
      <c r="A4843" s="75" t="s">
        <v>104</v>
      </c>
      <c r="B4843" s="76" t="s">
        <v>81</v>
      </c>
      <c r="C4843" s="76" t="s">
        <v>105</v>
      </c>
      <c r="D4843" s="77" t="s">
        <v>84</v>
      </c>
      <c r="F4843" s="94"/>
    </row>
    <row r="4844" spans="1:6" s="53" customFormat="1" ht="14.5" customHeight="1" x14ac:dyDescent="0.35">
      <c r="A4844" s="222" t="s">
        <v>94</v>
      </c>
      <c r="B4844" s="78" t="s">
        <v>1277</v>
      </c>
      <c r="C4844" s="79" t="s">
        <v>959</v>
      </c>
      <c r="D4844" s="80">
        <f>F4851</f>
        <v>11220000</v>
      </c>
      <c r="F4844" s="94"/>
    </row>
    <row r="4845" spans="1:6" s="53" customFormat="1" ht="21" thickBot="1" x14ac:dyDescent="0.5">
      <c r="A4845" s="223"/>
      <c r="B4845" s="71"/>
      <c r="C4845" s="71"/>
      <c r="D4845" s="73"/>
      <c r="F4845" s="94"/>
    </row>
    <row r="4846" spans="1:6" s="53" customFormat="1" ht="15" thickBot="1" x14ac:dyDescent="0.4">
      <c r="A4846" s="223"/>
      <c r="B4846" s="81" t="s">
        <v>81</v>
      </c>
      <c r="C4846" s="82" t="s">
        <v>107</v>
      </c>
      <c r="D4846" s="83" t="s">
        <v>108</v>
      </c>
      <c r="F4846" s="94"/>
    </row>
    <row r="4847" spans="1:6" s="87" customFormat="1" x14ac:dyDescent="0.35">
      <c r="A4847" s="223"/>
      <c r="B4847" s="84" t="str">
        <f>B4844</f>
        <v>04th October,2025</v>
      </c>
      <c r="C4847" s="85" t="s">
        <v>1416</v>
      </c>
      <c r="D4847" s="86">
        <f>1850*2720</f>
        <v>5032000</v>
      </c>
      <c r="F4847" s="177"/>
    </row>
    <row r="4848" spans="1:6" s="53" customFormat="1" x14ac:dyDescent="0.35">
      <c r="A4848" s="223"/>
      <c r="B4848" s="88"/>
      <c r="C4848" s="89" t="s">
        <v>188</v>
      </c>
      <c r="D4848" s="90">
        <f>325*2650</f>
        <v>861250</v>
      </c>
      <c r="F4848" s="94"/>
    </row>
    <row r="4849" spans="1:7" s="53" customFormat="1" x14ac:dyDescent="0.35">
      <c r="A4849" s="223"/>
      <c r="B4849" s="88" t="s">
        <v>109</v>
      </c>
      <c r="C4849" s="89" t="s">
        <v>110</v>
      </c>
      <c r="D4849" s="90">
        <v>1000000</v>
      </c>
      <c r="F4849" s="94"/>
    </row>
    <row r="4850" spans="1:7" s="53" customFormat="1" x14ac:dyDescent="0.35">
      <c r="A4850" s="223"/>
      <c r="B4850" s="88" t="s">
        <v>111</v>
      </c>
      <c r="C4850" s="89" t="s">
        <v>112</v>
      </c>
      <c r="D4850" s="90">
        <v>40000</v>
      </c>
      <c r="E4850" s="228" t="s">
        <v>113</v>
      </c>
      <c r="F4850" s="225"/>
    </row>
    <row r="4851" spans="1:7" s="53" customFormat="1" x14ac:dyDescent="0.35">
      <c r="A4851" s="223"/>
      <c r="B4851" s="88" t="s">
        <v>182</v>
      </c>
      <c r="C4851" s="89" t="s">
        <v>115</v>
      </c>
      <c r="D4851" s="90">
        <f>550*123</f>
        <v>67650</v>
      </c>
      <c r="E4851" s="91" t="s">
        <v>116</v>
      </c>
      <c r="F4851" s="92">
        <f>4400*2550</f>
        <v>11220000</v>
      </c>
    </row>
    <row r="4852" spans="1:7" s="53" customFormat="1" x14ac:dyDescent="0.35">
      <c r="A4852" s="223"/>
      <c r="B4852" s="88"/>
      <c r="C4852" s="89" t="s">
        <v>117</v>
      </c>
      <c r="D4852" s="90">
        <f>3500*123</f>
        <v>430500</v>
      </c>
      <c r="E4852" s="93" t="s">
        <v>118</v>
      </c>
      <c r="F4852" s="94">
        <f>(2640*2550)+(1640*2550)</f>
        <v>10914000</v>
      </c>
    </row>
    <row r="4853" spans="1:7" s="53" customFormat="1" ht="15" thickBot="1" x14ac:dyDescent="0.4">
      <c r="A4853" s="223"/>
      <c r="B4853" s="88" t="s">
        <v>119</v>
      </c>
      <c r="C4853" s="89" t="s">
        <v>120</v>
      </c>
      <c r="D4853" s="95">
        <v>30000</v>
      </c>
      <c r="E4853" s="96" t="s">
        <v>121</v>
      </c>
      <c r="F4853" s="97">
        <f>F4851-F4852</f>
        <v>306000</v>
      </c>
      <c r="G4853" s="98">
        <f>F4853/2550</f>
        <v>120</v>
      </c>
    </row>
    <row r="4854" spans="1:7" s="53" customFormat="1" ht="15" thickTop="1" x14ac:dyDescent="0.35">
      <c r="A4854" s="223"/>
      <c r="B4854" s="88"/>
      <c r="C4854" s="89" t="s">
        <v>122</v>
      </c>
      <c r="D4854" s="90">
        <v>150000</v>
      </c>
      <c r="F4854" s="94"/>
    </row>
    <row r="4855" spans="1:7" s="53" customFormat="1" x14ac:dyDescent="0.35">
      <c r="A4855" s="223"/>
      <c r="B4855" s="88" t="s">
        <v>1251</v>
      </c>
      <c r="C4855" s="99" t="s">
        <v>123</v>
      </c>
      <c r="D4855" s="90">
        <v>15000</v>
      </c>
      <c r="E4855" s="91" t="s">
        <v>124</v>
      </c>
      <c r="F4855" s="92"/>
    </row>
    <row r="4856" spans="1:7" s="53" customFormat="1" x14ac:dyDescent="0.35">
      <c r="A4856" s="223"/>
      <c r="B4856" s="101"/>
      <c r="C4856" s="99" t="s">
        <v>125</v>
      </c>
      <c r="D4856" s="100">
        <v>10000</v>
      </c>
      <c r="E4856" s="102"/>
      <c r="F4856" s="103"/>
    </row>
    <row r="4857" spans="1:7" s="53" customFormat="1" x14ac:dyDescent="0.35">
      <c r="A4857" s="223"/>
      <c r="B4857" s="101"/>
      <c r="C4857" s="99" t="s">
        <v>126</v>
      </c>
      <c r="D4857" s="100">
        <v>50000</v>
      </c>
      <c r="E4857" s="102" t="s">
        <v>127</v>
      </c>
      <c r="F4857" s="103"/>
    </row>
    <row r="4858" spans="1:7" s="53" customFormat="1" x14ac:dyDescent="0.35">
      <c r="A4858" s="223"/>
      <c r="B4858" s="101"/>
      <c r="C4858" s="89" t="s">
        <v>265</v>
      </c>
      <c r="D4858" s="104">
        <f>841*124</f>
        <v>104284</v>
      </c>
      <c r="E4858" s="102" t="s">
        <v>1333</v>
      </c>
      <c r="F4858" s="103"/>
    </row>
    <row r="4859" spans="1:7" s="53" customFormat="1" ht="15" thickBot="1" x14ac:dyDescent="0.4">
      <c r="A4859" s="223"/>
      <c r="B4859" s="105"/>
      <c r="C4859" s="106"/>
      <c r="D4859" s="107"/>
      <c r="E4859" s="53" t="s">
        <v>1744</v>
      </c>
      <c r="F4859" s="94"/>
    </row>
    <row r="4860" spans="1:7" s="53" customFormat="1" ht="15" thickBot="1" x14ac:dyDescent="0.4">
      <c r="A4860" s="223"/>
      <c r="B4860" s="108"/>
      <c r="C4860" s="109" t="s">
        <v>129</v>
      </c>
      <c r="D4860" s="110">
        <f>SUM(D4847:D4859)</f>
        <v>7790684</v>
      </c>
      <c r="F4860" s="94"/>
    </row>
    <row r="4861" spans="1:7" s="53" customFormat="1" ht="15.5" thickTop="1" thickBot="1" x14ac:dyDescent="0.4">
      <c r="A4861" s="224"/>
      <c r="B4861" s="226"/>
      <c r="C4861" s="226"/>
      <c r="D4861" s="226"/>
      <c r="F4861" s="94"/>
    </row>
    <row r="4862" spans="1:7" s="53" customFormat="1" x14ac:dyDescent="0.35">
      <c r="B4862" s="87"/>
      <c r="C4862" s="53" t="s">
        <v>130</v>
      </c>
      <c r="D4862" s="111">
        <f>D4844-D4860</f>
        <v>3429316</v>
      </c>
      <c r="F4862" s="94"/>
    </row>
    <row r="4863" spans="1:7" s="53" customFormat="1" x14ac:dyDescent="0.35">
      <c r="B4863" s="87"/>
      <c r="D4863" s="111"/>
      <c r="F4863" s="94"/>
    </row>
    <row r="4864" spans="1:7" s="53" customFormat="1" x14ac:dyDescent="0.35">
      <c r="A4864" s="112"/>
      <c r="B4864" s="113"/>
      <c r="C4864" s="112"/>
      <c r="D4864" s="114"/>
      <c r="E4864" s="112"/>
      <c r="F4864" s="178"/>
    </row>
    <row r="4867" spans="1:7" s="53" customFormat="1" ht="23.5" x14ac:dyDescent="0.55000000000000004">
      <c r="B4867" s="227" t="s">
        <v>0</v>
      </c>
      <c r="C4867" s="227"/>
      <c r="D4867" s="227"/>
      <c r="E4867" s="70"/>
      <c r="F4867" s="176"/>
    </row>
    <row r="4868" spans="1:7" s="53" customFormat="1" ht="20.5" x14ac:dyDescent="0.45">
      <c r="B4868" s="71"/>
      <c r="C4868" s="72" t="s">
        <v>1255</v>
      </c>
      <c r="D4868" s="73"/>
      <c r="F4868" s="94"/>
    </row>
    <row r="4869" spans="1:7" s="53" customFormat="1" ht="21" thickBot="1" x14ac:dyDescent="0.5">
      <c r="B4869" s="71" t="s">
        <v>844</v>
      </c>
      <c r="C4869" s="74" t="s">
        <v>103</v>
      </c>
      <c r="D4869" s="73"/>
      <c r="F4869" s="94"/>
    </row>
    <row r="4870" spans="1:7" s="53" customFormat="1" ht="15" thickBot="1" x14ac:dyDescent="0.4">
      <c r="A4870" s="75" t="s">
        <v>104</v>
      </c>
      <c r="B4870" s="76" t="s">
        <v>81</v>
      </c>
      <c r="C4870" s="76" t="s">
        <v>105</v>
      </c>
      <c r="D4870" s="77" t="s">
        <v>84</v>
      </c>
      <c r="F4870" s="94"/>
    </row>
    <row r="4871" spans="1:7" s="53" customFormat="1" ht="14.5" customHeight="1" x14ac:dyDescent="0.35">
      <c r="A4871" s="222" t="s">
        <v>94</v>
      </c>
      <c r="B4871" s="78" t="s">
        <v>1277</v>
      </c>
      <c r="C4871" s="79" t="s">
        <v>959</v>
      </c>
      <c r="D4871" s="80">
        <f>F4878</f>
        <v>11220000</v>
      </c>
      <c r="F4871" s="94"/>
    </row>
    <row r="4872" spans="1:7" s="53" customFormat="1" ht="21" thickBot="1" x14ac:dyDescent="0.5">
      <c r="A4872" s="223"/>
      <c r="B4872" s="71"/>
      <c r="C4872" s="71"/>
      <c r="D4872" s="73"/>
      <c r="F4872" s="94"/>
    </row>
    <row r="4873" spans="1:7" s="53" customFormat="1" ht="15" thickBot="1" x14ac:dyDescent="0.4">
      <c r="A4873" s="223"/>
      <c r="B4873" s="81" t="s">
        <v>81</v>
      </c>
      <c r="C4873" s="82" t="s">
        <v>107</v>
      </c>
      <c r="D4873" s="83" t="s">
        <v>108</v>
      </c>
      <c r="F4873" s="94"/>
    </row>
    <row r="4874" spans="1:7" s="87" customFormat="1" x14ac:dyDescent="0.35">
      <c r="A4874" s="223"/>
      <c r="B4874" s="84" t="str">
        <f>B4871</f>
        <v>04th October,2025</v>
      </c>
      <c r="C4874" s="85" t="s">
        <v>1416</v>
      </c>
      <c r="D4874" s="86">
        <f>1850*2720</f>
        <v>5032000</v>
      </c>
      <c r="F4874" s="177"/>
    </row>
    <row r="4875" spans="1:7" s="53" customFormat="1" x14ac:dyDescent="0.35">
      <c r="A4875" s="223"/>
      <c r="B4875" s="88"/>
      <c r="C4875" s="89" t="s">
        <v>188</v>
      </c>
      <c r="D4875" s="90">
        <f>325*2650</f>
        <v>861250</v>
      </c>
      <c r="F4875" s="94"/>
    </row>
    <row r="4876" spans="1:7" s="53" customFormat="1" x14ac:dyDescent="0.35">
      <c r="A4876" s="223"/>
      <c r="B4876" s="88" t="s">
        <v>109</v>
      </c>
      <c r="C4876" s="89" t="s">
        <v>110</v>
      </c>
      <c r="D4876" s="90">
        <v>1000000</v>
      </c>
      <c r="F4876" s="94"/>
    </row>
    <row r="4877" spans="1:7" s="53" customFormat="1" x14ac:dyDescent="0.35">
      <c r="A4877" s="223"/>
      <c r="B4877" s="88" t="s">
        <v>111</v>
      </c>
      <c r="C4877" s="89" t="s">
        <v>112</v>
      </c>
      <c r="D4877" s="90">
        <v>40000</v>
      </c>
      <c r="E4877" s="228" t="s">
        <v>113</v>
      </c>
      <c r="F4877" s="225"/>
    </row>
    <row r="4878" spans="1:7" s="53" customFormat="1" x14ac:dyDescent="0.35">
      <c r="A4878" s="223"/>
      <c r="B4878" s="88" t="s">
        <v>182</v>
      </c>
      <c r="C4878" s="89" t="s">
        <v>115</v>
      </c>
      <c r="D4878" s="90">
        <f>550*123</f>
        <v>67650</v>
      </c>
      <c r="E4878" s="91" t="s">
        <v>116</v>
      </c>
      <c r="F4878" s="92">
        <f>4400*2550</f>
        <v>11220000</v>
      </c>
    </row>
    <row r="4879" spans="1:7" s="53" customFormat="1" x14ac:dyDescent="0.35">
      <c r="A4879" s="223"/>
      <c r="B4879" s="88"/>
      <c r="C4879" s="89" t="s">
        <v>117</v>
      </c>
      <c r="D4879" s="90">
        <f>3500*123</f>
        <v>430500</v>
      </c>
      <c r="E4879" s="93" t="s">
        <v>118</v>
      </c>
      <c r="F4879" s="94">
        <f>(2640*2550)+(1590*2550)</f>
        <v>10786500</v>
      </c>
    </row>
    <row r="4880" spans="1:7" s="53" customFormat="1" ht="15" thickBot="1" x14ac:dyDescent="0.4">
      <c r="A4880" s="223"/>
      <c r="B4880" s="88" t="s">
        <v>119</v>
      </c>
      <c r="C4880" s="89" t="s">
        <v>120</v>
      </c>
      <c r="D4880" s="95">
        <v>30000</v>
      </c>
      <c r="E4880" s="96" t="s">
        <v>121</v>
      </c>
      <c r="F4880" s="97">
        <f>F4878-F4879</f>
        <v>433500</v>
      </c>
      <c r="G4880" s="98">
        <f>F4880/2550</f>
        <v>170</v>
      </c>
    </row>
    <row r="4881" spans="1:6" s="53" customFormat="1" ht="15" thickTop="1" x14ac:dyDescent="0.35">
      <c r="A4881" s="223"/>
      <c r="B4881" s="88"/>
      <c r="C4881" s="89" t="s">
        <v>122</v>
      </c>
      <c r="D4881" s="90">
        <v>150000</v>
      </c>
      <c r="F4881" s="94"/>
    </row>
    <row r="4882" spans="1:6" s="53" customFormat="1" x14ac:dyDescent="0.35">
      <c r="A4882" s="223"/>
      <c r="B4882" s="88" t="s">
        <v>1254</v>
      </c>
      <c r="C4882" s="99" t="s">
        <v>123</v>
      </c>
      <c r="D4882" s="90">
        <v>15000</v>
      </c>
      <c r="E4882" s="91" t="s">
        <v>124</v>
      </c>
      <c r="F4882" s="92"/>
    </row>
    <row r="4883" spans="1:6" s="53" customFormat="1" x14ac:dyDescent="0.35">
      <c r="A4883" s="223"/>
      <c r="B4883" s="101"/>
      <c r="C4883" s="99" t="s">
        <v>125</v>
      </c>
      <c r="D4883" s="100">
        <v>10000</v>
      </c>
      <c r="E4883" s="102"/>
      <c r="F4883" s="103"/>
    </row>
    <row r="4884" spans="1:6" s="53" customFormat="1" x14ac:dyDescent="0.35">
      <c r="A4884" s="223"/>
      <c r="B4884" s="101"/>
      <c r="C4884" s="99" t="s">
        <v>126</v>
      </c>
      <c r="D4884" s="100">
        <v>50000</v>
      </c>
      <c r="E4884" s="102" t="s">
        <v>127</v>
      </c>
      <c r="F4884" s="103"/>
    </row>
    <row r="4885" spans="1:6" s="53" customFormat="1" x14ac:dyDescent="0.35">
      <c r="A4885" s="223"/>
      <c r="B4885" s="101"/>
      <c r="C4885" s="89" t="s">
        <v>265</v>
      </c>
      <c r="D4885" s="104">
        <f>841*124</f>
        <v>104284</v>
      </c>
      <c r="E4885" s="102" t="s">
        <v>1333</v>
      </c>
      <c r="F4885" s="103"/>
    </row>
    <row r="4886" spans="1:6" s="53" customFormat="1" ht="15" thickBot="1" x14ac:dyDescent="0.4">
      <c r="A4886" s="223"/>
      <c r="B4886" s="105"/>
      <c r="C4886" s="106"/>
      <c r="D4886" s="107"/>
      <c r="E4886" s="53" t="s">
        <v>1748</v>
      </c>
      <c r="F4886" s="94"/>
    </row>
    <row r="4887" spans="1:6" s="53" customFormat="1" ht="15" thickBot="1" x14ac:dyDescent="0.4">
      <c r="A4887" s="223"/>
      <c r="B4887" s="108"/>
      <c r="C4887" s="109" t="s">
        <v>129</v>
      </c>
      <c r="D4887" s="110">
        <f>SUM(D4874:D4886)</f>
        <v>7790684</v>
      </c>
      <c r="F4887" s="94"/>
    </row>
    <row r="4888" spans="1:6" s="53" customFormat="1" ht="15.5" thickTop="1" thickBot="1" x14ac:dyDescent="0.4">
      <c r="A4888" s="224"/>
      <c r="B4888" s="226"/>
      <c r="C4888" s="226"/>
      <c r="D4888" s="226"/>
      <c r="F4888" s="94"/>
    </row>
    <row r="4889" spans="1:6" s="53" customFormat="1" x14ac:dyDescent="0.35">
      <c r="B4889" s="87"/>
      <c r="C4889" s="53" t="s">
        <v>130</v>
      </c>
      <c r="D4889" s="111">
        <f>D4871-D4887</f>
        <v>3429316</v>
      </c>
      <c r="F4889" s="94"/>
    </row>
    <row r="4890" spans="1:6" s="53" customFormat="1" x14ac:dyDescent="0.35">
      <c r="B4890" s="87"/>
      <c r="D4890" s="111"/>
      <c r="F4890" s="94"/>
    </row>
    <row r="4891" spans="1:6" s="53" customFormat="1" x14ac:dyDescent="0.35">
      <c r="A4891" s="112"/>
      <c r="B4891" s="113"/>
      <c r="C4891" s="112"/>
      <c r="D4891" s="114"/>
      <c r="E4891" s="112"/>
      <c r="F4891" s="178"/>
    </row>
    <row r="4893" spans="1:6" s="53" customFormat="1" ht="23.5" x14ac:dyDescent="0.55000000000000004">
      <c r="B4893" s="227" t="s">
        <v>0</v>
      </c>
      <c r="C4893" s="227"/>
      <c r="D4893" s="227"/>
      <c r="E4893" s="70"/>
      <c r="F4893" s="176"/>
    </row>
    <row r="4894" spans="1:6" s="53" customFormat="1" ht="20.5" x14ac:dyDescent="0.45">
      <c r="B4894" s="71"/>
      <c r="C4894" s="72" t="s">
        <v>1257</v>
      </c>
      <c r="D4894" s="73"/>
      <c r="F4894" s="94"/>
    </row>
    <row r="4895" spans="1:6" s="53" customFormat="1" ht="21" thickBot="1" x14ac:dyDescent="0.5">
      <c r="B4895" s="71" t="s">
        <v>163</v>
      </c>
      <c r="C4895" s="74" t="s">
        <v>103</v>
      </c>
      <c r="D4895" s="73"/>
      <c r="F4895" s="94"/>
    </row>
    <row r="4896" spans="1:6" s="53" customFormat="1" ht="15" thickBot="1" x14ac:dyDescent="0.4">
      <c r="A4896" s="75" t="s">
        <v>104</v>
      </c>
      <c r="B4896" s="76" t="s">
        <v>81</v>
      </c>
      <c r="C4896" s="76" t="s">
        <v>105</v>
      </c>
      <c r="D4896" s="77" t="s">
        <v>84</v>
      </c>
      <c r="F4896" s="94"/>
    </row>
    <row r="4897" spans="1:7" s="53" customFormat="1" ht="14.5" customHeight="1" x14ac:dyDescent="0.35">
      <c r="A4897" s="222" t="s">
        <v>94</v>
      </c>
      <c r="B4897" s="78" t="s">
        <v>1277</v>
      </c>
      <c r="C4897" s="79" t="s">
        <v>959</v>
      </c>
      <c r="D4897" s="80">
        <f>F4904</f>
        <v>10758000</v>
      </c>
      <c r="F4897" s="94"/>
    </row>
    <row r="4898" spans="1:7" s="53" customFormat="1" ht="21" thickBot="1" x14ac:dyDescent="0.5">
      <c r="A4898" s="223"/>
      <c r="B4898" s="71"/>
      <c r="C4898" s="71"/>
      <c r="D4898" s="73"/>
      <c r="F4898" s="94"/>
    </row>
    <row r="4899" spans="1:7" s="53" customFormat="1" ht="15" thickBot="1" x14ac:dyDescent="0.4">
      <c r="A4899" s="223"/>
      <c r="B4899" s="81" t="s">
        <v>81</v>
      </c>
      <c r="C4899" s="82" t="s">
        <v>107</v>
      </c>
      <c r="D4899" s="83" t="s">
        <v>108</v>
      </c>
      <c r="F4899" s="94"/>
    </row>
    <row r="4900" spans="1:7" s="87" customFormat="1" x14ac:dyDescent="0.35">
      <c r="A4900" s="223"/>
      <c r="B4900" s="84" t="str">
        <f>B4897</f>
        <v>04th October,2025</v>
      </c>
      <c r="C4900" s="85" t="s">
        <v>1416</v>
      </c>
      <c r="D4900" s="86">
        <f>1850*2720</f>
        <v>5032000</v>
      </c>
      <c r="F4900" s="177"/>
    </row>
    <row r="4901" spans="1:7" s="53" customFormat="1" x14ac:dyDescent="0.35">
      <c r="A4901" s="223"/>
      <c r="B4901" s="88"/>
      <c r="C4901" s="89" t="s">
        <v>188</v>
      </c>
      <c r="D4901" s="90">
        <f>325*2650</f>
        <v>861250</v>
      </c>
      <c r="F4901" s="94"/>
    </row>
    <row r="4902" spans="1:7" s="53" customFormat="1" x14ac:dyDescent="0.35">
      <c r="A4902" s="223"/>
      <c r="B4902" s="88" t="s">
        <v>109</v>
      </c>
      <c r="C4902" s="89" t="s">
        <v>110</v>
      </c>
      <c r="D4902" s="90">
        <v>1000000</v>
      </c>
      <c r="F4902" s="94"/>
    </row>
    <row r="4903" spans="1:7" s="53" customFormat="1" x14ac:dyDescent="0.35">
      <c r="A4903" s="223"/>
      <c r="B4903" s="88" t="s">
        <v>111</v>
      </c>
      <c r="C4903" s="89" t="s">
        <v>112</v>
      </c>
      <c r="D4903" s="90">
        <v>40000</v>
      </c>
      <c r="E4903" s="225" t="s">
        <v>113</v>
      </c>
      <c r="F4903" s="225"/>
    </row>
    <row r="4904" spans="1:7" s="53" customFormat="1" x14ac:dyDescent="0.35">
      <c r="A4904" s="223"/>
      <c r="B4904" s="88" t="s">
        <v>182</v>
      </c>
      <c r="C4904" s="89" t="s">
        <v>115</v>
      </c>
      <c r="D4904" s="90">
        <f>550*123</f>
        <v>67650</v>
      </c>
      <c r="E4904" s="91" t="s">
        <v>116</v>
      </c>
      <c r="F4904" s="92">
        <f>4400*2445</f>
        <v>10758000</v>
      </c>
    </row>
    <row r="4905" spans="1:7" s="53" customFormat="1" x14ac:dyDescent="0.35">
      <c r="A4905" s="223"/>
      <c r="B4905" s="88"/>
      <c r="C4905" s="89" t="s">
        <v>117</v>
      </c>
      <c r="D4905" s="90">
        <f>3500*123</f>
        <v>430500</v>
      </c>
      <c r="E4905" s="93" t="s">
        <v>118</v>
      </c>
      <c r="F4905" s="94">
        <f>(2640*2445)+(1590*2445)</f>
        <v>10342350</v>
      </c>
    </row>
    <row r="4906" spans="1:7" s="53" customFormat="1" ht="15" thickBot="1" x14ac:dyDescent="0.4">
      <c r="A4906" s="223"/>
      <c r="B4906" s="88" t="s">
        <v>119</v>
      </c>
      <c r="C4906" s="89" t="s">
        <v>120</v>
      </c>
      <c r="D4906" s="95">
        <v>30000</v>
      </c>
      <c r="E4906" s="96" t="s">
        <v>121</v>
      </c>
      <c r="F4906" s="97">
        <f>F4904-F4905</f>
        <v>415650</v>
      </c>
      <c r="G4906" s="98">
        <f>F4906/2445</f>
        <v>170</v>
      </c>
    </row>
    <row r="4907" spans="1:7" s="53" customFormat="1" ht="15" thickTop="1" x14ac:dyDescent="0.35">
      <c r="A4907" s="223"/>
      <c r="B4907" s="88"/>
      <c r="C4907" s="89" t="s">
        <v>122</v>
      </c>
      <c r="D4907" s="90">
        <v>150000</v>
      </c>
      <c r="F4907" s="94"/>
    </row>
    <row r="4908" spans="1:7" s="53" customFormat="1" x14ac:dyDescent="0.35">
      <c r="A4908" s="223"/>
      <c r="B4908" s="88" t="s">
        <v>1258</v>
      </c>
      <c r="C4908" s="99" t="s">
        <v>123</v>
      </c>
      <c r="D4908" s="90">
        <v>15000</v>
      </c>
      <c r="E4908" s="91" t="s">
        <v>124</v>
      </c>
      <c r="F4908" s="92"/>
    </row>
    <row r="4909" spans="1:7" s="53" customFormat="1" x14ac:dyDescent="0.35">
      <c r="A4909" s="223"/>
      <c r="B4909" s="101"/>
      <c r="C4909" s="99" t="s">
        <v>125</v>
      </c>
      <c r="D4909" s="100">
        <v>10000</v>
      </c>
      <c r="E4909" s="102"/>
      <c r="F4909" s="103"/>
    </row>
    <row r="4910" spans="1:7" s="53" customFormat="1" x14ac:dyDescent="0.35">
      <c r="A4910" s="223"/>
      <c r="B4910" s="101"/>
      <c r="C4910" s="99" t="s">
        <v>126</v>
      </c>
      <c r="D4910" s="100">
        <v>50000</v>
      </c>
      <c r="E4910" s="102" t="s">
        <v>127</v>
      </c>
      <c r="F4910" s="103"/>
    </row>
    <row r="4911" spans="1:7" s="53" customFormat="1" x14ac:dyDescent="0.35">
      <c r="A4911" s="223"/>
      <c r="B4911" s="101"/>
      <c r="C4911" s="89" t="s">
        <v>265</v>
      </c>
      <c r="D4911" s="104">
        <f>841*124</f>
        <v>104284</v>
      </c>
      <c r="E4911" s="102" t="s">
        <v>1333</v>
      </c>
      <c r="F4911" s="103"/>
    </row>
    <row r="4912" spans="1:7" s="53" customFormat="1" ht="15" thickBot="1" x14ac:dyDescent="0.4">
      <c r="A4912" s="223"/>
      <c r="B4912" s="105"/>
      <c r="C4912" s="106"/>
      <c r="D4912" s="107"/>
      <c r="E4912" s="53" t="s">
        <v>1748</v>
      </c>
      <c r="F4912" s="94"/>
    </row>
    <row r="4913" spans="1:6" s="53" customFormat="1" ht="15" thickBot="1" x14ac:dyDescent="0.4">
      <c r="A4913" s="223"/>
      <c r="B4913" s="108"/>
      <c r="C4913" s="109" t="s">
        <v>129</v>
      </c>
      <c r="D4913" s="110">
        <f>SUM(D4900:D4912)</f>
        <v>7790684</v>
      </c>
      <c r="F4913" s="94"/>
    </row>
    <row r="4914" spans="1:6" s="53" customFormat="1" ht="15.5" thickTop="1" thickBot="1" x14ac:dyDescent="0.4">
      <c r="A4914" s="224"/>
      <c r="B4914" s="226"/>
      <c r="C4914" s="226"/>
      <c r="D4914" s="226"/>
      <c r="F4914" s="94"/>
    </row>
    <row r="4915" spans="1:6" s="53" customFormat="1" x14ac:dyDescent="0.35">
      <c r="B4915" s="87"/>
      <c r="C4915" s="53" t="s">
        <v>130</v>
      </c>
      <c r="D4915" s="111">
        <f>D4897-D4913</f>
        <v>2967316</v>
      </c>
      <c r="F4915" s="94"/>
    </row>
    <row r="4916" spans="1:6" s="53" customFormat="1" x14ac:dyDescent="0.35">
      <c r="B4916" s="87"/>
      <c r="D4916" s="111"/>
      <c r="F4916" s="94"/>
    </row>
    <row r="4917" spans="1:6" s="53" customFormat="1" x14ac:dyDescent="0.35">
      <c r="A4917" s="112"/>
      <c r="B4917" s="113"/>
      <c r="C4917" s="112"/>
      <c r="D4917" s="114"/>
      <c r="E4917" s="112"/>
      <c r="F4917" s="178"/>
    </row>
    <row r="4919" spans="1:6" s="53" customFormat="1" ht="23.5" x14ac:dyDescent="0.55000000000000004">
      <c r="B4919" s="227" t="s">
        <v>0</v>
      </c>
      <c r="C4919" s="227"/>
      <c r="D4919" s="227"/>
      <c r="E4919" s="70"/>
      <c r="F4919" s="176"/>
    </row>
    <row r="4920" spans="1:6" s="53" customFormat="1" ht="20.5" x14ac:dyDescent="0.45">
      <c r="B4920" s="71"/>
      <c r="C4920" s="72" t="s">
        <v>1261</v>
      </c>
      <c r="D4920" s="73"/>
      <c r="F4920" s="94"/>
    </row>
    <row r="4921" spans="1:6" s="53" customFormat="1" ht="21" thickBot="1" x14ac:dyDescent="0.5">
      <c r="B4921" s="71" t="s">
        <v>239</v>
      </c>
      <c r="C4921" s="74" t="s">
        <v>103</v>
      </c>
      <c r="D4921" s="73"/>
      <c r="F4921" s="94"/>
    </row>
    <row r="4922" spans="1:6" s="53" customFormat="1" ht="15" thickBot="1" x14ac:dyDescent="0.4">
      <c r="A4922" s="75" t="s">
        <v>104</v>
      </c>
      <c r="B4922" s="76" t="s">
        <v>81</v>
      </c>
      <c r="C4922" s="76" t="s">
        <v>105</v>
      </c>
      <c r="D4922" s="77" t="s">
        <v>84</v>
      </c>
      <c r="F4922" s="94"/>
    </row>
    <row r="4923" spans="1:6" s="53" customFormat="1" ht="14.5" customHeight="1" x14ac:dyDescent="0.35">
      <c r="A4923" s="222" t="s">
        <v>94</v>
      </c>
      <c r="B4923" s="78" t="s">
        <v>1276</v>
      </c>
      <c r="C4923" s="79" t="s">
        <v>959</v>
      </c>
      <c r="D4923" s="80">
        <f>F4930</f>
        <v>10758000</v>
      </c>
      <c r="F4923" s="94"/>
    </row>
    <row r="4924" spans="1:6" s="53" customFormat="1" ht="21" thickBot="1" x14ac:dyDescent="0.5">
      <c r="A4924" s="223"/>
      <c r="B4924" s="71"/>
      <c r="C4924" s="71"/>
      <c r="D4924" s="73"/>
      <c r="F4924" s="94"/>
    </row>
    <row r="4925" spans="1:6" s="53" customFormat="1" ht="15" thickBot="1" x14ac:dyDescent="0.4">
      <c r="A4925" s="223"/>
      <c r="B4925" s="81" t="s">
        <v>81</v>
      </c>
      <c r="C4925" s="82" t="s">
        <v>107</v>
      </c>
      <c r="D4925" s="83" t="s">
        <v>108</v>
      </c>
      <c r="F4925" s="94"/>
    </row>
    <row r="4926" spans="1:6" s="87" customFormat="1" x14ac:dyDescent="0.35">
      <c r="A4926" s="223"/>
      <c r="B4926" s="84" t="str">
        <f>B4923</f>
        <v>06th October,2025</v>
      </c>
      <c r="C4926" s="85" t="s">
        <v>1416</v>
      </c>
      <c r="D4926" s="86">
        <f>1850*2720</f>
        <v>5032000</v>
      </c>
      <c r="F4926" s="177"/>
    </row>
    <row r="4927" spans="1:6" s="53" customFormat="1" x14ac:dyDescent="0.35">
      <c r="A4927" s="223"/>
      <c r="B4927" s="88"/>
      <c r="C4927" s="89" t="s">
        <v>188</v>
      </c>
      <c r="D4927" s="90">
        <f>325*2650</f>
        <v>861250</v>
      </c>
      <c r="F4927" s="94"/>
    </row>
    <row r="4928" spans="1:6" s="53" customFormat="1" x14ac:dyDescent="0.35">
      <c r="A4928" s="223"/>
      <c r="B4928" s="88" t="s">
        <v>109</v>
      </c>
      <c r="C4928" s="89" t="s">
        <v>110</v>
      </c>
      <c r="D4928" s="90">
        <v>1000000</v>
      </c>
      <c r="F4928" s="94"/>
    </row>
    <row r="4929" spans="1:7" s="53" customFormat="1" x14ac:dyDescent="0.35">
      <c r="A4929" s="223"/>
      <c r="B4929" s="88" t="s">
        <v>111</v>
      </c>
      <c r="C4929" s="89" t="s">
        <v>112</v>
      </c>
      <c r="D4929" s="90">
        <v>40000</v>
      </c>
      <c r="E4929" s="225" t="s">
        <v>113</v>
      </c>
      <c r="F4929" s="225"/>
    </row>
    <row r="4930" spans="1:7" s="53" customFormat="1" x14ac:dyDescent="0.35">
      <c r="A4930" s="223"/>
      <c r="B4930" s="88" t="s">
        <v>182</v>
      </c>
      <c r="C4930" s="89" t="s">
        <v>115</v>
      </c>
      <c r="D4930" s="90">
        <f>550*123</f>
        <v>67650</v>
      </c>
      <c r="E4930" s="91" t="s">
        <v>116</v>
      </c>
      <c r="F4930" s="92">
        <f>4400*2445</f>
        <v>10758000</v>
      </c>
    </row>
    <row r="4931" spans="1:7" s="53" customFormat="1" x14ac:dyDescent="0.35">
      <c r="A4931" s="223"/>
      <c r="B4931" s="88"/>
      <c r="C4931" s="89" t="s">
        <v>117</v>
      </c>
      <c r="D4931" s="90">
        <f>3500*123</f>
        <v>430500</v>
      </c>
      <c r="E4931" s="93" t="s">
        <v>118</v>
      </c>
      <c r="F4931" s="94">
        <f>(2640*2445)+(1660*2445)</f>
        <v>10513500</v>
      </c>
    </row>
    <row r="4932" spans="1:7" s="53" customFormat="1" ht="15" thickBot="1" x14ac:dyDescent="0.4">
      <c r="A4932" s="223"/>
      <c r="B4932" s="88" t="s">
        <v>119</v>
      </c>
      <c r="C4932" s="89" t="s">
        <v>120</v>
      </c>
      <c r="D4932" s="95">
        <v>30000</v>
      </c>
      <c r="E4932" s="96" t="s">
        <v>121</v>
      </c>
      <c r="F4932" s="97">
        <f>F4930-F4931</f>
        <v>244500</v>
      </c>
      <c r="G4932" s="98">
        <f>F4932/2445</f>
        <v>100</v>
      </c>
    </row>
    <row r="4933" spans="1:7" s="53" customFormat="1" ht="15" thickTop="1" x14ac:dyDescent="0.35">
      <c r="A4933" s="223"/>
      <c r="B4933" s="88"/>
      <c r="C4933" s="89" t="s">
        <v>122</v>
      </c>
      <c r="D4933" s="90">
        <v>150000</v>
      </c>
      <c r="F4933" s="94"/>
    </row>
    <row r="4934" spans="1:7" s="53" customFormat="1" x14ac:dyDescent="0.35">
      <c r="A4934" s="223"/>
      <c r="B4934" s="88" t="s">
        <v>1260</v>
      </c>
      <c r="C4934" s="99" t="s">
        <v>123</v>
      </c>
      <c r="D4934" s="90">
        <v>15000</v>
      </c>
      <c r="E4934" s="91" t="s">
        <v>124</v>
      </c>
      <c r="F4934" s="92"/>
    </row>
    <row r="4935" spans="1:7" s="53" customFormat="1" x14ac:dyDescent="0.35">
      <c r="A4935" s="223"/>
      <c r="B4935" s="101"/>
      <c r="C4935" s="99" t="s">
        <v>125</v>
      </c>
      <c r="D4935" s="100">
        <v>10000</v>
      </c>
      <c r="E4935" s="102"/>
      <c r="F4935" s="103"/>
    </row>
    <row r="4936" spans="1:7" s="53" customFormat="1" x14ac:dyDescent="0.35">
      <c r="A4936" s="223"/>
      <c r="B4936" s="101"/>
      <c r="C4936" s="99" t="s">
        <v>126</v>
      </c>
      <c r="D4936" s="100">
        <v>50000</v>
      </c>
      <c r="E4936" s="102" t="s">
        <v>127</v>
      </c>
      <c r="F4936" s="103"/>
    </row>
    <row r="4937" spans="1:7" s="53" customFormat="1" x14ac:dyDescent="0.35">
      <c r="A4937" s="223"/>
      <c r="B4937" s="101"/>
      <c r="C4937" s="89" t="s">
        <v>265</v>
      </c>
      <c r="D4937" s="104">
        <f>841*124</f>
        <v>104284</v>
      </c>
      <c r="E4937" s="102" t="s">
        <v>1334</v>
      </c>
      <c r="F4937" s="103"/>
    </row>
    <row r="4938" spans="1:7" s="53" customFormat="1" ht="15" thickBot="1" x14ac:dyDescent="0.4">
      <c r="A4938" s="223"/>
      <c r="B4938" s="105"/>
      <c r="C4938" s="106"/>
      <c r="D4938" s="107"/>
      <c r="E4938" s="53" t="s">
        <v>1751</v>
      </c>
      <c r="F4938" s="94"/>
    </row>
    <row r="4939" spans="1:7" s="53" customFormat="1" ht="15" thickBot="1" x14ac:dyDescent="0.4">
      <c r="A4939" s="223"/>
      <c r="B4939" s="108"/>
      <c r="C4939" s="109" t="s">
        <v>129</v>
      </c>
      <c r="D4939" s="110">
        <f>SUM(D4926:D4938)</f>
        <v>7790684</v>
      </c>
      <c r="F4939" s="94"/>
    </row>
    <row r="4940" spans="1:7" s="53" customFormat="1" ht="15.5" thickTop="1" thickBot="1" x14ac:dyDescent="0.4">
      <c r="A4940" s="224"/>
      <c r="B4940" s="226"/>
      <c r="C4940" s="226"/>
      <c r="D4940" s="226"/>
      <c r="F4940" s="94"/>
    </row>
    <row r="4941" spans="1:7" s="53" customFormat="1" x14ac:dyDescent="0.35">
      <c r="B4941" s="87"/>
      <c r="C4941" s="53" t="s">
        <v>130</v>
      </c>
      <c r="D4941" s="111">
        <f>D4923-D4939</f>
        <v>2967316</v>
      </c>
      <c r="F4941" s="94"/>
    </row>
    <row r="4942" spans="1:7" s="53" customFormat="1" x14ac:dyDescent="0.35">
      <c r="B4942" s="87"/>
      <c r="D4942" s="111"/>
      <c r="F4942" s="94"/>
    </row>
    <row r="4943" spans="1:7" s="53" customFormat="1" x14ac:dyDescent="0.35">
      <c r="A4943" s="112"/>
      <c r="B4943" s="113"/>
      <c r="C4943" s="112"/>
      <c r="D4943" s="114"/>
      <c r="E4943" s="112"/>
      <c r="F4943" s="178"/>
    </row>
    <row r="4945" spans="1:7" s="53" customFormat="1" ht="23.5" x14ac:dyDescent="0.55000000000000004">
      <c r="B4945" s="227" t="s">
        <v>0</v>
      </c>
      <c r="C4945" s="227"/>
      <c r="D4945" s="227"/>
      <c r="E4945" s="70"/>
      <c r="F4945" s="176"/>
    </row>
    <row r="4946" spans="1:7" s="53" customFormat="1" ht="20.5" x14ac:dyDescent="0.45">
      <c r="B4946" s="71"/>
      <c r="C4946" s="72" t="s">
        <v>1264</v>
      </c>
      <c r="D4946" s="73"/>
      <c r="F4946" s="94"/>
    </row>
    <row r="4947" spans="1:7" s="53" customFormat="1" ht="21" thickBot="1" x14ac:dyDescent="0.5">
      <c r="B4947" s="71" t="s">
        <v>704</v>
      </c>
      <c r="C4947" s="74" t="s">
        <v>103</v>
      </c>
      <c r="D4947" s="73"/>
      <c r="F4947" s="94"/>
    </row>
    <row r="4948" spans="1:7" s="53" customFormat="1" ht="15" thickBot="1" x14ac:dyDescent="0.4">
      <c r="A4948" s="75" t="s">
        <v>104</v>
      </c>
      <c r="B4948" s="76" t="s">
        <v>81</v>
      </c>
      <c r="C4948" s="76" t="s">
        <v>105</v>
      </c>
      <c r="D4948" s="77" t="s">
        <v>84</v>
      </c>
      <c r="F4948" s="94"/>
    </row>
    <row r="4949" spans="1:7" s="53" customFormat="1" ht="14.5" customHeight="1" x14ac:dyDescent="0.35">
      <c r="A4949" s="222" t="s">
        <v>94</v>
      </c>
      <c r="B4949" s="78" t="s">
        <v>1276</v>
      </c>
      <c r="C4949" s="79" t="s">
        <v>959</v>
      </c>
      <c r="D4949" s="80">
        <f>F4956</f>
        <v>10269000</v>
      </c>
      <c r="F4949" s="94"/>
    </row>
    <row r="4950" spans="1:7" s="53" customFormat="1" ht="21" thickBot="1" x14ac:dyDescent="0.5">
      <c r="A4950" s="223"/>
      <c r="B4950" s="71"/>
      <c r="C4950" s="71"/>
      <c r="D4950" s="73"/>
      <c r="F4950" s="94"/>
    </row>
    <row r="4951" spans="1:7" s="53" customFormat="1" ht="15" thickBot="1" x14ac:dyDescent="0.4">
      <c r="A4951" s="223"/>
      <c r="B4951" s="81" t="s">
        <v>81</v>
      </c>
      <c r="C4951" s="82" t="s">
        <v>107</v>
      </c>
      <c r="D4951" s="83" t="s">
        <v>108</v>
      </c>
      <c r="F4951" s="94"/>
    </row>
    <row r="4952" spans="1:7" s="87" customFormat="1" x14ac:dyDescent="0.35">
      <c r="A4952" s="223"/>
      <c r="B4952" s="84" t="str">
        <f>B4949</f>
        <v>06th October,2025</v>
      </c>
      <c r="C4952" s="85" t="s">
        <v>1340</v>
      </c>
      <c r="D4952" s="86">
        <f>1850*2704</f>
        <v>5002400</v>
      </c>
      <c r="F4952" s="177"/>
    </row>
    <row r="4953" spans="1:7" s="53" customFormat="1" x14ac:dyDescent="0.35">
      <c r="A4953" s="223"/>
      <c r="B4953" s="88"/>
      <c r="C4953" s="89" t="s">
        <v>159</v>
      </c>
      <c r="D4953" s="90">
        <f>299*2650</f>
        <v>792350</v>
      </c>
      <c r="F4953" s="94"/>
    </row>
    <row r="4954" spans="1:7" s="53" customFormat="1" x14ac:dyDescent="0.35">
      <c r="A4954" s="223"/>
      <c r="B4954" s="88" t="s">
        <v>109</v>
      </c>
      <c r="C4954" s="89" t="s">
        <v>110</v>
      </c>
      <c r="D4954" s="90">
        <v>1000000</v>
      </c>
      <c r="F4954" s="94"/>
    </row>
    <row r="4955" spans="1:7" s="53" customFormat="1" x14ac:dyDescent="0.35">
      <c r="A4955" s="223"/>
      <c r="B4955" s="88" t="s">
        <v>111</v>
      </c>
      <c r="C4955" s="89" t="s">
        <v>112</v>
      </c>
      <c r="D4955" s="90">
        <v>40000</v>
      </c>
      <c r="E4955" s="225" t="s">
        <v>113</v>
      </c>
      <c r="F4955" s="225"/>
    </row>
    <row r="4956" spans="1:7" s="53" customFormat="1" x14ac:dyDescent="0.35">
      <c r="A4956" s="223"/>
      <c r="B4956" s="88" t="s">
        <v>114</v>
      </c>
      <c r="C4956" s="89" t="s">
        <v>115</v>
      </c>
      <c r="D4956" s="90">
        <f>600*123</f>
        <v>73800</v>
      </c>
      <c r="E4956" s="91" t="s">
        <v>116</v>
      </c>
      <c r="F4956" s="92">
        <f>4200*2445</f>
        <v>10269000</v>
      </c>
    </row>
    <row r="4957" spans="1:7" s="53" customFormat="1" x14ac:dyDescent="0.35">
      <c r="A4957" s="223"/>
      <c r="B4957" s="88"/>
      <c r="C4957" s="89" t="s">
        <v>117</v>
      </c>
      <c r="D4957" s="90">
        <f>4150*123</f>
        <v>510450</v>
      </c>
      <c r="E4957" s="93" t="s">
        <v>118</v>
      </c>
      <c r="F4957" s="94">
        <f>(2480*2445)+(1250*2445)</f>
        <v>9119850</v>
      </c>
    </row>
    <row r="4958" spans="1:7" s="53" customFormat="1" ht="15" thickBot="1" x14ac:dyDescent="0.4">
      <c r="A4958" s="223"/>
      <c r="B4958" s="88" t="s">
        <v>119</v>
      </c>
      <c r="C4958" s="89" t="s">
        <v>120</v>
      </c>
      <c r="D4958" s="95">
        <v>30000</v>
      </c>
      <c r="E4958" s="96" t="s">
        <v>121</v>
      </c>
      <c r="F4958" s="97">
        <f>F4956-F4957</f>
        <v>1149150</v>
      </c>
      <c r="G4958" s="98">
        <f>F4958/2445</f>
        <v>470</v>
      </c>
    </row>
    <row r="4959" spans="1:7" s="53" customFormat="1" ht="15" thickTop="1" x14ac:dyDescent="0.35">
      <c r="A4959" s="223"/>
      <c r="B4959" s="88"/>
      <c r="C4959" s="89" t="s">
        <v>122</v>
      </c>
      <c r="D4959" s="90">
        <v>150000</v>
      </c>
      <c r="F4959" s="94"/>
    </row>
    <row r="4960" spans="1:7" s="53" customFormat="1" x14ac:dyDescent="0.35">
      <c r="A4960" s="223"/>
      <c r="B4960" s="88" t="s">
        <v>1263</v>
      </c>
      <c r="C4960" s="99" t="s">
        <v>123</v>
      </c>
      <c r="D4960" s="90">
        <v>15000</v>
      </c>
      <c r="E4960" s="91" t="s">
        <v>124</v>
      </c>
      <c r="F4960" s="92"/>
    </row>
    <row r="4961" spans="1:6" s="53" customFormat="1" x14ac:dyDescent="0.35">
      <c r="A4961" s="223"/>
      <c r="B4961" s="101"/>
      <c r="C4961" s="99" t="s">
        <v>125</v>
      </c>
      <c r="D4961" s="100">
        <v>10000</v>
      </c>
      <c r="E4961" s="102"/>
      <c r="F4961" s="103"/>
    </row>
    <row r="4962" spans="1:6" s="53" customFormat="1" x14ac:dyDescent="0.35">
      <c r="A4962" s="223"/>
      <c r="B4962" s="101"/>
      <c r="C4962" s="99" t="s">
        <v>126</v>
      </c>
      <c r="D4962" s="100">
        <v>50000</v>
      </c>
      <c r="E4962" s="102" t="s">
        <v>127</v>
      </c>
      <c r="F4962" s="103"/>
    </row>
    <row r="4963" spans="1:6" s="53" customFormat="1" x14ac:dyDescent="0.35">
      <c r="A4963" s="223"/>
      <c r="B4963" s="101"/>
      <c r="C4963" s="89" t="s">
        <v>265</v>
      </c>
      <c r="D4963" s="104">
        <f>595*122</f>
        <v>72590</v>
      </c>
      <c r="E4963" s="102" t="s">
        <v>1335</v>
      </c>
      <c r="F4963" s="103"/>
    </row>
    <row r="4964" spans="1:6" s="53" customFormat="1" ht="15" thickBot="1" x14ac:dyDescent="0.4">
      <c r="A4964" s="223"/>
      <c r="B4964" s="105"/>
      <c r="C4964" s="106"/>
      <c r="D4964" s="107"/>
      <c r="E4964" s="53" t="s">
        <v>1730</v>
      </c>
      <c r="F4964" s="94"/>
    </row>
    <row r="4965" spans="1:6" s="53" customFormat="1" ht="15" thickBot="1" x14ac:dyDescent="0.4">
      <c r="A4965" s="223"/>
      <c r="B4965" s="108"/>
      <c r="C4965" s="109" t="s">
        <v>129</v>
      </c>
      <c r="D4965" s="110">
        <f>SUM(D4952:D4964)</f>
        <v>7746590</v>
      </c>
      <c r="F4965" s="94"/>
    </row>
    <row r="4966" spans="1:6" s="53" customFormat="1" ht="15.5" thickTop="1" thickBot="1" x14ac:dyDescent="0.4">
      <c r="A4966" s="224"/>
      <c r="B4966" s="226"/>
      <c r="C4966" s="226"/>
      <c r="D4966" s="226"/>
      <c r="F4966" s="94"/>
    </row>
    <row r="4967" spans="1:6" s="53" customFormat="1" x14ac:dyDescent="0.35">
      <c r="B4967" s="87"/>
      <c r="C4967" s="53" t="s">
        <v>130</v>
      </c>
      <c r="D4967" s="111">
        <f>D4949-D4965</f>
        <v>2522410</v>
      </c>
      <c r="F4967" s="94"/>
    </row>
    <row r="4968" spans="1:6" s="53" customFormat="1" x14ac:dyDescent="0.35">
      <c r="B4968" s="87"/>
      <c r="D4968" s="111"/>
      <c r="F4968" s="94"/>
    </row>
    <row r="4969" spans="1:6" s="53" customFormat="1" x14ac:dyDescent="0.35">
      <c r="A4969" s="112"/>
      <c r="B4969" s="113"/>
      <c r="C4969" s="112"/>
      <c r="D4969" s="114"/>
      <c r="E4969" s="112"/>
      <c r="F4969" s="178"/>
    </row>
    <row r="4971" spans="1:6" s="53" customFormat="1" ht="23.5" x14ac:dyDescent="0.55000000000000004">
      <c r="B4971" s="227" t="s">
        <v>0</v>
      </c>
      <c r="C4971" s="227"/>
      <c r="D4971" s="227"/>
      <c r="E4971" s="70"/>
      <c r="F4971" s="176"/>
    </row>
    <row r="4972" spans="1:6" s="53" customFormat="1" ht="20.5" x14ac:dyDescent="0.45">
      <c r="B4972" s="71"/>
      <c r="C4972" s="72" t="s">
        <v>1267</v>
      </c>
      <c r="D4972" s="73"/>
      <c r="F4972" s="94"/>
    </row>
    <row r="4973" spans="1:6" s="53" customFormat="1" ht="21" thickBot="1" x14ac:dyDescent="0.5">
      <c r="B4973" s="71" t="s">
        <v>1136</v>
      </c>
      <c r="C4973" s="74" t="s">
        <v>103</v>
      </c>
      <c r="D4973" s="73"/>
      <c r="F4973" s="94"/>
    </row>
    <row r="4974" spans="1:6" s="53" customFormat="1" ht="15" thickBot="1" x14ac:dyDescent="0.4">
      <c r="A4974" s="75" t="s">
        <v>104</v>
      </c>
      <c r="B4974" s="76" t="s">
        <v>81</v>
      </c>
      <c r="C4974" s="76" t="s">
        <v>105</v>
      </c>
      <c r="D4974" s="77" t="s">
        <v>84</v>
      </c>
      <c r="F4974" s="94"/>
    </row>
    <row r="4975" spans="1:6" s="53" customFormat="1" ht="14.5" customHeight="1" x14ac:dyDescent="0.35">
      <c r="A4975" s="222" t="s">
        <v>94</v>
      </c>
      <c r="B4975" s="78" t="s">
        <v>1276</v>
      </c>
      <c r="C4975" s="79" t="s">
        <v>959</v>
      </c>
      <c r="D4975" s="80">
        <f>F4982</f>
        <v>10269000</v>
      </c>
      <c r="F4975" s="94"/>
    </row>
    <row r="4976" spans="1:6" s="53" customFormat="1" ht="21" thickBot="1" x14ac:dyDescent="0.5">
      <c r="A4976" s="223"/>
      <c r="B4976" s="71"/>
      <c r="C4976" s="71"/>
      <c r="D4976" s="73"/>
      <c r="F4976" s="94"/>
    </row>
    <row r="4977" spans="1:7" s="53" customFormat="1" ht="15" thickBot="1" x14ac:dyDescent="0.4">
      <c r="A4977" s="223"/>
      <c r="B4977" s="81" t="s">
        <v>81</v>
      </c>
      <c r="C4977" s="82" t="s">
        <v>107</v>
      </c>
      <c r="D4977" s="83" t="s">
        <v>108</v>
      </c>
      <c r="F4977" s="94"/>
    </row>
    <row r="4978" spans="1:7" s="87" customFormat="1" x14ac:dyDescent="0.35">
      <c r="A4978" s="223"/>
      <c r="B4978" s="84" t="str">
        <f>B4975</f>
        <v>06th October,2025</v>
      </c>
      <c r="C4978" s="85" t="s">
        <v>1416</v>
      </c>
      <c r="D4978" s="86">
        <f>1850*2720</f>
        <v>5032000</v>
      </c>
      <c r="F4978" s="177"/>
    </row>
    <row r="4979" spans="1:7" s="53" customFormat="1" x14ac:dyDescent="0.35">
      <c r="A4979" s="223"/>
      <c r="B4979" s="88"/>
      <c r="C4979" s="89" t="s">
        <v>159</v>
      </c>
      <c r="D4979" s="90">
        <f>299*2650</f>
        <v>792350</v>
      </c>
      <c r="F4979" s="94"/>
    </row>
    <row r="4980" spans="1:7" s="53" customFormat="1" x14ac:dyDescent="0.35">
      <c r="A4980" s="223"/>
      <c r="B4980" s="88" t="s">
        <v>109</v>
      </c>
      <c r="C4980" s="89" t="s">
        <v>110</v>
      </c>
      <c r="D4980" s="90">
        <v>1000000</v>
      </c>
      <c r="F4980" s="94"/>
    </row>
    <row r="4981" spans="1:7" s="53" customFormat="1" x14ac:dyDescent="0.35">
      <c r="A4981" s="223"/>
      <c r="B4981" s="88" t="s">
        <v>111</v>
      </c>
      <c r="C4981" s="89" t="s">
        <v>112</v>
      </c>
      <c r="D4981" s="90">
        <v>40000</v>
      </c>
      <c r="E4981" s="225" t="s">
        <v>113</v>
      </c>
      <c r="F4981" s="225"/>
    </row>
    <row r="4982" spans="1:7" s="53" customFormat="1" x14ac:dyDescent="0.35">
      <c r="A4982" s="223"/>
      <c r="B4982" s="88" t="s">
        <v>114</v>
      </c>
      <c r="C4982" s="89" t="s">
        <v>115</v>
      </c>
      <c r="D4982" s="90">
        <f>400*123</f>
        <v>49200</v>
      </c>
      <c r="E4982" s="91" t="s">
        <v>116</v>
      </c>
      <c r="F4982" s="92">
        <f>4200*2445</f>
        <v>10269000</v>
      </c>
    </row>
    <row r="4983" spans="1:7" s="53" customFormat="1" x14ac:dyDescent="0.35">
      <c r="A4983" s="223"/>
      <c r="B4983" s="88"/>
      <c r="C4983" s="89" t="s">
        <v>117</v>
      </c>
      <c r="D4983" s="90">
        <f>3420*123</f>
        <v>420660</v>
      </c>
      <c r="E4983" s="93" t="s">
        <v>118</v>
      </c>
      <c r="F4983" s="94">
        <f>(2520*2445)+(1450*2445)</f>
        <v>9706650</v>
      </c>
    </row>
    <row r="4984" spans="1:7" s="53" customFormat="1" ht="15" thickBot="1" x14ac:dyDescent="0.4">
      <c r="A4984" s="223"/>
      <c r="B4984" s="88" t="s">
        <v>119</v>
      </c>
      <c r="C4984" s="89" t="s">
        <v>120</v>
      </c>
      <c r="D4984" s="95">
        <v>30000</v>
      </c>
      <c r="E4984" s="96" t="s">
        <v>121</v>
      </c>
      <c r="F4984" s="97">
        <f>F4982-F4983</f>
        <v>562350</v>
      </c>
      <c r="G4984" s="98">
        <f>F4984/2445</f>
        <v>230</v>
      </c>
    </row>
    <row r="4985" spans="1:7" s="53" customFormat="1" ht="15" thickTop="1" x14ac:dyDescent="0.35">
      <c r="A4985" s="223"/>
      <c r="B4985" s="88"/>
      <c r="C4985" s="89" t="s">
        <v>122</v>
      </c>
      <c r="D4985" s="90">
        <v>150000</v>
      </c>
      <c r="F4985" s="94"/>
    </row>
    <row r="4986" spans="1:7" s="53" customFormat="1" x14ac:dyDescent="0.35">
      <c r="A4986" s="223"/>
      <c r="B4986" s="88" t="s">
        <v>1263</v>
      </c>
      <c r="C4986" s="99" t="s">
        <v>123</v>
      </c>
      <c r="D4986" s="90">
        <v>15000</v>
      </c>
      <c r="E4986" s="91" t="s">
        <v>124</v>
      </c>
      <c r="F4986" s="92"/>
    </row>
    <row r="4987" spans="1:7" s="53" customFormat="1" x14ac:dyDescent="0.35">
      <c r="A4987" s="223"/>
      <c r="B4987" s="101"/>
      <c r="C4987" s="99" t="s">
        <v>125</v>
      </c>
      <c r="D4987" s="100">
        <v>10000</v>
      </c>
      <c r="E4987" s="102"/>
      <c r="F4987" s="103"/>
    </row>
    <row r="4988" spans="1:7" s="53" customFormat="1" x14ac:dyDescent="0.35">
      <c r="A4988" s="223"/>
      <c r="B4988" s="101"/>
      <c r="C4988" s="99" t="s">
        <v>126</v>
      </c>
      <c r="D4988" s="100">
        <v>70000</v>
      </c>
      <c r="E4988" s="102" t="s">
        <v>127</v>
      </c>
      <c r="F4988" s="103"/>
    </row>
    <row r="4989" spans="1:7" s="53" customFormat="1" x14ac:dyDescent="0.35">
      <c r="A4989" s="223"/>
      <c r="B4989" s="101"/>
      <c r="C4989" s="89" t="s">
        <v>265</v>
      </c>
      <c r="D4989" s="104">
        <f>235*122</f>
        <v>28670</v>
      </c>
      <c r="E4989" s="102" t="s">
        <v>1335</v>
      </c>
      <c r="F4989" s="103"/>
    </row>
    <row r="4990" spans="1:7" s="53" customFormat="1" ht="15" thickBot="1" x14ac:dyDescent="0.4">
      <c r="A4990" s="223"/>
      <c r="B4990" s="105"/>
      <c r="C4990" s="106"/>
      <c r="D4990" s="107"/>
      <c r="E4990" s="53" t="s">
        <v>1744</v>
      </c>
      <c r="F4990" s="94"/>
    </row>
    <row r="4991" spans="1:7" s="53" customFormat="1" ht="15" thickBot="1" x14ac:dyDescent="0.4">
      <c r="A4991" s="223"/>
      <c r="B4991" s="108"/>
      <c r="C4991" s="109" t="s">
        <v>129</v>
      </c>
      <c r="D4991" s="110">
        <f>SUM(D4978:D4990)</f>
        <v>7637880</v>
      </c>
      <c r="F4991" s="94"/>
    </row>
    <row r="4992" spans="1:7" s="53" customFormat="1" ht="15.5" thickTop="1" thickBot="1" x14ac:dyDescent="0.4">
      <c r="A4992" s="224"/>
      <c r="B4992" s="226"/>
      <c r="C4992" s="226"/>
      <c r="D4992" s="226"/>
      <c r="F4992" s="94"/>
    </row>
    <row r="4993" spans="1:6" s="53" customFormat="1" x14ac:dyDescent="0.35">
      <c r="B4993" s="87"/>
      <c r="C4993" s="53" t="s">
        <v>130</v>
      </c>
      <c r="D4993" s="111">
        <f>D4975-D4991</f>
        <v>2631120</v>
      </c>
      <c r="F4993" s="94"/>
    </row>
    <row r="4994" spans="1:6" s="53" customFormat="1" x14ac:dyDescent="0.35">
      <c r="B4994" s="87"/>
      <c r="D4994" s="111"/>
      <c r="F4994" s="94"/>
    </row>
    <row r="4995" spans="1:6" s="53" customFormat="1" x14ac:dyDescent="0.35">
      <c r="A4995" s="112"/>
      <c r="B4995" s="113"/>
      <c r="C4995" s="112"/>
      <c r="D4995" s="114"/>
      <c r="E4995" s="112"/>
      <c r="F4995" s="178"/>
    </row>
    <row r="4997" spans="1:6" s="53" customFormat="1" ht="23.5" x14ac:dyDescent="0.55000000000000004">
      <c r="B4997" s="227" t="s">
        <v>0</v>
      </c>
      <c r="C4997" s="227"/>
      <c r="D4997" s="227"/>
      <c r="E4997" s="70"/>
      <c r="F4997" s="176"/>
    </row>
    <row r="4998" spans="1:6" s="53" customFormat="1" ht="20.5" x14ac:dyDescent="0.45">
      <c r="B4998" s="71"/>
      <c r="C4998" s="72" t="s">
        <v>1270</v>
      </c>
      <c r="D4998" s="73"/>
      <c r="F4998" s="94"/>
    </row>
    <row r="4999" spans="1:6" s="53" customFormat="1" ht="21" thickBot="1" x14ac:dyDescent="0.5">
      <c r="B4999" s="71" t="s">
        <v>964</v>
      </c>
      <c r="C4999" s="74" t="s">
        <v>103</v>
      </c>
      <c r="D4999" s="73"/>
      <c r="F4999" s="94"/>
    </row>
    <row r="5000" spans="1:6" s="53" customFormat="1" ht="15" thickBot="1" x14ac:dyDescent="0.4">
      <c r="A5000" s="75" t="s">
        <v>104</v>
      </c>
      <c r="B5000" s="76" t="s">
        <v>81</v>
      </c>
      <c r="C5000" s="76" t="s">
        <v>105</v>
      </c>
      <c r="D5000" s="77" t="s">
        <v>84</v>
      </c>
      <c r="F5000" s="94"/>
    </row>
    <row r="5001" spans="1:6" s="53" customFormat="1" ht="14.5" customHeight="1" x14ac:dyDescent="0.35">
      <c r="A5001" s="222" t="s">
        <v>94</v>
      </c>
      <c r="B5001" s="78" t="s">
        <v>1276</v>
      </c>
      <c r="C5001" s="79" t="s">
        <v>959</v>
      </c>
      <c r="D5001" s="80">
        <f>F5008</f>
        <v>10513500</v>
      </c>
      <c r="F5001" s="94"/>
    </row>
    <row r="5002" spans="1:6" s="53" customFormat="1" ht="21" thickBot="1" x14ac:dyDescent="0.5">
      <c r="A5002" s="223"/>
      <c r="B5002" s="71"/>
      <c r="C5002" s="71"/>
      <c r="D5002" s="73"/>
      <c r="F5002" s="94"/>
    </row>
    <row r="5003" spans="1:6" s="53" customFormat="1" ht="15" thickBot="1" x14ac:dyDescent="0.4">
      <c r="A5003" s="223"/>
      <c r="B5003" s="81" t="s">
        <v>81</v>
      </c>
      <c r="C5003" s="82" t="s">
        <v>107</v>
      </c>
      <c r="D5003" s="83" t="s">
        <v>108</v>
      </c>
      <c r="F5003" s="94"/>
    </row>
    <row r="5004" spans="1:6" s="87" customFormat="1" x14ac:dyDescent="0.35">
      <c r="A5004" s="223"/>
      <c r="B5004" s="84" t="str">
        <f>B5001</f>
        <v>06th October,2025</v>
      </c>
      <c r="C5004" s="85" t="s">
        <v>1340</v>
      </c>
      <c r="D5004" s="86">
        <f>1850*2704</f>
        <v>5002400</v>
      </c>
      <c r="F5004" s="177"/>
    </row>
    <row r="5005" spans="1:6" s="53" customFormat="1" x14ac:dyDescent="0.35">
      <c r="A5005" s="223"/>
      <c r="B5005" s="88"/>
      <c r="C5005" s="89" t="s">
        <v>210</v>
      </c>
      <c r="D5005" s="90">
        <f>319*2650</f>
        <v>845350</v>
      </c>
      <c r="F5005" s="94"/>
    </row>
    <row r="5006" spans="1:6" s="53" customFormat="1" x14ac:dyDescent="0.35">
      <c r="A5006" s="223"/>
      <c r="B5006" s="88" t="s">
        <v>109</v>
      </c>
      <c r="C5006" s="89" t="s">
        <v>110</v>
      </c>
      <c r="D5006" s="90">
        <v>1000000</v>
      </c>
      <c r="F5006" s="94"/>
    </row>
    <row r="5007" spans="1:6" s="53" customFormat="1" x14ac:dyDescent="0.35">
      <c r="A5007" s="223"/>
      <c r="B5007" s="88" t="s">
        <v>111</v>
      </c>
      <c r="C5007" s="89" t="s">
        <v>112</v>
      </c>
      <c r="D5007" s="90">
        <v>40000</v>
      </c>
      <c r="E5007" s="225" t="s">
        <v>113</v>
      </c>
      <c r="F5007" s="225"/>
    </row>
    <row r="5008" spans="1:6" s="53" customFormat="1" x14ac:dyDescent="0.35">
      <c r="A5008" s="223"/>
      <c r="B5008" s="88" t="s">
        <v>206</v>
      </c>
      <c r="C5008" s="89" t="s">
        <v>115</v>
      </c>
      <c r="D5008" s="90">
        <f>600*123</f>
        <v>73800</v>
      </c>
      <c r="E5008" s="91" t="s">
        <v>116</v>
      </c>
      <c r="F5008" s="92">
        <f>4300*2445</f>
        <v>10513500</v>
      </c>
    </row>
    <row r="5009" spans="1:7" s="53" customFormat="1" x14ac:dyDescent="0.35">
      <c r="A5009" s="223"/>
      <c r="B5009" s="88"/>
      <c r="C5009" s="89" t="s">
        <v>117</v>
      </c>
      <c r="D5009" s="90">
        <f>4380*123</f>
        <v>538740</v>
      </c>
      <c r="E5009" s="93" t="s">
        <v>118</v>
      </c>
      <c r="F5009" s="94">
        <f>(2580*2445)+(1060*1445)</f>
        <v>7839800</v>
      </c>
    </row>
    <row r="5010" spans="1:7" s="53" customFormat="1" ht="15" thickBot="1" x14ac:dyDescent="0.4">
      <c r="A5010" s="223"/>
      <c r="B5010" s="88" t="s">
        <v>119</v>
      </c>
      <c r="C5010" s="89" t="s">
        <v>120</v>
      </c>
      <c r="D5010" s="95">
        <v>30000</v>
      </c>
      <c r="E5010" s="96" t="s">
        <v>121</v>
      </c>
      <c r="F5010" s="97">
        <f>F5008-F5009</f>
        <v>2673700</v>
      </c>
      <c r="G5010" s="98">
        <f>F5010/2445</f>
        <v>1093.5378323108384</v>
      </c>
    </row>
    <row r="5011" spans="1:7" s="53" customFormat="1" ht="15" thickTop="1" x14ac:dyDescent="0.35">
      <c r="A5011" s="223"/>
      <c r="B5011" s="88"/>
      <c r="C5011" s="89" t="s">
        <v>122</v>
      </c>
      <c r="D5011" s="90">
        <v>150000</v>
      </c>
      <c r="F5011" s="94"/>
    </row>
    <row r="5012" spans="1:7" s="53" customFormat="1" x14ac:dyDescent="0.35">
      <c r="A5012" s="223"/>
      <c r="B5012" s="88" t="s">
        <v>1269</v>
      </c>
      <c r="C5012" s="99" t="s">
        <v>123</v>
      </c>
      <c r="D5012" s="90">
        <v>15000</v>
      </c>
      <c r="E5012" s="91" t="s">
        <v>124</v>
      </c>
      <c r="F5012" s="92"/>
    </row>
    <row r="5013" spans="1:7" s="53" customFormat="1" x14ac:dyDescent="0.35">
      <c r="A5013" s="223"/>
      <c r="B5013" s="101"/>
      <c r="C5013" s="99" t="s">
        <v>125</v>
      </c>
      <c r="D5013" s="100">
        <v>10000</v>
      </c>
      <c r="E5013" s="102"/>
      <c r="F5013" s="103"/>
    </row>
    <row r="5014" spans="1:7" s="53" customFormat="1" x14ac:dyDescent="0.35">
      <c r="A5014" s="223"/>
      <c r="B5014" s="101"/>
      <c r="C5014" s="99" t="s">
        <v>126</v>
      </c>
      <c r="D5014" s="100">
        <v>30000</v>
      </c>
      <c r="E5014" s="102" t="s">
        <v>127</v>
      </c>
      <c r="F5014" s="103"/>
    </row>
    <row r="5015" spans="1:7" s="53" customFormat="1" x14ac:dyDescent="0.35">
      <c r="A5015" s="223"/>
      <c r="B5015" s="101"/>
      <c r="C5015" s="89" t="s">
        <v>265</v>
      </c>
      <c r="D5015" s="104">
        <f>166*124</f>
        <v>20584</v>
      </c>
      <c r="E5015" s="102" t="s">
        <v>1356</v>
      </c>
      <c r="F5015" s="103"/>
    </row>
    <row r="5016" spans="1:7" s="53" customFormat="1" ht="15" thickBot="1" x14ac:dyDescent="0.4">
      <c r="A5016" s="223"/>
      <c r="B5016" s="105"/>
      <c r="C5016" s="106"/>
      <c r="D5016" s="107"/>
      <c r="E5016" s="53" t="s">
        <v>1730</v>
      </c>
      <c r="F5016" s="94"/>
    </row>
    <row r="5017" spans="1:7" s="53" customFormat="1" ht="15" thickBot="1" x14ac:dyDescent="0.4">
      <c r="A5017" s="223"/>
      <c r="B5017" s="108"/>
      <c r="C5017" s="109" t="s">
        <v>129</v>
      </c>
      <c r="D5017" s="110">
        <f>SUM(D5004:D5016)</f>
        <v>7755874</v>
      </c>
      <c r="F5017" s="94"/>
    </row>
    <row r="5018" spans="1:7" s="53" customFormat="1" ht="15.5" thickTop="1" thickBot="1" x14ac:dyDescent="0.4">
      <c r="A5018" s="224"/>
      <c r="B5018" s="226"/>
      <c r="C5018" s="226"/>
      <c r="D5018" s="226"/>
      <c r="F5018" s="94"/>
    </row>
    <row r="5019" spans="1:7" s="53" customFormat="1" x14ac:dyDescent="0.35">
      <c r="B5019" s="87"/>
      <c r="C5019" s="53" t="s">
        <v>130</v>
      </c>
      <c r="D5019" s="111">
        <f>D5001-D5017</f>
        <v>2757626</v>
      </c>
      <c r="F5019" s="94"/>
    </row>
    <row r="5020" spans="1:7" s="53" customFormat="1" x14ac:dyDescent="0.35">
      <c r="B5020" s="87"/>
      <c r="D5020" s="111"/>
      <c r="F5020" s="94"/>
    </row>
    <row r="5021" spans="1:7" s="53" customFormat="1" x14ac:dyDescent="0.35">
      <c r="A5021" s="112"/>
      <c r="B5021" s="113"/>
      <c r="C5021" s="112"/>
      <c r="D5021" s="114"/>
      <c r="E5021" s="112"/>
      <c r="F5021" s="178"/>
    </row>
    <row r="5023" spans="1:7" s="53" customFormat="1" ht="23.5" x14ac:dyDescent="0.55000000000000004">
      <c r="B5023" s="227" t="s">
        <v>0</v>
      </c>
      <c r="C5023" s="227"/>
      <c r="D5023" s="227"/>
      <c r="E5023" s="70"/>
      <c r="F5023" s="176"/>
    </row>
    <row r="5024" spans="1:7" s="53" customFormat="1" ht="20.5" x14ac:dyDescent="0.45">
      <c r="B5024" s="71"/>
      <c r="C5024" s="72" t="s">
        <v>1270</v>
      </c>
      <c r="D5024" s="73"/>
      <c r="F5024" s="94"/>
    </row>
    <row r="5025" spans="1:7" s="53" customFormat="1" ht="21" thickBot="1" x14ac:dyDescent="0.5">
      <c r="B5025" s="71" t="s">
        <v>173</v>
      </c>
      <c r="C5025" s="74" t="s">
        <v>103</v>
      </c>
      <c r="D5025" s="73"/>
      <c r="F5025" s="94"/>
    </row>
    <row r="5026" spans="1:7" s="53" customFormat="1" ht="15" thickBot="1" x14ac:dyDescent="0.4">
      <c r="A5026" s="75" t="s">
        <v>104</v>
      </c>
      <c r="B5026" s="76" t="s">
        <v>81</v>
      </c>
      <c r="C5026" s="76" t="s">
        <v>105</v>
      </c>
      <c r="D5026" s="77" t="s">
        <v>84</v>
      </c>
      <c r="F5026" s="94"/>
    </row>
    <row r="5027" spans="1:7" s="53" customFormat="1" ht="14.5" customHeight="1" x14ac:dyDescent="0.35">
      <c r="A5027" s="222" t="s">
        <v>94</v>
      </c>
      <c r="B5027" s="78" t="s">
        <v>1276</v>
      </c>
      <c r="C5027" s="79" t="s">
        <v>959</v>
      </c>
      <c r="D5027" s="80">
        <f>F5034</f>
        <v>10513500</v>
      </c>
      <c r="F5027" s="94"/>
    </row>
    <row r="5028" spans="1:7" s="53" customFormat="1" ht="21" thickBot="1" x14ac:dyDescent="0.5">
      <c r="A5028" s="223"/>
      <c r="B5028" s="71"/>
      <c r="C5028" s="71"/>
      <c r="D5028" s="73"/>
      <c r="F5028" s="94"/>
    </row>
    <row r="5029" spans="1:7" s="53" customFormat="1" ht="15" thickBot="1" x14ac:dyDescent="0.4">
      <c r="A5029" s="223"/>
      <c r="B5029" s="81" t="s">
        <v>81</v>
      </c>
      <c r="C5029" s="82" t="s">
        <v>107</v>
      </c>
      <c r="D5029" s="83" t="s">
        <v>108</v>
      </c>
      <c r="F5029" s="94"/>
    </row>
    <row r="5030" spans="1:7" s="87" customFormat="1" x14ac:dyDescent="0.35">
      <c r="A5030" s="223"/>
      <c r="B5030" s="84" t="str">
        <f>B5027</f>
        <v>06th October,2025</v>
      </c>
      <c r="C5030" s="85" t="s">
        <v>1340</v>
      </c>
      <c r="D5030" s="86">
        <f>1850*2704</f>
        <v>5002400</v>
      </c>
      <c r="F5030" s="177"/>
    </row>
    <row r="5031" spans="1:7" s="53" customFormat="1" x14ac:dyDescent="0.35">
      <c r="A5031" s="223"/>
      <c r="B5031" s="88"/>
      <c r="C5031" s="89" t="s">
        <v>210</v>
      </c>
      <c r="D5031" s="90">
        <f>319*2650</f>
        <v>845350</v>
      </c>
      <c r="F5031" s="94"/>
    </row>
    <row r="5032" spans="1:7" s="53" customFormat="1" x14ac:dyDescent="0.35">
      <c r="A5032" s="223"/>
      <c r="B5032" s="88" t="s">
        <v>109</v>
      </c>
      <c r="C5032" s="89" t="s">
        <v>110</v>
      </c>
      <c r="D5032" s="90">
        <v>1000000</v>
      </c>
      <c r="F5032" s="94"/>
    </row>
    <row r="5033" spans="1:7" s="53" customFormat="1" x14ac:dyDescent="0.35">
      <c r="A5033" s="223"/>
      <c r="B5033" s="88" t="s">
        <v>111</v>
      </c>
      <c r="C5033" s="89" t="s">
        <v>112</v>
      </c>
      <c r="D5033" s="90">
        <v>40000</v>
      </c>
      <c r="E5033" s="228" t="s">
        <v>113</v>
      </c>
      <c r="F5033" s="225"/>
    </row>
    <row r="5034" spans="1:7" s="53" customFormat="1" x14ac:dyDescent="0.35">
      <c r="A5034" s="223"/>
      <c r="B5034" s="88" t="s">
        <v>206</v>
      </c>
      <c r="C5034" s="89" t="s">
        <v>115</v>
      </c>
      <c r="D5034" s="90">
        <f>950*123</f>
        <v>116850</v>
      </c>
      <c r="E5034" s="91" t="s">
        <v>116</v>
      </c>
      <c r="F5034" s="92">
        <f>4300*2445</f>
        <v>10513500</v>
      </c>
    </row>
    <row r="5035" spans="1:7" s="53" customFormat="1" x14ac:dyDescent="0.35">
      <c r="A5035" s="223"/>
      <c r="B5035" s="88"/>
      <c r="C5035" s="89" t="s">
        <v>117</v>
      </c>
      <c r="D5035" s="90">
        <f>3880*123</f>
        <v>477240</v>
      </c>
      <c r="E5035" s="93" t="s">
        <v>118</v>
      </c>
      <c r="F5035" s="94">
        <f>(2580*2445)+(1060*1445)</f>
        <v>7839800</v>
      </c>
    </row>
    <row r="5036" spans="1:7" s="53" customFormat="1" ht="15" thickBot="1" x14ac:dyDescent="0.4">
      <c r="A5036" s="223"/>
      <c r="B5036" s="88" t="s">
        <v>119</v>
      </c>
      <c r="C5036" s="89" t="s">
        <v>120</v>
      </c>
      <c r="D5036" s="95">
        <v>30000</v>
      </c>
      <c r="E5036" s="96" t="s">
        <v>121</v>
      </c>
      <c r="F5036" s="97">
        <f>F5034-F5035</f>
        <v>2673700</v>
      </c>
      <c r="G5036" s="98">
        <f>F5036/2445</f>
        <v>1093.5378323108384</v>
      </c>
    </row>
    <row r="5037" spans="1:7" s="53" customFormat="1" ht="15" thickTop="1" x14ac:dyDescent="0.35">
      <c r="A5037" s="223"/>
      <c r="B5037" s="88"/>
      <c r="C5037" s="89" t="s">
        <v>122</v>
      </c>
      <c r="D5037" s="90">
        <v>150000</v>
      </c>
      <c r="F5037" s="94"/>
    </row>
    <row r="5038" spans="1:7" s="53" customFormat="1" x14ac:dyDescent="0.35">
      <c r="A5038" s="223"/>
      <c r="B5038" s="88" t="s">
        <v>1305</v>
      </c>
      <c r="C5038" s="99" t="s">
        <v>123</v>
      </c>
      <c r="D5038" s="90">
        <v>15000</v>
      </c>
      <c r="E5038" s="91" t="s">
        <v>124</v>
      </c>
      <c r="F5038" s="92"/>
    </row>
    <row r="5039" spans="1:7" s="53" customFormat="1" x14ac:dyDescent="0.35">
      <c r="A5039" s="223"/>
      <c r="B5039" s="101"/>
      <c r="C5039" s="99" t="s">
        <v>125</v>
      </c>
      <c r="D5039" s="100">
        <v>10000</v>
      </c>
      <c r="E5039" s="102"/>
      <c r="F5039" s="103"/>
    </row>
    <row r="5040" spans="1:7" s="53" customFormat="1" x14ac:dyDescent="0.35">
      <c r="A5040" s="223"/>
      <c r="B5040" s="101"/>
      <c r="C5040" s="99" t="s">
        <v>126</v>
      </c>
      <c r="D5040" s="100">
        <v>30000</v>
      </c>
      <c r="E5040" s="102" t="s">
        <v>127</v>
      </c>
      <c r="F5040" s="103"/>
    </row>
    <row r="5041" spans="1:6" s="53" customFormat="1" x14ac:dyDescent="0.35">
      <c r="A5041" s="223"/>
      <c r="B5041" s="101"/>
      <c r="C5041" s="89" t="s">
        <v>265</v>
      </c>
      <c r="D5041" s="104">
        <v>0</v>
      </c>
      <c r="E5041" s="102" t="s">
        <v>1356</v>
      </c>
      <c r="F5041" s="103"/>
    </row>
    <row r="5042" spans="1:6" s="53" customFormat="1" ht="15" thickBot="1" x14ac:dyDescent="0.4">
      <c r="A5042" s="223"/>
      <c r="B5042" s="105"/>
      <c r="C5042" s="106"/>
      <c r="D5042" s="107"/>
      <c r="E5042" s="53" t="s">
        <v>1730</v>
      </c>
      <c r="F5042" s="94"/>
    </row>
    <row r="5043" spans="1:6" s="53" customFormat="1" ht="15" thickBot="1" x14ac:dyDescent="0.4">
      <c r="A5043" s="223"/>
      <c r="B5043" s="108"/>
      <c r="C5043" s="109" t="s">
        <v>129</v>
      </c>
      <c r="D5043" s="110">
        <f>SUM(D5030:D5042)</f>
        <v>7716840</v>
      </c>
      <c r="F5043" s="94"/>
    </row>
    <row r="5044" spans="1:6" s="53" customFormat="1" ht="15.5" thickTop="1" thickBot="1" x14ac:dyDescent="0.4">
      <c r="A5044" s="224"/>
      <c r="B5044" s="226"/>
      <c r="C5044" s="226"/>
      <c r="D5044" s="226"/>
      <c r="F5044" s="94"/>
    </row>
    <row r="5045" spans="1:6" s="53" customFormat="1" x14ac:dyDescent="0.35">
      <c r="B5045" s="87"/>
      <c r="C5045" s="53" t="s">
        <v>130</v>
      </c>
      <c r="D5045" s="111">
        <f>D5027-D5043</f>
        <v>2796660</v>
      </c>
      <c r="F5045" s="94"/>
    </row>
    <row r="5046" spans="1:6" s="53" customFormat="1" x14ac:dyDescent="0.35">
      <c r="B5046" s="87"/>
      <c r="D5046" s="111"/>
      <c r="F5046" s="94"/>
    </row>
    <row r="5047" spans="1:6" s="53" customFormat="1" x14ac:dyDescent="0.35">
      <c r="A5047" s="112"/>
      <c r="B5047" s="113"/>
      <c r="C5047" s="112"/>
      <c r="D5047" s="114"/>
      <c r="E5047" s="112"/>
      <c r="F5047" s="178"/>
    </row>
    <row r="5049" spans="1:6" s="53" customFormat="1" ht="23.5" x14ac:dyDescent="0.55000000000000004">
      <c r="B5049" s="227" t="s">
        <v>0</v>
      </c>
      <c r="C5049" s="227"/>
      <c r="D5049" s="227"/>
      <c r="E5049" s="70"/>
      <c r="F5049" s="176"/>
    </row>
    <row r="5050" spans="1:6" s="53" customFormat="1" ht="20.5" x14ac:dyDescent="0.45">
      <c r="B5050" s="71"/>
      <c r="C5050" s="72" t="s">
        <v>1273</v>
      </c>
      <c r="D5050" s="73"/>
      <c r="F5050" s="94"/>
    </row>
    <row r="5051" spans="1:6" s="53" customFormat="1" ht="21" thickBot="1" x14ac:dyDescent="0.5">
      <c r="B5051" s="71" t="s">
        <v>167</v>
      </c>
      <c r="C5051" s="74" t="s">
        <v>103</v>
      </c>
      <c r="D5051" s="73"/>
      <c r="F5051" s="94"/>
    </row>
    <row r="5052" spans="1:6" s="53" customFormat="1" ht="15" thickBot="1" x14ac:dyDescent="0.4">
      <c r="A5052" s="75" t="s">
        <v>104</v>
      </c>
      <c r="B5052" s="76" t="s">
        <v>81</v>
      </c>
      <c r="C5052" s="76" t="s">
        <v>105</v>
      </c>
      <c r="D5052" s="77" t="s">
        <v>84</v>
      </c>
      <c r="F5052" s="94"/>
    </row>
    <row r="5053" spans="1:6" s="53" customFormat="1" ht="14.5" customHeight="1" x14ac:dyDescent="0.35">
      <c r="A5053" s="222" t="s">
        <v>94</v>
      </c>
      <c r="B5053" s="78" t="s">
        <v>1276</v>
      </c>
      <c r="C5053" s="79" t="s">
        <v>319</v>
      </c>
      <c r="D5053" s="80">
        <f>F5060</f>
        <v>10710000</v>
      </c>
      <c r="F5053" s="94"/>
    </row>
    <row r="5054" spans="1:6" s="53" customFormat="1" ht="21" thickBot="1" x14ac:dyDescent="0.5">
      <c r="A5054" s="223"/>
      <c r="B5054" s="71"/>
      <c r="C5054" s="71"/>
      <c r="D5054" s="73"/>
      <c r="F5054" s="94"/>
    </row>
    <row r="5055" spans="1:6" s="53" customFormat="1" ht="15" thickBot="1" x14ac:dyDescent="0.4">
      <c r="A5055" s="223"/>
      <c r="B5055" s="81" t="s">
        <v>81</v>
      </c>
      <c r="C5055" s="82" t="s">
        <v>107</v>
      </c>
      <c r="D5055" s="83" t="s">
        <v>108</v>
      </c>
      <c r="F5055" s="94"/>
    </row>
    <row r="5056" spans="1:6" s="87" customFormat="1" x14ac:dyDescent="0.35">
      <c r="A5056" s="223"/>
      <c r="B5056" s="84" t="str">
        <f>B5053</f>
        <v>06th October,2025</v>
      </c>
      <c r="C5056" s="85" t="s">
        <v>1416</v>
      </c>
      <c r="D5056" s="86">
        <f>1850*2720</f>
        <v>5032000</v>
      </c>
      <c r="F5056" s="177"/>
    </row>
    <row r="5057" spans="1:7" s="53" customFormat="1" x14ac:dyDescent="0.35">
      <c r="A5057" s="223"/>
      <c r="B5057" s="88"/>
      <c r="C5057" s="89" t="s">
        <v>159</v>
      </c>
      <c r="D5057" s="90">
        <f>299*2650</f>
        <v>792350</v>
      </c>
      <c r="F5057" s="94"/>
    </row>
    <row r="5058" spans="1:7" s="53" customFormat="1" x14ac:dyDescent="0.35">
      <c r="A5058" s="223"/>
      <c r="B5058" s="88" t="s">
        <v>109</v>
      </c>
      <c r="C5058" s="89" t="s">
        <v>110</v>
      </c>
      <c r="D5058" s="90">
        <v>1000000</v>
      </c>
      <c r="F5058" s="94"/>
    </row>
    <row r="5059" spans="1:7" s="53" customFormat="1" x14ac:dyDescent="0.35">
      <c r="A5059" s="223"/>
      <c r="B5059" s="88" t="s">
        <v>111</v>
      </c>
      <c r="C5059" s="89" t="s">
        <v>112</v>
      </c>
      <c r="D5059" s="90">
        <v>40000</v>
      </c>
      <c r="E5059" s="225" t="s">
        <v>113</v>
      </c>
      <c r="F5059" s="225"/>
    </row>
    <row r="5060" spans="1:7" s="53" customFormat="1" x14ac:dyDescent="0.35">
      <c r="A5060" s="223"/>
      <c r="B5060" s="88" t="s">
        <v>114</v>
      </c>
      <c r="C5060" s="89" t="s">
        <v>115</v>
      </c>
      <c r="D5060" s="90">
        <f>400*123</f>
        <v>49200</v>
      </c>
      <c r="E5060" s="91" t="s">
        <v>116</v>
      </c>
      <c r="F5060" s="92">
        <f>4200*2550</f>
        <v>10710000</v>
      </c>
    </row>
    <row r="5061" spans="1:7" s="53" customFormat="1" x14ac:dyDescent="0.35">
      <c r="A5061" s="223"/>
      <c r="B5061" s="88"/>
      <c r="C5061" s="89" t="s">
        <v>117</v>
      </c>
      <c r="D5061" s="90">
        <f>3420*123</f>
        <v>420660</v>
      </c>
      <c r="E5061" s="93" t="s">
        <v>118</v>
      </c>
      <c r="F5061" s="94">
        <f>(4200*2550)</f>
        <v>10710000</v>
      </c>
    </row>
    <row r="5062" spans="1:7" s="53" customFormat="1" ht="15" thickBot="1" x14ac:dyDescent="0.4">
      <c r="A5062" s="223"/>
      <c r="B5062" s="88" t="s">
        <v>119</v>
      </c>
      <c r="C5062" s="89" t="s">
        <v>120</v>
      </c>
      <c r="D5062" s="95">
        <v>30000</v>
      </c>
      <c r="E5062" s="96" t="s">
        <v>121</v>
      </c>
      <c r="F5062" s="97">
        <f>F5060-F5061</f>
        <v>0</v>
      </c>
      <c r="G5062" s="98">
        <f>F5062/2550</f>
        <v>0</v>
      </c>
    </row>
    <row r="5063" spans="1:7" s="53" customFormat="1" ht="15" thickTop="1" x14ac:dyDescent="0.35">
      <c r="A5063" s="223"/>
      <c r="B5063" s="88"/>
      <c r="C5063" s="89" t="s">
        <v>122</v>
      </c>
      <c r="D5063" s="90">
        <v>150000</v>
      </c>
      <c r="F5063" s="94"/>
    </row>
    <row r="5064" spans="1:7" s="53" customFormat="1" x14ac:dyDescent="0.35">
      <c r="A5064" s="223"/>
      <c r="B5064" s="88" t="s">
        <v>1275</v>
      </c>
      <c r="C5064" s="99" t="s">
        <v>123</v>
      </c>
      <c r="D5064" s="90">
        <v>15000</v>
      </c>
      <c r="E5064" s="91" t="s">
        <v>124</v>
      </c>
      <c r="F5064" s="92"/>
    </row>
    <row r="5065" spans="1:7" s="53" customFormat="1" x14ac:dyDescent="0.35">
      <c r="A5065" s="223"/>
      <c r="B5065" s="101"/>
      <c r="C5065" s="99" t="s">
        <v>125</v>
      </c>
      <c r="D5065" s="100">
        <v>10000</v>
      </c>
      <c r="E5065" s="102"/>
      <c r="F5065" s="103"/>
    </row>
    <row r="5066" spans="1:7" s="53" customFormat="1" x14ac:dyDescent="0.35">
      <c r="A5066" s="223"/>
      <c r="B5066" s="101"/>
      <c r="C5066" s="99" t="s">
        <v>126</v>
      </c>
      <c r="D5066" s="100">
        <v>70000</v>
      </c>
      <c r="E5066" s="102" t="s">
        <v>127</v>
      </c>
      <c r="F5066" s="103"/>
    </row>
    <row r="5067" spans="1:7" s="53" customFormat="1" x14ac:dyDescent="0.35">
      <c r="A5067" s="223"/>
      <c r="B5067" s="101"/>
      <c r="C5067" s="89" t="s">
        <v>265</v>
      </c>
      <c r="D5067" s="104">
        <f>235*122</f>
        <v>28670</v>
      </c>
      <c r="E5067" s="102" t="s">
        <v>1508</v>
      </c>
      <c r="F5067" s="103"/>
    </row>
    <row r="5068" spans="1:7" s="53" customFormat="1" ht="15" thickBot="1" x14ac:dyDescent="0.4">
      <c r="A5068" s="223"/>
      <c r="B5068" s="105"/>
      <c r="C5068" s="106"/>
      <c r="D5068" s="107"/>
      <c r="F5068" s="94"/>
    </row>
    <row r="5069" spans="1:7" s="53" customFormat="1" ht="15" thickBot="1" x14ac:dyDescent="0.4">
      <c r="A5069" s="223"/>
      <c r="B5069" s="108"/>
      <c r="C5069" s="109" t="s">
        <v>129</v>
      </c>
      <c r="D5069" s="110">
        <f>SUM(D5056:D5068)</f>
        <v>7637880</v>
      </c>
      <c r="F5069" s="94"/>
    </row>
    <row r="5070" spans="1:7" s="53" customFormat="1" ht="15.5" thickTop="1" thickBot="1" x14ac:dyDescent="0.4">
      <c r="A5070" s="224"/>
      <c r="B5070" s="226"/>
      <c r="C5070" s="226"/>
      <c r="D5070" s="226"/>
      <c r="F5070" s="94"/>
    </row>
    <row r="5071" spans="1:7" s="53" customFormat="1" x14ac:dyDescent="0.35">
      <c r="B5071" s="87"/>
      <c r="C5071" s="53" t="s">
        <v>130</v>
      </c>
      <c r="D5071" s="111">
        <f>D5053-D5069</f>
        <v>3072120</v>
      </c>
      <c r="F5071" s="94"/>
    </row>
    <row r="5072" spans="1:7" s="53" customFormat="1" x14ac:dyDescent="0.35">
      <c r="B5072" s="87"/>
      <c r="D5072" s="111"/>
      <c r="F5072" s="94"/>
    </row>
    <row r="5073" spans="1:7" s="53" customFormat="1" x14ac:dyDescent="0.35">
      <c r="A5073" s="112"/>
      <c r="B5073" s="113"/>
      <c r="C5073" s="112"/>
      <c r="D5073" s="114"/>
      <c r="E5073" s="112"/>
      <c r="F5073" s="178"/>
    </row>
    <row r="5075" spans="1:7" s="53" customFormat="1" ht="23.5" x14ac:dyDescent="0.55000000000000004">
      <c r="B5075" s="227" t="s">
        <v>0</v>
      </c>
      <c r="C5075" s="227"/>
      <c r="D5075" s="227"/>
      <c r="E5075" s="70"/>
      <c r="F5075" s="176"/>
    </row>
    <row r="5076" spans="1:7" s="53" customFormat="1" ht="20.5" x14ac:dyDescent="0.45">
      <c r="B5076" s="71"/>
      <c r="C5076" s="72" t="s">
        <v>1278</v>
      </c>
      <c r="D5076" s="73"/>
      <c r="F5076" s="94"/>
    </row>
    <row r="5077" spans="1:7" s="53" customFormat="1" ht="21" thickBot="1" x14ac:dyDescent="0.5">
      <c r="B5077" s="71" t="s">
        <v>218</v>
      </c>
      <c r="C5077" s="74" t="s">
        <v>103</v>
      </c>
      <c r="D5077" s="73"/>
      <c r="F5077" s="94"/>
    </row>
    <row r="5078" spans="1:7" s="53" customFormat="1" ht="15" thickBot="1" x14ac:dyDescent="0.4">
      <c r="A5078" s="75" t="s">
        <v>104</v>
      </c>
      <c r="B5078" s="76" t="s">
        <v>81</v>
      </c>
      <c r="C5078" s="76" t="s">
        <v>105</v>
      </c>
      <c r="D5078" s="77" t="s">
        <v>84</v>
      </c>
      <c r="F5078" s="94"/>
    </row>
    <row r="5079" spans="1:7" s="53" customFormat="1" ht="14.5" customHeight="1" x14ac:dyDescent="0.35">
      <c r="A5079" s="222" t="s">
        <v>94</v>
      </c>
      <c r="B5079" s="78" t="s">
        <v>1276</v>
      </c>
      <c r="C5079" s="79" t="s">
        <v>319</v>
      </c>
      <c r="D5079" s="80">
        <f>F5086</f>
        <v>10710000</v>
      </c>
      <c r="F5079" s="94"/>
    </row>
    <row r="5080" spans="1:7" s="53" customFormat="1" ht="21" thickBot="1" x14ac:dyDescent="0.5">
      <c r="A5080" s="223"/>
      <c r="B5080" s="71"/>
      <c r="C5080" s="71"/>
      <c r="D5080" s="73"/>
      <c r="F5080" s="94"/>
    </row>
    <row r="5081" spans="1:7" s="53" customFormat="1" ht="15" thickBot="1" x14ac:dyDescent="0.4">
      <c r="A5081" s="223"/>
      <c r="B5081" s="81" t="s">
        <v>81</v>
      </c>
      <c r="C5081" s="82" t="s">
        <v>107</v>
      </c>
      <c r="D5081" s="83" t="s">
        <v>108</v>
      </c>
      <c r="F5081" s="94"/>
    </row>
    <row r="5082" spans="1:7" s="87" customFormat="1" x14ac:dyDescent="0.35">
      <c r="A5082" s="223"/>
      <c r="B5082" s="84" t="str">
        <f>B5079</f>
        <v>06th October,2025</v>
      </c>
      <c r="C5082" s="85" t="s">
        <v>1416</v>
      </c>
      <c r="D5082" s="86">
        <f>1850*2720</f>
        <v>5032000</v>
      </c>
      <c r="F5082" s="177"/>
    </row>
    <row r="5083" spans="1:7" s="53" customFormat="1" x14ac:dyDescent="0.35">
      <c r="A5083" s="223"/>
      <c r="B5083" s="88"/>
      <c r="C5083" s="89" t="s">
        <v>159</v>
      </c>
      <c r="D5083" s="90">
        <f>299*2650</f>
        <v>792350</v>
      </c>
      <c r="F5083" s="94"/>
    </row>
    <row r="5084" spans="1:7" s="53" customFormat="1" x14ac:dyDescent="0.35">
      <c r="A5084" s="223"/>
      <c r="B5084" s="88" t="s">
        <v>109</v>
      </c>
      <c r="C5084" s="89" t="s">
        <v>110</v>
      </c>
      <c r="D5084" s="90">
        <v>1000000</v>
      </c>
      <c r="F5084" s="94"/>
    </row>
    <row r="5085" spans="1:7" s="53" customFormat="1" x14ac:dyDescent="0.35">
      <c r="A5085" s="223"/>
      <c r="B5085" s="88" t="s">
        <v>111</v>
      </c>
      <c r="C5085" s="89" t="s">
        <v>112</v>
      </c>
      <c r="D5085" s="90">
        <v>40000</v>
      </c>
      <c r="E5085" s="225" t="s">
        <v>113</v>
      </c>
      <c r="F5085" s="225"/>
    </row>
    <row r="5086" spans="1:7" s="53" customFormat="1" x14ac:dyDescent="0.35">
      <c r="A5086" s="223"/>
      <c r="B5086" s="88" t="s">
        <v>114</v>
      </c>
      <c r="C5086" s="89" t="s">
        <v>115</v>
      </c>
      <c r="D5086" s="90">
        <f>600*123</f>
        <v>73800</v>
      </c>
      <c r="E5086" s="91" t="s">
        <v>116</v>
      </c>
      <c r="F5086" s="92">
        <f>4200*2550</f>
        <v>10710000</v>
      </c>
    </row>
    <row r="5087" spans="1:7" s="53" customFormat="1" x14ac:dyDescent="0.35">
      <c r="A5087" s="223"/>
      <c r="B5087" s="88"/>
      <c r="C5087" s="89" t="s">
        <v>117</v>
      </c>
      <c r="D5087" s="90">
        <f>2500*123</f>
        <v>307500</v>
      </c>
      <c r="E5087" s="93" t="s">
        <v>118</v>
      </c>
      <c r="F5087" s="94"/>
    </row>
    <row r="5088" spans="1:7" s="53" customFormat="1" ht="15" thickBot="1" x14ac:dyDescent="0.4">
      <c r="A5088" s="223"/>
      <c r="B5088" s="88" t="s">
        <v>119</v>
      </c>
      <c r="C5088" s="89" t="s">
        <v>120</v>
      </c>
      <c r="D5088" s="95">
        <v>30000</v>
      </c>
      <c r="E5088" s="96" t="s">
        <v>121</v>
      </c>
      <c r="F5088" s="97">
        <f>F5086-F5087</f>
        <v>10710000</v>
      </c>
      <c r="G5088" s="98">
        <f>F5088/2550</f>
        <v>4200</v>
      </c>
    </row>
    <row r="5089" spans="1:6" s="53" customFormat="1" ht="15" thickTop="1" x14ac:dyDescent="0.35">
      <c r="A5089" s="223"/>
      <c r="B5089" s="88"/>
      <c r="C5089" s="89" t="s">
        <v>122</v>
      </c>
      <c r="D5089" s="90">
        <v>150000</v>
      </c>
      <c r="F5089" s="94"/>
    </row>
    <row r="5090" spans="1:6" s="53" customFormat="1" x14ac:dyDescent="0.35">
      <c r="A5090" s="223"/>
      <c r="B5090" s="88" t="s">
        <v>1275</v>
      </c>
      <c r="C5090" s="99" t="s">
        <v>123</v>
      </c>
      <c r="D5090" s="90">
        <v>15000</v>
      </c>
      <c r="E5090" s="91" t="s">
        <v>124</v>
      </c>
      <c r="F5090" s="92"/>
    </row>
    <row r="5091" spans="1:6" s="53" customFormat="1" x14ac:dyDescent="0.35">
      <c r="A5091" s="223"/>
      <c r="B5091" s="101"/>
      <c r="C5091" s="99" t="s">
        <v>125</v>
      </c>
      <c r="D5091" s="100">
        <v>10000</v>
      </c>
      <c r="E5091" s="102"/>
      <c r="F5091" s="103"/>
    </row>
    <row r="5092" spans="1:6" s="53" customFormat="1" x14ac:dyDescent="0.35">
      <c r="A5092" s="223"/>
      <c r="B5092" s="101"/>
      <c r="C5092" s="99" t="s">
        <v>126</v>
      </c>
      <c r="D5092" s="100">
        <v>70000</v>
      </c>
      <c r="E5092" s="102" t="s">
        <v>127</v>
      </c>
      <c r="F5092" s="103"/>
    </row>
    <row r="5093" spans="1:6" s="53" customFormat="1" x14ac:dyDescent="0.35">
      <c r="A5093" s="223"/>
      <c r="B5093" s="101"/>
      <c r="C5093" s="89"/>
      <c r="D5093" s="104"/>
      <c r="E5093" s="102"/>
      <c r="F5093" s="103"/>
    </row>
    <row r="5094" spans="1:6" s="53" customFormat="1" ht="15" thickBot="1" x14ac:dyDescent="0.4">
      <c r="A5094" s="223"/>
      <c r="B5094" s="105"/>
      <c r="C5094" s="106"/>
      <c r="D5094" s="107"/>
      <c r="F5094" s="94"/>
    </row>
    <row r="5095" spans="1:6" s="53" customFormat="1" ht="15" thickBot="1" x14ac:dyDescent="0.4">
      <c r="A5095" s="223"/>
      <c r="B5095" s="108"/>
      <c r="C5095" s="109" t="s">
        <v>129</v>
      </c>
      <c r="D5095" s="110">
        <f>SUM(D5082:D5094)</f>
        <v>7520650</v>
      </c>
      <c r="F5095" s="94"/>
    </row>
    <row r="5096" spans="1:6" s="53" customFormat="1" ht="15.5" thickTop="1" thickBot="1" x14ac:dyDescent="0.4">
      <c r="A5096" s="224"/>
      <c r="B5096" s="226"/>
      <c r="C5096" s="226"/>
      <c r="D5096" s="226"/>
      <c r="F5096" s="94"/>
    </row>
    <row r="5097" spans="1:6" s="53" customFormat="1" x14ac:dyDescent="0.35">
      <c r="B5097" s="87"/>
      <c r="C5097" s="53" t="s">
        <v>130</v>
      </c>
      <c r="D5097" s="111">
        <f>D5079-D5095</f>
        <v>3189350</v>
      </c>
      <c r="F5097" s="94"/>
    </row>
    <row r="5098" spans="1:6" s="53" customFormat="1" x14ac:dyDescent="0.35">
      <c r="B5098" s="87"/>
      <c r="D5098" s="111"/>
      <c r="F5098" s="94"/>
    </row>
    <row r="5099" spans="1:6" s="53" customFormat="1" x14ac:dyDescent="0.35">
      <c r="A5099" s="112"/>
      <c r="B5099" s="113"/>
      <c r="C5099" s="112"/>
      <c r="D5099" s="114"/>
      <c r="E5099" s="112"/>
      <c r="F5099" s="178"/>
    </row>
    <row r="5101" spans="1:6" s="53" customFormat="1" ht="23.5" x14ac:dyDescent="0.55000000000000004">
      <c r="B5101" s="227" t="s">
        <v>0</v>
      </c>
      <c r="C5101" s="227"/>
      <c r="D5101" s="227"/>
      <c r="E5101" s="70"/>
      <c r="F5101" s="176"/>
    </row>
    <row r="5102" spans="1:6" s="53" customFormat="1" ht="20.5" x14ac:dyDescent="0.45">
      <c r="B5102" s="71"/>
      <c r="C5102" s="72" t="s">
        <v>1281</v>
      </c>
      <c r="D5102" s="73"/>
      <c r="F5102" s="94"/>
    </row>
    <row r="5103" spans="1:6" s="53" customFormat="1" ht="21" thickBot="1" x14ac:dyDescent="0.5">
      <c r="B5103" s="71" t="s">
        <v>1148</v>
      </c>
      <c r="C5103" s="74" t="s">
        <v>103</v>
      </c>
      <c r="D5103" s="73"/>
      <c r="F5103" s="94"/>
    </row>
    <row r="5104" spans="1:6" s="53" customFormat="1" ht="15" thickBot="1" x14ac:dyDescent="0.4">
      <c r="A5104" s="75" t="s">
        <v>104</v>
      </c>
      <c r="B5104" s="76" t="s">
        <v>81</v>
      </c>
      <c r="C5104" s="76" t="s">
        <v>105</v>
      </c>
      <c r="D5104" s="77" t="s">
        <v>84</v>
      </c>
      <c r="F5104" s="94"/>
    </row>
    <row r="5105" spans="1:7" s="53" customFormat="1" ht="14.5" customHeight="1" x14ac:dyDescent="0.35">
      <c r="A5105" s="222" t="s">
        <v>94</v>
      </c>
      <c r="B5105" s="78" t="s">
        <v>1276</v>
      </c>
      <c r="C5105" s="79" t="s">
        <v>319</v>
      </c>
      <c r="D5105" s="80">
        <f>F5112</f>
        <v>10710000</v>
      </c>
      <c r="F5105" s="94"/>
    </row>
    <row r="5106" spans="1:7" s="53" customFormat="1" ht="21" thickBot="1" x14ac:dyDescent="0.5">
      <c r="A5106" s="223"/>
      <c r="B5106" s="71"/>
      <c r="C5106" s="71"/>
      <c r="D5106" s="73"/>
      <c r="F5106" s="94"/>
    </row>
    <row r="5107" spans="1:7" s="53" customFormat="1" ht="15" thickBot="1" x14ac:dyDescent="0.4">
      <c r="A5107" s="223"/>
      <c r="B5107" s="81" t="s">
        <v>81</v>
      </c>
      <c r="C5107" s="82" t="s">
        <v>107</v>
      </c>
      <c r="D5107" s="83" t="s">
        <v>108</v>
      </c>
      <c r="F5107" s="94"/>
    </row>
    <row r="5108" spans="1:7" s="87" customFormat="1" x14ac:dyDescent="0.35">
      <c r="A5108" s="223"/>
      <c r="B5108" s="84" t="str">
        <f>B5105</f>
        <v>06th October,2025</v>
      </c>
      <c r="C5108" s="85" t="s">
        <v>1396</v>
      </c>
      <c r="D5108" s="86">
        <f>1900*2720</f>
        <v>5168000</v>
      </c>
      <c r="F5108" s="177"/>
    </row>
    <row r="5109" spans="1:7" s="53" customFormat="1" x14ac:dyDescent="0.35">
      <c r="A5109" s="223"/>
      <c r="B5109" s="88"/>
      <c r="C5109" s="89" t="s">
        <v>159</v>
      </c>
      <c r="D5109" s="90">
        <f>299*2650</f>
        <v>792350</v>
      </c>
      <c r="F5109" s="94"/>
    </row>
    <row r="5110" spans="1:7" s="53" customFormat="1" x14ac:dyDescent="0.35">
      <c r="A5110" s="223"/>
      <c r="B5110" s="88" t="s">
        <v>109</v>
      </c>
      <c r="C5110" s="89" t="s">
        <v>110</v>
      </c>
      <c r="D5110" s="90">
        <v>1000000</v>
      </c>
      <c r="F5110" s="94"/>
    </row>
    <row r="5111" spans="1:7" s="53" customFormat="1" x14ac:dyDescent="0.35">
      <c r="A5111" s="223"/>
      <c r="B5111" s="88" t="s">
        <v>111</v>
      </c>
      <c r="C5111" s="89" t="s">
        <v>112</v>
      </c>
      <c r="D5111" s="90">
        <v>40000</v>
      </c>
      <c r="E5111" s="225" t="s">
        <v>113</v>
      </c>
      <c r="F5111" s="225"/>
    </row>
    <row r="5112" spans="1:7" s="53" customFormat="1" x14ac:dyDescent="0.35">
      <c r="A5112" s="223"/>
      <c r="B5112" s="88" t="s">
        <v>114</v>
      </c>
      <c r="C5112" s="89" t="s">
        <v>115</v>
      </c>
      <c r="D5112" s="90">
        <f>550*123</f>
        <v>67650</v>
      </c>
      <c r="E5112" s="91" t="s">
        <v>116</v>
      </c>
      <c r="F5112" s="92">
        <f>4200*2550</f>
        <v>10710000</v>
      </c>
    </row>
    <row r="5113" spans="1:7" s="53" customFormat="1" x14ac:dyDescent="0.35">
      <c r="A5113" s="223"/>
      <c r="B5113" s="88"/>
      <c r="C5113" s="89" t="s">
        <v>117</v>
      </c>
      <c r="D5113" s="90">
        <f>2500*123</f>
        <v>307500</v>
      </c>
      <c r="E5113" s="93" t="s">
        <v>118</v>
      </c>
      <c r="F5113" s="94"/>
    </row>
    <row r="5114" spans="1:7" s="53" customFormat="1" ht="15" thickBot="1" x14ac:dyDescent="0.4">
      <c r="A5114" s="223"/>
      <c r="B5114" s="88" t="s">
        <v>119</v>
      </c>
      <c r="C5114" s="89" t="s">
        <v>120</v>
      </c>
      <c r="D5114" s="95">
        <v>30000</v>
      </c>
      <c r="E5114" s="96" t="s">
        <v>121</v>
      </c>
      <c r="F5114" s="97">
        <f>F5112-F5113</f>
        <v>10710000</v>
      </c>
      <c r="G5114" s="98">
        <f>F5114/2550</f>
        <v>4200</v>
      </c>
    </row>
    <row r="5115" spans="1:7" s="53" customFormat="1" ht="15" thickTop="1" x14ac:dyDescent="0.35">
      <c r="A5115" s="223"/>
      <c r="B5115" s="88"/>
      <c r="C5115" s="89" t="s">
        <v>122</v>
      </c>
      <c r="D5115" s="90">
        <v>150000</v>
      </c>
      <c r="F5115" s="94"/>
    </row>
    <row r="5116" spans="1:7" s="53" customFormat="1" x14ac:dyDescent="0.35">
      <c r="A5116" s="223"/>
      <c r="B5116" s="88" t="s">
        <v>1280</v>
      </c>
      <c r="C5116" s="99" t="s">
        <v>123</v>
      </c>
      <c r="D5116" s="90">
        <v>15000</v>
      </c>
      <c r="E5116" s="91" t="s">
        <v>124</v>
      </c>
      <c r="F5116" s="92"/>
    </row>
    <row r="5117" spans="1:7" s="53" customFormat="1" x14ac:dyDescent="0.35">
      <c r="A5117" s="223"/>
      <c r="B5117" s="101"/>
      <c r="C5117" s="99" t="s">
        <v>125</v>
      </c>
      <c r="D5117" s="100">
        <v>10000</v>
      </c>
      <c r="E5117" s="102"/>
      <c r="F5117" s="103"/>
    </row>
    <row r="5118" spans="1:7" s="53" customFormat="1" x14ac:dyDescent="0.35">
      <c r="A5118" s="223"/>
      <c r="B5118" s="101"/>
      <c r="C5118" s="99" t="s">
        <v>126</v>
      </c>
      <c r="D5118" s="100">
        <v>40000</v>
      </c>
      <c r="E5118" s="102" t="s">
        <v>127</v>
      </c>
      <c r="F5118" s="103"/>
    </row>
    <row r="5119" spans="1:7" s="53" customFormat="1" x14ac:dyDescent="0.35">
      <c r="A5119" s="223"/>
      <c r="B5119" s="101"/>
      <c r="C5119" s="89"/>
      <c r="D5119" s="104"/>
      <c r="E5119" s="102"/>
      <c r="F5119" s="103"/>
    </row>
    <row r="5120" spans="1:7" s="53" customFormat="1" ht="15" thickBot="1" x14ac:dyDescent="0.4">
      <c r="A5120" s="223"/>
      <c r="B5120" s="105"/>
      <c r="C5120" s="106"/>
      <c r="D5120" s="107"/>
      <c r="F5120" s="94"/>
    </row>
    <row r="5121" spans="1:6" s="53" customFormat="1" ht="15" thickBot="1" x14ac:dyDescent="0.4">
      <c r="A5121" s="223"/>
      <c r="B5121" s="108"/>
      <c r="C5121" s="109" t="s">
        <v>129</v>
      </c>
      <c r="D5121" s="110">
        <f>SUM(D5108:D5120)</f>
        <v>7620500</v>
      </c>
      <c r="F5121" s="94"/>
    </row>
    <row r="5122" spans="1:6" s="53" customFormat="1" ht="15.5" thickTop="1" thickBot="1" x14ac:dyDescent="0.4">
      <c r="A5122" s="224"/>
      <c r="B5122" s="226"/>
      <c r="C5122" s="226"/>
      <c r="D5122" s="226"/>
      <c r="F5122" s="94"/>
    </row>
    <row r="5123" spans="1:6" s="53" customFormat="1" x14ac:dyDescent="0.35">
      <c r="B5123" s="87"/>
      <c r="C5123" s="53" t="s">
        <v>130</v>
      </c>
      <c r="D5123" s="111">
        <f>D5105-D5121</f>
        <v>3089500</v>
      </c>
      <c r="F5123" s="94"/>
    </row>
    <row r="5124" spans="1:6" s="53" customFormat="1" x14ac:dyDescent="0.35">
      <c r="B5124" s="87"/>
      <c r="D5124" s="111"/>
      <c r="F5124" s="94"/>
    </row>
    <row r="5125" spans="1:6" s="53" customFormat="1" x14ac:dyDescent="0.35">
      <c r="A5125" s="112"/>
      <c r="B5125" s="113"/>
      <c r="C5125" s="112"/>
      <c r="D5125" s="114"/>
      <c r="E5125" s="112"/>
      <c r="F5125" s="178"/>
    </row>
    <row r="5127" spans="1:6" s="53" customFormat="1" ht="23.5" x14ac:dyDescent="0.55000000000000004">
      <c r="B5127" s="227" t="s">
        <v>0</v>
      </c>
      <c r="C5127" s="227"/>
      <c r="D5127" s="227"/>
      <c r="E5127" s="70"/>
      <c r="F5127" s="176"/>
    </row>
    <row r="5128" spans="1:6" s="53" customFormat="1" ht="20.5" x14ac:dyDescent="0.45">
      <c r="B5128" s="71"/>
      <c r="C5128" s="72" t="s">
        <v>1284</v>
      </c>
      <c r="D5128" s="73"/>
      <c r="F5128" s="94"/>
    </row>
    <row r="5129" spans="1:6" s="53" customFormat="1" ht="21" thickBot="1" x14ac:dyDescent="0.5">
      <c r="B5129" s="71" t="s">
        <v>227</v>
      </c>
      <c r="C5129" s="74" t="s">
        <v>103</v>
      </c>
      <c r="D5129" s="73"/>
      <c r="F5129" s="94"/>
    </row>
    <row r="5130" spans="1:6" s="53" customFormat="1" ht="15" thickBot="1" x14ac:dyDescent="0.4">
      <c r="A5130" s="75" t="s">
        <v>104</v>
      </c>
      <c r="B5130" s="76" t="s">
        <v>81</v>
      </c>
      <c r="C5130" s="76" t="s">
        <v>105</v>
      </c>
      <c r="D5130" s="77" t="s">
        <v>84</v>
      </c>
      <c r="F5130" s="94"/>
    </row>
    <row r="5131" spans="1:6" s="53" customFormat="1" ht="14.5" customHeight="1" x14ac:dyDescent="0.35">
      <c r="A5131" s="222" t="s">
        <v>94</v>
      </c>
      <c r="B5131" s="78" t="s">
        <v>1276</v>
      </c>
      <c r="C5131" s="79" t="s">
        <v>319</v>
      </c>
      <c r="D5131" s="80">
        <f>F5138</f>
        <v>10710000</v>
      </c>
      <c r="F5131" s="94"/>
    </row>
    <row r="5132" spans="1:6" s="53" customFormat="1" ht="21" thickBot="1" x14ac:dyDescent="0.5">
      <c r="A5132" s="223"/>
      <c r="B5132" s="71"/>
      <c r="C5132" s="71"/>
      <c r="D5132" s="73"/>
      <c r="F5132" s="94"/>
    </row>
    <row r="5133" spans="1:6" s="53" customFormat="1" ht="15" thickBot="1" x14ac:dyDescent="0.4">
      <c r="A5133" s="223"/>
      <c r="B5133" s="81" t="s">
        <v>81</v>
      </c>
      <c r="C5133" s="82" t="s">
        <v>107</v>
      </c>
      <c r="D5133" s="83" t="s">
        <v>108</v>
      </c>
      <c r="F5133" s="94"/>
    </row>
    <row r="5134" spans="1:6" s="87" customFormat="1" x14ac:dyDescent="0.35">
      <c r="A5134" s="223"/>
      <c r="B5134" s="84" t="str">
        <f>B5131</f>
        <v>06th October,2025</v>
      </c>
      <c r="C5134" s="85" t="s">
        <v>1416</v>
      </c>
      <c r="D5134" s="86">
        <f>1850*2720</f>
        <v>5032000</v>
      </c>
      <c r="F5134" s="177"/>
    </row>
    <row r="5135" spans="1:6" s="53" customFormat="1" x14ac:dyDescent="0.35">
      <c r="A5135" s="223"/>
      <c r="B5135" s="88"/>
      <c r="C5135" s="89" t="s">
        <v>159</v>
      </c>
      <c r="D5135" s="90">
        <f>299*2650</f>
        <v>792350</v>
      </c>
      <c r="F5135" s="94"/>
    </row>
    <row r="5136" spans="1:6" s="53" customFormat="1" x14ac:dyDescent="0.35">
      <c r="A5136" s="223"/>
      <c r="B5136" s="88" t="s">
        <v>109</v>
      </c>
      <c r="C5136" s="89" t="s">
        <v>110</v>
      </c>
      <c r="D5136" s="90">
        <v>1000000</v>
      </c>
      <c r="F5136" s="94"/>
    </row>
    <row r="5137" spans="1:7" s="53" customFormat="1" x14ac:dyDescent="0.35">
      <c r="A5137" s="223"/>
      <c r="B5137" s="88" t="s">
        <v>111</v>
      </c>
      <c r="C5137" s="89" t="s">
        <v>112</v>
      </c>
      <c r="D5137" s="90">
        <v>40000</v>
      </c>
      <c r="E5137" s="225" t="s">
        <v>113</v>
      </c>
      <c r="F5137" s="225"/>
    </row>
    <row r="5138" spans="1:7" s="53" customFormat="1" x14ac:dyDescent="0.35">
      <c r="A5138" s="223"/>
      <c r="B5138" s="88" t="s">
        <v>114</v>
      </c>
      <c r="C5138" s="89" t="s">
        <v>115</v>
      </c>
      <c r="D5138" s="90">
        <f>400*123</f>
        <v>49200</v>
      </c>
      <c r="E5138" s="91" t="s">
        <v>116</v>
      </c>
      <c r="F5138" s="92">
        <f>4200*2550</f>
        <v>10710000</v>
      </c>
    </row>
    <row r="5139" spans="1:7" s="53" customFormat="1" x14ac:dyDescent="0.35">
      <c r="A5139" s="223"/>
      <c r="B5139" s="88"/>
      <c r="C5139" s="89" t="s">
        <v>117</v>
      </c>
      <c r="D5139" s="90">
        <f>3420*123</f>
        <v>420660</v>
      </c>
      <c r="E5139" s="93" t="s">
        <v>118</v>
      </c>
      <c r="F5139" s="94">
        <f>4200*2550</f>
        <v>10710000</v>
      </c>
    </row>
    <row r="5140" spans="1:7" s="53" customFormat="1" ht="15" thickBot="1" x14ac:dyDescent="0.4">
      <c r="A5140" s="223"/>
      <c r="B5140" s="88" t="s">
        <v>119</v>
      </c>
      <c r="C5140" s="89" t="s">
        <v>120</v>
      </c>
      <c r="D5140" s="95">
        <v>30000</v>
      </c>
      <c r="E5140" s="96" t="s">
        <v>121</v>
      </c>
      <c r="F5140" s="97">
        <f>F5138-F5139</f>
        <v>0</v>
      </c>
      <c r="G5140" s="98">
        <f>F5140/2550</f>
        <v>0</v>
      </c>
    </row>
    <row r="5141" spans="1:7" s="53" customFormat="1" ht="15" thickTop="1" x14ac:dyDescent="0.35">
      <c r="A5141" s="223"/>
      <c r="B5141" s="88"/>
      <c r="C5141" s="89" t="s">
        <v>122</v>
      </c>
      <c r="D5141" s="90">
        <v>150000</v>
      </c>
      <c r="F5141" s="94"/>
    </row>
    <row r="5142" spans="1:7" s="53" customFormat="1" x14ac:dyDescent="0.35">
      <c r="A5142" s="223"/>
      <c r="B5142" s="88" t="s">
        <v>1283</v>
      </c>
      <c r="C5142" s="99" t="s">
        <v>123</v>
      </c>
      <c r="D5142" s="90">
        <v>15000</v>
      </c>
      <c r="E5142" s="91" t="s">
        <v>124</v>
      </c>
      <c r="F5142" s="92"/>
    </row>
    <row r="5143" spans="1:7" s="53" customFormat="1" x14ac:dyDescent="0.35">
      <c r="A5143" s="223"/>
      <c r="B5143" s="101"/>
      <c r="C5143" s="99" t="s">
        <v>125</v>
      </c>
      <c r="D5143" s="100">
        <v>10000</v>
      </c>
      <c r="E5143" s="102"/>
      <c r="F5143" s="103"/>
    </row>
    <row r="5144" spans="1:7" s="53" customFormat="1" x14ac:dyDescent="0.35">
      <c r="A5144" s="223"/>
      <c r="B5144" s="101"/>
      <c r="C5144" s="99" t="s">
        <v>126</v>
      </c>
      <c r="D5144" s="100">
        <v>70000</v>
      </c>
      <c r="E5144" s="102" t="s">
        <v>127</v>
      </c>
      <c r="F5144" s="103"/>
    </row>
    <row r="5145" spans="1:7" s="53" customFormat="1" x14ac:dyDescent="0.35">
      <c r="A5145" s="223"/>
      <c r="B5145" s="101"/>
      <c r="C5145" s="89" t="s">
        <v>265</v>
      </c>
      <c r="D5145" s="104">
        <f>235*122</f>
        <v>28670</v>
      </c>
      <c r="E5145" s="102" t="s">
        <v>1544</v>
      </c>
      <c r="F5145" s="103"/>
    </row>
    <row r="5146" spans="1:7" s="53" customFormat="1" ht="15" thickBot="1" x14ac:dyDescent="0.4">
      <c r="A5146" s="223"/>
      <c r="B5146" s="105"/>
      <c r="C5146" s="106"/>
      <c r="D5146" s="107"/>
      <c r="F5146" s="94"/>
    </row>
    <row r="5147" spans="1:7" s="53" customFormat="1" ht="15" thickBot="1" x14ac:dyDescent="0.4">
      <c r="A5147" s="223"/>
      <c r="B5147" s="108"/>
      <c r="C5147" s="109" t="s">
        <v>129</v>
      </c>
      <c r="D5147" s="110">
        <f>SUM(D5134:D5146)</f>
        <v>7637880</v>
      </c>
      <c r="F5147" s="94"/>
    </row>
    <row r="5148" spans="1:7" s="53" customFormat="1" ht="15.5" thickTop="1" thickBot="1" x14ac:dyDescent="0.4">
      <c r="A5148" s="224"/>
      <c r="B5148" s="226"/>
      <c r="C5148" s="226"/>
      <c r="D5148" s="226"/>
      <c r="F5148" s="94"/>
    </row>
    <row r="5149" spans="1:7" s="53" customFormat="1" x14ac:dyDescent="0.35">
      <c r="B5149" s="87"/>
      <c r="C5149" s="53" t="s">
        <v>130</v>
      </c>
      <c r="D5149" s="111">
        <f>D5131-D5147</f>
        <v>3072120</v>
      </c>
      <c r="F5149" s="94"/>
    </row>
    <row r="5150" spans="1:7" s="53" customFormat="1" x14ac:dyDescent="0.35">
      <c r="B5150" s="87"/>
      <c r="D5150" s="111"/>
      <c r="F5150" s="94"/>
    </row>
    <row r="5151" spans="1:7" s="53" customFormat="1" x14ac:dyDescent="0.35">
      <c r="A5151" s="112"/>
      <c r="B5151" s="113"/>
      <c r="C5151" s="112"/>
      <c r="D5151" s="114"/>
      <c r="E5151" s="112"/>
      <c r="F5151" s="178"/>
    </row>
    <row r="5153" spans="1:7" s="53" customFormat="1" ht="23.5" x14ac:dyDescent="0.55000000000000004">
      <c r="B5153" s="227" t="s">
        <v>0</v>
      </c>
      <c r="C5153" s="227"/>
      <c r="D5153" s="227"/>
      <c r="E5153" s="70"/>
      <c r="F5153" s="176"/>
    </row>
    <row r="5154" spans="1:7" s="53" customFormat="1" ht="20.5" x14ac:dyDescent="0.45">
      <c r="B5154" s="71"/>
      <c r="C5154" s="72" t="s">
        <v>1287</v>
      </c>
      <c r="D5154" s="73"/>
      <c r="F5154" s="94"/>
    </row>
    <row r="5155" spans="1:7" s="53" customFormat="1" ht="21" thickBot="1" x14ac:dyDescent="0.5">
      <c r="B5155" s="71" t="s">
        <v>518</v>
      </c>
      <c r="C5155" s="74" t="s">
        <v>103</v>
      </c>
      <c r="D5155" s="73"/>
      <c r="F5155" s="94"/>
    </row>
    <row r="5156" spans="1:7" s="53" customFormat="1" ht="15" thickBot="1" x14ac:dyDescent="0.4">
      <c r="A5156" s="75" t="s">
        <v>104</v>
      </c>
      <c r="B5156" s="76" t="s">
        <v>81</v>
      </c>
      <c r="C5156" s="76" t="s">
        <v>105</v>
      </c>
      <c r="D5156" s="77" t="s">
        <v>84</v>
      </c>
      <c r="F5156" s="94"/>
    </row>
    <row r="5157" spans="1:7" s="53" customFormat="1" ht="14.5" customHeight="1" x14ac:dyDescent="0.35">
      <c r="A5157" s="222" t="s">
        <v>94</v>
      </c>
      <c r="B5157" s="78" t="s">
        <v>1276</v>
      </c>
      <c r="C5157" s="79" t="s">
        <v>319</v>
      </c>
      <c r="D5157" s="80">
        <f>F5164</f>
        <v>10710000</v>
      </c>
      <c r="F5157" s="94"/>
    </row>
    <row r="5158" spans="1:7" s="53" customFormat="1" ht="21" thickBot="1" x14ac:dyDescent="0.5">
      <c r="A5158" s="223"/>
      <c r="B5158" s="71"/>
      <c r="C5158" s="71"/>
      <c r="D5158" s="73"/>
      <c r="F5158" s="94"/>
    </row>
    <row r="5159" spans="1:7" s="53" customFormat="1" ht="15" thickBot="1" x14ac:dyDescent="0.4">
      <c r="A5159" s="223"/>
      <c r="B5159" s="81" t="s">
        <v>81</v>
      </c>
      <c r="C5159" s="82" t="s">
        <v>107</v>
      </c>
      <c r="D5159" s="83" t="s">
        <v>108</v>
      </c>
      <c r="F5159" s="94"/>
    </row>
    <row r="5160" spans="1:7" s="87" customFormat="1" x14ac:dyDescent="0.35">
      <c r="A5160" s="223"/>
      <c r="B5160" s="84" t="str">
        <f>B5157</f>
        <v>06th October,2025</v>
      </c>
      <c r="C5160" s="85" t="s">
        <v>1416</v>
      </c>
      <c r="D5160" s="86">
        <f>1850*2720</f>
        <v>5032000</v>
      </c>
      <c r="F5160" s="177"/>
    </row>
    <row r="5161" spans="1:7" s="53" customFormat="1" x14ac:dyDescent="0.35">
      <c r="A5161" s="223"/>
      <c r="B5161" s="88"/>
      <c r="C5161" s="89" t="s">
        <v>159</v>
      </c>
      <c r="D5161" s="90">
        <f>299*2650</f>
        <v>792350</v>
      </c>
      <c r="F5161" s="94"/>
    </row>
    <row r="5162" spans="1:7" s="53" customFormat="1" x14ac:dyDescent="0.35">
      <c r="A5162" s="223"/>
      <c r="B5162" s="88" t="s">
        <v>109</v>
      </c>
      <c r="C5162" s="89" t="s">
        <v>110</v>
      </c>
      <c r="D5162" s="90">
        <v>1000000</v>
      </c>
      <c r="F5162" s="94"/>
    </row>
    <row r="5163" spans="1:7" s="53" customFormat="1" x14ac:dyDescent="0.35">
      <c r="A5163" s="223"/>
      <c r="B5163" s="88" t="s">
        <v>111</v>
      </c>
      <c r="C5163" s="89" t="s">
        <v>112</v>
      </c>
      <c r="D5163" s="90">
        <v>40000</v>
      </c>
      <c r="E5163" s="225" t="s">
        <v>113</v>
      </c>
      <c r="F5163" s="225"/>
    </row>
    <row r="5164" spans="1:7" s="53" customFormat="1" x14ac:dyDescent="0.35">
      <c r="A5164" s="223"/>
      <c r="B5164" s="88" t="s">
        <v>114</v>
      </c>
      <c r="C5164" s="89" t="s">
        <v>115</v>
      </c>
      <c r="D5164" s="90">
        <f>400*123</f>
        <v>49200</v>
      </c>
      <c r="E5164" s="91" t="s">
        <v>116</v>
      </c>
      <c r="F5164" s="92">
        <f>4200*2550</f>
        <v>10710000</v>
      </c>
    </row>
    <row r="5165" spans="1:7" s="53" customFormat="1" x14ac:dyDescent="0.35">
      <c r="A5165" s="223"/>
      <c r="B5165" s="88"/>
      <c r="C5165" s="89" t="s">
        <v>117</v>
      </c>
      <c r="D5165" s="90">
        <f>3420*123</f>
        <v>420660</v>
      </c>
      <c r="E5165" s="93" t="s">
        <v>118</v>
      </c>
      <c r="F5165" s="94">
        <f>4200*2550</f>
        <v>10710000</v>
      </c>
    </row>
    <row r="5166" spans="1:7" s="53" customFormat="1" ht="15" thickBot="1" x14ac:dyDescent="0.4">
      <c r="A5166" s="223"/>
      <c r="B5166" s="88" t="s">
        <v>119</v>
      </c>
      <c r="C5166" s="89" t="s">
        <v>120</v>
      </c>
      <c r="D5166" s="95">
        <v>30000</v>
      </c>
      <c r="E5166" s="96" t="s">
        <v>121</v>
      </c>
      <c r="F5166" s="97">
        <f>F5164-F5165</f>
        <v>0</v>
      </c>
      <c r="G5166" s="98">
        <f>F5166/2550</f>
        <v>0</v>
      </c>
    </row>
    <row r="5167" spans="1:7" s="53" customFormat="1" ht="15" thickTop="1" x14ac:dyDescent="0.35">
      <c r="A5167" s="223"/>
      <c r="B5167" s="88"/>
      <c r="C5167" s="89" t="s">
        <v>122</v>
      </c>
      <c r="D5167" s="90">
        <v>150000</v>
      </c>
      <c r="F5167" s="94"/>
    </row>
    <row r="5168" spans="1:7" s="53" customFormat="1" x14ac:dyDescent="0.35">
      <c r="A5168" s="223"/>
      <c r="B5168" s="88" t="s">
        <v>1286</v>
      </c>
      <c r="C5168" s="99" t="s">
        <v>123</v>
      </c>
      <c r="D5168" s="90">
        <v>15000</v>
      </c>
      <c r="E5168" s="91" t="s">
        <v>124</v>
      </c>
      <c r="F5168" s="92"/>
    </row>
    <row r="5169" spans="1:6" s="53" customFormat="1" x14ac:dyDescent="0.35">
      <c r="A5169" s="223"/>
      <c r="B5169" s="101"/>
      <c r="C5169" s="99" t="s">
        <v>125</v>
      </c>
      <c r="D5169" s="100">
        <v>10000</v>
      </c>
      <c r="E5169" s="102"/>
      <c r="F5169" s="103"/>
    </row>
    <row r="5170" spans="1:6" s="53" customFormat="1" x14ac:dyDescent="0.35">
      <c r="A5170" s="223"/>
      <c r="B5170" s="101"/>
      <c r="C5170" s="99" t="s">
        <v>126</v>
      </c>
      <c r="D5170" s="100">
        <v>70000</v>
      </c>
      <c r="E5170" s="102" t="s">
        <v>127</v>
      </c>
      <c r="F5170" s="103"/>
    </row>
    <row r="5171" spans="1:6" s="53" customFormat="1" x14ac:dyDescent="0.35">
      <c r="A5171" s="223"/>
      <c r="B5171" s="101"/>
      <c r="C5171" s="89" t="s">
        <v>265</v>
      </c>
      <c r="D5171" s="104">
        <f>235*122</f>
        <v>28670</v>
      </c>
      <c r="E5171" s="102" t="s">
        <v>1545</v>
      </c>
      <c r="F5171" s="103"/>
    </row>
    <row r="5172" spans="1:6" s="53" customFormat="1" ht="15" thickBot="1" x14ac:dyDescent="0.4">
      <c r="A5172" s="223"/>
      <c r="B5172" s="105"/>
      <c r="C5172" s="106"/>
      <c r="D5172" s="107"/>
      <c r="F5172" s="94"/>
    </row>
    <row r="5173" spans="1:6" s="53" customFormat="1" ht="15" thickBot="1" x14ac:dyDescent="0.4">
      <c r="A5173" s="223"/>
      <c r="B5173" s="108"/>
      <c r="C5173" s="109" t="s">
        <v>129</v>
      </c>
      <c r="D5173" s="110">
        <f>SUM(D5160:D5172)</f>
        <v>7637880</v>
      </c>
      <c r="F5173" s="94"/>
    </row>
    <row r="5174" spans="1:6" s="53" customFormat="1" ht="15.5" thickTop="1" thickBot="1" x14ac:dyDescent="0.4">
      <c r="A5174" s="224"/>
      <c r="B5174" s="226"/>
      <c r="C5174" s="226"/>
      <c r="D5174" s="226"/>
      <c r="F5174" s="94"/>
    </row>
    <row r="5175" spans="1:6" s="53" customFormat="1" x14ac:dyDescent="0.35">
      <c r="B5175" s="87"/>
      <c r="C5175" s="53" t="s">
        <v>130</v>
      </c>
      <c r="D5175" s="111">
        <f>D5157-D5173</f>
        <v>3072120</v>
      </c>
      <c r="F5175" s="94"/>
    </row>
    <row r="5176" spans="1:6" s="53" customFormat="1" x14ac:dyDescent="0.35">
      <c r="B5176" s="87"/>
      <c r="D5176" s="111"/>
      <c r="F5176" s="94"/>
    </row>
    <row r="5177" spans="1:6" s="53" customFormat="1" x14ac:dyDescent="0.35">
      <c r="A5177" s="112"/>
      <c r="B5177" s="113"/>
      <c r="C5177" s="112"/>
      <c r="D5177" s="114"/>
      <c r="E5177" s="112"/>
      <c r="F5177" s="178"/>
    </row>
    <row r="5179" spans="1:6" s="53" customFormat="1" ht="23.5" x14ac:dyDescent="0.55000000000000004">
      <c r="B5179" s="227" t="s">
        <v>0</v>
      </c>
      <c r="C5179" s="227"/>
      <c r="D5179" s="227"/>
      <c r="E5179" s="70"/>
      <c r="F5179" s="176"/>
    </row>
    <row r="5180" spans="1:6" s="53" customFormat="1" ht="20.5" x14ac:dyDescent="0.45">
      <c r="B5180" s="71"/>
      <c r="C5180" s="72" t="s">
        <v>1291</v>
      </c>
      <c r="D5180" s="73"/>
      <c r="F5180" s="94"/>
    </row>
    <row r="5181" spans="1:6" s="53" customFormat="1" ht="21" thickBot="1" x14ac:dyDescent="0.5">
      <c r="B5181" s="71" t="s">
        <v>761</v>
      </c>
      <c r="C5181" s="74" t="s">
        <v>103</v>
      </c>
      <c r="D5181" s="73"/>
      <c r="F5181" s="94"/>
    </row>
    <row r="5182" spans="1:6" s="53" customFormat="1" ht="15" thickBot="1" x14ac:dyDescent="0.4">
      <c r="A5182" s="75" t="s">
        <v>104</v>
      </c>
      <c r="B5182" s="76" t="s">
        <v>81</v>
      </c>
      <c r="C5182" s="76" t="s">
        <v>105</v>
      </c>
      <c r="D5182" s="77" t="s">
        <v>84</v>
      </c>
      <c r="F5182" s="94"/>
    </row>
    <row r="5183" spans="1:6" s="53" customFormat="1" ht="14.5" customHeight="1" x14ac:dyDescent="0.35">
      <c r="A5183" s="222" t="s">
        <v>94</v>
      </c>
      <c r="B5183" s="78" t="s">
        <v>1276</v>
      </c>
      <c r="C5183" s="79" t="s">
        <v>319</v>
      </c>
      <c r="D5183" s="80">
        <f>F5190</f>
        <v>10710000</v>
      </c>
      <c r="F5183" s="94"/>
    </row>
    <row r="5184" spans="1:6" s="53" customFormat="1" ht="21" thickBot="1" x14ac:dyDescent="0.5">
      <c r="A5184" s="223"/>
      <c r="B5184" s="71"/>
      <c r="C5184" s="71"/>
      <c r="D5184" s="73"/>
      <c r="F5184" s="94"/>
    </row>
    <row r="5185" spans="1:7" s="53" customFormat="1" ht="15" thickBot="1" x14ac:dyDescent="0.4">
      <c r="A5185" s="223"/>
      <c r="B5185" s="81" t="s">
        <v>81</v>
      </c>
      <c r="C5185" s="82" t="s">
        <v>107</v>
      </c>
      <c r="D5185" s="83" t="s">
        <v>108</v>
      </c>
      <c r="F5185" s="94"/>
    </row>
    <row r="5186" spans="1:7" s="87" customFormat="1" x14ac:dyDescent="0.35">
      <c r="A5186" s="223"/>
      <c r="B5186" s="84" t="str">
        <f>B5183</f>
        <v>06th October,2025</v>
      </c>
      <c r="C5186" s="85" t="s">
        <v>1416</v>
      </c>
      <c r="D5186" s="86">
        <f>1850*2720</f>
        <v>5032000</v>
      </c>
      <c r="F5186" s="177"/>
    </row>
    <row r="5187" spans="1:7" s="53" customFormat="1" x14ac:dyDescent="0.35">
      <c r="A5187" s="223"/>
      <c r="B5187" s="88"/>
      <c r="C5187" s="89" t="s">
        <v>159</v>
      </c>
      <c r="D5187" s="90">
        <f>299*2650</f>
        <v>792350</v>
      </c>
      <c r="F5187" s="94"/>
    </row>
    <row r="5188" spans="1:7" s="53" customFormat="1" x14ac:dyDescent="0.35">
      <c r="A5188" s="223"/>
      <c r="B5188" s="88" t="s">
        <v>109</v>
      </c>
      <c r="C5188" s="89" t="s">
        <v>110</v>
      </c>
      <c r="D5188" s="90">
        <v>1000000</v>
      </c>
      <c r="F5188" s="94"/>
    </row>
    <row r="5189" spans="1:7" s="53" customFormat="1" x14ac:dyDescent="0.35">
      <c r="A5189" s="223"/>
      <c r="B5189" s="88" t="s">
        <v>111</v>
      </c>
      <c r="C5189" s="89" t="s">
        <v>112</v>
      </c>
      <c r="D5189" s="90">
        <v>40000</v>
      </c>
      <c r="E5189" s="225" t="s">
        <v>113</v>
      </c>
      <c r="F5189" s="225"/>
    </row>
    <row r="5190" spans="1:7" s="53" customFormat="1" x14ac:dyDescent="0.35">
      <c r="A5190" s="223"/>
      <c r="B5190" s="88" t="s">
        <v>114</v>
      </c>
      <c r="C5190" s="89" t="s">
        <v>115</v>
      </c>
      <c r="D5190" s="90">
        <f>400*123</f>
        <v>49200</v>
      </c>
      <c r="E5190" s="91" t="s">
        <v>116</v>
      </c>
      <c r="F5190" s="92">
        <f>4200*2550</f>
        <v>10710000</v>
      </c>
    </row>
    <row r="5191" spans="1:7" s="53" customFormat="1" x14ac:dyDescent="0.35">
      <c r="A5191" s="223"/>
      <c r="B5191" s="88"/>
      <c r="C5191" s="89" t="s">
        <v>117</v>
      </c>
      <c r="D5191" s="90">
        <f>3420*123</f>
        <v>420660</v>
      </c>
      <c r="E5191" s="93" t="s">
        <v>118</v>
      </c>
      <c r="F5191" s="94">
        <f>4200*2550</f>
        <v>10710000</v>
      </c>
    </row>
    <row r="5192" spans="1:7" s="53" customFormat="1" ht="15" thickBot="1" x14ac:dyDescent="0.4">
      <c r="A5192" s="223"/>
      <c r="B5192" s="88" t="s">
        <v>119</v>
      </c>
      <c r="C5192" s="89" t="s">
        <v>120</v>
      </c>
      <c r="D5192" s="95">
        <v>30000</v>
      </c>
      <c r="E5192" s="96" t="s">
        <v>121</v>
      </c>
      <c r="F5192" s="97">
        <f>F5190-F5191</f>
        <v>0</v>
      </c>
      <c r="G5192" s="98">
        <f>F5192/2550</f>
        <v>0</v>
      </c>
    </row>
    <row r="5193" spans="1:7" s="53" customFormat="1" ht="15" thickTop="1" x14ac:dyDescent="0.35">
      <c r="A5193" s="223"/>
      <c r="B5193" s="88"/>
      <c r="C5193" s="89" t="s">
        <v>122</v>
      </c>
      <c r="D5193" s="90">
        <v>150000</v>
      </c>
      <c r="F5193" s="94"/>
    </row>
    <row r="5194" spans="1:7" s="53" customFormat="1" x14ac:dyDescent="0.35">
      <c r="A5194" s="223"/>
      <c r="B5194" s="88" t="s">
        <v>1290</v>
      </c>
      <c r="C5194" s="99" t="s">
        <v>123</v>
      </c>
      <c r="D5194" s="90">
        <v>15000</v>
      </c>
      <c r="E5194" s="91" t="s">
        <v>124</v>
      </c>
      <c r="F5194" s="92"/>
    </row>
    <row r="5195" spans="1:7" s="53" customFormat="1" x14ac:dyDescent="0.35">
      <c r="A5195" s="223"/>
      <c r="B5195" s="101"/>
      <c r="C5195" s="99" t="s">
        <v>125</v>
      </c>
      <c r="D5195" s="100">
        <v>10000</v>
      </c>
      <c r="E5195" s="102"/>
      <c r="F5195" s="103"/>
    </row>
    <row r="5196" spans="1:7" s="53" customFormat="1" x14ac:dyDescent="0.35">
      <c r="A5196" s="223"/>
      <c r="B5196" s="101"/>
      <c r="C5196" s="99" t="s">
        <v>126</v>
      </c>
      <c r="D5196" s="100">
        <v>70000</v>
      </c>
      <c r="E5196" s="102" t="s">
        <v>127</v>
      </c>
      <c r="F5196" s="103"/>
    </row>
    <row r="5197" spans="1:7" s="53" customFormat="1" x14ac:dyDescent="0.35">
      <c r="A5197" s="223"/>
      <c r="B5197" s="101"/>
      <c r="C5197" s="89" t="s">
        <v>265</v>
      </c>
      <c r="D5197" s="104">
        <f>235*122</f>
        <v>28670</v>
      </c>
      <c r="E5197" s="102" t="s">
        <v>1545</v>
      </c>
      <c r="F5197" s="103"/>
    </row>
    <row r="5198" spans="1:7" s="53" customFormat="1" ht="15" thickBot="1" x14ac:dyDescent="0.4">
      <c r="A5198" s="223"/>
      <c r="B5198" s="105"/>
      <c r="C5198" s="106"/>
      <c r="D5198" s="107"/>
      <c r="F5198" s="94"/>
    </row>
    <row r="5199" spans="1:7" s="53" customFormat="1" ht="15" thickBot="1" x14ac:dyDescent="0.4">
      <c r="A5199" s="223"/>
      <c r="B5199" s="108"/>
      <c r="C5199" s="109" t="s">
        <v>129</v>
      </c>
      <c r="D5199" s="110">
        <f>SUM(D5186:D5198)</f>
        <v>7637880</v>
      </c>
      <c r="F5199" s="94"/>
    </row>
    <row r="5200" spans="1:7" s="53" customFormat="1" ht="15.5" thickTop="1" thickBot="1" x14ac:dyDescent="0.4">
      <c r="A5200" s="224"/>
      <c r="B5200" s="226"/>
      <c r="C5200" s="226"/>
      <c r="D5200" s="226"/>
      <c r="F5200" s="94"/>
    </row>
    <row r="5201" spans="1:6" s="53" customFormat="1" x14ac:dyDescent="0.35">
      <c r="B5201" s="87"/>
      <c r="C5201" s="53" t="s">
        <v>130</v>
      </c>
      <c r="D5201" s="111">
        <f>D5183-D5199</f>
        <v>3072120</v>
      </c>
      <c r="F5201" s="94"/>
    </row>
    <row r="5202" spans="1:6" s="53" customFormat="1" x14ac:dyDescent="0.35">
      <c r="B5202" s="87"/>
      <c r="D5202" s="111"/>
      <c r="F5202" s="94"/>
    </row>
    <row r="5203" spans="1:6" s="53" customFormat="1" x14ac:dyDescent="0.35">
      <c r="A5203" s="112"/>
      <c r="B5203" s="113"/>
      <c r="C5203" s="112"/>
      <c r="D5203" s="114"/>
      <c r="E5203" s="112"/>
      <c r="F5203" s="178"/>
    </row>
    <row r="5205" spans="1:6" s="53" customFormat="1" ht="23.5" x14ac:dyDescent="0.55000000000000004">
      <c r="B5205" s="227" t="s">
        <v>0</v>
      </c>
      <c r="C5205" s="227"/>
      <c r="D5205" s="227"/>
      <c r="E5205" s="70"/>
      <c r="F5205" s="176"/>
    </row>
    <row r="5206" spans="1:6" s="53" customFormat="1" ht="20.5" x14ac:dyDescent="0.45">
      <c r="B5206" s="71"/>
      <c r="C5206" s="72" t="s">
        <v>1293</v>
      </c>
      <c r="D5206" s="73"/>
      <c r="F5206" s="94"/>
    </row>
    <row r="5207" spans="1:6" s="53" customFormat="1" ht="21" thickBot="1" x14ac:dyDescent="0.5">
      <c r="B5207" s="71" t="s">
        <v>396</v>
      </c>
      <c r="C5207" s="74" t="s">
        <v>103</v>
      </c>
      <c r="D5207" s="73"/>
      <c r="F5207" s="94"/>
    </row>
    <row r="5208" spans="1:6" s="53" customFormat="1" ht="15" thickBot="1" x14ac:dyDescent="0.4">
      <c r="A5208" s="75" t="s">
        <v>104</v>
      </c>
      <c r="B5208" s="76" t="s">
        <v>81</v>
      </c>
      <c r="C5208" s="76" t="s">
        <v>105</v>
      </c>
      <c r="D5208" s="77" t="s">
        <v>84</v>
      </c>
      <c r="F5208" s="94"/>
    </row>
    <row r="5209" spans="1:6" s="53" customFormat="1" ht="14.5" customHeight="1" x14ac:dyDescent="0.35">
      <c r="A5209" s="222" t="s">
        <v>94</v>
      </c>
      <c r="B5209" s="78" t="s">
        <v>1276</v>
      </c>
      <c r="C5209" s="79" t="s">
        <v>319</v>
      </c>
      <c r="D5209" s="80">
        <f>F5216</f>
        <v>10710000</v>
      </c>
      <c r="F5209" s="94"/>
    </row>
    <row r="5210" spans="1:6" s="53" customFormat="1" ht="21" thickBot="1" x14ac:dyDescent="0.5">
      <c r="A5210" s="223"/>
      <c r="B5210" s="71"/>
      <c r="C5210" s="71"/>
      <c r="D5210" s="73"/>
      <c r="F5210" s="94"/>
    </row>
    <row r="5211" spans="1:6" s="53" customFormat="1" ht="15" thickBot="1" x14ac:dyDescent="0.4">
      <c r="A5211" s="223"/>
      <c r="B5211" s="81" t="s">
        <v>81</v>
      </c>
      <c r="C5211" s="82" t="s">
        <v>107</v>
      </c>
      <c r="D5211" s="83" t="s">
        <v>108</v>
      </c>
      <c r="F5211" s="94"/>
    </row>
    <row r="5212" spans="1:6" s="87" customFormat="1" x14ac:dyDescent="0.35">
      <c r="A5212" s="223"/>
      <c r="B5212" s="84" t="str">
        <f>B5209</f>
        <v>06th October,2025</v>
      </c>
      <c r="C5212" s="85" t="s">
        <v>1416</v>
      </c>
      <c r="D5212" s="86">
        <f>1850*2720</f>
        <v>5032000</v>
      </c>
      <c r="F5212" s="177"/>
    </row>
    <row r="5213" spans="1:6" s="53" customFormat="1" x14ac:dyDescent="0.35">
      <c r="A5213" s="223"/>
      <c r="B5213" s="88"/>
      <c r="C5213" s="89" t="s">
        <v>159</v>
      </c>
      <c r="D5213" s="90">
        <f>299*2650</f>
        <v>792350</v>
      </c>
      <c r="F5213" s="94"/>
    </row>
    <row r="5214" spans="1:6" s="53" customFormat="1" x14ac:dyDescent="0.35">
      <c r="A5214" s="223"/>
      <c r="B5214" s="88" t="s">
        <v>109</v>
      </c>
      <c r="C5214" s="89" t="s">
        <v>110</v>
      </c>
      <c r="D5214" s="90">
        <v>1000000</v>
      </c>
      <c r="F5214" s="94"/>
    </row>
    <row r="5215" spans="1:6" s="53" customFormat="1" x14ac:dyDescent="0.35">
      <c r="A5215" s="223"/>
      <c r="B5215" s="88" t="s">
        <v>111</v>
      </c>
      <c r="C5215" s="89" t="s">
        <v>112</v>
      </c>
      <c r="D5215" s="90">
        <v>40000</v>
      </c>
      <c r="E5215" s="225" t="s">
        <v>113</v>
      </c>
      <c r="F5215" s="225"/>
    </row>
    <row r="5216" spans="1:6" s="53" customFormat="1" x14ac:dyDescent="0.35">
      <c r="A5216" s="223"/>
      <c r="B5216" s="88" t="s">
        <v>114</v>
      </c>
      <c r="C5216" s="89" t="s">
        <v>115</v>
      </c>
      <c r="D5216" s="90">
        <f>400*123</f>
        <v>49200</v>
      </c>
      <c r="E5216" s="91" t="s">
        <v>116</v>
      </c>
      <c r="F5216" s="92">
        <f>4200*2550</f>
        <v>10710000</v>
      </c>
    </row>
    <row r="5217" spans="1:7" s="53" customFormat="1" x14ac:dyDescent="0.35">
      <c r="A5217" s="223"/>
      <c r="B5217" s="88"/>
      <c r="C5217" s="89" t="s">
        <v>117</v>
      </c>
      <c r="D5217" s="90">
        <f>3420*123</f>
        <v>420660</v>
      </c>
      <c r="E5217" s="93" t="s">
        <v>118</v>
      </c>
      <c r="F5217" s="94"/>
    </row>
    <row r="5218" spans="1:7" s="53" customFormat="1" ht="15" thickBot="1" x14ac:dyDescent="0.4">
      <c r="A5218" s="223"/>
      <c r="B5218" s="88" t="s">
        <v>119</v>
      </c>
      <c r="C5218" s="89" t="s">
        <v>120</v>
      </c>
      <c r="D5218" s="95">
        <v>30000</v>
      </c>
      <c r="E5218" s="96" t="s">
        <v>121</v>
      </c>
      <c r="F5218" s="97">
        <f>F5216-F5217</f>
        <v>10710000</v>
      </c>
      <c r="G5218" s="98">
        <f>F5218/2550</f>
        <v>4200</v>
      </c>
    </row>
    <row r="5219" spans="1:7" s="53" customFormat="1" ht="15" thickTop="1" x14ac:dyDescent="0.35">
      <c r="A5219" s="223"/>
      <c r="B5219" s="88"/>
      <c r="C5219" s="89" t="s">
        <v>122</v>
      </c>
      <c r="D5219" s="90">
        <v>150000</v>
      </c>
      <c r="F5219" s="94"/>
    </row>
    <row r="5220" spans="1:7" s="53" customFormat="1" x14ac:dyDescent="0.35">
      <c r="A5220" s="223"/>
      <c r="B5220" s="88" t="s">
        <v>1290</v>
      </c>
      <c r="C5220" s="99" t="s">
        <v>123</v>
      </c>
      <c r="D5220" s="90">
        <v>15000</v>
      </c>
      <c r="E5220" s="91" t="s">
        <v>124</v>
      </c>
      <c r="F5220" s="92"/>
    </row>
    <row r="5221" spans="1:7" s="53" customFormat="1" x14ac:dyDescent="0.35">
      <c r="A5221" s="223"/>
      <c r="B5221" s="101"/>
      <c r="C5221" s="99" t="s">
        <v>125</v>
      </c>
      <c r="D5221" s="100">
        <v>10000</v>
      </c>
      <c r="E5221" s="102"/>
      <c r="F5221" s="103"/>
    </row>
    <row r="5222" spans="1:7" s="53" customFormat="1" x14ac:dyDescent="0.35">
      <c r="A5222" s="223"/>
      <c r="B5222" s="101"/>
      <c r="C5222" s="99" t="s">
        <v>126</v>
      </c>
      <c r="D5222" s="100">
        <v>70000</v>
      </c>
      <c r="E5222" s="102" t="s">
        <v>127</v>
      </c>
      <c r="F5222" s="103"/>
    </row>
    <row r="5223" spans="1:7" s="53" customFormat="1" x14ac:dyDescent="0.35">
      <c r="A5223" s="223"/>
      <c r="B5223" s="101"/>
      <c r="C5223" s="89" t="s">
        <v>265</v>
      </c>
      <c r="D5223" s="104">
        <f>235*122</f>
        <v>28670</v>
      </c>
      <c r="E5223" s="102"/>
      <c r="F5223" s="103"/>
    </row>
    <row r="5224" spans="1:7" s="53" customFormat="1" ht="15" thickBot="1" x14ac:dyDescent="0.4">
      <c r="A5224" s="223"/>
      <c r="B5224" s="105"/>
      <c r="C5224" s="106"/>
      <c r="D5224" s="107"/>
      <c r="F5224" s="94"/>
    </row>
    <row r="5225" spans="1:7" s="53" customFormat="1" ht="15" thickBot="1" x14ac:dyDescent="0.4">
      <c r="A5225" s="223"/>
      <c r="B5225" s="108"/>
      <c r="C5225" s="109" t="s">
        <v>129</v>
      </c>
      <c r="D5225" s="110">
        <f>SUM(D5212:D5224)</f>
        <v>7637880</v>
      </c>
      <c r="F5225" s="94"/>
    </row>
    <row r="5226" spans="1:7" s="53" customFormat="1" ht="15.5" thickTop="1" thickBot="1" x14ac:dyDescent="0.4">
      <c r="A5226" s="224"/>
      <c r="B5226" s="226"/>
      <c r="C5226" s="226"/>
      <c r="D5226" s="226"/>
      <c r="F5226" s="94"/>
    </row>
    <row r="5227" spans="1:7" s="53" customFormat="1" x14ac:dyDescent="0.35">
      <c r="B5227" s="87"/>
      <c r="C5227" s="53" t="s">
        <v>130</v>
      </c>
      <c r="D5227" s="111">
        <f>D5209-D5225</f>
        <v>3072120</v>
      </c>
      <c r="F5227" s="94"/>
    </row>
    <row r="5228" spans="1:7" s="53" customFormat="1" x14ac:dyDescent="0.35">
      <c r="B5228" s="87"/>
      <c r="D5228" s="111"/>
      <c r="F5228" s="94"/>
    </row>
    <row r="5229" spans="1:7" s="53" customFormat="1" x14ac:dyDescent="0.35">
      <c r="A5229" s="112"/>
      <c r="B5229" s="113"/>
      <c r="C5229" s="112"/>
      <c r="D5229" s="114"/>
      <c r="E5229" s="112"/>
      <c r="F5229" s="178"/>
    </row>
    <row r="5231" spans="1:7" s="53" customFormat="1" ht="23.5" x14ac:dyDescent="0.55000000000000004">
      <c r="B5231" s="227" t="s">
        <v>0</v>
      </c>
      <c r="C5231" s="227"/>
      <c r="D5231" s="227"/>
      <c r="E5231" s="70"/>
      <c r="F5231" s="176"/>
    </row>
    <row r="5232" spans="1:7" s="53" customFormat="1" ht="20.5" x14ac:dyDescent="0.45">
      <c r="B5232" s="71"/>
      <c r="C5232" s="72" t="s">
        <v>1296</v>
      </c>
      <c r="D5232" s="73"/>
      <c r="F5232" s="94"/>
    </row>
    <row r="5233" spans="1:7" s="53" customFormat="1" ht="21" thickBot="1" x14ac:dyDescent="0.5">
      <c r="B5233" s="71" t="s">
        <v>812</v>
      </c>
      <c r="C5233" s="74" t="s">
        <v>103</v>
      </c>
      <c r="D5233" s="73"/>
      <c r="F5233" s="94"/>
    </row>
    <row r="5234" spans="1:7" s="53" customFormat="1" ht="15" thickBot="1" x14ac:dyDescent="0.4">
      <c r="A5234" s="75" t="s">
        <v>104</v>
      </c>
      <c r="B5234" s="76" t="s">
        <v>81</v>
      </c>
      <c r="C5234" s="76" t="s">
        <v>105</v>
      </c>
      <c r="D5234" s="77" t="s">
        <v>84</v>
      </c>
      <c r="F5234" s="94"/>
    </row>
    <row r="5235" spans="1:7" s="53" customFormat="1" ht="14.5" customHeight="1" x14ac:dyDescent="0.35">
      <c r="A5235" s="222" t="s">
        <v>94</v>
      </c>
      <c r="B5235" s="78" t="s">
        <v>1276</v>
      </c>
      <c r="C5235" s="79" t="s">
        <v>319</v>
      </c>
      <c r="D5235" s="80">
        <f>F5242</f>
        <v>10710000</v>
      </c>
      <c r="F5235" s="94"/>
    </row>
    <row r="5236" spans="1:7" s="53" customFormat="1" ht="21" thickBot="1" x14ac:dyDescent="0.5">
      <c r="A5236" s="223"/>
      <c r="B5236" s="71"/>
      <c r="C5236" s="71"/>
      <c r="D5236" s="73"/>
      <c r="F5236" s="94"/>
    </row>
    <row r="5237" spans="1:7" s="53" customFormat="1" ht="15" thickBot="1" x14ac:dyDescent="0.4">
      <c r="A5237" s="223"/>
      <c r="B5237" s="81" t="s">
        <v>81</v>
      </c>
      <c r="C5237" s="82" t="s">
        <v>107</v>
      </c>
      <c r="D5237" s="83" t="s">
        <v>108</v>
      </c>
      <c r="F5237" s="94"/>
    </row>
    <row r="5238" spans="1:7" s="87" customFormat="1" x14ac:dyDescent="0.35">
      <c r="A5238" s="223"/>
      <c r="B5238" s="84" t="str">
        <f>B5235</f>
        <v>06th October,2025</v>
      </c>
      <c r="C5238" s="85" t="s">
        <v>1416</v>
      </c>
      <c r="D5238" s="86">
        <f>1850*2720</f>
        <v>5032000</v>
      </c>
      <c r="F5238" s="177"/>
    </row>
    <row r="5239" spans="1:7" s="53" customFormat="1" x14ac:dyDescent="0.35">
      <c r="A5239" s="223"/>
      <c r="B5239" s="88"/>
      <c r="C5239" s="89" t="s">
        <v>159</v>
      </c>
      <c r="D5239" s="90">
        <f>299*2650</f>
        <v>792350</v>
      </c>
      <c r="F5239" s="94"/>
    </row>
    <row r="5240" spans="1:7" s="53" customFormat="1" x14ac:dyDescent="0.35">
      <c r="A5240" s="223"/>
      <c r="B5240" s="88" t="s">
        <v>109</v>
      </c>
      <c r="C5240" s="89" t="s">
        <v>110</v>
      </c>
      <c r="D5240" s="90">
        <v>1000000</v>
      </c>
      <c r="F5240" s="94"/>
    </row>
    <row r="5241" spans="1:7" s="53" customFormat="1" x14ac:dyDescent="0.35">
      <c r="A5241" s="223"/>
      <c r="B5241" s="88" t="s">
        <v>111</v>
      </c>
      <c r="C5241" s="89" t="s">
        <v>112</v>
      </c>
      <c r="D5241" s="90">
        <v>40000</v>
      </c>
      <c r="E5241" s="225" t="s">
        <v>113</v>
      </c>
      <c r="F5241" s="225"/>
    </row>
    <row r="5242" spans="1:7" s="53" customFormat="1" x14ac:dyDescent="0.35">
      <c r="A5242" s="223"/>
      <c r="B5242" s="88" t="s">
        <v>114</v>
      </c>
      <c r="C5242" s="89" t="s">
        <v>115</v>
      </c>
      <c r="D5242" s="90">
        <f>400*123</f>
        <v>49200</v>
      </c>
      <c r="E5242" s="91" t="s">
        <v>116</v>
      </c>
      <c r="F5242" s="92">
        <f>4200*2550</f>
        <v>10710000</v>
      </c>
    </row>
    <row r="5243" spans="1:7" s="53" customFormat="1" x14ac:dyDescent="0.35">
      <c r="A5243" s="223"/>
      <c r="B5243" s="88"/>
      <c r="C5243" s="89" t="s">
        <v>117</v>
      </c>
      <c r="D5243" s="90">
        <f>3420*123</f>
        <v>420660</v>
      </c>
      <c r="E5243" s="93" t="s">
        <v>118</v>
      </c>
      <c r="F5243" s="94">
        <f>(4200*2550)</f>
        <v>10710000</v>
      </c>
    </row>
    <row r="5244" spans="1:7" s="53" customFormat="1" ht="15" thickBot="1" x14ac:dyDescent="0.4">
      <c r="A5244" s="223"/>
      <c r="B5244" s="88" t="s">
        <v>119</v>
      </c>
      <c r="C5244" s="89" t="s">
        <v>120</v>
      </c>
      <c r="D5244" s="95">
        <v>30000</v>
      </c>
      <c r="E5244" s="96" t="s">
        <v>121</v>
      </c>
      <c r="F5244" s="97">
        <f>F5242-F5243</f>
        <v>0</v>
      </c>
      <c r="G5244" s="98">
        <f>F5244/2550</f>
        <v>0</v>
      </c>
    </row>
    <row r="5245" spans="1:7" s="53" customFormat="1" ht="15" thickTop="1" x14ac:dyDescent="0.35">
      <c r="A5245" s="223"/>
      <c r="B5245" s="88"/>
      <c r="C5245" s="89" t="s">
        <v>122</v>
      </c>
      <c r="D5245" s="90">
        <v>150000</v>
      </c>
      <c r="F5245" s="94"/>
    </row>
    <row r="5246" spans="1:7" s="53" customFormat="1" x14ac:dyDescent="0.35">
      <c r="A5246" s="223"/>
      <c r="B5246" s="88" t="s">
        <v>1295</v>
      </c>
      <c r="C5246" s="99" t="s">
        <v>123</v>
      </c>
      <c r="D5246" s="90">
        <v>15000</v>
      </c>
      <c r="E5246" s="91" t="s">
        <v>124</v>
      </c>
      <c r="F5246" s="92"/>
    </row>
    <row r="5247" spans="1:7" s="53" customFormat="1" x14ac:dyDescent="0.35">
      <c r="A5247" s="223"/>
      <c r="B5247" s="101"/>
      <c r="C5247" s="99" t="s">
        <v>125</v>
      </c>
      <c r="D5247" s="100">
        <v>10000</v>
      </c>
      <c r="E5247" s="102"/>
      <c r="F5247" s="103"/>
    </row>
    <row r="5248" spans="1:7" s="53" customFormat="1" x14ac:dyDescent="0.35">
      <c r="A5248" s="223"/>
      <c r="B5248" s="101"/>
      <c r="C5248" s="99" t="s">
        <v>126</v>
      </c>
      <c r="D5248" s="100">
        <v>70000</v>
      </c>
      <c r="E5248" s="102" t="s">
        <v>127</v>
      </c>
      <c r="F5248" s="103"/>
    </row>
    <row r="5249" spans="1:6" s="53" customFormat="1" x14ac:dyDescent="0.35">
      <c r="A5249" s="223"/>
      <c r="B5249" s="101"/>
      <c r="C5249" s="89" t="s">
        <v>265</v>
      </c>
      <c r="D5249" s="104">
        <f>235*122</f>
        <v>28670</v>
      </c>
      <c r="E5249" s="102" t="s">
        <v>1509</v>
      </c>
      <c r="F5249" s="103"/>
    </row>
    <row r="5250" spans="1:6" s="53" customFormat="1" ht="15" thickBot="1" x14ac:dyDescent="0.4">
      <c r="A5250" s="223"/>
      <c r="B5250" s="105"/>
      <c r="C5250" s="106"/>
      <c r="D5250" s="107"/>
      <c r="F5250" s="94"/>
    </row>
    <row r="5251" spans="1:6" s="53" customFormat="1" ht="15" thickBot="1" x14ac:dyDescent="0.4">
      <c r="A5251" s="223"/>
      <c r="B5251" s="108"/>
      <c r="C5251" s="109" t="s">
        <v>129</v>
      </c>
      <c r="D5251" s="110">
        <f>SUM(D5238:D5250)</f>
        <v>7637880</v>
      </c>
      <c r="F5251" s="94"/>
    </row>
    <row r="5252" spans="1:6" s="53" customFormat="1" ht="15.5" thickTop="1" thickBot="1" x14ac:dyDescent="0.4">
      <c r="A5252" s="224"/>
      <c r="B5252" s="226"/>
      <c r="C5252" s="226"/>
      <c r="D5252" s="226"/>
      <c r="F5252" s="94"/>
    </row>
    <row r="5253" spans="1:6" s="53" customFormat="1" x14ac:dyDescent="0.35">
      <c r="B5253" s="87"/>
      <c r="C5253" s="53" t="s">
        <v>130</v>
      </c>
      <c r="D5253" s="111">
        <f>D5235-D5251</f>
        <v>3072120</v>
      </c>
      <c r="F5253" s="94"/>
    </row>
    <row r="5254" spans="1:6" s="53" customFormat="1" x14ac:dyDescent="0.35">
      <c r="B5254" s="87"/>
      <c r="D5254" s="111"/>
      <c r="F5254" s="94"/>
    </row>
    <row r="5255" spans="1:6" s="53" customFormat="1" x14ac:dyDescent="0.35">
      <c r="A5255" s="112"/>
      <c r="B5255" s="113"/>
      <c r="C5255" s="112"/>
      <c r="D5255" s="114"/>
      <c r="E5255" s="112"/>
      <c r="F5255" s="178"/>
    </row>
    <row r="5257" spans="1:6" s="53" customFormat="1" ht="23.5" x14ac:dyDescent="0.55000000000000004">
      <c r="B5257" s="227" t="s">
        <v>0</v>
      </c>
      <c r="C5257" s="227"/>
      <c r="D5257" s="227"/>
      <c r="E5257" s="70"/>
      <c r="F5257" s="176"/>
    </row>
    <row r="5258" spans="1:6" s="53" customFormat="1" ht="20.5" x14ac:dyDescent="0.45">
      <c r="B5258" s="71"/>
      <c r="C5258" s="72" t="s">
        <v>1300</v>
      </c>
      <c r="D5258" s="73"/>
      <c r="F5258" s="94"/>
    </row>
    <row r="5259" spans="1:6" s="53" customFormat="1" ht="21" thickBot="1" x14ac:dyDescent="0.5">
      <c r="B5259" s="71" t="s">
        <v>996</v>
      </c>
      <c r="C5259" s="74" t="s">
        <v>103</v>
      </c>
      <c r="D5259" s="73"/>
      <c r="F5259" s="94"/>
    </row>
    <row r="5260" spans="1:6" s="53" customFormat="1" ht="15" thickBot="1" x14ac:dyDescent="0.4">
      <c r="A5260" s="75" t="s">
        <v>104</v>
      </c>
      <c r="B5260" s="76" t="s">
        <v>81</v>
      </c>
      <c r="C5260" s="76" t="s">
        <v>105</v>
      </c>
      <c r="D5260" s="77" t="s">
        <v>84</v>
      </c>
      <c r="F5260" s="94"/>
    </row>
    <row r="5261" spans="1:6" s="53" customFormat="1" ht="14.5" customHeight="1" x14ac:dyDescent="0.35">
      <c r="A5261" s="222" t="s">
        <v>94</v>
      </c>
      <c r="B5261" s="78" t="s">
        <v>1276</v>
      </c>
      <c r="C5261" s="79" t="s">
        <v>319</v>
      </c>
      <c r="D5261" s="80">
        <f>F5268</f>
        <v>10710000</v>
      </c>
      <c r="F5261" s="94"/>
    </row>
    <row r="5262" spans="1:6" s="53" customFormat="1" ht="21" thickBot="1" x14ac:dyDescent="0.5">
      <c r="A5262" s="223"/>
      <c r="B5262" s="71"/>
      <c r="C5262" s="71"/>
      <c r="D5262" s="73"/>
      <c r="F5262" s="94"/>
    </row>
    <row r="5263" spans="1:6" s="53" customFormat="1" ht="15" thickBot="1" x14ac:dyDescent="0.4">
      <c r="A5263" s="223"/>
      <c r="B5263" s="81" t="s">
        <v>81</v>
      </c>
      <c r="C5263" s="82" t="s">
        <v>107</v>
      </c>
      <c r="D5263" s="83" t="s">
        <v>108</v>
      </c>
      <c r="F5263" s="94"/>
    </row>
    <row r="5264" spans="1:6" s="87" customFormat="1" x14ac:dyDescent="0.35">
      <c r="A5264" s="223"/>
      <c r="B5264" s="84" t="str">
        <f>B5261</f>
        <v>06th October,2025</v>
      </c>
      <c r="C5264" s="85" t="s">
        <v>1416</v>
      </c>
      <c r="D5264" s="86">
        <f>1850*2720</f>
        <v>5032000</v>
      </c>
      <c r="F5264" s="177"/>
    </row>
    <row r="5265" spans="1:7" s="53" customFormat="1" x14ac:dyDescent="0.35">
      <c r="A5265" s="223"/>
      <c r="B5265" s="88"/>
      <c r="C5265" s="89" t="s">
        <v>159</v>
      </c>
      <c r="D5265" s="90">
        <f>299*2650</f>
        <v>792350</v>
      </c>
      <c r="F5265" s="94"/>
    </row>
    <row r="5266" spans="1:7" s="53" customFormat="1" x14ac:dyDescent="0.35">
      <c r="A5266" s="223"/>
      <c r="B5266" s="88" t="s">
        <v>109</v>
      </c>
      <c r="C5266" s="89" t="s">
        <v>110</v>
      </c>
      <c r="D5266" s="90">
        <v>1000000</v>
      </c>
      <c r="F5266" s="94"/>
    </row>
    <row r="5267" spans="1:7" s="53" customFormat="1" x14ac:dyDescent="0.35">
      <c r="A5267" s="223"/>
      <c r="B5267" s="88" t="s">
        <v>111</v>
      </c>
      <c r="C5267" s="89" t="s">
        <v>112</v>
      </c>
      <c r="D5267" s="90">
        <v>40000</v>
      </c>
      <c r="E5267" s="225" t="s">
        <v>113</v>
      </c>
      <c r="F5267" s="225"/>
    </row>
    <row r="5268" spans="1:7" s="53" customFormat="1" x14ac:dyDescent="0.35">
      <c r="A5268" s="223"/>
      <c r="B5268" s="88" t="s">
        <v>114</v>
      </c>
      <c r="C5268" s="89" t="s">
        <v>115</v>
      </c>
      <c r="D5268" s="90">
        <f>400*123</f>
        <v>49200</v>
      </c>
      <c r="E5268" s="91" t="s">
        <v>116</v>
      </c>
      <c r="F5268" s="92">
        <f>4200*2550</f>
        <v>10710000</v>
      </c>
    </row>
    <row r="5269" spans="1:7" s="53" customFormat="1" x14ac:dyDescent="0.35">
      <c r="A5269" s="223"/>
      <c r="B5269" s="88"/>
      <c r="C5269" s="89" t="s">
        <v>117</v>
      </c>
      <c r="D5269" s="90">
        <f>3420*123</f>
        <v>420660</v>
      </c>
      <c r="E5269" s="93" t="s">
        <v>118</v>
      </c>
      <c r="F5269" s="94">
        <f>(4200*2550)</f>
        <v>10710000</v>
      </c>
    </row>
    <row r="5270" spans="1:7" s="53" customFormat="1" ht="15" thickBot="1" x14ac:dyDescent="0.4">
      <c r="A5270" s="223"/>
      <c r="B5270" s="88" t="s">
        <v>119</v>
      </c>
      <c r="C5270" s="89" t="s">
        <v>120</v>
      </c>
      <c r="D5270" s="95">
        <v>30000</v>
      </c>
      <c r="E5270" s="96" t="s">
        <v>121</v>
      </c>
      <c r="F5270" s="97">
        <f>F5268-F5269</f>
        <v>0</v>
      </c>
      <c r="G5270" s="98">
        <f>F5270/2550</f>
        <v>0</v>
      </c>
    </row>
    <row r="5271" spans="1:7" s="53" customFormat="1" ht="15" thickTop="1" x14ac:dyDescent="0.35">
      <c r="A5271" s="223"/>
      <c r="B5271" s="88"/>
      <c r="C5271" s="89" t="s">
        <v>122</v>
      </c>
      <c r="D5271" s="90">
        <v>150000</v>
      </c>
      <c r="F5271" s="94"/>
    </row>
    <row r="5272" spans="1:7" s="53" customFormat="1" x14ac:dyDescent="0.35">
      <c r="A5272" s="223"/>
      <c r="B5272" s="88" t="s">
        <v>1298</v>
      </c>
      <c r="C5272" s="99" t="s">
        <v>123</v>
      </c>
      <c r="D5272" s="90">
        <v>15000</v>
      </c>
      <c r="E5272" s="91" t="s">
        <v>124</v>
      </c>
      <c r="F5272" s="92"/>
    </row>
    <row r="5273" spans="1:7" s="53" customFormat="1" x14ac:dyDescent="0.35">
      <c r="A5273" s="223"/>
      <c r="B5273" s="101"/>
      <c r="C5273" s="99" t="s">
        <v>125</v>
      </c>
      <c r="D5273" s="100">
        <v>10000</v>
      </c>
      <c r="E5273" s="102"/>
      <c r="F5273" s="103"/>
    </row>
    <row r="5274" spans="1:7" s="53" customFormat="1" x14ac:dyDescent="0.35">
      <c r="A5274" s="223"/>
      <c r="B5274" s="101"/>
      <c r="C5274" s="99" t="s">
        <v>126</v>
      </c>
      <c r="D5274" s="100">
        <v>70000</v>
      </c>
      <c r="E5274" s="102" t="s">
        <v>127</v>
      </c>
      <c r="F5274" s="103"/>
    </row>
    <row r="5275" spans="1:7" s="53" customFormat="1" x14ac:dyDescent="0.35">
      <c r="A5275" s="223"/>
      <c r="B5275" s="101"/>
      <c r="C5275" s="89" t="s">
        <v>265</v>
      </c>
      <c r="D5275" s="104">
        <f>235*122</f>
        <v>28670</v>
      </c>
      <c r="E5275" s="102" t="s">
        <v>1509</v>
      </c>
      <c r="F5275" s="103"/>
    </row>
    <row r="5276" spans="1:7" s="53" customFormat="1" ht="15" thickBot="1" x14ac:dyDescent="0.4">
      <c r="A5276" s="223"/>
      <c r="B5276" s="105"/>
      <c r="C5276" s="106"/>
      <c r="D5276" s="107"/>
      <c r="F5276" s="94"/>
    </row>
    <row r="5277" spans="1:7" s="53" customFormat="1" ht="15" thickBot="1" x14ac:dyDescent="0.4">
      <c r="A5277" s="223"/>
      <c r="B5277" s="108"/>
      <c r="C5277" s="109" t="s">
        <v>129</v>
      </c>
      <c r="D5277" s="110">
        <f>SUM(D5264:D5276)</f>
        <v>7637880</v>
      </c>
      <c r="F5277" s="94"/>
    </row>
    <row r="5278" spans="1:7" s="53" customFormat="1" ht="15.5" thickTop="1" thickBot="1" x14ac:dyDescent="0.4">
      <c r="A5278" s="224"/>
      <c r="B5278" s="226"/>
      <c r="C5278" s="226"/>
      <c r="D5278" s="226"/>
      <c r="F5278" s="94"/>
    </row>
    <row r="5279" spans="1:7" s="53" customFormat="1" x14ac:dyDescent="0.35">
      <c r="B5279" s="87"/>
      <c r="C5279" s="53" t="s">
        <v>130</v>
      </c>
      <c r="D5279" s="111">
        <f>D5261-D5277</f>
        <v>3072120</v>
      </c>
      <c r="F5279" s="94"/>
    </row>
    <row r="5280" spans="1:7" s="53" customFormat="1" x14ac:dyDescent="0.35">
      <c r="B5280" s="87"/>
      <c r="D5280" s="111"/>
      <c r="F5280" s="94"/>
    </row>
    <row r="5281" spans="1:7" s="53" customFormat="1" x14ac:dyDescent="0.35">
      <c r="A5281" s="112"/>
      <c r="B5281" s="113"/>
      <c r="C5281" s="112"/>
      <c r="D5281" s="114"/>
      <c r="E5281" s="112"/>
      <c r="F5281" s="178"/>
    </row>
    <row r="5283" spans="1:7" s="53" customFormat="1" ht="23.5" x14ac:dyDescent="0.55000000000000004">
      <c r="B5283" s="227" t="s">
        <v>0</v>
      </c>
      <c r="C5283" s="227"/>
      <c r="D5283" s="227"/>
      <c r="E5283" s="70"/>
      <c r="F5283" s="176"/>
    </row>
    <row r="5284" spans="1:7" s="53" customFormat="1" ht="20.5" x14ac:dyDescent="0.45">
      <c r="B5284" s="71"/>
      <c r="C5284" s="72" t="s">
        <v>1302</v>
      </c>
      <c r="D5284" s="73"/>
      <c r="F5284" s="94"/>
    </row>
    <row r="5285" spans="1:7" s="53" customFormat="1" ht="21" thickBot="1" x14ac:dyDescent="0.5">
      <c r="B5285" s="71" t="s">
        <v>208</v>
      </c>
      <c r="C5285" s="74" t="s">
        <v>103</v>
      </c>
      <c r="D5285" s="73"/>
      <c r="F5285" s="94"/>
    </row>
    <row r="5286" spans="1:7" s="53" customFormat="1" ht="15" thickBot="1" x14ac:dyDescent="0.4">
      <c r="A5286" s="75" t="s">
        <v>104</v>
      </c>
      <c r="B5286" s="76" t="s">
        <v>81</v>
      </c>
      <c r="C5286" s="76" t="s">
        <v>105</v>
      </c>
      <c r="D5286" s="77" t="s">
        <v>84</v>
      </c>
      <c r="F5286" s="94"/>
    </row>
    <row r="5287" spans="1:7" s="53" customFormat="1" ht="14.5" customHeight="1" x14ac:dyDescent="0.35">
      <c r="A5287" s="222" t="s">
        <v>94</v>
      </c>
      <c r="B5287" s="78" t="s">
        <v>1276</v>
      </c>
      <c r="C5287" s="79" t="s">
        <v>319</v>
      </c>
      <c r="D5287" s="80">
        <f>F5294</f>
        <v>10710000</v>
      </c>
      <c r="F5287" s="94"/>
    </row>
    <row r="5288" spans="1:7" s="53" customFormat="1" ht="21" thickBot="1" x14ac:dyDescent="0.5">
      <c r="A5288" s="223"/>
      <c r="B5288" s="71"/>
      <c r="C5288" s="71"/>
      <c r="D5288" s="73"/>
      <c r="F5288" s="94"/>
    </row>
    <row r="5289" spans="1:7" s="53" customFormat="1" ht="15" thickBot="1" x14ac:dyDescent="0.4">
      <c r="A5289" s="223"/>
      <c r="B5289" s="81" t="s">
        <v>81</v>
      </c>
      <c r="C5289" s="82" t="s">
        <v>107</v>
      </c>
      <c r="D5289" s="83" t="s">
        <v>108</v>
      </c>
      <c r="F5289" s="94"/>
    </row>
    <row r="5290" spans="1:7" s="87" customFormat="1" x14ac:dyDescent="0.35">
      <c r="A5290" s="223"/>
      <c r="B5290" s="84" t="str">
        <f>B5287</f>
        <v>06th October,2025</v>
      </c>
      <c r="C5290" s="85" t="s">
        <v>1416</v>
      </c>
      <c r="D5290" s="86">
        <f>1850*2720</f>
        <v>5032000</v>
      </c>
      <c r="F5290" s="177"/>
    </row>
    <row r="5291" spans="1:7" s="53" customFormat="1" x14ac:dyDescent="0.35">
      <c r="A5291" s="223"/>
      <c r="B5291" s="88"/>
      <c r="C5291" s="89" t="s">
        <v>159</v>
      </c>
      <c r="D5291" s="90">
        <f>299*2650</f>
        <v>792350</v>
      </c>
      <c r="F5291" s="94"/>
    </row>
    <row r="5292" spans="1:7" s="53" customFormat="1" x14ac:dyDescent="0.35">
      <c r="A5292" s="223"/>
      <c r="B5292" s="88" t="s">
        <v>109</v>
      </c>
      <c r="C5292" s="89" t="s">
        <v>110</v>
      </c>
      <c r="D5292" s="90">
        <v>1000000</v>
      </c>
      <c r="F5292" s="94"/>
    </row>
    <row r="5293" spans="1:7" s="53" customFormat="1" x14ac:dyDescent="0.35">
      <c r="A5293" s="223"/>
      <c r="B5293" s="88" t="s">
        <v>111</v>
      </c>
      <c r="C5293" s="89" t="s">
        <v>112</v>
      </c>
      <c r="D5293" s="90">
        <v>40000</v>
      </c>
      <c r="E5293" s="225" t="s">
        <v>113</v>
      </c>
      <c r="F5293" s="225"/>
    </row>
    <row r="5294" spans="1:7" s="53" customFormat="1" x14ac:dyDescent="0.35">
      <c r="A5294" s="223"/>
      <c r="B5294" s="88" t="s">
        <v>114</v>
      </c>
      <c r="C5294" s="89" t="s">
        <v>115</v>
      </c>
      <c r="D5294" s="90">
        <f>400*123</f>
        <v>49200</v>
      </c>
      <c r="E5294" s="91" t="s">
        <v>116</v>
      </c>
      <c r="F5294" s="92">
        <f>4200*2550</f>
        <v>10710000</v>
      </c>
    </row>
    <row r="5295" spans="1:7" s="53" customFormat="1" x14ac:dyDescent="0.35">
      <c r="A5295" s="223"/>
      <c r="B5295" s="88"/>
      <c r="C5295" s="89" t="s">
        <v>117</v>
      </c>
      <c r="D5295" s="90">
        <f>3420*123</f>
        <v>420660</v>
      </c>
      <c r="E5295" s="93" t="s">
        <v>118</v>
      </c>
      <c r="F5295" s="94">
        <f>(4200*2550)</f>
        <v>10710000</v>
      </c>
    </row>
    <row r="5296" spans="1:7" s="53" customFormat="1" ht="15" thickBot="1" x14ac:dyDescent="0.4">
      <c r="A5296" s="223"/>
      <c r="B5296" s="88" t="s">
        <v>119</v>
      </c>
      <c r="C5296" s="89" t="s">
        <v>120</v>
      </c>
      <c r="D5296" s="95">
        <v>30000</v>
      </c>
      <c r="E5296" s="96" t="s">
        <v>121</v>
      </c>
      <c r="F5296" s="97">
        <f>F5294-F5295</f>
        <v>0</v>
      </c>
      <c r="G5296" s="98">
        <f>F5296/2550</f>
        <v>0</v>
      </c>
    </row>
    <row r="5297" spans="1:6" s="53" customFormat="1" ht="15" thickTop="1" x14ac:dyDescent="0.35">
      <c r="A5297" s="223"/>
      <c r="B5297" s="88"/>
      <c r="C5297" s="89" t="s">
        <v>122</v>
      </c>
      <c r="D5297" s="90">
        <v>150000</v>
      </c>
      <c r="F5297" s="94"/>
    </row>
    <row r="5298" spans="1:6" s="53" customFormat="1" x14ac:dyDescent="0.35">
      <c r="A5298" s="223"/>
      <c r="B5298" s="88" t="s">
        <v>1301</v>
      </c>
      <c r="C5298" s="99" t="s">
        <v>123</v>
      </c>
      <c r="D5298" s="90">
        <v>15000</v>
      </c>
      <c r="E5298" s="91" t="s">
        <v>124</v>
      </c>
      <c r="F5298" s="92"/>
    </row>
    <row r="5299" spans="1:6" s="53" customFormat="1" x14ac:dyDescent="0.35">
      <c r="A5299" s="223"/>
      <c r="B5299" s="101"/>
      <c r="C5299" s="99" t="s">
        <v>125</v>
      </c>
      <c r="D5299" s="100">
        <v>10000</v>
      </c>
      <c r="E5299" s="102"/>
      <c r="F5299" s="103"/>
    </row>
    <row r="5300" spans="1:6" s="53" customFormat="1" x14ac:dyDescent="0.35">
      <c r="A5300" s="223"/>
      <c r="B5300" s="101"/>
      <c r="C5300" s="99" t="s">
        <v>126</v>
      </c>
      <c r="D5300" s="100">
        <v>70000</v>
      </c>
      <c r="E5300" s="102" t="s">
        <v>127</v>
      </c>
      <c r="F5300" s="103"/>
    </row>
    <row r="5301" spans="1:6" s="53" customFormat="1" x14ac:dyDescent="0.35">
      <c r="A5301" s="223"/>
      <c r="B5301" s="101"/>
      <c r="C5301" s="89" t="s">
        <v>265</v>
      </c>
      <c r="D5301" s="104">
        <f>235*122</f>
        <v>28670</v>
      </c>
      <c r="E5301" s="102" t="s">
        <v>1508</v>
      </c>
      <c r="F5301" s="103"/>
    </row>
    <row r="5302" spans="1:6" s="53" customFormat="1" ht="15" thickBot="1" x14ac:dyDescent="0.4">
      <c r="A5302" s="223"/>
      <c r="B5302" s="105"/>
      <c r="C5302" s="106"/>
      <c r="D5302" s="107"/>
      <c r="F5302" s="94"/>
    </row>
    <row r="5303" spans="1:6" s="53" customFormat="1" ht="15" thickBot="1" x14ac:dyDescent="0.4">
      <c r="A5303" s="223"/>
      <c r="B5303" s="108"/>
      <c r="C5303" s="109" t="s">
        <v>129</v>
      </c>
      <c r="D5303" s="110">
        <f>SUM(D5290:D5302)</f>
        <v>7637880</v>
      </c>
      <c r="F5303" s="94"/>
    </row>
    <row r="5304" spans="1:6" s="53" customFormat="1" ht="15.5" thickTop="1" thickBot="1" x14ac:dyDescent="0.4">
      <c r="A5304" s="224"/>
      <c r="B5304" s="226"/>
      <c r="C5304" s="226"/>
      <c r="D5304" s="226"/>
      <c r="F5304" s="94"/>
    </row>
    <row r="5305" spans="1:6" s="53" customFormat="1" x14ac:dyDescent="0.35">
      <c r="B5305" s="87"/>
      <c r="C5305" s="53" t="s">
        <v>130</v>
      </c>
      <c r="D5305" s="111">
        <f>D5287-D5303</f>
        <v>3072120</v>
      </c>
      <c r="F5305" s="94"/>
    </row>
    <row r="5306" spans="1:6" s="53" customFormat="1" x14ac:dyDescent="0.35">
      <c r="B5306" s="87"/>
      <c r="D5306" s="111"/>
      <c r="F5306" s="94"/>
    </row>
    <row r="5307" spans="1:6" s="53" customFormat="1" x14ac:dyDescent="0.35">
      <c r="A5307" s="112"/>
      <c r="B5307" s="113"/>
      <c r="C5307" s="112"/>
      <c r="D5307" s="114"/>
      <c r="E5307" s="112"/>
      <c r="F5307" s="178"/>
    </row>
    <row r="5309" spans="1:6" s="53" customFormat="1" ht="23.5" x14ac:dyDescent="0.55000000000000004">
      <c r="B5309" s="227" t="s">
        <v>0</v>
      </c>
      <c r="C5309" s="227"/>
      <c r="D5309" s="227"/>
      <c r="E5309" s="70"/>
      <c r="F5309" s="176"/>
    </row>
    <row r="5310" spans="1:6" s="53" customFormat="1" ht="20.5" x14ac:dyDescent="0.45">
      <c r="B5310" s="71"/>
      <c r="C5310" s="72" t="s">
        <v>1306</v>
      </c>
      <c r="D5310" s="73"/>
      <c r="F5310" s="94"/>
    </row>
    <row r="5311" spans="1:6" s="53" customFormat="1" ht="21" thickBot="1" x14ac:dyDescent="0.5">
      <c r="B5311" s="71" t="s">
        <v>949</v>
      </c>
      <c r="C5311" s="74" t="s">
        <v>103</v>
      </c>
      <c r="D5311" s="73"/>
      <c r="F5311" s="94"/>
    </row>
    <row r="5312" spans="1:6" s="53" customFormat="1" ht="15" thickBot="1" x14ac:dyDescent="0.4">
      <c r="A5312" s="75" t="s">
        <v>104</v>
      </c>
      <c r="B5312" s="76" t="s">
        <v>81</v>
      </c>
      <c r="C5312" s="76" t="s">
        <v>105</v>
      </c>
      <c r="D5312" s="77" t="s">
        <v>84</v>
      </c>
      <c r="F5312" s="94"/>
    </row>
    <row r="5313" spans="1:7" s="53" customFormat="1" ht="14.5" customHeight="1" x14ac:dyDescent="0.35">
      <c r="A5313" s="222" t="s">
        <v>94</v>
      </c>
      <c r="B5313" s="78" t="s">
        <v>1276</v>
      </c>
      <c r="C5313" s="79" t="s">
        <v>959</v>
      </c>
      <c r="D5313" s="80">
        <f>F5320</f>
        <v>10269000</v>
      </c>
      <c r="F5313" s="94"/>
    </row>
    <row r="5314" spans="1:7" s="53" customFormat="1" ht="21" thickBot="1" x14ac:dyDescent="0.5">
      <c r="A5314" s="223"/>
      <c r="B5314" s="71"/>
      <c r="C5314" s="71"/>
      <c r="D5314" s="73"/>
      <c r="F5314" s="94"/>
    </row>
    <row r="5315" spans="1:7" s="53" customFormat="1" ht="15" thickBot="1" x14ac:dyDescent="0.4">
      <c r="A5315" s="223"/>
      <c r="B5315" s="81" t="s">
        <v>81</v>
      </c>
      <c r="C5315" s="82" t="s">
        <v>107</v>
      </c>
      <c r="D5315" s="83" t="s">
        <v>108</v>
      </c>
      <c r="F5315" s="94"/>
    </row>
    <row r="5316" spans="1:7" s="87" customFormat="1" x14ac:dyDescent="0.35">
      <c r="A5316" s="223"/>
      <c r="B5316" s="84" t="str">
        <f>B5313</f>
        <v>06th October,2025</v>
      </c>
      <c r="C5316" s="85" t="s">
        <v>1416</v>
      </c>
      <c r="D5316" s="86">
        <f>1850*2720</f>
        <v>5032000</v>
      </c>
      <c r="F5316" s="177"/>
    </row>
    <row r="5317" spans="1:7" s="53" customFormat="1" x14ac:dyDescent="0.35">
      <c r="A5317" s="223"/>
      <c r="B5317" s="88"/>
      <c r="C5317" s="89" t="s">
        <v>159</v>
      </c>
      <c r="D5317" s="90">
        <f>299*2650</f>
        <v>792350</v>
      </c>
      <c r="F5317" s="94"/>
    </row>
    <row r="5318" spans="1:7" s="53" customFormat="1" x14ac:dyDescent="0.35">
      <c r="A5318" s="223"/>
      <c r="B5318" s="88" t="s">
        <v>109</v>
      </c>
      <c r="C5318" s="89" t="s">
        <v>110</v>
      </c>
      <c r="D5318" s="90">
        <v>1000000</v>
      </c>
      <c r="F5318" s="94"/>
    </row>
    <row r="5319" spans="1:7" s="53" customFormat="1" x14ac:dyDescent="0.35">
      <c r="A5319" s="223"/>
      <c r="B5319" s="88" t="s">
        <v>111</v>
      </c>
      <c r="C5319" s="89" t="s">
        <v>112</v>
      </c>
      <c r="D5319" s="90">
        <v>40000</v>
      </c>
      <c r="E5319" s="225" t="s">
        <v>113</v>
      </c>
      <c r="F5319" s="225"/>
    </row>
    <row r="5320" spans="1:7" s="53" customFormat="1" x14ac:dyDescent="0.35">
      <c r="A5320" s="223"/>
      <c r="B5320" s="88" t="s">
        <v>114</v>
      </c>
      <c r="C5320" s="89" t="s">
        <v>115</v>
      </c>
      <c r="D5320" s="90">
        <f>400*123</f>
        <v>49200</v>
      </c>
      <c r="E5320" s="91" t="s">
        <v>116</v>
      </c>
      <c r="F5320" s="92">
        <f>4200*2445</f>
        <v>10269000</v>
      </c>
    </row>
    <row r="5321" spans="1:7" s="53" customFormat="1" x14ac:dyDescent="0.35">
      <c r="A5321" s="223"/>
      <c r="B5321" s="88"/>
      <c r="C5321" s="89" t="s">
        <v>117</v>
      </c>
      <c r="D5321" s="90">
        <f>3420*123</f>
        <v>420660</v>
      </c>
      <c r="E5321" s="93" t="s">
        <v>118</v>
      </c>
      <c r="F5321" s="94"/>
    </row>
    <row r="5322" spans="1:7" s="53" customFormat="1" ht="15" thickBot="1" x14ac:dyDescent="0.4">
      <c r="A5322" s="223"/>
      <c r="B5322" s="88" t="s">
        <v>119</v>
      </c>
      <c r="C5322" s="89" t="s">
        <v>120</v>
      </c>
      <c r="D5322" s="95">
        <v>30000</v>
      </c>
      <c r="E5322" s="96" t="s">
        <v>121</v>
      </c>
      <c r="F5322" s="97">
        <f>F5320-F5321</f>
        <v>10269000</v>
      </c>
      <c r="G5322" s="98">
        <f>F5322/2445</f>
        <v>4200</v>
      </c>
    </row>
    <row r="5323" spans="1:7" s="53" customFormat="1" ht="15" thickTop="1" x14ac:dyDescent="0.35">
      <c r="A5323" s="223"/>
      <c r="B5323" s="88"/>
      <c r="C5323" s="89" t="s">
        <v>122</v>
      </c>
      <c r="D5323" s="90">
        <v>150000</v>
      </c>
      <c r="F5323" s="94"/>
    </row>
    <row r="5324" spans="1:7" s="53" customFormat="1" x14ac:dyDescent="0.35">
      <c r="A5324" s="223"/>
      <c r="B5324" s="88" t="s">
        <v>1263</v>
      </c>
      <c r="C5324" s="99" t="s">
        <v>123</v>
      </c>
      <c r="D5324" s="90">
        <v>15000</v>
      </c>
      <c r="E5324" s="91" t="s">
        <v>124</v>
      </c>
      <c r="F5324" s="92"/>
    </row>
    <row r="5325" spans="1:7" s="53" customFormat="1" x14ac:dyDescent="0.35">
      <c r="A5325" s="223"/>
      <c r="B5325" s="101"/>
      <c r="C5325" s="99" t="s">
        <v>125</v>
      </c>
      <c r="D5325" s="100">
        <v>10000</v>
      </c>
      <c r="E5325" s="102"/>
      <c r="F5325" s="103"/>
    </row>
    <row r="5326" spans="1:7" s="53" customFormat="1" x14ac:dyDescent="0.35">
      <c r="A5326" s="223"/>
      <c r="B5326" s="101"/>
      <c r="C5326" s="99" t="s">
        <v>126</v>
      </c>
      <c r="D5326" s="100">
        <v>70000</v>
      </c>
      <c r="E5326" s="102" t="s">
        <v>127</v>
      </c>
      <c r="F5326" s="103"/>
    </row>
    <row r="5327" spans="1:7" s="53" customFormat="1" x14ac:dyDescent="0.35">
      <c r="A5327" s="223"/>
      <c r="B5327" s="101"/>
      <c r="C5327" s="89" t="s">
        <v>265</v>
      </c>
      <c r="D5327" s="104">
        <f>235*122</f>
        <v>28670</v>
      </c>
      <c r="E5327" s="102"/>
      <c r="F5327" s="103"/>
    </row>
    <row r="5328" spans="1:7" s="53" customFormat="1" ht="15" thickBot="1" x14ac:dyDescent="0.4">
      <c r="A5328" s="223"/>
      <c r="B5328" s="105"/>
      <c r="C5328" s="106"/>
      <c r="D5328" s="107"/>
      <c r="F5328" s="94"/>
    </row>
    <row r="5329" spans="1:6" s="53" customFormat="1" ht="15" thickBot="1" x14ac:dyDescent="0.4">
      <c r="A5329" s="223"/>
      <c r="B5329" s="108"/>
      <c r="C5329" s="109" t="s">
        <v>129</v>
      </c>
      <c r="D5329" s="110">
        <f>SUM(D5316:D5328)</f>
        <v>7637880</v>
      </c>
      <c r="F5329" s="94"/>
    </row>
    <row r="5330" spans="1:6" s="53" customFormat="1" ht="15.5" thickTop="1" thickBot="1" x14ac:dyDescent="0.4">
      <c r="A5330" s="224"/>
      <c r="B5330" s="226"/>
      <c r="C5330" s="226"/>
      <c r="D5330" s="226"/>
      <c r="F5330" s="94"/>
    </row>
    <row r="5331" spans="1:6" s="53" customFormat="1" x14ac:dyDescent="0.35">
      <c r="B5331" s="87"/>
      <c r="C5331" s="53" t="s">
        <v>130</v>
      </c>
      <c r="D5331" s="111">
        <f>D5313-D5329</f>
        <v>2631120</v>
      </c>
      <c r="F5331" s="94"/>
    </row>
    <row r="5332" spans="1:6" s="53" customFormat="1" x14ac:dyDescent="0.35">
      <c r="B5332" s="87"/>
      <c r="D5332" s="111"/>
      <c r="F5332" s="94"/>
    </row>
    <row r="5333" spans="1:6" s="53" customFormat="1" x14ac:dyDescent="0.35">
      <c r="A5333" s="112"/>
      <c r="B5333" s="113"/>
      <c r="C5333" s="112"/>
      <c r="D5333" s="114"/>
      <c r="E5333" s="112"/>
      <c r="F5333" s="178"/>
    </row>
    <row r="5335" spans="1:6" s="53" customFormat="1" ht="23.5" x14ac:dyDescent="0.55000000000000004">
      <c r="B5335" s="227" t="s">
        <v>0</v>
      </c>
      <c r="C5335" s="227"/>
      <c r="D5335" s="227"/>
      <c r="E5335" s="70"/>
      <c r="F5335" s="176"/>
    </row>
    <row r="5336" spans="1:6" s="53" customFormat="1" ht="20.5" x14ac:dyDescent="0.45">
      <c r="B5336" s="71"/>
      <c r="C5336" s="72" t="s">
        <v>1313</v>
      </c>
      <c r="D5336" s="73"/>
      <c r="F5336" s="94"/>
    </row>
    <row r="5337" spans="1:6" s="53" customFormat="1" ht="21" thickBot="1" x14ac:dyDescent="0.5">
      <c r="B5337" s="71" t="s">
        <v>979</v>
      </c>
      <c r="C5337" s="74" t="s">
        <v>103</v>
      </c>
      <c r="D5337" s="73"/>
      <c r="F5337" s="94"/>
    </row>
    <row r="5338" spans="1:6" s="53" customFormat="1" ht="15" thickBot="1" x14ac:dyDescent="0.4">
      <c r="A5338" s="75" t="s">
        <v>104</v>
      </c>
      <c r="B5338" s="76" t="s">
        <v>81</v>
      </c>
      <c r="C5338" s="76" t="s">
        <v>105</v>
      </c>
      <c r="D5338" s="77" t="s">
        <v>84</v>
      </c>
      <c r="F5338" s="94"/>
    </row>
    <row r="5339" spans="1:6" s="53" customFormat="1" ht="14.5" customHeight="1" x14ac:dyDescent="0.35">
      <c r="A5339" s="222" t="s">
        <v>94</v>
      </c>
      <c r="B5339" s="78" t="s">
        <v>1312</v>
      </c>
      <c r="C5339" s="79" t="s">
        <v>319</v>
      </c>
      <c r="D5339" s="80">
        <f>F5346</f>
        <v>10710000</v>
      </c>
      <c r="F5339" s="94"/>
    </row>
    <row r="5340" spans="1:6" s="53" customFormat="1" ht="21" thickBot="1" x14ac:dyDescent="0.5">
      <c r="A5340" s="223"/>
      <c r="B5340" s="71"/>
      <c r="C5340" s="71"/>
      <c r="D5340" s="73"/>
      <c r="F5340" s="94"/>
    </row>
    <row r="5341" spans="1:6" s="53" customFormat="1" ht="15" thickBot="1" x14ac:dyDescent="0.4">
      <c r="A5341" s="223"/>
      <c r="B5341" s="81" t="s">
        <v>81</v>
      </c>
      <c r="C5341" s="82" t="s">
        <v>107</v>
      </c>
      <c r="D5341" s="83" t="s">
        <v>108</v>
      </c>
      <c r="F5341" s="94"/>
    </row>
    <row r="5342" spans="1:6" s="87" customFormat="1" x14ac:dyDescent="0.35">
      <c r="A5342" s="223"/>
      <c r="B5342" s="84" t="str">
        <f>B5339</f>
        <v>09th October,2025</v>
      </c>
      <c r="C5342" s="85" t="s">
        <v>467</v>
      </c>
      <c r="D5342" s="86"/>
      <c r="F5342" s="177"/>
    </row>
    <row r="5343" spans="1:6" s="53" customFormat="1" x14ac:dyDescent="0.35">
      <c r="A5343" s="223"/>
      <c r="B5343" s="88"/>
      <c r="C5343" s="89" t="s">
        <v>188</v>
      </c>
      <c r="D5343" s="90">
        <f>325*2650</f>
        <v>861250</v>
      </c>
      <c r="F5343" s="94"/>
    </row>
    <row r="5344" spans="1:6" s="53" customFormat="1" x14ac:dyDescent="0.35">
      <c r="A5344" s="223"/>
      <c r="B5344" s="88" t="s">
        <v>109</v>
      </c>
      <c r="C5344" s="89" t="s">
        <v>110</v>
      </c>
      <c r="D5344" s="90">
        <v>1000000</v>
      </c>
      <c r="F5344" s="94"/>
    </row>
    <row r="5345" spans="1:7" s="53" customFormat="1" x14ac:dyDescent="0.35">
      <c r="A5345" s="223"/>
      <c r="B5345" s="88" t="s">
        <v>111</v>
      </c>
      <c r="C5345" s="89" t="s">
        <v>112</v>
      </c>
      <c r="D5345" s="90">
        <v>40000</v>
      </c>
      <c r="E5345" s="225" t="s">
        <v>113</v>
      </c>
      <c r="F5345" s="225"/>
    </row>
    <row r="5346" spans="1:7" s="53" customFormat="1" x14ac:dyDescent="0.35">
      <c r="A5346" s="223"/>
      <c r="B5346" s="88" t="s">
        <v>182</v>
      </c>
      <c r="C5346" s="89" t="s">
        <v>115</v>
      </c>
      <c r="D5346" s="90">
        <f>400*123</f>
        <v>49200</v>
      </c>
      <c r="E5346" s="91" t="s">
        <v>116</v>
      </c>
      <c r="F5346" s="92">
        <f>4200*2550</f>
        <v>10710000</v>
      </c>
    </row>
    <row r="5347" spans="1:7" s="53" customFormat="1" x14ac:dyDescent="0.35">
      <c r="A5347" s="223"/>
      <c r="B5347" s="88"/>
      <c r="C5347" s="89" t="s">
        <v>117</v>
      </c>
      <c r="D5347" s="90">
        <f>3000*123</f>
        <v>369000</v>
      </c>
      <c r="E5347" s="93" t="s">
        <v>118</v>
      </c>
      <c r="F5347" s="94">
        <f>4200*2550</f>
        <v>10710000</v>
      </c>
    </row>
    <row r="5348" spans="1:7" s="53" customFormat="1" ht="15" thickBot="1" x14ac:dyDescent="0.4">
      <c r="A5348" s="223"/>
      <c r="B5348" s="88" t="s">
        <v>119</v>
      </c>
      <c r="C5348" s="89" t="s">
        <v>120</v>
      </c>
      <c r="D5348" s="95">
        <v>30000</v>
      </c>
      <c r="E5348" s="96" t="s">
        <v>121</v>
      </c>
      <c r="F5348" s="97">
        <f>F5346-F5347</f>
        <v>0</v>
      </c>
      <c r="G5348" s="98">
        <f>F5348/2550</f>
        <v>0</v>
      </c>
    </row>
    <row r="5349" spans="1:7" s="53" customFormat="1" ht="15" thickTop="1" x14ac:dyDescent="0.35">
      <c r="A5349" s="223"/>
      <c r="B5349" s="88"/>
      <c r="C5349" s="89" t="s">
        <v>122</v>
      </c>
      <c r="D5349" s="90">
        <v>0</v>
      </c>
      <c r="F5349" s="94"/>
    </row>
    <row r="5350" spans="1:7" s="53" customFormat="1" x14ac:dyDescent="0.35">
      <c r="A5350" s="223"/>
      <c r="B5350" s="88" t="s">
        <v>1314</v>
      </c>
      <c r="C5350" s="99" t="s">
        <v>123</v>
      </c>
      <c r="D5350" s="90">
        <v>15000</v>
      </c>
      <c r="E5350" s="91" t="s">
        <v>124</v>
      </c>
      <c r="F5350" s="92"/>
    </row>
    <row r="5351" spans="1:7" s="53" customFormat="1" x14ac:dyDescent="0.35">
      <c r="A5351" s="223"/>
      <c r="B5351" s="101"/>
      <c r="C5351" s="99" t="s">
        <v>125</v>
      </c>
      <c r="D5351" s="100">
        <v>0</v>
      </c>
      <c r="E5351" s="102"/>
      <c r="F5351" s="103"/>
    </row>
    <row r="5352" spans="1:7" s="53" customFormat="1" x14ac:dyDescent="0.35">
      <c r="A5352" s="223"/>
      <c r="B5352" s="101"/>
      <c r="C5352" s="99" t="s">
        <v>126</v>
      </c>
      <c r="D5352" s="100">
        <v>0</v>
      </c>
      <c r="E5352" s="102" t="s">
        <v>127</v>
      </c>
      <c r="F5352" s="103"/>
    </row>
    <row r="5353" spans="1:7" s="53" customFormat="1" x14ac:dyDescent="0.35">
      <c r="A5353" s="223"/>
      <c r="B5353" s="101"/>
      <c r="C5353" s="89" t="s">
        <v>265</v>
      </c>
      <c r="D5353" s="104">
        <v>0</v>
      </c>
      <c r="E5353" s="102" t="s">
        <v>1705</v>
      </c>
      <c r="F5353" s="103"/>
    </row>
    <row r="5354" spans="1:7" s="53" customFormat="1" ht="15" thickBot="1" x14ac:dyDescent="0.4">
      <c r="A5354" s="223"/>
      <c r="B5354" s="105"/>
      <c r="C5354" s="106"/>
      <c r="D5354" s="107"/>
      <c r="F5354" s="94"/>
    </row>
    <row r="5355" spans="1:7" s="53" customFormat="1" ht="15" thickBot="1" x14ac:dyDescent="0.4">
      <c r="A5355" s="223"/>
      <c r="B5355" s="108"/>
      <c r="C5355" s="109" t="s">
        <v>129</v>
      </c>
      <c r="D5355" s="110">
        <f>SUM(D5342:D5354)</f>
        <v>2364450</v>
      </c>
      <c r="F5355" s="94"/>
    </row>
    <row r="5356" spans="1:7" s="53" customFormat="1" ht="15.5" thickTop="1" thickBot="1" x14ac:dyDescent="0.4">
      <c r="A5356" s="224"/>
      <c r="B5356" s="226"/>
      <c r="C5356" s="226"/>
      <c r="D5356" s="226"/>
      <c r="F5356" s="94"/>
    </row>
    <row r="5357" spans="1:7" s="53" customFormat="1" x14ac:dyDescent="0.35">
      <c r="B5357" s="87"/>
      <c r="C5357" s="53" t="s">
        <v>130</v>
      </c>
      <c r="D5357" s="111">
        <f>D5339-D5355</f>
        <v>8345550</v>
      </c>
      <c r="F5357" s="94"/>
    </row>
    <row r="5358" spans="1:7" s="53" customFormat="1" x14ac:dyDescent="0.35">
      <c r="B5358" s="87"/>
      <c r="D5358" s="111"/>
      <c r="F5358" s="94"/>
    </row>
    <row r="5359" spans="1:7" s="53" customFormat="1" x14ac:dyDescent="0.35">
      <c r="A5359" s="112"/>
      <c r="B5359" s="113"/>
      <c r="C5359" s="112"/>
      <c r="D5359" s="114"/>
      <c r="E5359" s="112"/>
      <c r="F5359" s="178"/>
    </row>
    <row r="5362" spans="1:7" s="53" customFormat="1" ht="23.5" x14ac:dyDescent="0.55000000000000004">
      <c r="B5362" s="227" t="s">
        <v>0</v>
      </c>
      <c r="C5362" s="227"/>
      <c r="D5362" s="227"/>
      <c r="E5362" s="70"/>
      <c r="F5362" s="176"/>
    </row>
    <row r="5363" spans="1:7" s="53" customFormat="1" ht="20.5" x14ac:dyDescent="0.45">
      <c r="B5363" s="71"/>
      <c r="C5363" s="72" t="s">
        <v>1323</v>
      </c>
      <c r="D5363" s="73"/>
      <c r="F5363" s="94"/>
    </row>
    <row r="5364" spans="1:7" s="53" customFormat="1" ht="21" thickBot="1" x14ac:dyDescent="0.5">
      <c r="B5364" s="71" t="s">
        <v>334</v>
      </c>
      <c r="C5364" s="74" t="s">
        <v>103</v>
      </c>
      <c r="D5364" s="73"/>
      <c r="F5364" s="94"/>
    </row>
    <row r="5365" spans="1:7" s="53" customFormat="1" ht="15" thickBot="1" x14ac:dyDescent="0.4">
      <c r="A5365" s="75" t="s">
        <v>104</v>
      </c>
      <c r="B5365" s="76" t="s">
        <v>81</v>
      </c>
      <c r="C5365" s="76" t="s">
        <v>105</v>
      </c>
      <c r="D5365" s="77" t="s">
        <v>84</v>
      </c>
      <c r="F5365" s="94"/>
    </row>
    <row r="5366" spans="1:7" s="53" customFormat="1" ht="14.5" customHeight="1" x14ac:dyDescent="0.35">
      <c r="A5366" s="222" t="s">
        <v>94</v>
      </c>
      <c r="B5366" s="78" t="s">
        <v>1312</v>
      </c>
      <c r="C5366" s="79" t="s">
        <v>959</v>
      </c>
      <c r="D5366" s="80">
        <f>F5373</f>
        <v>10758000</v>
      </c>
      <c r="F5366" s="94"/>
    </row>
    <row r="5367" spans="1:7" s="53" customFormat="1" ht="21" thickBot="1" x14ac:dyDescent="0.5">
      <c r="A5367" s="223"/>
      <c r="B5367" s="71"/>
      <c r="C5367" s="71"/>
      <c r="D5367" s="73"/>
      <c r="F5367" s="94"/>
    </row>
    <row r="5368" spans="1:7" s="53" customFormat="1" ht="15" thickBot="1" x14ac:dyDescent="0.4">
      <c r="A5368" s="223"/>
      <c r="B5368" s="81" t="s">
        <v>81</v>
      </c>
      <c r="C5368" s="82" t="s">
        <v>107</v>
      </c>
      <c r="D5368" s="83" t="s">
        <v>108</v>
      </c>
      <c r="F5368" s="94"/>
    </row>
    <row r="5369" spans="1:7" s="87" customFormat="1" x14ac:dyDescent="0.35">
      <c r="A5369" s="223"/>
      <c r="B5369" s="84" t="str">
        <f>B5366</f>
        <v>09th October,2025</v>
      </c>
      <c r="C5369" s="85" t="s">
        <v>1340</v>
      </c>
      <c r="D5369" s="86">
        <f>1850*2704</f>
        <v>5002400</v>
      </c>
      <c r="F5369" s="177"/>
    </row>
    <row r="5370" spans="1:7" s="53" customFormat="1" x14ac:dyDescent="0.35">
      <c r="A5370" s="223"/>
      <c r="B5370" s="88"/>
      <c r="C5370" s="89" t="s">
        <v>188</v>
      </c>
      <c r="D5370" s="90">
        <f>325*2650</f>
        <v>861250</v>
      </c>
      <c r="F5370" s="94"/>
    </row>
    <row r="5371" spans="1:7" s="53" customFormat="1" x14ac:dyDescent="0.35">
      <c r="A5371" s="223"/>
      <c r="B5371" s="88" t="s">
        <v>109</v>
      </c>
      <c r="C5371" s="89" t="s">
        <v>110</v>
      </c>
      <c r="D5371" s="90">
        <v>1000000</v>
      </c>
      <c r="F5371" s="94"/>
    </row>
    <row r="5372" spans="1:7" s="53" customFormat="1" x14ac:dyDescent="0.35">
      <c r="A5372" s="223"/>
      <c r="B5372" s="88" t="s">
        <v>111</v>
      </c>
      <c r="C5372" s="89" t="s">
        <v>112</v>
      </c>
      <c r="D5372" s="90">
        <v>40000</v>
      </c>
      <c r="E5372" s="225" t="s">
        <v>113</v>
      </c>
      <c r="F5372" s="225"/>
    </row>
    <row r="5373" spans="1:7" s="53" customFormat="1" x14ac:dyDescent="0.35">
      <c r="A5373" s="223"/>
      <c r="B5373" s="88" t="s">
        <v>182</v>
      </c>
      <c r="C5373" s="89" t="s">
        <v>115</v>
      </c>
      <c r="D5373" s="90">
        <f>600*123</f>
        <v>73800</v>
      </c>
      <c r="E5373" s="91" t="s">
        <v>116</v>
      </c>
      <c r="F5373" s="92">
        <f>4400*2445</f>
        <v>10758000</v>
      </c>
    </row>
    <row r="5374" spans="1:7" s="53" customFormat="1" x14ac:dyDescent="0.35">
      <c r="A5374" s="223"/>
      <c r="B5374" s="88"/>
      <c r="C5374" s="89" t="s">
        <v>117</v>
      </c>
      <c r="D5374" s="90">
        <f>3500*123</f>
        <v>430500</v>
      </c>
      <c r="E5374" s="93" t="s">
        <v>118</v>
      </c>
      <c r="F5374" s="94">
        <f>(2640*2445)+(1435.06*2445)</f>
        <v>9963521.6999999993</v>
      </c>
    </row>
    <row r="5375" spans="1:7" s="53" customFormat="1" ht="15" thickBot="1" x14ac:dyDescent="0.4">
      <c r="A5375" s="223"/>
      <c r="B5375" s="88" t="s">
        <v>119</v>
      </c>
      <c r="C5375" s="89" t="s">
        <v>120</v>
      </c>
      <c r="D5375" s="95">
        <v>30000</v>
      </c>
      <c r="E5375" s="96" t="s">
        <v>121</v>
      </c>
      <c r="F5375" s="97">
        <f>F5373-F5374</f>
        <v>794478.30000000075</v>
      </c>
      <c r="G5375" s="98">
        <f>F5375/2445</f>
        <v>324.94000000000028</v>
      </c>
    </row>
    <row r="5376" spans="1:7" s="53" customFormat="1" ht="15" thickTop="1" x14ac:dyDescent="0.35">
      <c r="A5376" s="223"/>
      <c r="B5376" s="88"/>
      <c r="C5376" s="89" t="s">
        <v>265</v>
      </c>
      <c r="D5376" s="90">
        <f>841*122</f>
        <v>102602</v>
      </c>
      <c r="F5376" s="94"/>
    </row>
    <row r="5377" spans="1:6" s="53" customFormat="1" x14ac:dyDescent="0.35">
      <c r="A5377" s="223"/>
      <c r="B5377" s="88" t="s">
        <v>1316</v>
      </c>
      <c r="C5377" s="99" t="s">
        <v>123</v>
      </c>
      <c r="D5377" s="90">
        <v>15000</v>
      </c>
      <c r="E5377" s="91" t="s">
        <v>124</v>
      </c>
      <c r="F5377" s="92"/>
    </row>
    <row r="5378" spans="1:6" s="53" customFormat="1" x14ac:dyDescent="0.35">
      <c r="A5378" s="223"/>
      <c r="B5378" s="101"/>
      <c r="C5378" s="99" t="s">
        <v>125</v>
      </c>
      <c r="D5378" s="100">
        <v>10000</v>
      </c>
      <c r="E5378" s="102"/>
      <c r="F5378" s="103"/>
    </row>
    <row r="5379" spans="1:6" s="53" customFormat="1" x14ac:dyDescent="0.35">
      <c r="A5379" s="223"/>
      <c r="B5379" s="101"/>
      <c r="C5379" s="99" t="s">
        <v>126</v>
      </c>
      <c r="D5379" s="100">
        <v>70000</v>
      </c>
      <c r="E5379" s="102" t="s">
        <v>127</v>
      </c>
      <c r="F5379" s="103"/>
    </row>
    <row r="5380" spans="1:6" s="53" customFormat="1" x14ac:dyDescent="0.35">
      <c r="A5380" s="223"/>
      <c r="B5380" s="101"/>
      <c r="C5380" s="89"/>
      <c r="D5380" s="104"/>
      <c r="E5380" s="102" t="s">
        <v>1357</v>
      </c>
      <c r="F5380" s="103"/>
    </row>
    <row r="5381" spans="1:6" s="53" customFormat="1" ht="15" thickBot="1" x14ac:dyDescent="0.4">
      <c r="A5381" s="223"/>
      <c r="B5381" s="105"/>
      <c r="C5381" s="106"/>
      <c r="D5381" s="107"/>
      <c r="E5381" s="53" t="s">
        <v>1730</v>
      </c>
      <c r="F5381" s="94"/>
    </row>
    <row r="5382" spans="1:6" s="53" customFormat="1" ht="15" thickBot="1" x14ac:dyDescent="0.4">
      <c r="A5382" s="223"/>
      <c r="B5382" s="108"/>
      <c r="C5382" s="109" t="s">
        <v>129</v>
      </c>
      <c r="D5382" s="110">
        <f>SUM(D5369:D5381)</f>
        <v>7635552</v>
      </c>
      <c r="F5382" s="94"/>
    </row>
    <row r="5383" spans="1:6" s="53" customFormat="1" ht="15.5" thickTop="1" thickBot="1" x14ac:dyDescent="0.4">
      <c r="A5383" s="224"/>
      <c r="B5383" s="226"/>
      <c r="C5383" s="226"/>
      <c r="D5383" s="226"/>
      <c r="F5383" s="94"/>
    </row>
    <row r="5384" spans="1:6" s="53" customFormat="1" x14ac:dyDescent="0.35">
      <c r="B5384" s="87"/>
      <c r="C5384" s="53" t="s">
        <v>130</v>
      </c>
      <c r="D5384" s="111">
        <f>D5366-D5382</f>
        <v>3122448</v>
      </c>
      <c r="F5384" s="94"/>
    </row>
    <row r="5385" spans="1:6" s="53" customFormat="1" x14ac:dyDescent="0.35">
      <c r="B5385" s="87"/>
      <c r="D5385" s="111"/>
      <c r="F5385" s="94"/>
    </row>
    <row r="5386" spans="1:6" s="53" customFormat="1" x14ac:dyDescent="0.35">
      <c r="A5386" s="112"/>
      <c r="B5386" s="113"/>
      <c r="C5386" s="112"/>
      <c r="D5386" s="114"/>
      <c r="E5386" s="112"/>
      <c r="F5386" s="178"/>
    </row>
    <row r="5388" spans="1:6" s="53" customFormat="1" ht="23.5" x14ac:dyDescent="0.55000000000000004">
      <c r="B5388" s="227" t="s">
        <v>0</v>
      </c>
      <c r="C5388" s="227"/>
      <c r="D5388" s="227"/>
      <c r="E5388" s="70"/>
      <c r="F5388" s="176"/>
    </row>
    <row r="5389" spans="1:6" s="53" customFormat="1" ht="20.5" x14ac:dyDescent="0.45">
      <c r="B5389" s="71"/>
      <c r="C5389" s="72" t="s">
        <v>1319</v>
      </c>
      <c r="D5389" s="73"/>
      <c r="F5389" s="94"/>
    </row>
    <row r="5390" spans="1:6" s="53" customFormat="1" ht="21" thickBot="1" x14ac:dyDescent="0.5">
      <c r="B5390" s="71" t="s">
        <v>974</v>
      </c>
      <c r="C5390" s="74" t="s">
        <v>103</v>
      </c>
      <c r="D5390" s="73"/>
      <c r="F5390" s="94"/>
    </row>
    <row r="5391" spans="1:6" s="53" customFormat="1" ht="15" thickBot="1" x14ac:dyDescent="0.4">
      <c r="A5391" s="75" t="s">
        <v>104</v>
      </c>
      <c r="B5391" s="76" t="s">
        <v>81</v>
      </c>
      <c r="C5391" s="76" t="s">
        <v>105</v>
      </c>
      <c r="D5391" s="77" t="s">
        <v>84</v>
      </c>
      <c r="F5391" s="94"/>
    </row>
    <row r="5392" spans="1:6" s="53" customFormat="1" ht="14.5" customHeight="1" x14ac:dyDescent="0.35">
      <c r="A5392" s="222" t="s">
        <v>94</v>
      </c>
      <c r="B5392" s="78" t="s">
        <v>1312</v>
      </c>
      <c r="C5392" s="79" t="s">
        <v>959</v>
      </c>
      <c r="D5392" s="80">
        <f>F5399</f>
        <v>10269000</v>
      </c>
      <c r="F5392" s="94"/>
    </row>
    <row r="5393" spans="1:7" s="53" customFormat="1" ht="21" thickBot="1" x14ac:dyDescent="0.5">
      <c r="A5393" s="223"/>
      <c r="B5393" s="71"/>
      <c r="C5393" s="71"/>
      <c r="D5393" s="73"/>
      <c r="F5393" s="94"/>
    </row>
    <row r="5394" spans="1:7" s="53" customFormat="1" ht="15" thickBot="1" x14ac:dyDescent="0.4">
      <c r="A5394" s="223"/>
      <c r="B5394" s="81" t="s">
        <v>81</v>
      </c>
      <c r="C5394" s="82" t="s">
        <v>107</v>
      </c>
      <c r="D5394" s="83" t="s">
        <v>108</v>
      </c>
      <c r="F5394" s="94"/>
    </row>
    <row r="5395" spans="1:7" s="87" customFormat="1" x14ac:dyDescent="0.35">
      <c r="A5395" s="223"/>
      <c r="B5395" s="84" t="str">
        <f>B5392</f>
        <v>09th October,2025</v>
      </c>
      <c r="C5395" s="85" t="s">
        <v>1416</v>
      </c>
      <c r="D5395" s="86">
        <f>1850*2720</f>
        <v>5032000</v>
      </c>
      <c r="F5395" s="177"/>
    </row>
    <row r="5396" spans="1:7" s="53" customFormat="1" x14ac:dyDescent="0.35">
      <c r="A5396" s="223"/>
      <c r="B5396" s="88"/>
      <c r="C5396" s="89" t="s">
        <v>159</v>
      </c>
      <c r="D5396" s="90">
        <f>299*2650</f>
        <v>792350</v>
      </c>
      <c r="F5396" s="94"/>
    </row>
    <row r="5397" spans="1:7" s="53" customFormat="1" x14ac:dyDescent="0.35">
      <c r="A5397" s="223"/>
      <c r="B5397" s="88" t="s">
        <v>109</v>
      </c>
      <c r="C5397" s="89" t="s">
        <v>110</v>
      </c>
      <c r="D5397" s="90">
        <v>1000000</v>
      </c>
      <c r="F5397" s="94"/>
    </row>
    <row r="5398" spans="1:7" s="53" customFormat="1" x14ac:dyDescent="0.35">
      <c r="A5398" s="223"/>
      <c r="B5398" s="88" t="s">
        <v>111</v>
      </c>
      <c r="C5398" s="89" t="s">
        <v>112</v>
      </c>
      <c r="D5398" s="90">
        <v>40000</v>
      </c>
      <c r="E5398" s="225" t="s">
        <v>113</v>
      </c>
      <c r="F5398" s="225"/>
    </row>
    <row r="5399" spans="1:7" s="53" customFormat="1" x14ac:dyDescent="0.35">
      <c r="A5399" s="223"/>
      <c r="B5399" s="88" t="s">
        <v>114</v>
      </c>
      <c r="C5399" s="89" t="s">
        <v>115</v>
      </c>
      <c r="D5399" s="90">
        <f>400*123</f>
        <v>49200</v>
      </c>
      <c r="E5399" s="91" t="s">
        <v>116</v>
      </c>
      <c r="F5399" s="92">
        <f>4200*2445</f>
        <v>10269000</v>
      </c>
    </row>
    <row r="5400" spans="1:7" s="53" customFormat="1" x14ac:dyDescent="0.35">
      <c r="A5400" s="223"/>
      <c r="B5400" s="88"/>
      <c r="C5400" s="89" t="s">
        <v>117</v>
      </c>
      <c r="D5400" s="90">
        <f>3420*123</f>
        <v>420660</v>
      </c>
      <c r="E5400" s="93" t="s">
        <v>118</v>
      </c>
      <c r="F5400" s="94">
        <f>(2520*2445)+(1605*2445)</f>
        <v>10085625</v>
      </c>
    </row>
    <row r="5401" spans="1:7" s="53" customFormat="1" ht="15" thickBot="1" x14ac:dyDescent="0.4">
      <c r="A5401" s="223"/>
      <c r="B5401" s="88" t="s">
        <v>119</v>
      </c>
      <c r="C5401" s="89" t="s">
        <v>120</v>
      </c>
      <c r="D5401" s="95">
        <v>30000</v>
      </c>
      <c r="E5401" s="96" t="s">
        <v>121</v>
      </c>
      <c r="F5401" s="97">
        <f>F5399-F5400</f>
        <v>183375</v>
      </c>
      <c r="G5401" s="98">
        <f>F5401/2445</f>
        <v>75</v>
      </c>
    </row>
    <row r="5402" spans="1:7" s="53" customFormat="1" ht="15" thickTop="1" x14ac:dyDescent="0.35">
      <c r="A5402" s="223"/>
      <c r="B5402" s="88"/>
      <c r="C5402" s="89" t="s">
        <v>122</v>
      </c>
      <c r="D5402" s="90">
        <v>150000</v>
      </c>
      <c r="F5402" s="94"/>
    </row>
    <row r="5403" spans="1:7" s="53" customFormat="1" x14ac:dyDescent="0.35">
      <c r="A5403" s="223"/>
      <c r="B5403" s="88" t="s">
        <v>1318</v>
      </c>
      <c r="C5403" s="99" t="s">
        <v>123</v>
      </c>
      <c r="D5403" s="90">
        <v>15000</v>
      </c>
      <c r="E5403" s="91" t="s">
        <v>124</v>
      </c>
      <c r="F5403" s="92"/>
    </row>
    <row r="5404" spans="1:7" s="53" customFormat="1" x14ac:dyDescent="0.35">
      <c r="A5404" s="223"/>
      <c r="B5404" s="101"/>
      <c r="C5404" s="99" t="s">
        <v>125</v>
      </c>
      <c r="D5404" s="100">
        <v>10000</v>
      </c>
      <c r="E5404" s="102"/>
      <c r="F5404" s="103"/>
    </row>
    <row r="5405" spans="1:7" s="53" customFormat="1" x14ac:dyDescent="0.35">
      <c r="A5405" s="223"/>
      <c r="B5405" s="101"/>
      <c r="C5405" s="99" t="s">
        <v>126</v>
      </c>
      <c r="D5405" s="100">
        <v>70000</v>
      </c>
      <c r="E5405" s="102" t="s">
        <v>127</v>
      </c>
      <c r="F5405" s="103"/>
    </row>
    <row r="5406" spans="1:7" s="53" customFormat="1" x14ac:dyDescent="0.35">
      <c r="A5406" s="223"/>
      <c r="B5406" s="101"/>
      <c r="C5406" s="89"/>
      <c r="D5406" s="104"/>
      <c r="E5406" s="102" t="s">
        <v>1357</v>
      </c>
      <c r="F5406" s="103"/>
    </row>
    <row r="5407" spans="1:7" s="53" customFormat="1" ht="15" thickBot="1" x14ac:dyDescent="0.4">
      <c r="A5407" s="223"/>
      <c r="B5407" s="105"/>
      <c r="C5407" s="106"/>
      <c r="D5407" s="107"/>
      <c r="E5407" s="53" t="s">
        <v>1745</v>
      </c>
      <c r="F5407" s="94"/>
    </row>
    <row r="5408" spans="1:7" s="53" customFormat="1" ht="15" thickBot="1" x14ac:dyDescent="0.4">
      <c r="A5408" s="223"/>
      <c r="B5408" s="108"/>
      <c r="C5408" s="109" t="s">
        <v>129</v>
      </c>
      <c r="D5408" s="110">
        <f>SUM(D5395:D5407)</f>
        <v>7609210</v>
      </c>
      <c r="F5408" s="94"/>
    </row>
    <row r="5409" spans="1:6" s="53" customFormat="1" ht="15.5" thickTop="1" thickBot="1" x14ac:dyDescent="0.4">
      <c r="A5409" s="224"/>
      <c r="B5409" s="226"/>
      <c r="C5409" s="226"/>
      <c r="D5409" s="226"/>
      <c r="F5409" s="94"/>
    </row>
    <row r="5410" spans="1:6" s="53" customFormat="1" x14ac:dyDescent="0.35">
      <c r="B5410" s="87"/>
      <c r="C5410" s="53" t="s">
        <v>130</v>
      </c>
      <c r="D5410" s="111">
        <f>D5392-D5408</f>
        <v>2659790</v>
      </c>
      <c r="F5410" s="94"/>
    </row>
    <row r="5411" spans="1:6" s="53" customFormat="1" x14ac:dyDescent="0.35">
      <c r="B5411" s="87"/>
      <c r="D5411" s="111"/>
      <c r="F5411" s="94"/>
    </row>
    <row r="5412" spans="1:6" s="53" customFormat="1" x14ac:dyDescent="0.35">
      <c r="A5412" s="112"/>
      <c r="B5412" s="113"/>
      <c r="C5412" s="112"/>
      <c r="D5412" s="114"/>
      <c r="E5412" s="112"/>
      <c r="F5412" s="178"/>
    </row>
    <row r="5414" spans="1:6" s="53" customFormat="1" ht="23.5" x14ac:dyDescent="0.55000000000000004">
      <c r="B5414" s="227" t="s">
        <v>0</v>
      </c>
      <c r="C5414" s="227"/>
      <c r="D5414" s="227"/>
      <c r="E5414" s="70"/>
      <c r="F5414" s="176"/>
    </row>
    <row r="5415" spans="1:6" s="53" customFormat="1" ht="20.5" x14ac:dyDescent="0.45">
      <c r="B5415" s="71"/>
      <c r="C5415" s="72" t="s">
        <v>1322</v>
      </c>
      <c r="D5415" s="73"/>
      <c r="F5415" s="94"/>
    </row>
    <row r="5416" spans="1:6" s="53" customFormat="1" ht="21" thickBot="1" x14ac:dyDescent="0.5">
      <c r="B5416" s="71" t="s">
        <v>156</v>
      </c>
      <c r="C5416" s="74" t="s">
        <v>103</v>
      </c>
      <c r="D5416" s="73"/>
      <c r="F5416" s="94"/>
    </row>
    <row r="5417" spans="1:6" s="53" customFormat="1" ht="15" thickBot="1" x14ac:dyDescent="0.4">
      <c r="A5417" s="75" t="s">
        <v>104</v>
      </c>
      <c r="B5417" s="76" t="s">
        <v>81</v>
      </c>
      <c r="C5417" s="76" t="s">
        <v>105</v>
      </c>
      <c r="D5417" s="77" t="s">
        <v>84</v>
      </c>
      <c r="F5417" s="94"/>
    </row>
    <row r="5418" spans="1:6" s="53" customFormat="1" ht="14.5" customHeight="1" x14ac:dyDescent="0.35">
      <c r="A5418" s="222" t="s">
        <v>94</v>
      </c>
      <c r="B5418" s="78" t="s">
        <v>1312</v>
      </c>
      <c r="C5418" s="79" t="s">
        <v>959</v>
      </c>
      <c r="D5418" s="80">
        <f>F5425</f>
        <v>10758000</v>
      </c>
      <c r="F5418" s="94"/>
    </row>
    <row r="5419" spans="1:6" s="53" customFormat="1" ht="21" thickBot="1" x14ac:dyDescent="0.5">
      <c r="A5419" s="223"/>
      <c r="B5419" s="71"/>
      <c r="C5419" s="71"/>
      <c r="D5419" s="73"/>
      <c r="F5419" s="94"/>
    </row>
    <row r="5420" spans="1:6" s="53" customFormat="1" ht="15" thickBot="1" x14ac:dyDescent="0.4">
      <c r="A5420" s="223"/>
      <c r="B5420" s="81" t="s">
        <v>81</v>
      </c>
      <c r="C5420" s="82" t="s">
        <v>107</v>
      </c>
      <c r="D5420" s="83" t="s">
        <v>108</v>
      </c>
      <c r="F5420" s="94"/>
    </row>
    <row r="5421" spans="1:6" s="87" customFormat="1" x14ac:dyDescent="0.35">
      <c r="A5421" s="223"/>
      <c r="B5421" s="84" t="str">
        <f>B5418</f>
        <v>09th October,2025</v>
      </c>
      <c r="C5421" s="85" t="s">
        <v>467</v>
      </c>
      <c r="D5421" s="86"/>
      <c r="F5421" s="177"/>
    </row>
    <row r="5422" spans="1:6" s="53" customFormat="1" x14ac:dyDescent="0.35">
      <c r="A5422" s="223"/>
      <c r="B5422" s="88"/>
      <c r="C5422" s="89" t="s">
        <v>188</v>
      </c>
      <c r="D5422" s="90">
        <f>325*2650</f>
        <v>861250</v>
      </c>
      <c r="F5422" s="94"/>
    </row>
    <row r="5423" spans="1:6" s="53" customFormat="1" x14ac:dyDescent="0.35">
      <c r="A5423" s="223"/>
      <c r="B5423" s="88" t="s">
        <v>109</v>
      </c>
      <c r="C5423" s="89" t="s">
        <v>110</v>
      </c>
      <c r="D5423" s="90">
        <v>1000000</v>
      </c>
      <c r="F5423" s="94"/>
    </row>
    <row r="5424" spans="1:6" s="53" customFormat="1" x14ac:dyDescent="0.35">
      <c r="A5424" s="223"/>
      <c r="B5424" s="88" t="s">
        <v>111</v>
      </c>
      <c r="C5424" s="89" t="s">
        <v>112</v>
      </c>
      <c r="D5424" s="90">
        <v>40000</v>
      </c>
      <c r="E5424" s="225" t="s">
        <v>113</v>
      </c>
      <c r="F5424" s="225"/>
    </row>
    <row r="5425" spans="1:7" s="53" customFormat="1" x14ac:dyDescent="0.35">
      <c r="A5425" s="223"/>
      <c r="B5425" s="88" t="s">
        <v>182</v>
      </c>
      <c r="C5425" s="89" t="s">
        <v>115</v>
      </c>
      <c r="D5425" s="90">
        <f>400*123</f>
        <v>49200</v>
      </c>
      <c r="E5425" s="91" t="s">
        <v>116</v>
      </c>
      <c r="F5425" s="92">
        <f>4400*2445</f>
        <v>10758000</v>
      </c>
    </row>
    <row r="5426" spans="1:7" s="53" customFormat="1" x14ac:dyDescent="0.35">
      <c r="A5426" s="223"/>
      <c r="B5426" s="88"/>
      <c r="C5426" s="89" t="s">
        <v>117</v>
      </c>
      <c r="D5426" s="90">
        <f>3000*123</f>
        <v>369000</v>
      </c>
      <c r="E5426" s="93" t="s">
        <v>118</v>
      </c>
      <c r="F5426" s="94">
        <f>(2640*2445)+(1740*2445)</f>
        <v>10709100</v>
      </c>
    </row>
    <row r="5427" spans="1:7" s="53" customFormat="1" ht="15" thickBot="1" x14ac:dyDescent="0.4">
      <c r="A5427" s="223"/>
      <c r="B5427" s="88" t="s">
        <v>119</v>
      </c>
      <c r="C5427" s="89" t="s">
        <v>120</v>
      </c>
      <c r="D5427" s="95">
        <v>30000</v>
      </c>
      <c r="E5427" s="96" t="s">
        <v>121</v>
      </c>
      <c r="F5427" s="97">
        <f>F5425-F5426</f>
        <v>48900</v>
      </c>
      <c r="G5427" s="98">
        <f>F5427/2445</f>
        <v>20</v>
      </c>
    </row>
    <row r="5428" spans="1:7" s="53" customFormat="1" ht="15" thickTop="1" x14ac:dyDescent="0.35">
      <c r="A5428" s="223"/>
      <c r="B5428" s="88"/>
      <c r="C5428" s="89" t="s">
        <v>122</v>
      </c>
      <c r="D5428" s="90">
        <v>0</v>
      </c>
      <c r="F5428" s="94"/>
    </row>
    <row r="5429" spans="1:7" s="53" customFormat="1" x14ac:dyDescent="0.35">
      <c r="A5429" s="223"/>
      <c r="B5429" s="88" t="s">
        <v>1321</v>
      </c>
      <c r="C5429" s="99" t="s">
        <v>123</v>
      </c>
      <c r="D5429" s="90">
        <v>15000</v>
      </c>
      <c r="E5429" s="91" t="s">
        <v>124</v>
      </c>
      <c r="F5429" s="92"/>
    </row>
    <row r="5430" spans="1:7" s="53" customFormat="1" x14ac:dyDescent="0.35">
      <c r="A5430" s="223"/>
      <c r="B5430" s="101"/>
      <c r="C5430" s="99" t="s">
        <v>125</v>
      </c>
      <c r="D5430" s="100">
        <v>0</v>
      </c>
      <c r="E5430" s="102"/>
      <c r="F5430" s="103"/>
    </row>
    <row r="5431" spans="1:7" s="53" customFormat="1" x14ac:dyDescent="0.35">
      <c r="A5431" s="223"/>
      <c r="B5431" s="101"/>
      <c r="C5431" s="99" t="s">
        <v>126</v>
      </c>
      <c r="D5431" s="100">
        <v>0</v>
      </c>
      <c r="E5431" s="102" t="s">
        <v>127</v>
      </c>
      <c r="F5431" s="103"/>
    </row>
    <row r="5432" spans="1:7" s="53" customFormat="1" x14ac:dyDescent="0.35">
      <c r="A5432" s="223"/>
      <c r="B5432" s="101"/>
      <c r="C5432" s="89" t="s">
        <v>265</v>
      </c>
      <c r="D5432" s="104">
        <v>0</v>
      </c>
      <c r="E5432" s="102" t="s">
        <v>1358</v>
      </c>
      <c r="F5432" s="103"/>
    </row>
    <row r="5433" spans="1:7" s="53" customFormat="1" ht="15" thickBot="1" x14ac:dyDescent="0.4">
      <c r="A5433" s="223"/>
      <c r="B5433" s="105"/>
      <c r="C5433" s="106"/>
      <c r="D5433" s="107"/>
      <c r="E5433" s="53" t="s">
        <v>1744</v>
      </c>
      <c r="F5433" s="94"/>
    </row>
    <row r="5434" spans="1:7" s="53" customFormat="1" ht="15" thickBot="1" x14ac:dyDescent="0.4">
      <c r="A5434" s="223"/>
      <c r="B5434" s="108"/>
      <c r="C5434" s="109" t="s">
        <v>129</v>
      </c>
      <c r="D5434" s="110">
        <f>SUM(D5421:D5433)</f>
        <v>2364450</v>
      </c>
      <c r="F5434" s="94"/>
    </row>
    <row r="5435" spans="1:7" s="53" customFormat="1" ht="15.5" thickTop="1" thickBot="1" x14ac:dyDescent="0.4">
      <c r="A5435" s="224"/>
      <c r="B5435" s="226"/>
      <c r="C5435" s="226"/>
      <c r="D5435" s="226"/>
      <c r="F5435" s="94"/>
    </row>
    <row r="5436" spans="1:7" s="53" customFormat="1" x14ac:dyDescent="0.35">
      <c r="B5436" s="87"/>
      <c r="C5436" s="53" t="s">
        <v>130</v>
      </c>
      <c r="D5436" s="111">
        <f>D5418-D5434</f>
        <v>8393550</v>
      </c>
      <c r="F5436" s="94"/>
    </row>
    <row r="5437" spans="1:7" s="53" customFormat="1" x14ac:dyDescent="0.35">
      <c r="B5437" s="87"/>
      <c r="D5437" s="111"/>
      <c r="F5437" s="94"/>
    </row>
    <row r="5438" spans="1:7" s="53" customFormat="1" x14ac:dyDescent="0.35">
      <c r="A5438" s="112"/>
      <c r="B5438" s="113"/>
      <c r="C5438" s="112"/>
      <c r="D5438" s="114"/>
      <c r="E5438" s="112"/>
      <c r="F5438" s="178"/>
    </row>
    <row r="5440" spans="1:7" s="53" customFormat="1" ht="23.5" x14ac:dyDescent="0.55000000000000004">
      <c r="B5440" s="227" t="s">
        <v>0</v>
      </c>
      <c r="C5440" s="227"/>
      <c r="D5440" s="227"/>
      <c r="E5440" s="70"/>
      <c r="F5440" s="176"/>
    </row>
    <row r="5441" spans="1:7" s="53" customFormat="1" ht="20.5" x14ac:dyDescent="0.45">
      <c r="B5441" s="71"/>
      <c r="C5441" s="72" t="s">
        <v>1326</v>
      </c>
      <c r="D5441" s="73"/>
      <c r="F5441" s="94"/>
    </row>
    <row r="5442" spans="1:7" s="53" customFormat="1" ht="21" thickBot="1" x14ac:dyDescent="0.5">
      <c r="B5442" s="71" t="s">
        <v>222</v>
      </c>
      <c r="C5442" s="74" t="s">
        <v>103</v>
      </c>
      <c r="D5442" s="73"/>
      <c r="F5442" s="94"/>
    </row>
    <row r="5443" spans="1:7" s="53" customFormat="1" ht="15" thickBot="1" x14ac:dyDescent="0.4">
      <c r="A5443" s="75" t="s">
        <v>104</v>
      </c>
      <c r="B5443" s="76" t="s">
        <v>81</v>
      </c>
      <c r="C5443" s="76" t="s">
        <v>105</v>
      </c>
      <c r="D5443" s="77" t="s">
        <v>84</v>
      </c>
      <c r="F5443" s="94"/>
    </row>
    <row r="5444" spans="1:7" s="53" customFormat="1" ht="14.5" customHeight="1" x14ac:dyDescent="0.35">
      <c r="A5444" s="222" t="s">
        <v>94</v>
      </c>
      <c r="B5444" s="78" t="s">
        <v>1327</v>
      </c>
      <c r="C5444" s="79" t="s">
        <v>959</v>
      </c>
      <c r="D5444" s="80">
        <f>F5451</f>
        <v>10758000</v>
      </c>
      <c r="F5444" s="94"/>
    </row>
    <row r="5445" spans="1:7" s="53" customFormat="1" ht="21" thickBot="1" x14ac:dyDescent="0.5">
      <c r="A5445" s="223"/>
      <c r="B5445" s="71"/>
      <c r="C5445" s="71"/>
      <c r="D5445" s="73"/>
      <c r="F5445" s="94"/>
    </row>
    <row r="5446" spans="1:7" s="53" customFormat="1" ht="15" thickBot="1" x14ac:dyDescent="0.4">
      <c r="A5446" s="223"/>
      <c r="B5446" s="81" t="s">
        <v>81</v>
      </c>
      <c r="C5446" s="82" t="s">
        <v>107</v>
      </c>
      <c r="D5446" s="83" t="s">
        <v>108</v>
      </c>
      <c r="F5446" s="94"/>
    </row>
    <row r="5447" spans="1:7" s="87" customFormat="1" x14ac:dyDescent="0.35">
      <c r="A5447" s="223"/>
      <c r="B5447" s="84" t="str">
        <f>B5444</f>
        <v>11th October,2025</v>
      </c>
      <c r="C5447" s="85" t="s">
        <v>1340</v>
      </c>
      <c r="D5447" s="86">
        <f>1850*2704</f>
        <v>5002400</v>
      </c>
      <c r="F5447" s="177"/>
    </row>
    <row r="5448" spans="1:7" s="53" customFormat="1" x14ac:dyDescent="0.35">
      <c r="A5448" s="223"/>
      <c r="B5448" s="88"/>
      <c r="C5448" s="89" t="s">
        <v>188</v>
      </c>
      <c r="D5448" s="90">
        <f>325*2650</f>
        <v>861250</v>
      </c>
      <c r="F5448" s="94"/>
    </row>
    <row r="5449" spans="1:7" s="53" customFormat="1" x14ac:dyDescent="0.35">
      <c r="A5449" s="223"/>
      <c r="B5449" s="88" t="s">
        <v>109</v>
      </c>
      <c r="C5449" s="89" t="s">
        <v>110</v>
      </c>
      <c r="D5449" s="90">
        <v>1000000</v>
      </c>
      <c r="F5449" s="94"/>
    </row>
    <row r="5450" spans="1:7" s="53" customFormat="1" x14ac:dyDescent="0.35">
      <c r="A5450" s="223"/>
      <c r="B5450" s="88" t="s">
        <v>111</v>
      </c>
      <c r="C5450" s="89" t="s">
        <v>112</v>
      </c>
      <c r="D5450" s="90">
        <v>40000</v>
      </c>
      <c r="E5450" s="225" t="s">
        <v>113</v>
      </c>
      <c r="F5450" s="225"/>
    </row>
    <row r="5451" spans="1:7" s="53" customFormat="1" x14ac:dyDescent="0.35">
      <c r="A5451" s="223"/>
      <c r="B5451" s="88" t="s">
        <v>182</v>
      </c>
      <c r="C5451" s="89" t="s">
        <v>115</v>
      </c>
      <c r="D5451" s="90">
        <f>900*123</f>
        <v>110700</v>
      </c>
      <c r="E5451" s="91" t="s">
        <v>116</v>
      </c>
      <c r="F5451" s="92">
        <f>4400*2445</f>
        <v>10758000</v>
      </c>
    </row>
    <row r="5452" spans="1:7" s="53" customFormat="1" x14ac:dyDescent="0.35">
      <c r="A5452" s="223"/>
      <c r="B5452" s="88"/>
      <c r="C5452" s="89" t="s">
        <v>117</v>
      </c>
      <c r="D5452" s="90">
        <f>4670*123</f>
        <v>574410</v>
      </c>
      <c r="E5452" s="93" t="s">
        <v>118</v>
      </c>
      <c r="F5452" s="94">
        <f>(2640*2445)</f>
        <v>6454800</v>
      </c>
    </row>
    <row r="5453" spans="1:7" s="53" customFormat="1" ht="15" thickBot="1" x14ac:dyDescent="0.4">
      <c r="A5453" s="223"/>
      <c r="B5453" s="88" t="s">
        <v>119</v>
      </c>
      <c r="C5453" s="89" t="s">
        <v>120</v>
      </c>
      <c r="D5453" s="95">
        <v>30000</v>
      </c>
      <c r="E5453" s="96" t="s">
        <v>121</v>
      </c>
      <c r="F5453" s="97">
        <f>F5451-F5452</f>
        <v>4303200</v>
      </c>
      <c r="G5453" s="98">
        <f>F5453/2445</f>
        <v>1760</v>
      </c>
    </row>
    <row r="5454" spans="1:7" s="53" customFormat="1" ht="15" thickTop="1" x14ac:dyDescent="0.35">
      <c r="A5454" s="223"/>
      <c r="B5454" s="88"/>
      <c r="C5454" s="89" t="s">
        <v>122</v>
      </c>
      <c r="D5454" s="90">
        <v>150000</v>
      </c>
      <c r="F5454" s="94"/>
    </row>
    <row r="5455" spans="1:7" s="53" customFormat="1" x14ac:dyDescent="0.35">
      <c r="A5455" s="223"/>
      <c r="B5455" s="88" t="s">
        <v>1325</v>
      </c>
      <c r="C5455" s="99" t="s">
        <v>123</v>
      </c>
      <c r="D5455" s="90">
        <v>15000</v>
      </c>
      <c r="E5455" s="91" t="s">
        <v>124</v>
      </c>
      <c r="F5455" s="92"/>
    </row>
    <row r="5456" spans="1:7" s="53" customFormat="1" x14ac:dyDescent="0.35">
      <c r="A5456" s="223"/>
      <c r="B5456" s="101"/>
      <c r="C5456" s="99" t="s">
        <v>125</v>
      </c>
      <c r="D5456" s="100">
        <v>10000</v>
      </c>
      <c r="E5456" s="102"/>
      <c r="F5456" s="103"/>
    </row>
    <row r="5457" spans="1:6" s="53" customFormat="1" x14ac:dyDescent="0.35">
      <c r="A5457" s="223"/>
      <c r="B5457" s="101"/>
      <c r="C5457" s="99" t="s">
        <v>126</v>
      </c>
      <c r="D5457" s="100">
        <v>50000</v>
      </c>
      <c r="E5457" s="102" t="s">
        <v>127</v>
      </c>
      <c r="F5457" s="103"/>
    </row>
    <row r="5458" spans="1:6" s="53" customFormat="1" x14ac:dyDescent="0.35">
      <c r="A5458" s="223"/>
      <c r="B5458" s="101"/>
      <c r="C5458" s="89" t="s">
        <v>265</v>
      </c>
      <c r="D5458" s="104">
        <f>895*123</f>
        <v>110085</v>
      </c>
      <c r="E5458" s="102" t="s">
        <v>1357</v>
      </c>
      <c r="F5458" s="103"/>
    </row>
    <row r="5459" spans="1:6" s="53" customFormat="1" ht="15" thickBot="1" x14ac:dyDescent="0.4">
      <c r="A5459" s="223"/>
      <c r="B5459" s="105"/>
      <c r="C5459" s="106"/>
      <c r="D5459" s="107"/>
      <c r="F5459" s="94"/>
    </row>
    <row r="5460" spans="1:6" s="53" customFormat="1" ht="15" thickBot="1" x14ac:dyDescent="0.4">
      <c r="A5460" s="223"/>
      <c r="B5460" s="108"/>
      <c r="C5460" s="109" t="s">
        <v>129</v>
      </c>
      <c r="D5460" s="110">
        <f>SUM(D5447:D5459)</f>
        <v>7953845</v>
      </c>
      <c r="F5460" s="94"/>
    </row>
    <row r="5461" spans="1:6" s="53" customFormat="1" ht="15.5" thickTop="1" thickBot="1" x14ac:dyDescent="0.4">
      <c r="A5461" s="224"/>
      <c r="B5461" s="226"/>
      <c r="C5461" s="226"/>
      <c r="D5461" s="226"/>
      <c r="F5461" s="94"/>
    </row>
    <row r="5462" spans="1:6" s="53" customFormat="1" x14ac:dyDescent="0.35">
      <c r="B5462" s="87"/>
      <c r="C5462" s="53" t="s">
        <v>130</v>
      </c>
      <c r="D5462" s="111">
        <f>D5444-D5460</f>
        <v>2804155</v>
      </c>
      <c r="F5462" s="94"/>
    </row>
    <row r="5463" spans="1:6" s="53" customFormat="1" x14ac:dyDescent="0.35">
      <c r="B5463" s="87"/>
      <c r="D5463" s="111"/>
      <c r="F5463" s="94"/>
    </row>
    <row r="5464" spans="1:6" s="53" customFormat="1" x14ac:dyDescent="0.35">
      <c r="A5464" s="112"/>
      <c r="B5464" s="113"/>
      <c r="C5464" s="112"/>
      <c r="D5464" s="114"/>
      <c r="E5464" s="112"/>
      <c r="F5464" s="178"/>
    </row>
    <row r="5466" spans="1:6" s="53" customFormat="1" ht="23.5" x14ac:dyDescent="0.55000000000000004">
      <c r="B5466" s="227" t="s">
        <v>0</v>
      </c>
      <c r="C5466" s="227"/>
      <c r="D5466" s="227"/>
      <c r="E5466" s="70"/>
      <c r="F5466" s="176"/>
    </row>
    <row r="5467" spans="1:6" s="53" customFormat="1" ht="20.5" x14ac:dyDescent="0.45">
      <c r="B5467" s="71"/>
      <c r="C5467" s="72" t="s">
        <v>1330</v>
      </c>
      <c r="D5467" s="73"/>
      <c r="F5467" s="94"/>
    </row>
    <row r="5468" spans="1:6" s="53" customFormat="1" ht="21" thickBot="1" x14ac:dyDescent="0.5">
      <c r="B5468" s="71" t="s">
        <v>735</v>
      </c>
      <c r="C5468" s="74" t="s">
        <v>103</v>
      </c>
      <c r="D5468" s="73"/>
      <c r="F5468" s="94"/>
    </row>
    <row r="5469" spans="1:6" s="53" customFormat="1" ht="15" thickBot="1" x14ac:dyDescent="0.4">
      <c r="A5469" s="75" t="s">
        <v>104</v>
      </c>
      <c r="B5469" s="76" t="s">
        <v>81</v>
      </c>
      <c r="C5469" s="76" t="s">
        <v>105</v>
      </c>
      <c r="D5469" s="77" t="s">
        <v>84</v>
      </c>
      <c r="F5469" s="94"/>
    </row>
    <row r="5470" spans="1:6" s="53" customFormat="1" ht="14.5" customHeight="1" x14ac:dyDescent="0.35">
      <c r="A5470" s="222" t="s">
        <v>94</v>
      </c>
      <c r="B5470" s="78" t="s">
        <v>1327</v>
      </c>
      <c r="C5470" s="79" t="s">
        <v>959</v>
      </c>
      <c r="D5470" s="80">
        <f>F5477</f>
        <v>10758000</v>
      </c>
      <c r="F5470" s="94"/>
    </row>
    <row r="5471" spans="1:6" s="53" customFormat="1" ht="21" thickBot="1" x14ac:dyDescent="0.5">
      <c r="A5471" s="223"/>
      <c r="B5471" s="71"/>
      <c r="C5471" s="71"/>
      <c r="D5471" s="73"/>
      <c r="F5471" s="94"/>
    </row>
    <row r="5472" spans="1:6" s="53" customFormat="1" ht="15" thickBot="1" x14ac:dyDescent="0.4">
      <c r="A5472" s="223"/>
      <c r="B5472" s="81" t="s">
        <v>81</v>
      </c>
      <c r="C5472" s="82" t="s">
        <v>107</v>
      </c>
      <c r="D5472" s="83" t="s">
        <v>108</v>
      </c>
      <c r="F5472" s="94"/>
    </row>
    <row r="5473" spans="1:7" s="87" customFormat="1" x14ac:dyDescent="0.35">
      <c r="A5473" s="223"/>
      <c r="B5473" s="84" t="str">
        <f>B5470</f>
        <v>11th October,2025</v>
      </c>
      <c r="C5473" s="85" t="s">
        <v>1416</v>
      </c>
      <c r="D5473" s="86">
        <f>1850*2720</f>
        <v>5032000</v>
      </c>
      <c r="F5473" s="177"/>
    </row>
    <row r="5474" spans="1:7" s="53" customFormat="1" x14ac:dyDescent="0.35">
      <c r="A5474" s="223"/>
      <c r="B5474" s="88"/>
      <c r="C5474" s="89" t="s">
        <v>1332</v>
      </c>
      <c r="D5474" s="90">
        <f>323*2500</f>
        <v>807500</v>
      </c>
      <c r="F5474" s="94"/>
    </row>
    <row r="5475" spans="1:7" s="53" customFormat="1" x14ac:dyDescent="0.35">
      <c r="A5475" s="223"/>
      <c r="B5475" s="88" t="s">
        <v>109</v>
      </c>
      <c r="C5475" s="89" t="s">
        <v>110</v>
      </c>
      <c r="D5475" s="90">
        <v>1000000</v>
      </c>
      <c r="F5475" s="94"/>
    </row>
    <row r="5476" spans="1:7" s="53" customFormat="1" x14ac:dyDescent="0.35">
      <c r="A5476" s="223"/>
      <c r="B5476" s="88" t="s">
        <v>111</v>
      </c>
      <c r="C5476" s="89" t="s">
        <v>112</v>
      </c>
      <c r="D5476" s="90">
        <v>40000</v>
      </c>
      <c r="E5476" s="225" t="s">
        <v>113</v>
      </c>
      <c r="F5476" s="225"/>
    </row>
    <row r="5477" spans="1:7" s="53" customFormat="1" x14ac:dyDescent="0.35">
      <c r="A5477" s="223"/>
      <c r="B5477" s="88" t="s">
        <v>564</v>
      </c>
      <c r="C5477" s="89" t="s">
        <v>115</v>
      </c>
      <c r="D5477" s="90">
        <f>700*123</f>
        <v>86100</v>
      </c>
      <c r="E5477" s="91" t="s">
        <v>116</v>
      </c>
      <c r="F5477" s="92">
        <f>4400*2445</f>
        <v>10758000</v>
      </c>
    </row>
    <row r="5478" spans="1:7" s="53" customFormat="1" x14ac:dyDescent="0.35">
      <c r="A5478" s="223"/>
      <c r="B5478" s="88"/>
      <c r="C5478" s="89" t="s">
        <v>117</v>
      </c>
      <c r="D5478" s="90">
        <f>4380*123</f>
        <v>538740</v>
      </c>
      <c r="E5478" s="93" t="s">
        <v>118</v>
      </c>
      <c r="F5478" s="94">
        <f>(2640*2445)</f>
        <v>6454800</v>
      </c>
    </row>
    <row r="5479" spans="1:7" s="53" customFormat="1" ht="15" thickBot="1" x14ac:dyDescent="0.4">
      <c r="A5479" s="223"/>
      <c r="B5479" s="88" t="s">
        <v>119</v>
      </c>
      <c r="C5479" s="89" t="s">
        <v>120</v>
      </c>
      <c r="D5479" s="95">
        <v>30000</v>
      </c>
      <c r="E5479" s="96" t="s">
        <v>121</v>
      </c>
      <c r="F5479" s="97">
        <f>F5477-F5478</f>
        <v>4303200</v>
      </c>
      <c r="G5479" s="98">
        <f>F5479/2445</f>
        <v>1760</v>
      </c>
    </row>
    <row r="5480" spans="1:7" s="53" customFormat="1" ht="15" thickTop="1" x14ac:dyDescent="0.35">
      <c r="A5480" s="223"/>
      <c r="B5480" s="88"/>
      <c r="C5480" s="89" t="s">
        <v>122</v>
      </c>
      <c r="D5480" s="90">
        <v>150000</v>
      </c>
      <c r="F5480" s="94"/>
    </row>
    <row r="5481" spans="1:7" s="53" customFormat="1" x14ac:dyDescent="0.35">
      <c r="A5481" s="223"/>
      <c r="B5481" s="88" t="s">
        <v>1329</v>
      </c>
      <c r="C5481" s="99" t="s">
        <v>123</v>
      </c>
      <c r="D5481" s="90">
        <v>15000</v>
      </c>
      <c r="E5481" s="91" t="s">
        <v>124</v>
      </c>
      <c r="F5481" s="92"/>
    </row>
    <row r="5482" spans="1:7" s="53" customFormat="1" x14ac:dyDescent="0.35">
      <c r="A5482" s="223"/>
      <c r="B5482" s="101"/>
      <c r="C5482" s="99" t="s">
        <v>125</v>
      </c>
      <c r="D5482" s="100">
        <v>10000</v>
      </c>
      <c r="E5482" s="102"/>
      <c r="F5482" s="103"/>
    </row>
    <row r="5483" spans="1:7" s="53" customFormat="1" x14ac:dyDescent="0.35">
      <c r="A5483" s="223"/>
      <c r="B5483" s="101"/>
      <c r="C5483" s="99" t="s">
        <v>126</v>
      </c>
      <c r="D5483" s="100">
        <v>40000</v>
      </c>
      <c r="E5483" s="102" t="s">
        <v>127</v>
      </c>
      <c r="F5483" s="103"/>
    </row>
    <row r="5484" spans="1:7" s="53" customFormat="1" x14ac:dyDescent="0.35">
      <c r="A5484" s="223"/>
      <c r="B5484" s="101"/>
      <c r="C5484" s="89"/>
      <c r="D5484" s="104"/>
      <c r="E5484" s="102" t="s">
        <v>1358</v>
      </c>
      <c r="F5484" s="103"/>
    </row>
    <row r="5485" spans="1:7" s="53" customFormat="1" ht="15" thickBot="1" x14ac:dyDescent="0.4">
      <c r="A5485" s="223"/>
      <c r="B5485" s="105"/>
      <c r="C5485" s="106"/>
      <c r="D5485" s="107"/>
      <c r="F5485" s="94"/>
    </row>
    <row r="5486" spans="1:7" s="53" customFormat="1" ht="15" thickBot="1" x14ac:dyDescent="0.4">
      <c r="A5486" s="223"/>
      <c r="B5486" s="108"/>
      <c r="C5486" s="109" t="s">
        <v>129</v>
      </c>
      <c r="D5486" s="110">
        <f>SUM(D5473:D5485)</f>
        <v>7749340</v>
      </c>
      <c r="F5486" s="94"/>
    </row>
    <row r="5487" spans="1:7" s="53" customFormat="1" ht="15.5" thickTop="1" thickBot="1" x14ac:dyDescent="0.4">
      <c r="A5487" s="224"/>
      <c r="B5487" s="226"/>
      <c r="C5487" s="226"/>
      <c r="D5487" s="226"/>
      <c r="F5487" s="94"/>
    </row>
    <row r="5488" spans="1:7" s="53" customFormat="1" x14ac:dyDescent="0.35">
      <c r="B5488" s="87"/>
      <c r="C5488" s="53" t="s">
        <v>130</v>
      </c>
      <c r="D5488" s="111">
        <f>D5470-D5486</f>
        <v>3008660</v>
      </c>
      <c r="F5488" s="94"/>
    </row>
    <row r="5489" spans="1:6" s="53" customFormat="1" x14ac:dyDescent="0.35">
      <c r="B5489" s="87"/>
      <c r="D5489" s="111"/>
      <c r="F5489" s="94"/>
    </row>
    <row r="5490" spans="1:6" s="53" customFormat="1" x14ac:dyDescent="0.35">
      <c r="A5490" s="112"/>
      <c r="B5490" s="113"/>
      <c r="C5490" s="112"/>
      <c r="D5490" s="114"/>
      <c r="E5490" s="112"/>
      <c r="F5490" s="178"/>
    </row>
    <row r="5492" spans="1:6" s="53" customFormat="1" ht="23.5" x14ac:dyDescent="0.55000000000000004">
      <c r="B5492" s="227" t="s">
        <v>0</v>
      </c>
      <c r="C5492" s="227"/>
      <c r="D5492" s="227"/>
      <c r="E5492" s="70"/>
      <c r="F5492" s="176"/>
    </row>
    <row r="5493" spans="1:6" s="53" customFormat="1" ht="20.5" x14ac:dyDescent="0.45">
      <c r="B5493" s="71"/>
      <c r="C5493" s="72" t="s">
        <v>1338</v>
      </c>
      <c r="D5493" s="73"/>
      <c r="F5493" s="94"/>
    </row>
    <row r="5494" spans="1:6" s="53" customFormat="1" ht="21" thickBot="1" x14ac:dyDescent="0.5">
      <c r="B5494" s="71" t="s">
        <v>954</v>
      </c>
      <c r="C5494" s="74" t="s">
        <v>103</v>
      </c>
      <c r="D5494" s="73"/>
      <c r="F5494" s="94"/>
    </row>
    <row r="5495" spans="1:6" s="53" customFormat="1" ht="15" thickBot="1" x14ac:dyDescent="0.4">
      <c r="A5495" s="75" t="s">
        <v>104</v>
      </c>
      <c r="B5495" s="76" t="s">
        <v>81</v>
      </c>
      <c r="C5495" s="76" t="s">
        <v>105</v>
      </c>
      <c r="D5495" s="77" t="s">
        <v>84</v>
      </c>
      <c r="F5495" s="94"/>
    </row>
    <row r="5496" spans="1:6" s="53" customFormat="1" ht="14.5" customHeight="1" x14ac:dyDescent="0.35">
      <c r="A5496" s="222" t="s">
        <v>94</v>
      </c>
      <c r="B5496" s="78" t="s">
        <v>1339</v>
      </c>
      <c r="C5496" s="79" t="s">
        <v>959</v>
      </c>
      <c r="D5496" s="80">
        <f>F5503</f>
        <v>10758000</v>
      </c>
      <c r="F5496" s="94"/>
    </row>
    <row r="5497" spans="1:6" s="53" customFormat="1" ht="21" thickBot="1" x14ac:dyDescent="0.5">
      <c r="A5497" s="223"/>
      <c r="B5497" s="71"/>
      <c r="C5497" s="71"/>
      <c r="D5497" s="73"/>
      <c r="F5497" s="94"/>
    </row>
    <row r="5498" spans="1:6" s="53" customFormat="1" ht="15" thickBot="1" x14ac:dyDescent="0.4">
      <c r="A5498" s="223"/>
      <c r="B5498" s="81" t="s">
        <v>81</v>
      </c>
      <c r="C5498" s="82" t="s">
        <v>107</v>
      </c>
      <c r="D5498" s="83" t="s">
        <v>108</v>
      </c>
      <c r="F5498" s="94"/>
    </row>
    <row r="5499" spans="1:6" s="87" customFormat="1" x14ac:dyDescent="0.35">
      <c r="A5499" s="223"/>
      <c r="B5499" s="84" t="str">
        <f>B5496</f>
        <v>13th October,2025</v>
      </c>
      <c r="C5499" s="85" t="s">
        <v>1416</v>
      </c>
      <c r="D5499" s="86">
        <f>1850*2720</f>
        <v>5032000</v>
      </c>
      <c r="F5499" s="177"/>
    </row>
    <row r="5500" spans="1:6" s="53" customFormat="1" x14ac:dyDescent="0.35">
      <c r="A5500" s="223"/>
      <c r="B5500" s="88"/>
      <c r="C5500" s="89" t="s">
        <v>188</v>
      </c>
      <c r="D5500" s="90">
        <f>325*2650</f>
        <v>861250</v>
      </c>
      <c r="F5500" s="94"/>
    </row>
    <row r="5501" spans="1:6" s="53" customFormat="1" x14ac:dyDescent="0.35">
      <c r="A5501" s="223"/>
      <c r="B5501" s="88" t="s">
        <v>109</v>
      </c>
      <c r="C5501" s="89" t="s">
        <v>110</v>
      </c>
      <c r="D5501" s="90">
        <v>1000000</v>
      </c>
      <c r="F5501" s="94"/>
    </row>
    <row r="5502" spans="1:6" s="53" customFormat="1" x14ac:dyDescent="0.35">
      <c r="A5502" s="223"/>
      <c r="B5502" s="88" t="s">
        <v>111</v>
      </c>
      <c r="C5502" s="89" t="s">
        <v>112</v>
      </c>
      <c r="D5502" s="90">
        <v>40000</v>
      </c>
      <c r="E5502" s="225" t="s">
        <v>113</v>
      </c>
      <c r="F5502" s="225"/>
    </row>
    <row r="5503" spans="1:6" s="53" customFormat="1" x14ac:dyDescent="0.35">
      <c r="A5503" s="223"/>
      <c r="B5503" s="88" t="s">
        <v>182</v>
      </c>
      <c r="C5503" s="89" t="s">
        <v>115</v>
      </c>
      <c r="D5503" s="90">
        <f>600*123</f>
        <v>73800</v>
      </c>
      <c r="E5503" s="91" t="s">
        <v>116</v>
      </c>
      <c r="F5503" s="92">
        <f>4400*2445</f>
        <v>10758000</v>
      </c>
    </row>
    <row r="5504" spans="1:6" s="53" customFormat="1" x14ac:dyDescent="0.35">
      <c r="A5504" s="223"/>
      <c r="B5504" s="88"/>
      <c r="C5504" s="89" t="s">
        <v>117</v>
      </c>
      <c r="D5504" s="90">
        <f>4650*123</f>
        <v>571950</v>
      </c>
      <c r="E5504" s="93" t="s">
        <v>118</v>
      </c>
      <c r="F5504" s="94">
        <f>(2640*2445)</f>
        <v>6454800</v>
      </c>
    </row>
    <row r="5505" spans="1:7" s="53" customFormat="1" ht="15" thickBot="1" x14ac:dyDescent="0.4">
      <c r="A5505" s="223"/>
      <c r="B5505" s="88" t="s">
        <v>119</v>
      </c>
      <c r="C5505" s="89" t="s">
        <v>120</v>
      </c>
      <c r="D5505" s="95">
        <v>30000</v>
      </c>
      <c r="E5505" s="96" t="s">
        <v>121</v>
      </c>
      <c r="F5505" s="97">
        <f>F5503-F5504</f>
        <v>4303200</v>
      </c>
      <c r="G5505" s="98">
        <f>F5505/2445</f>
        <v>1760</v>
      </c>
    </row>
    <row r="5506" spans="1:7" s="53" customFormat="1" ht="15" thickTop="1" x14ac:dyDescent="0.35">
      <c r="A5506" s="223"/>
      <c r="B5506" s="88"/>
      <c r="C5506" s="89" t="s">
        <v>122</v>
      </c>
      <c r="D5506" s="90">
        <v>150000</v>
      </c>
      <c r="F5506" s="94"/>
    </row>
    <row r="5507" spans="1:7" s="53" customFormat="1" x14ac:dyDescent="0.35">
      <c r="A5507" s="223"/>
      <c r="B5507" s="88" t="s">
        <v>1337</v>
      </c>
      <c r="C5507" s="99" t="s">
        <v>123</v>
      </c>
      <c r="D5507" s="90">
        <v>15000</v>
      </c>
      <c r="E5507" s="91" t="s">
        <v>124</v>
      </c>
      <c r="F5507" s="92"/>
    </row>
    <row r="5508" spans="1:7" s="53" customFormat="1" x14ac:dyDescent="0.35">
      <c r="A5508" s="223"/>
      <c r="B5508" s="101"/>
      <c r="C5508" s="99" t="s">
        <v>125</v>
      </c>
      <c r="D5508" s="100">
        <v>10000</v>
      </c>
      <c r="E5508" s="102"/>
      <c r="F5508" s="103"/>
    </row>
    <row r="5509" spans="1:7" s="53" customFormat="1" x14ac:dyDescent="0.35">
      <c r="A5509" s="223"/>
      <c r="B5509" s="101"/>
      <c r="C5509" s="99" t="s">
        <v>126</v>
      </c>
      <c r="D5509" s="100">
        <v>40000</v>
      </c>
      <c r="E5509" s="102" t="s">
        <v>127</v>
      </c>
      <c r="F5509" s="103"/>
    </row>
    <row r="5510" spans="1:7" s="53" customFormat="1" x14ac:dyDescent="0.35">
      <c r="A5510" s="223"/>
      <c r="B5510" s="101"/>
      <c r="C5510" s="89" t="s">
        <v>265</v>
      </c>
      <c r="D5510" s="104">
        <f>1233*122</f>
        <v>150426</v>
      </c>
      <c r="E5510" s="102" t="s">
        <v>1358</v>
      </c>
      <c r="F5510" s="103"/>
    </row>
    <row r="5511" spans="1:7" s="53" customFormat="1" ht="15" thickBot="1" x14ac:dyDescent="0.4">
      <c r="A5511" s="223"/>
      <c r="B5511" s="105"/>
      <c r="C5511" s="106"/>
      <c r="D5511" s="107"/>
      <c r="F5511" s="94"/>
    </row>
    <row r="5512" spans="1:7" s="53" customFormat="1" ht="15" thickBot="1" x14ac:dyDescent="0.4">
      <c r="A5512" s="223"/>
      <c r="B5512" s="108"/>
      <c r="C5512" s="109" t="s">
        <v>129</v>
      </c>
      <c r="D5512" s="110">
        <f>SUM(D5499:D5511)</f>
        <v>7974426</v>
      </c>
      <c r="F5512" s="94"/>
    </row>
    <row r="5513" spans="1:7" s="53" customFormat="1" ht="15.5" thickTop="1" thickBot="1" x14ac:dyDescent="0.4">
      <c r="A5513" s="224"/>
      <c r="B5513" s="226"/>
      <c r="C5513" s="226"/>
      <c r="D5513" s="226"/>
      <c r="F5513" s="94"/>
    </row>
    <row r="5514" spans="1:7" s="53" customFormat="1" x14ac:dyDescent="0.35">
      <c r="B5514" s="87"/>
      <c r="C5514" s="53" t="s">
        <v>130</v>
      </c>
      <c r="D5514" s="111">
        <f>D5496-D5512</f>
        <v>2783574</v>
      </c>
      <c r="F5514" s="94"/>
    </row>
    <row r="5515" spans="1:7" s="53" customFormat="1" x14ac:dyDescent="0.35">
      <c r="B5515" s="87"/>
      <c r="D5515" s="111"/>
      <c r="F5515" s="94"/>
    </row>
    <row r="5516" spans="1:7" s="53" customFormat="1" x14ac:dyDescent="0.35">
      <c r="A5516" s="112"/>
      <c r="B5516" s="113"/>
      <c r="C5516" s="112"/>
      <c r="D5516" s="114"/>
      <c r="E5516" s="112"/>
      <c r="F5516" s="178"/>
    </row>
    <row r="5518" spans="1:7" s="53" customFormat="1" ht="23.5" x14ac:dyDescent="0.55000000000000004">
      <c r="B5518" s="227" t="s">
        <v>0</v>
      </c>
      <c r="C5518" s="227"/>
      <c r="D5518" s="227"/>
      <c r="E5518" s="70"/>
      <c r="F5518" s="176"/>
    </row>
    <row r="5519" spans="1:7" s="53" customFormat="1" ht="20.5" x14ac:dyDescent="0.45">
      <c r="B5519" s="71"/>
      <c r="C5519" s="72" t="s">
        <v>1344</v>
      </c>
      <c r="D5519" s="73"/>
      <c r="F5519" s="94"/>
    </row>
    <row r="5520" spans="1:7" s="53" customFormat="1" ht="21" thickBot="1" x14ac:dyDescent="0.5">
      <c r="B5520" s="71" t="s">
        <v>401</v>
      </c>
      <c r="C5520" s="74" t="s">
        <v>103</v>
      </c>
      <c r="D5520" s="73"/>
      <c r="F5520" s="94"/>
    </row>
    <row r="5521" spans="1:7" s="53" customFormat="1" ht="15" thickBot="1" x14ac:dyDescent="0.4">
      <c r="A5521" s="75" t="s">
        <v>104</v>
      </c>
      <c r="B5521" s="76" t="s">
        <v>81</v>
      </c>
      <c r="C5521" s="76" t="s">
        <v>105</v>
      </c>
      <c r="D5521" s="77" t="s">
        <v>84</v>
      </c>
      <c r="F5521" s="94"/>
    </row>
    <row r="5522" spans="1:7" s="53" customFormat="1" ht="14.5" customHeight="1" x14ac:dyDescent="0.35">
      <c r="A5522" s="222" t="s">
        <v>94</v>
      </c>
      <c r="B5522" s="78" t="s">
        <v>1345</v>
      </c>
      <c r="C5522" s="79" t="s">
        <v>959</v>
      </c>
      <c r="D5522" s="80">
        <f>F5529</f>
        <v>10758000</v>
      </c>
      <c r="F5522" s="94"/>
    </row>
    <row r="5523" spans="1:7" s="53" customFormat="1" ht="21" thickBot="1" x14ac:dyDescent="0.5">
      <c r="A5523" s="223"/>
      <c r="B5523" s="71"/>
      <c r="C5523" s="71"/>
      <c r="D5523" s="73"/>
      <c r="F5523" s="94"/>
    </row>
    <row r="5524" spans="1:7" s="53" customFormat="1" ht="15" thickBot="1" x14ac:dyDescent="0.4">
      <c r="A5524" s="223"/>
      <c r="B5524" s="81" t="s">
        <v>81</v>
      </c>
      <c r="C5524" s="82" t="s">
        <v>107</v>
      </c>
      <c r="D5524" s="83" t="s">
        <v>108</v>
      </c>
      <c r="F5524" s="94"/>
    </row>
    <row r="5525" spans="1:7" s="87" customFormat="1" x14ac:dyDescent="0.35">
      <c r="A5525" s="223"/>
      <c r="B5525" s="84" t="str">
        <f>B5522</f>
        <v>15th October,2025</v>
      </c>
      <c r="C5525" s="85" t="s">
        <v>1416</v>
      </c>
      <c r="D5525" s="86">
        <f>1850*2720</f>
        <v>5032000</v>
      </c>
      <c r="F5525" s="177"/>
    </row>
    <row r="5526" spans="1:7" s="53" customFormat="1" x14ac:dyDescent="0.35">
      <c r="A5526" s="223"/>
      <c r="B5526" s="88"/>
      <c r="C5526" s="89" t="s">
        <v>188</v>
      </c>
      <c r="D5526" s="90">
        <f>325*2650</f>
        <v>861250</v>
      </c>
      <c r="F5526" s="94"/>
    </row>
    <row r="5527" spans="1:7" s="53" customFormat="1" x14ac:dyDescent="0.35">
      <c r="A5527" s="223"/>
      <c r="B5527" s="88" t="s">
        <v>109</v>
      </c>
      <c r="C5527" s="89" t="s">
        <v>110</v>
      </c>
      <c r="D5527" s="90">
        <v>1000000</v>
      </c>
      <c r="F5527" s="94"/>
    </row>
    <row r="5528" spans="1:7" s="53" customFormat="1" x14ac:dyDescent="0.35">
      <c r="A5528" s="223"/>
      <c r="B5528" s="88" t="s">
        <v>111</v>
      </c>
      <c r="C5528" s="89" t="s">
        <v>112</v>
      </c>
      <c r="D5528" s="90">
        <v>40000</v>
      </c>
      <c r="E5528" s="225" t="s">
        <v>113</v>
      </c>
      <c r="F5528" s="225"/>
    </row>
    <row r="5529" spans="1:7" s="53" customFormat="1" x14ac:dyDescent="0.35">
      <c r="A5529" s="223"/>
      <c r="B5529" s="88" t="s">
        <v>182</v>
      </c>
      <c r="C5529" s="89" t="s">
        <v>115</v>
      </c>
      <c r="D5529" s="90">
        <f>600*123</f>
        <v>73800</v>
      </c>
      <c r="E5529" s="91" t="s">
        <v>116</v>
      </c>
      <c r="F5529" s="92">
        <f>4400*2445</f>
        <v>10758000</v>
      </c>
    </row>
    <row r="5530" spans="1:7" s="53" customFormat="1" x14ac:dyDescent="0.35">
      <c r="A5530" s="223"/>
      <c r="B5530" s="88"/>
      <c r="C5530" s="89" t="s">
        <v>117</v>
      </c>
      <c r="D5530" s="90">
        <f>5380*123</f>
        <v>661740</v>
      </c>
      <c r="E5530" s="93" t="s">
        <v>118</v>
      </c>
      <c r="F5530" s="94">
        <f>(2640*2445)+(1500*2445)</f>
        <v>10122300</v>
      </c>
    </row>
    <row r="5531" spans="1:7" s="53" customFormat="1" ht="15" thickBot="1" x14ac:dyDescent="0.4">
      <c r="A5531" s="223"/>
      <c r="B5531" s="88" t="s">
        <v>119</v>
      </c>
      <c r="C5531" s="89" t="s">
        <v>120</v>
      </c>
      <c r="D5531" s="95">
        <v>30000</v>
      </c>
      <c r="E5531" s="96" t="s">
        <v>121</v>
      </c>
      <c r="F5531" s="97">
        <f>F5529-F5530</f>
        <v>635700</v>
      </c>
      <c r="G5531" s="98">
        <f>F5531/2445</f>
        <v>260</v>
      </c>
    </row>
    <row r="5532" spans="1:7" s="53" customFormat="1" ht="15" thickTop="1" x14ac:dyDescent="0.35">
      <c r="A5532" s="223"/>
      <c r="B5532" s="88"/>
      <c r="C5532" s="89" t="s">
        <v>122</v>
      </c>
      <c r="D5532" s="90">
        <v>150000</v>
      </c>
      <c r="F5532" s="94"/>
    </row>
    <row r="5533" spans="1:7" s="53" customFormat="1" x14ac:dyDescent="0.35">
      <c r="A5533" s="223"/>
      <c r="B5533" s="88" t="s">
        <v>1343</v>
      </c>
      <c r="C5533" s="99" t="s">
        <v>123</v>
      </c>
      <c r="D5533" s="90">
        <v>15000</v>
      </c>
      <c r="E5533" s="91" t="s">
        <v>124</v>
      </c>
      <c r="F5533" s="92"/>
    </row>
    <row r="5534" spans="1:7" s="53" customFormat="1" x14ac:dyDescent="0.35">
      <c r="A5534" s="223"/>
      <c r="B5534" s="101"/>
      <c r="C5534" s="99" t="s">
        <v>125</v>
      </c>
      <c r="D5534" s="100">
        <v>10000</v>
      </c>
      <c r="E5534" s="102"/>
      <c r="F5534" s="103"/>
    </row>
    <row r="5535" spans="1:7" s="53" customFormat="1" x14ac:dyDescent="0.35">
      <c r="A5535" s="223"/>
      <c r="B5535" s="101"/>
      <c r="C5535" s="99" t="s">
        <v>126</v>
      </c>
      <c r="D5535" s="100">
        <v>40000</v>
      </c>
      <c r="E5535" s="102" t="s">
        <v>127</v>
      </c>
      <c r="F5535" s="103"/>
    </row>
    <row r="5536" spans="1:7" s="53" customFormat="1" x14ac:dyDescent="0.35">
      <c r="A5536" s="223"/>
      <c r="B5536" s="101"/>
      <c r="C5536" s="89" t="s">
        <v>265</v>
      </c>
      <c r="D5536" s="104">
        <f>1280*123</f>
        <v>157440</v>
      </c>
      <c r="E5536" s="102" t="s">
        <v>1372</v>
      </c>
      <c r="F5536" s="103"/>
    </row>
    <row r="5537" spans="1:6" s="53" customFormat="1" ht="15" thickBot="1" x14ac:dyDescent="0.4">
      <c r="A5537" s="223"/>
      <c r="B5537" s="105"/>
      <c r="C5537" s="106"/>
      <c r="D5537" s="107"/>
      <c r="E5537" s="53" t="s">
        <v>1730</v>
      </c>
      <c r="F5537" s="94"/>
    </row>
    <row r="5538" spans="1:6" s="53" customFormat="1" ht="15" thickBot="1" x14ac:dyDescent="0.4">
      <c r="A5538" s="223"/>
      <c r="B5538" s="108"/>
      <c r="C5538" s="109" t="s">
        <v>129</v>
      </c>
      <c r="D5538" s="110">
        <f>SUM(D5525:D5537)</f>
        <v>8071230</v>
      </c>
      <c r="F5538" s="94"/>
    </row>
    <row r="5539" spans="1:6" s="53" customFormat="1" ht="15.5" thickTop="1" thickBot="1" x14ac:dyDescent="0.4">
      <c r="A5539" s="224"/>
      <c r="B5539" s="226"/>
      <c r="C5539" s="226"/>
      <c r="D5539" s="226"/>
      <c r="F5539" s="94"/>
    </row>
    <row r="5540" spans="1:6" s="53" customFormat="1" x14ac:dyDescent="0.35">
      <c r="B5540" s="87"/>
      <c r="C5540" s="53" t="s">
        <v>130</v>
      </c>
      <c r="D5540" s="111">
        <f>D5522-D5538</f>
        <v>2686770</v>
      </c>
      <c r="F5540" s="94"/>
    </row>
    <row r="5541" spans="1:6" s="53" customFormat="1" x14ac:dyDescent="0.35">
      <c r="B5541" s="87"/>
      <c r="D5541" s="111"/>
      <c r="F5541" s="94"/>
    </row>
    <row r="5542" spans="1:6" s="53" customFormat="1" x14ac:dyDescent="0.35">
      <c r="A5542" s="112"/>
      <c r="B5542" s="113"/>
      <c r="C5542" s="112"/>
      <c r="D5542" s="114"/>
      <c r="E5542" s="112"/>
      <c r="F5542" s="178"/>
    </row>
    <row r="5544" spans="1:6" s="53" customFormat="1" ht="23.5" x14ac:dyDescent="0.55000000000000004">
      <c r="B5544" s="227" t="s">
        <v>0</v>
      </c>
      <c r="C5544" s="227"/>
      <c r="D5544" s="227"/>
      <c r="E5544" s="70"/>
      <c r="F5544" s="176"/>
    </row>
    <row r="5545" spans="1:6" s="53" customFormat="1" ht="20.5" x14ac:dyDescent="0.45">
      <c r="B5545" s="71"/>
      <c r="C5545" s="72" t="s">
        <v>1348</v>
      </c>
      <c r="D5545" s="73"/>
      <c r="F5545" s="94"/>
    </row>
    <row r="5546" spans="1:6" s="53" customFormat="1" ht="21" thickBot="1" x14ac:dyDescent="0.5">
      <c r="B5546" s="71" t="s">
        <v>898</v>
      </c>
      <c r="C5546" s="74" t="s">
        <v>103</v>
      </c>
      <c r="D5546" s="73"/>
      <c r="F5546" s="94"/>
    </row>
    <row r="5547" spans="1:6" s="53" customFormat="1" ht="15" thickBot="1" x14ac:dyDescent="0.4">
      <c r="A5547" s="75" t="s">
        <v>104</v>
      </c>
      <c r="B5547" s="76" t="s">
        <v>81</v>
      </c>
      <c r="C5547" s="76" t="s">
        <v>105</v>
      </c>
      <c r="D5547" s="77" t="s">
        <v>84</v>
      </c>
      <c r="F5547" s="94"/>
    </row>
    <row r="5548" spans="1:6" s="53" customFormat="1" ht="14.5" customHeight="1" x14ac:dyDescent="0.35">
      <c r="A5548" s="222" t="s">
        <v>94</v>
      </c>
      <c r="B5548" s="78" t="s">
        <v>1349</v>
      </c>
      <c r="C5548" s="79" t="s">
        <v>319</v>
      </c>
      <c r="D5548" s="80">
        <f>F5555</f>
        <v>10710000</v>
      </c>
      <c r="F5548" s="94"/>
    </row>
    <row r="5549" spans="1:6" s="53" customFormat="1" ht="21" thickBot="1" x14ac:dyDescent="0.5">
      <c r="A5549" s="223"/>
      <c r="B5549" s="71"/>
      <c r="C5549" s="71"/>
      <c r="D5549" s="73"/>
      <c r="F5549" s="94"/>
    </row>
    <row r="5550" spans="1:6" s="53" customFormat="1" ht="15" thickBot="1" x14ac:dyDescent="0.4">
      <c r="A5550" s="223"/>
      <c r="B5550" s="81" t="s">
        <v>81</v>
      </c>
      <c r="C5550" s="82" t="s">
        <v>107</v>
      </c>
      <c r="D5550" s="83" t="s">
        <v>108</v>
      </c>
      <c r="F5550" s="94"/>
    </row>
    <row r="5551" spans="1:6" s="87" customFormat="1" x14ac:dyDescent="0.35">
      <c r="A5551" s="223"/>
      <c r="B5551" s="84" t="str">
        <f>B5548</f>
        <v>17th October,2025</v>
      </c>
      <c r="C5551" s="85" t="s">
        <v>1541</v>
      </c>
      <c r="D5551" s="86">
        <f>1860*2704</f>
        <v>5029440</v>
      </c>
      <c r="F5551" s="177"/>
    </row>
    <row r="5552" spans="1:6" s="53" customFormat="1" x14ac:dyDescent="0.35">
      <c r="A5552" s="223"/>
      <c r="B5552" s="88"/>
      <c r="C5552" s="89" t="s">
        <v>188</v>
      </c>
      <c r="D5552" s="90">
        <f>325*2650</f>
        <v>861250</v>
      </c>
      <c r="F5552" s="94"/>
    </row>
    <row r="5553" spans="1:7" s="53" customFormat="1" x14ac:dyDescent="0.35">
      <c r="A5553" s="223"/>
      <c r="B5553" s="88" t="s">
        <v>109</v>
      </c>
      <c r="C5553" s="89" t="s">
        <v>110</v>
      </c>
      <c r="D5553" s="90">
        <v>1000000</v>
      </c>
      <c r="F5553" s="94"/>
    </row>
    <row r="5554" spans="1:7" s="53" customFormat="1" x14ac:dyDescent="0.35">
      <c r="A5554" s="223"/>
      <c r="B5554" s="88" t="s">
        <v>111</v>
      </c>
      <c r="C5554" s="89" t="s">
        <v>112</v>
      </c>
      <c r="D5554" s="90">
        <v>40000</v>
      </c>
      <c r="E5554" s="225" t="s">
        <v>113</v>
      </c>
      <c r="F5554" s="225"/>
    </row>
    <row r="5555" spans="1:7" s="53" customFormat="1" x14ac:dyDescent="0.35">
      <c r="A5555" s="223"/>
      <c r="B5555" s="88" t="s">
        <v>182</v>
      </c>
      <c r="C5555" s="89" t="s">
        <v>115</v>
      </c>
      <c r="D5555" s="90">
        <f>850*123</f>
        <v>104550</v>
      </c>
      <c r="E5555" s="91" t="s">
        <v>116</v>
      </c>
      <c r="F5555" s="92">
        <f>4200*2550</f>
        <v>10710000</v>
      </c>
    </row>
    <row r="5556" spans="1:7" s="53" customFormat="1" x14ac:dyDescent="0.35">
      <c r="A5556" s="223"/>
      <c r="B5556" s="88"/>
      <c r="C5556" s="89" t="s">
        <v>117</v>
      </c>
      <c r="D5556" s="90">
        <f>4650*123</f>
        <v>571950</v>
      </c>
      <c r="E5556" s="93" t="s">
        <v>118</v>
      </c>
      <c r="F5556" s="94">
        <f>4200*2550</f>
        <v>10710000</v>
      </c>
    </row>
    <row r="5557" spans="1:7" s="53" customFormat="1" ht="15" thickBot="1" x14ac:dyDescent="0.4">
      <c r="A5557" s="223"/>
      <c r="B5557" s="88" t="s">
        <v>119</v>
      </c>
      <c r="C5557" s="89" t="s">
        <v>120</v>
      </c>
      <c r="D5557" s="95">
        <v>30000</v>
      </c>
      <c r="E5557" s="96" t="s">
        <v>121</v>
      </c>
      <c r="F5557" s="97">
        <f>F5555-F5556</f>
        <v>0</v>
      </c>
      <c r="G5557" s="98">
        <f>F5557/2550</f>
        <v>0</v>
      </c>
    </row>
    <row r="5558" spans="1:7" s="53" customFormat="1" ht="15" thickTop="1" x14ac:dyDescent="0.35">
      <c r="A5558" s="223"/>
      <c r="B5558" s="88"/>
      <c r="C5558" s="89" t="s">
        <v>122</v>
      </c>
      <c r="D5558" s="90">
        <v>150000</v>
      </c>
      <c r="F5558" s="94"/>
    </row>
    <row r="5559" spans="1:7" s="53" customFormat="1" x14ac:dyDescent="0.35">
      <c r="A5559" s="223"/>
      <c r="B5559" s="88" t="s">
        <v>1347</v>
      </c>
      <c r="C5559" s="99" t="s">
        <v>123</v>
      </c>
      <c r="D5559" s="90">
        <v>15000</v>
      </c>
      <c r="E5559" s="91" t="s">
        <v>124</v>
      </c>
      <c r="F5559" s="92"/>
    </row>
    <row r="5560" spans="1:7" s="53" customFormat="1" x14ac:dyDescent="0.35">
      <c r="A5560" s="223"/>
      <c r="B5560" s="101"/>
      <c r="C5560" s="99" t="s">
        <v>125</v>
      </c>
      <c r="D5560" s="100">
        <v>10000</v>
      </c>
      <c r="E5560" s="102"/>
      <c r="F5560" s="103"/>
    </row>
    <row r="5561" spans="1:7" s="53" customFormat="1" x14ac:dyDescent="0.35">
      <c r="A5561" s="223"/>
      <c r="B5561" s="101"/>
      <c r="C5561" s="99" t="s">
        <v>126</v>
      </c>
      <c r="D5561" s="100">
        <v>40000</v>
      </c>
      <c r="E5561" s="102" t="s">
        <v>127</v>
      </c>
      <c r="F5561" s="103"/>
    </row>
    <row r="5562" spans="1:7" s="53" customFormat="1" x14ac:dyDescent="0.35">
      <c r="A5562" s="223"/>
      <c r="B5562" s="101"/>
      <c r="C5562" s="89" t="s">
        <v>265</v>
      </c>
      <c r="D5562" s="104">
        <f>1090*122</f>
        <v>132980</v>
      </c>
      <c r="E5562" s="102" t="s">
        <v>1705</v>
      </c>
      <c r="F5562" s="103"/>
    </row>
    <row r="5563" spans="1:7" s="53" customFormat="1" ht="15" thickBot="1" x14ac:dyDescent="0.4">
      <c r="A5563" s="223"/>
      <c r="B5563" s="105"/>
      <c r="C5563" s="106"/>
      <c r="D5563" s="107"/>
      <c r="F5563" s="94"/>
    </row>
    <row r="5564" spans="1:7" s="53" customFormat="1" ht="15" thickBot="1" x14ac:dyDescent="0.4">
      <c r="A5564" s="223"/>
      <c r="B5564" s="108"/>
      <c r="C5564" s="109" t="s">
        <v>129</v>
      </c>
      <c r="D5564" s="110">
        <f>SUM(D5551:D5563)</f>
        <v>7985170</v>
      </c>
      <c r="F5564" s="94"/>
    </row>
    <row r="5565" spans="1:7" s="53" customFormat="1" ht="15.5" thickTop="1" thickBot="1" x14ac:dyDescent="0.4">
      <c r="A5565" s="224"/>
      <c r="B5565" s="226"/>
      <c r="C5565" s="226"/>
      <c r="D5565" s="226"/>
      <c r="F5565" s="94"/>
    </row>
    <row r="5566" spans="1:7" s="53" customFormat="1" x14ac:dyDescent="0.35">
      <c r="B5566" s="87"/>
      <c r="C5566" s="53" t="s">
        <v>130</v>
      </c>
      <c r="D5566" s="111">
        <f>D5548-D5564</f>
        <v>2724830</v>
      </c>
      <c r="F5566" s="94"/>
    </row>
    <row r="5567" spans="1:7" s="53" customFormat="1" x14ac:dyDescent="0.35">
      <c r="B5567" s="87"/>
      <c r="D5567" s="111"/>
      <c r="F5567" s="94"/>
    </row>
    <row r="5568" spans="1:7" s="53" customFormat="1" x14ac:dyDescent="0.35">
      <c r="A5568" s="112"/>
      <c r="B5568" s="113"/>
      <c r="C5568" s="112"/>
      <c r="D5568" s="114"/>
      <c r="E5568" s="112"/>
      <c r="F5568" s="178"/>
    </row>
    <row r="5570" spans="1:7" s="53" customFormat="1" ht="23.5" x14ac:dyDescent="0.55000000000000004">
      <c r="B5570" s="227" t="s">
        <v>0</v>
      </c>
      <c r="C5570" s="227"/>
      <c r="D5570" s="227"/>
      <c r="E5570" s="70"/>
      <c r="F5570" s="176"/>
    </row>
    <row r="5571" spans="1:7" s="53" customFormat="1" ht="20.5" x14ac:dyDescent="0.45">
      <c r="B5571" s="71"/>
      <c r="C5571" s="72" t="s">
        <v>1352</v>
      </c>
      <c r="D5571" s="73"/>
      <c r="F5571" s="94"/>
    </row>
    <row r="5572" spans="1:7" s="53" customFormat="1" ht="21" thickBot="1" x14ac:dyDescent="0.5">
      <c r="B5572" s="71" t="s">
        <v>296</v>
      </c>
      <c r="C5572" s="74" t="s">
        <v>103</v>
      </c>
      <c r="D5572" s="73"/>
      <c r="F5572" s="94"/>
    </row>
    <row r="5573" spans="1:7" s="53" customFormat="1" ht="15" thickBot="1" x14ac:dyDescent="0.4">
      <c r="A5573" s="75" t="s">
        <v>104</v>
      </c>
      <c r="B5573" s="76" t="s">
        <v>81</v>
      </c>
      <c r="C5573" s="76" t="s">
        <v>105</v>
      </c>
      <c r="D5573" s="77" t="s">
        <v>84</v>
      </c>
      <c r="F5573" s="94"/>
    </row>
    <row r="5574" spans="1:7" s="53" customFormat="1" ht="14.5" customHeight="1" x14ac:dyDescent="0.35">
      <c r="A5574" s="222" t="s">
        <v>94</v>
      </c>
      <c r="B5574" s="78" t="s">
        <v>1349</v>
      </c>
      <c r="C5574" s="79" t="s">
        <v>319</v>
      </c>
      <c r="D5574" s="80">
        <f>F5581</f>
        <v>10710000</v>
      </c>
      <c r="F5574" s="94"/>
    </row>
    <row r="5575" spans="1:7" s="53" customFormat="1" ht="21" thickBot="1" x14ac:dyDescent="0.5">
      <c r="A5575" s="223"/>
      <c r="B5575" s="71"/>
      <c r="C5575" s="71"/>
      <c r="D5575" s="73"/>
      <c r="F5575" s="94"/>
    </row>
    <row r="5576" spans="1:7" s="53" customFormat="1" ht="15" thickBot="1" x14ac:dyDescent="0.4">
      <c r="A5576" s="223"/>
      <c r="B5576" s="81" t="s">
        <v>81</v>
      </c>
      <c r="C5576" s="82" t="s">
        <v>107</v>
      </c>
      <c r="D5576" s="83" t="s">
        <v>108</v>
      </c>
      <c r="F5576" s="94"/>
    </row>
    <row r="5577" spans="1:7" s="87" customFormat="1" x14ac:dyDescent="0.35">
      <c r="A5577" s="223"/>
      <c r="B5577" s="84" t="str">
        <f>B5574</f>
        <v>17th October,2025</v>
      </c>
      <c r="C5577" s="85" t="s">
        <v>1340</v>
      </c>
      <c r="D5577" s="86">
        <f>1850*2704</f>
        <v>5002400</v>
      </c>
      <c r="F5577" s="177"/>
    </row>
    <row r="5578" spans="1:7" s="53" customFormat="1" x14ac:dyDescent="0.35">
      <c r="A5578" s="223"/>
      <c r="B5578" s="88"/>
      <c r="C5578" s="89" t="s">
        <v>188</v>
      </c>
      <c r="D5578" s="90">
        <f>325*2650</f>
        <v>861250</v>
      </c>
      <c r="F5578" s="94"/>
    </row>
    <row r="5579" spans="1:7" s="53" customFormat="1" x14ac:dyDescent="0.35">
      <c r="A5579" s="223"/>
      <c r="B5579" s="88" t="s">
        <v>109</v>
      </c>
      <c r="C5579" s="89" t="s">
        <v>110</v>
      </c>
      <c r="D5579" s="90">
        <v>1000000</v>
      </c>
      <c r="F5579" s="94"/>
    </row>
    <row r="5580" spans="1:7" s="53" customFormat="1" x14ac:dyDescent="0.35">
      <c r="A5580" s="223"/>
      <c r="B5580" s="88" t="s">
        <v>111</v>
      </c>
      <c r="C5580" s="89" t="s">
        <v>112</v>
      </c>
      <c r="D5580" s="90">
        <v>40000</v>
      </c>
      <c r="E5580" s="225" t="s">
        <v>113</v>
      </c>
      <c r="F5580" s="225"/>
    </row>
    <row r="5581" spans="1:7" s="53" customFormat="1" x14ac:dyDescent="0.35">
      <c r="A5581" s="223"/>
      <c r="B5581" s="88" t="s">
        <v>182</v>
      </c>
      <c r="C5581" s="89" t="s">
        <v>115</v>
      </c>
      <c r="D5581" s="90">
        <f>1990*123</f>
        <v>244770</v>
      </c>
      <c r="E5581" s="91" t="s">
        <v>116</v>
      </c>
      <c r="F5581" s="92">
        <f>4200*2550</f>
        <v>10710000</v>
      </c>
    </row>
    <row r="5582" spans="1:7" s="53" customFormat="1" x14ac:dyDescent="0.35">
      <c r="A5582" s="223"/>
      <c r="B5582" s="88"/>
      <c r="C5582" s="89" t="s">
        <v>117</v>
      </c>
      <c r="D5582" s="90">
        <f>4650*123</f>
        <v>571950</v>
      </c>
      <c r="E5582" s="93" t="s">
        <v>118</v>
      </c>
      <c r="F5582" s="94">
        <f>4200*2550</f>
        <v>10710000</v>
      </c>
    </row>
    <row r="5583" spans="1:7" s="53" customFormat="1" ht="15" thickBot="1" x14ac:dyDescent="0.4">
      <c r="A5583" s="223"/>
      <c r="B5583" s="88" t="s">
        <v>119</v>
      </c>
      <c r="C5583" s="89" t="s">
        <v>120</v>
      </c>
      <c r="D5583" s="95">
        <v>30000</v>
      </c>
      <c r="E5583" s="96" t="s">
        <v>121</v>
      </c>
      <c r="F5583" s="97">
        <f>F5581-F5582</f>
        <v>0</v>
      </c>
      <c r="G5583" s="98">
        <f>F5583/2550</f>
        <v>0</v>
      </c>
    </row>
    <row r="5584" spans="1:7" s="53" customFormat="1" ht="15" thickTop="1" x14ac:dyDescent="0.35">
      <c r="A5584" s="223"/>
      <c r="B5584" s="88"/>
      <c r="C5584" s="89" t="s">
        <v>122</v>
      </c>
      <c r="D5584" s="90">
        <v>150000</v>
      </c>
      <c r="F5584" s="94"/>
    </row>
    <row r="5585" spans="1:6" s="53" customFormat="1" x14ac:dyDescent="0.35">
      <c r="A5585" s="223"/>
      <c r="B5585" s="88" t="s">
        <v>1351</v>
      </c>
      <c r="C5585" s="99" t="s">
        <v>123</v>
      </c>
      <c r="D5585" s="90">
        <v>15000</v>
      </c>
      <c r="E5585" s="91" t="s">
        <v>124</v>
      </c>
      <c r="F5585" s="92"/>
    </row>
    <row r="5586" spans="1:6" s="53" customFormat="1" x14ac:dyDescent="0.35">
      <c r="A5586" s="223"/>
      <c r="B5586" s="101"/>
      <c r="C5586" s="99" t="s">
        <v>125</v>
      </c>
      <c r="D5586" s="100">
        <v>10000</v>
      </c>
      <c r="E5586" s="102"/>
      <c r="F5586" s="103"/>
    </row>
    <row r="5587" spans="1:6" s="53" customFormat="1" x14ac:dyDescent="0.35">
      <c r="A5587" s="223"/>
      <c r="B5587" s="101"/>
      <c r="C5587" s="99" t="s">
        <v>126</v>
      </c>
      <c r="D5587" s="100">
        <v>40000</v>
      </c>
      <c r="E5587" s="102" t="s">
        <v>127</v>
      </c>
      <c r="F5587" s="103"/>
    </row>
    <row r="5588" spans="1:6" s="53" customFormat="1" x14ac:dyDescent="0.35">
      <c r="A5588" s="223"/>
      <c r="B5588" s="101"/>
      <c r="C5588" s="89" t="s">
        <v>265</v>
      </c>
      <c r="D5588" s="104">
        <f>1090*121</f>
        <v>131890</v>
      </c>
      <c r="E5588" s="102" t="s">
        <v>1544</v>
      </c>
      <c r="F5588" s="103"/>
    </row>
    <row r="5589" spans="1:6" s="53" customFormat="1" ht="15" thickBot="1" x14ac:dyDescent="0.4">
      <c r="A5589" s="223"/>
      <c r="B5589" s="105"/>
      <c r="C5589" s="106"/>
      <c r="D5589" s="107"/>
      <c r="F5589" s="94"/>
    </row>
    <row r="5590" spans="1:6" s="53" customFormat="1" ht="15" thickBot="1" x14ac:dyDescent="0.4">
      <c r="A5590" s="223"/>
      <c r="B5590" s="108"/>
      <c r="C5590" s="109" t="s">
        <v>129</v>
      </c>
      <c r="D5590" s="110">
        <f>SUM(D5577:D5589)</f>
        <v>8097260</v>
      </c>
      <c r="F5590" s="94"/>
    </row>
    <row r="5591" spans="1:6" s="53" customFormat="1" ht="15.5" thickTop="1" thickBot="1" x14ac:dyDescent="0.4">
      <c r="A5591" s="224"/>
      <c r="B5591" s="226"/>
      <c r="C5591" s="226"/>
      <c r="D5591" s="226"/>
      <c r="F5591" s="94"/>
    </row>
    <row r="5592" spans="1:6" s="53" customFormat="1" x14ac:dyDescent="0.35">
      <c r="B5592" s="87"/>
      <c r="C5592" s="53" t="s">
        <v>130</v>
      </c>
      <c r="D5592" s="111">
        <f>D5574-D5590</f>
        <v>2612740</v>
      </c>
      <c r="F5592" s="94"/>
    </row>
    <row r="5593" spans="1:6" s="53" customFormat="1" x14ac:dyDescent="0.35">
      <c r="B5593" s="87"/>
      <c r="D5593" s="111"/>
      <c r="F5593" s="94"/>
    </row>
    <row r="5594" spans="1:6" s="53" customFormat="1" x14ac:dyDescent="0.35">
      <c r="A5594" s="112"/>
      <c r="B5594" s="113"/>
      <c r="C5594" s="112"/>
      <c r="D5594" s="114"/>
      <c r="E5594" s="112"/>
      <c r="F5594" s="178"/>
    </row>
    <row r="5596" spans="1:6" s="53" customFormat="1" ht="23.5" x14ac:dyDescent="0.55000000000000004">
      <c r="B5596" s="227" t="s">
        <v>0</v>
      </c>
      <c r="C5596" s="227"/>
      <c r="D5596" s="227"/>
      <c r="E5596" s="70"/>
      <c r="F5596" s="176"/>
    </row>
    <row r="5597" spans="1:6" s="53" customFormat="1" ht="20.5" x14ac:dyDescent="0.45">
      <c r="B5597" s="71"/>
      <c r="C5597" s="72" t="s">
        <v>1355</v>
      </c>
      <c r="D5597" s="73"/>
      <c r="F5597" s="94"/>
    </row>
    <row r="5598" spans="1:6" s="53" customFormat="1" ht="21" thickBot="1" x14ac:dyDescent="0.5">
      <c r="B5598" s="71" t="s">
        <v>1002</v>
      </c>
      <c r="C5598" s="74" t="s">
        <v>103</v>
      </c>
      <c r="D5598" s="73"/>
      <c r="F5598" s="94"/>
    </row>
    <row r="5599" spans="1:6" s="53" customFormat="1" ht="15" thickBot="1" x14ac:dyDescent="0.4">
      <c r="A5599" s="75" t="s">
        <v>104</v>
      </c>
      <c r="B5599" s="76" t="s">
        <v>81</v>
      </c>
      <c r="C5599" s="76" t="s">
        <v>105</v>
      </c>
      <c r="D5599" s="77" t="s">
        <v>84</v>
      </c>
      <c r="F5599" s="94"/>
    </row>
    <row r="5600" spans="1:6" s="53" customFormat="1" ht="14.5" customHeight="1" x14ac:dyDescent="0.35">
      <c r="A5600" s="222" t="s">
        <v>94</v>
      </c>
      <c r="B5600" s="78" t="s">
        <v>1349</v>
      </c>
      <c r="C5600" s="79" t="s">
        <v>319</v>
      </c>
      <c r="D5600" s="80">
        <f>F5607</f>
        <v>10710000</v>
      </c>
      <c r="F5600" s="94"/>
    </row>
    <row r="5601" spans="1:7" s="53" customFormat="1" ht="21" thickBot="1" x14ac:dyDescent="0.5">
      <c r="A5601" s="223"/>
      <c r="B5601" s="71"/>
      <c r="C5601" s="71"/>
      <c r="D5601" s="73"/>
      <c r="F5601" s="94"/>
    </row>
    <row r="5602" spans="1:7" s="53" customFormat="1" ht="15" thickBot="1" x14ac:dyDescent="0.4">
      <c r="A5602" s="223"/>
      <c r="B5602" s="81" t="s">
        <v>81</v>
      </c>
      <c r="C5602" s="82" t="s">
        <v>107</v>
      </c>
      <c r="D5602" s="83" t="s">
        <v>108</v>
      </c>
      <c r="F5602" s="94"/>
    </row>
    <row r="5603" spans="1:7" s="87" customFormat="1" x14ac:dyDescent="0.35">
      <c r="A5603" s="223"/>
      <c r="B5603" s="84" t="str">
        <f>B5600</f>
        <v>17th October,2025</v>
      </c>
      <c r="C5603" s="85" t="s">
        <v>1493</v>
      </c>
      <c r="D5603" s="86">
        <f>1870*2704</f>
        <v>5056480</v>
      </c>
      <c r="F5603" s="177"/>
    </row>
    <row r="5604" spans="1:7" s="53" customFormat="1" x14ac:dyDescent="0.35">
      <c r="A5604" s="223"/>
      <c r="B5604" s="88"/>
      <c r="C5604" s="89" t="s">
        <v>188</v>
      </c>
      <c r="D5604" s="90">
        <f>325*2650</f>
        <v>861250</v>
      </c>
      <c r="F5604" s="94"/>
    </row>
    <row r="5605" spans="1:7" s="53" customFormat="1" x14ac:dyDescent="0.35">
      <c r="A5605" s="223"/>
      <c r="B5605" s="88" t="s">
        <v>109</v>
      </c>
      <c r="C5605" s="89" t="s">
        <v>110</v>
      </c>
      <c r="D5605" s="90">
        <v>1000000</v>
      </c>
      <c r="F5605" s="94"/>
    </row>
    <row r="5606" spans="1:7" s="53" customFormat="1" x14ac:dyDescent="0.35">
      <c r="A5606" s="223"/>
      <c r="B5606" s="88" t="s">
        <v>111</v>
      </c>
      <c r="C5606" s="89" t="s">
        <v>112</v>
      </c>
      <c r="D5606" s="90">
        <v>40000</v>
      </c>
      <c r="E5606" s="225" t="s">
        <v>113</v>
      </c>
      <c r="F5606" s="225"/>
    </row>
    <row r="5607" spans="1:7" s="53" customFormat="1" x14ac:dyDescent="0.35">
      <c r="A5607" s="223"/>
      <c r="B5607" s="88" t="s">
        <v>182</v>
      </c>
      <c r="C5607" s="89" t="s">
        <v>115</v>
      </c>
      <c r="D5607" s="90">
        <f>1300*123</f>
        <v>159900</v>
      </c>
      <c r="E5607" s="91" t="s">
        <v>116</v>
      </c>
      <c r="F5607" s="92">
        <f>4200*2550</f>
        <v>10710000</v>
      </c>
    </row>
    <row r="5608" spans="1:7" s="53" customFormat="1" x14ac:dyDescent="0.35">
      <c r="A5608" s="223"/>
      <c r="B5608" s="88"/>
      <c r="C5608" s="89" t="s">
        <v>117</v>
      </c>
      <c r="D5608" s="90">
        <f>4880*123</f>
        <v>600240</v>
      </c>
      <c r="E5608" s="93" t="s">
        <v>118</v>
      </c>
      <c r="F5608" s="94">
        <f>4200*2550</f>
        <v>10710000</v>
      </c>
    </row>
    <row r="5609" spans="1:7" s="53" customFormat="1" ht="15" thickBot="1" x14ac:dyDescent="0.4">
      <c r="A5609" s="223"/>
      <c r="B5609" s="88" t="s">
        <v>119</v>
      </c>
      <c r="C5609" s="89" t="s">
        <v>120</v>
      </c>
      <c r="D5609" s="95">
        <v>30000</v>
      </c>
      <c r="E5609" s="96" t="s">
        <v>121</v>
      </c>
      <c r="F5609" s="97">
        <f>F5607-F5608</f>
        <v>0</v>
      </c>
      <c r="G5609" s="98">
        <f>F5609/2550</f>
        <v>0</v>
      </c>
    </row>
    <row r="5610" spans="1:7" s="53" customFormat="1" ht="15" thickTop="1" x14ac:dyDescent="0.35">
      <c r="A5610" s="223"/>
      <c r="B5610" s="88"/>
      <c r="C5610" s="89" t="s">
        <v>122</v>
      </c>
      <c r="D5610" s="90">
        <v>150000</v>
      </c>
      <c r="F5610" s="94"/>
    </row>
    <row r="5611" spans="1:7" s="53" customFormat="1" x14ac:dyDescent="0.35">
      <c r="A5611" s="223"/>
      <c r="B5611" s="88" t="s">
        <v>1354</v>
      </c>
      <c r="C5611" s="99" t="s">
        <v>123</v>
      </c>
      <c r="D5611" s="90">
        <v>15000</v>
      </c>
      <c r="E5611" s="91" t="s">
        <v>124</v>
      </c>
      <c r="F5611" s="92"/>
    </row>
    <row r="5612" spans="1:7" s="53" customFormat="1" x14ac:dyDescent="0.35">
      <c r="A5612" s="223"/>
      <c r="B5612" s="101"/>
      <c r="C5612" s="99" t="s">
        <v>125</v>
      </c>
      <c r="D5612" s="100">
        <v>10000</v>
      </c>
      <c r="E5612" s="102"/>
      <c r="F5612" s="103"/>
    </row>
    <row r="5613" spans="1:7" s="53" customFormat="1" x14ac:dyDescent="0.35">
      <c r="A5613" s="223"/>
      <c r="B5613" s="101"/>
      <c r="C5613" s="99" t="s">
        <v>126</v>
      </c>
      <c r="D5613" s="100">
        <v>30000</v>
      </c>
      <c r="E5613" s="102" t="s">
        <v>127</v>
      </c>
      <c r="F5613" s="103"/>
    </row>
    <row r="5614" spans="1:7" s="53" customFormat="1" x14ac:dyDescent="0.35">
      <c r="A5614" s="223"/>
      <c r="B5614" s="101"/>
      <c r="C5614" s="89" t="s">
        <v>265</v>
      </c>
      <c r="D5614" s="104">
        <f>1090*122</f>
        <v>132980</v>
      </c>
      <c r="E5614" s="102" t="s">
        <v>1544</v>
      </c>
      <c r="F5614" s="103"/>
    </row>
    <row r="5615" spans="1:7" s="53" customFormat="1" ht="15" thickBot="1" x14ac:dyDescent="0.4">
      <c r="A5615" s="223"/>
      <c r="B5615" s="105"/>
      <c r="C5615" s="106"/>
      <c r="D5615" s="107"/>
      <c r="F5615" s="94"/>
    </row>
    <row r="5616" spans="1:7" s="53" customFormat="1" ht="15" thickBot="1" x14ac:dyDescent="0.4">
      <c r="A5616" s="223"/>
      <c r="B5616" s="108"/>
      <c r="C5616" s="109" t="s">
        <v>129</v>
      </c>
      <c r="D5616" s="110">
        <f>SUM(D5603:D5615)</f>
        <v>8085850</v>
      </c>
      <c r="F5616" s="94"/>
    </row>
    <row r="5617" spans="1:6" s="53" customFormat="1" ht="15.5" thickTop="1" thickBot="1" x14ac:dyDescent="0.4">
      <c r="A5617" s="224"/>
      <c r="B5617" s="226"/>
      <c r="C5617" s="226"/>
      <c r="D5617" s="226"/>
      <c r="F5617" s="94"/>
    </row>
    <row r="5618" spans="1:6" s="53" customFormat="1" x14ac:dyDescent="0.35">
      <c r="B5618" s="87"/>
      <c r="C5618" s="53" t="s">
        <v>130</v>
      </c>
      <c r="D5618" s="111">
        <f>D5600-D5616</f>
        <v>2624150</v>
      </c>
      <c r="F5618" s="94"/>
    </row>
    <row r="5619" spans="1:6" s="53" customFormat="1" x14ac:dyDescent="0.35">
      <c r="B5619" s="87"/>
      <c r="D5619" s="111"/>
      <c r="F5619" s="94"/>
    </row>
    <row r="5620" spans="1:6" s="53" customFormat="1" x14ac:dyDescent="0.35">
      <c r="A5620" s="112"/>
      <c r="B5620" s="113"/>
      <c r="C5620" s="112"/>
      <c r="D5620" s="114"/>
      <c r="E5620" s="112"/>
      <c r="F5620" s="178"/>
    </row>
    <row r="5622" spans="1:6" s="53" customFormat="1" ht="23.5" x14ac:dyDescent="0.55000000000000004">
      <c r="B5622" s="227" t="s">
        <v>0</v>
      </c>
      <c r="C5622" s="227"/>
      <c r="D5622" s="227"/>
      <c r="E5622" s="70"/>
      <c r="F5622" s="176"/>
    </row>
    <row r="5623" spans="1:6" s="53" customFormat="1" ht="20.5" x14ac:dyDescent="0.45">
      <c r="B5623" s="71"/>
      <c r="C5623" s="72" t="s">
        <v>1361</v>
      </c>
      <c r="D5623" s="73"/>
      <c r="F5623" s="94"/>
    </row>
    <row r="5624" spans="1:6" s="53" customFormat="1" ht="21" thickBot="1" x14ac:dyDescent="0.5">
      <c r="B5624" s="71" t="s">
        <v>102</v>
      </c>
      <c r="C5624" s="74" t="s">
        <v>103</v>
      </c>
      <c r="D5624" s="73"/>
      <c r="F5624" s="94"/>
    </row>
    <row r="5625" spans="1:6" s="53" customFormat="1" ht="15" thickBot="1" x14ac:dyDescent="0.4">
      <c r="A5625" s="75" t="s">
        <v>104</v>
      </c>
      <c r="B5625" s="76" t="s">
        <v>81</v>
      </c>
      <c r="C5625" s="76" t="s">
        <v>105</v>
      </c>
      <c r="D5625" s="77" t="s">
        <v>84</v>
      </c>
      <c r="F5625" s="94"/>
    </row>
    <row r="5626" spans="1:6" s="53" customFormat="1" ht="14.5" customHeight="1" x14ac:dyDescent="0.35">
      <c r="A5626" s="222" t="s">
        <v>94</v>
      </c>
      <c r="B5626" s="78" t="s">
        <v>1349</v>
      </c>
      <c r="C5626" s="79" t="s">
        <v>319</v>
      </c>
      <c r="D5626" s="80">
        <f>F5633</f>
        <v>10710000</v>
      </c>
      <c r="F5626" s="94"/>
    </row>
    <row r="5627" spans="1:6" s="53" customFormat="1" ht="21" thickBot="1" x14ac:dyDescent="0.5">
      <c r="A5627" s="223"/>
      <c r="B5627" s="71"/>
      <c r="C5627" s="71"/>
      <c r="D5627" s="73"/>
      <c r="F5627" s="94"/>
    </row>
    <row r="5628" spans="1:6" s="53" customFormat="1" ht="15" thickBot="1" x14ac:dyDescent="0.4">
      <c r="A5628" s="223"/>
      <c r="B5628" s="81" t="s">
        <v>81</v>
      </c>
      <c r="C5628" s="82" t="s">
        <v>107</v>
      </c>
      <c r="D5628" s="83" t="s">
        <v>108</v>
      </c>
      <c r="F5628" s="94"/>
    </row>
    <row r="5629" spans="1:6" s="87" customFormat="1" x14ac:dyDescent="0.35">
      <c r="A5629" s="223"/>
      <c r="B5629" s="84" t="str">
        <f>B5626</f>
        <v>17th October,2025</v>
      </c>
      <c r="C5629" s="85" t="s">
        <v>1340</v>
      </c>
      <c r="D5629" s="86">
        <f>1850*2704</f>
        <v>5002400</v>
      </c>
      <c r="F5629" s="177"/>
    </row>
    <row r="5630" spans="1:6" s="53" customFormat="1" x14ac:dyDescent="0.35">
      <c r="A5630" s="223"/>
      <c r="B5630" s="88"/>
      <c r="C5630" s="89" t="s">
        <v>159</v>
      </c>
      <c r="D5630" s="90">
        <f>299*2650</f>
        <v>792350</v>
      </c>
      <c r="F5630" s="94"/>
    </row>
    <row r="5631" spans="1:6" s="53" customFormat="1" x14ac:dyDescent="0.35">
      <c r="A5631" s="223"/>
      <c r="B5631" s="88" t="s">
        <v>109</v>
      </c>
      <c r="C5631" s="89" t="s">
        <v>110</v>
      </c>
      <c r="D5631" s="90">
        <v>1000000</v>
      </c>
      <c r="F5631" s="94"/>
    </row>
    <row r="5632" spans="1:6" s="53" customFormat="1" x14ac:dyDescent="0.35">
      <c r="A5632" s="223"/>
      <c r="B5632" s="88" t="s">
        <v>111</v>
      </c>
      <c r="C5632" s="89" t="s">
        <v>112</v>
      </c>
      <c r="D5632" s="90">
        <v>40000</v>
      </c>
      <c r="E5632" s="225" t="s">
        <v>113</v>
      </c>
      <c r="F5632" s="225"/>
    </row>
    <row r="5633" spans="1:7" s="53" customFormat="1" x14ac:dyDescent="0.35">
      <c r="A5633" s="223"/>
      <c r="B5633" s="88" t="s">
        <v>114</v>
      </c>
      <c r="C5633" s="89" t="s">
        <v>115</v>
      </c>
      <c r="D5633" s="90">
        <f>500*123</f>
        <v>61500</v>
      </c>
      <c r="E5633" s="91" t="s">
        <v>116</v>
      </c>
      <c r="F5633" s="92">
        <f>4200*2550</f>
        <v>10710000</v>
      </c>
    </row>
    <row r="5634" spans="1:7" s="53" customFormat="1" x14ac:dyDescent="0.35">
      <c r="A5634" s="223"/>
      <c r="B5634" s="88"/>
      <c r="C5634" s="89" t="s">
        <v>117</v>
      </c>
      <c r="D5634" s="90">
        <f>3420*123</f>
        <v>420660</v>
      </c>
      <c r="E5634" s="93" t="s">
        <v>118</v>
      </c>
      <c r="F5634" s="94">
        <f>(4200*2550)</f>
        <v>10710000</v>
      </c>
    </row>
    <row r="5635" spans="1:7" s="53" customFormat="1" ht="15" thickBot="1" x14ac:dyDescent="0.4">
      <c r="A5635" s="223"/>
      <c r="B5635" s="88" t="s">
        <v>119</v>
      </c>
      <c r="C5635" s="89" t="s">
        <v>120</v>
      </c>
      <c r="D5635" s="95">
        <v>30000</v>
      </c>
      <c r="E5635" s="96" t="s">
        <v>121</v>
      </c>
      <c r="F5635" s="97">
        <f>F5633-F5634</f>
        <v>0</v>
      </c>
      <c r="G5635" s="98">
        <f>F5635/2550</f>
        <v>0</v>
      </c>
    </row>
    <row r="5636" spans="1:7" s="53" customFormat="1" ht="15" thickTop="1" x14ac:dyDescent="0.35">
      <c r="A5636" s="223"/>
      <c r="B5636" s="88"/>
      <c r="C5636" s="89" t="s">
        <v>122</v>
      </c>
      <c r="D5636" s="90">
        <v>150000</v>
      </c>
      <c r="F5636" s="94"/>
    </row>
    <row r="5637" spans="1:7" s="53" customFormat="1" x14ac:dyDescent="0.35">
      <c r="A5637" s="223"/>
      <c r="B5637" s="88" t="s">
        <v>1360</v>
      </c>
      <c r="C5637" s="99" t="s">
        <v>123</v>
      </c>
      <c r="D5637" s="90">
        <v>15000</v>
      </c>
      <c r="E5637" s="91" t="s">
        <v>124</v>
      </c>
      <c r="F5637" s="92"/>
    </row>
    <row r="5638" spans="1:7" s="53" customFormat="1" x14ac:dyDescent="0.35">
      <c r="A5638" s="223"/>
      <c r="B5638" s="101"/>
      <c r="C5638" s="99" t="s">
        <v>125</v>
      </c>
      <c r="D5638" s="100">
        <v>10000</v>
      </c>
      <c r="E5638" s="102"/>
      <c r="F5638" s="103"/>
    </row>
    <row r="5639" spans="1:7" s="53" customFormat="1" x14ac:dyDescent="0.35">
      <c r="A5639" s="223"/>
      <c r="B5639" s="101"/>
      <c r="C5639" s="99" t="s">
        <v>126</v>
      </c>
      <c r="D5639" s="100">
        <v>50000</v>
      </c>
      <c r="E5639" s="102" t="s">
        <v>127</v>
      </c>
      <c r="F5639" s="103"/>
    </row>
    <row r="5640" spans="1:7" s="53" customFormat="1" x14ac:dyDescent="0.35">
      <c r="A5640" s="223"/>
      <c r="B5640" s="101"/>
      <c r="C5640" s="89" t="s">
        <v>265</v>
      </c>
      <c r="D5640" s="104">
        <f>575*122</f>
        <v>70150</v>
      </c>
      <c r="E5640" s="102" t="s">
        <v>1725</v>
      </c>
      <c r="F5640" s="103"/>
    </row>
    <row r="5641" spans="1:7" s="53" customFormat="1" ht="15" thickBot="1" x14ac:dyDescent="0.4">
      <c r="A5641" s="223"/>
      <c r="B5641" s="105"/>
      <c r="C5641" s="106"/>
      <c r="D5641" s="107"/>
      <c r="F5641" s="94"/>
    </row>
    <row r="5642" spans="1:7" s="53" customFormat="1" ht="15" thickBot="1" x14ac:dyDescent="0.4">
      <c r="A5642" s="223"/>
      <c r="B5642" s="108"/>
      <c r="C5642" s="109" t="s">
        <v>129</v>
      </c>
      <c r="D5642" s="110">
        <f>SUM(D5629:D5641)</f>
        <v>7642060</v>
      </c>
      <c r="F5642" s="94"/>
    </row>
    <row r="5643" spans="1:7" s="53" customFormat="1" ht="15.5" thickTop="1" thickBot="1" x14ac:dyDescent="0.4">
      <c r="A5643" s="224"/>
      <c r="B5643" s="226"/>
      <c r="C5643" s="226"/>
      <c r="D5643" s="226"/>
      <c r="F5643" s="94"/>
    </row>
    <row r="5644" spans="1:7" s="53" customFormat="1" x14ac:dyDescent="0.35">
      <c r="B5644" s="87"/>
      <c r="C5644" s="53" t="s">
        <v>130</v>
      </c>
      <c r="D5644" s="111">
        <f>D5626-D5642</f>
        <v>3067940</v>
      </c>
      <c r="F5644" s="94"/>
    </row>
    <row r="5645" spans="1:7" s="53" customFormat="1" x14ac:dyDescent="0.35">
      <c r="B5645" s="87"/>
      <c r="D5645" s="111"/>
      <c r="F5645" s="94"/>
    </row>
    <row r="5646" spans="1:7" s="53" customFormat="1" x14ac:dyDescent="0.35">
      <c r="A5646" s="112"/>
      <c r="B5646" s="113"/>
      <c r="C5646" s="112"/>
      <c r="D5646" s="114"/>
      <c r="E5646" s="112"/>
      <c r="F5646" s="178"/>
    </row>
    <row r="5649" spans="1:7" s="53" customFormat="1" ht="23.5" x14ac:dyDescent="0.55000000000000004">
      <c r="B5649" s="227" t="s">
        <v>0</v>
      </c>
      <c r="C5649" s="227"/>
      <c r="D5649" s="227"/>
      <c r="E5649" s="70"/>
      <c r="F5649" s="176"/>
    </row>
    <row r="5650" spans="1:7" s="53" customFormat="1" ht="20.5" x14ac:dyDescent="0.45">
      <c r="B5650" s="71"/>
      <c r="C5650" s="72" t="s">
        <v>1379</v>
      </c>
      <c r="D5650" s="73"/>
      <c r="F5650" s="94"/>
    </row>
    <row r="5651" spans="1:7" s="53" customFormat="1" ht="21" thickBot="1" x14ac:dyDescent="0.5">
      <c r="B5651" s="71" t="s">
        <v>185</v>
      </c>
      <c r="C5651" s="74" t="s">
        <v>103</v>
      </c>
      <c r="D5651" s="73"/>
      <c r="F5651" s="94"/>
    </row>
    <row r="5652" spans="1:7" s="53" customFormat="1" ht="15" thickBot="1" x14ac:dyDescent="0.4">
      <c r="A5652" s="75" t="s">
        <v>104</v>
      </c>
      <c r="B5652" s="76" t="s">
        <v>81</v>
      </c>
      <c r="C5652" s="76" t="s">
        <v>105</v>
      </c>
      <c r="D5652" s="77" t="s">
        <v>84</v>
      </c>
      <c r="F5652" s="94"/>
    </row>
    <row r="5653" spans="1:7" s="53" customFormat="1" ht="14.5" customHeight="1" x14ac:dyDescent="0.35">
      <c r="A5653" s="222" t="s">
        <v>94</v>
      </c>
      <c r="B5653" s="78" t="s">
        <v>1380</v>
      </c>
      <c r="C5653" s="79" t="s">
        <v>959</v>
      </c>
      <c r="D5653" s="80">
        <f>F5660</f>
        <v>10758000</v>
      </c>
      <c r="F5653" s="94"/>
    </row>
    <row r="5654" spans="1:7" s="53" customFormat="1" ht="21" thickBot="1" x14ac:dyDescent="0.5">
      <c r="A5654" s="223"/>
      <c r="B5654" s="71"/>
      <c r="C5654" s="71"/>
      <c r="D5654" s="73"/>
      <c r="F5654" s="94"/>
    </row>
    <row r="5655" spans="1:7" s="53" customFormat="1" ht="15" thickBot="1" x14ac:dyDescent="0.4">
      <c r="A5655" s="223"/>
      <c r="B5655" s="81" t="s">
        <v>81</v>
      </c>
      <c r="C5655" s="82" t="s">
        <v>107</v>
      </c>
      <c r="D5655" s="83" t="s">
        <v>108</v>
      </c>
      <c r="F5655" s="94"/>
    </row>
    <row r="5656" spans="1:7" s="87" customFormat="1" x14ac:dyDescent="0.35">
      <c r="A5656" s="223"/>
      <c r="B5656" s="84" t="str">
        <f>B5653</f>
        <v>21st October,2025</v>
      </c>
      <c r="C5656" s="85" t="s">
        <v>1340</v>
      </c>
      <c r="D5656" s="86">
        <f>1850*2704</f>
        <v>5002400</v>
      </c>
      <c r="F5656" s="177"/>
    </row>
    <row r="5657" spans="1:7" s="53" customFormat="1" x14ac:dyDescent="0.35">
      <c r="A5657" s="223"/>
      <c r="B5657" s="88"/>
      <c r="C5657" s="89" t="s">
        <v>188</v>
      </c>
      <c r="D5657" s="90">
        <f>325*2650</f>
        <v>861250</v>
      </c>
      <c r="F5657" s="94"/>
    </row>
    <row r="5658" spans="1:7" s="53" customFormat="1" x14ac:dyDescent="0.35">
      <c r="A5658" s="223"/>
      <c r="B5658" s="88" t="s">
        <v>109</v>
      </c>
      <c r="C5658" s="89" t="s">
        <v>110</v>
      </c>
      <c r="D5658" s="90">
        <v>1000000</v>
      </c>
      <c r="F5658" s="94"/>
    </row>
    <row r="5659" spans="1:7" s="53" customFormat="1" x14ac:dyDescent="0.35">
      <c r="A5659" s="223"/>
      <c r="B5659" s="88" t="s">
        <v>111</v>
      </c>
      <c r="C5659" s="89" t="s">
        <v>112</v>
      </c>
      <c r="D5659" s="90">
        <v>40000</v>
      </c>
      <c r="E5659" s="225" t="s">
        <v>113</v>
      </c>
      <c r="F5659" s="225"/>
    </row>
    <row r="5660" spans="1:7" s="53" customFormat="1" x14ac:dyDescent="0.35">
      <c r="A5660" s="223"/>
      <c r="B5660" s="88" t="s">
        <v>182</v>
      </c>
      <c r="C5660" s="89" t="s">
        <v>115</v>
      </c>
      <c r="D5660" s="90">
        <f>1050*123</f>
        <v>129150</v>
      </c>
      <c r="E5660" s="91" t="s">
        <v>116</v>
      </c>
      <c r="F5660" s="92">
        <f>4400*2445</f>
        <v>10758000</v>
      </c>
    </row>
    <row r="5661" spans="1:7" s="53" customFormat="1" x14ac:dyDescent="0.35">
      <c r="A5661" s="223"/>
      <c r="B5661" s="88"/>
      <c r="C5661" s="89" t="s">
        <v>117</v>
      </c>
      <c r="D5661" s="90">
        <f>3500*123</f>
        <v>430500</v>
      </c>
      <c r="E5661" s="93" t="s">
        <v>118</v>
      </c>
      <c r="F5661" s="94">
        <f>(2640*2445)+(1620*2445)</f>
        <v>10415700</v>
      </c>
    </row>
    <row r="5662" spans="1:7" s="53" customFormat="1" ht="15" thickBot="1" x14ac:dyDescent="0.4">
      <c r="A5662" s="223"/>
      <c r="B5662" s="88" t="s">
        <v>119</v>
      </c>
      <c r="C5662" s="89" t="s">
        <v>120</v>
      </c>
      <c r="D5662" s="95">
        <v>30000</v>
      </c>
      <c r="E5662" s="96" t="s">
        <v>121</v>
      </c>
      <c r="F5662" s="97">
        <f>F5660-F5661</f>
        <v>342300</v>
      </c>
      <c r="G5662" s="98">
        <f>F5662/2445</f>
        <v>140</v>
      </c>
    </row>
    <row r="5663" spans="1:7" s="53" customFormat="1" ht="15" thickTop="1" x14ac:dyDescent="0.35">
      <c r="A5663" s="223"/>
      <c r="B5663" s="88"/>
      <c r="C5663" s="89" t="s">
        <v>122</v>
      </c>
      <c r="D5663" s="90">
        <v>150000</v>
      </c>
      <c r="F5663" s="94"/>
    </row>
    <row r="5664" spans="1:7" s="53" customFormat="1" x14ac:dyDescent="0.35">
      <c r="A5664" s="223"/>
      <c r="B5664" s="88" t="s">
        <v>1378</v>
      </c>
      <c r="C5664" s="99" t="s">
        <v>123</v>
      </c>
      <c r="D5664" s="90">
        <v>15000</v>
      </c>
      <c r="E5664" s="91" t="s">
        <v>124</v>
      </c>
      <c r="F5664" s="92"/>
    </row>
    <row r="5665" spans="1:6" s="53" customFormat="1" x14ac:dyDescent="0.35">
      <c r="A5665" s="223"/>
      <c r="B5665" s="101"/>
      <c r="C5665" s="99" t="s">
        <v>125</v>
      </c>
      <c r="D5665" s="100">
        <v>10000</v>
      </c>
      <c r="E5665" s="102"/>
      <c r="F5665" s="103"/>
    </row>
    <row r="5666" spans="1:6" s="53" customFormat="1" x14ac:dyDescent="0.35">
      <c r="A5666" s="223"/>
      <c r="B5666" s="101"/>
      <c r="C5666" s="99" t="s">
        <v>126</v>
      </c>
      <c r="D5666" s="100">
        <v>50000</v>
      </c>
      <c r="E5666" s="102" t="s">
        <v>127</v>
      </c>
      <c r="F5666" s="103"/>
    </row>
    <row r="5667" spans="1:6" s="53" customFormat="1" x14ac:dyDescent="0.35">
      <c r="A5667" s="223"/>
      <c r="B5667" s="101"/>
      <c r="C5667" s="89" t="s">
        <v>265</v>
      </c>
      <c r="D5667" s="104">
        <f>825*122</f>
        <v>100650</v>
      </c>
      <c r="E5667" s="102" t="s">
        <v>1403</v>
      </c>
      <c r="F5667" s="103"/>
    </row>
    <row r="5668" spans="1:6" s="53" customFormat="1" ht="15" thickBot="1" x14ac:dyDescent="0.4">
      <c r="A5668" s="223"/>
      <c r="B5668" s="105"/>
      <c r="C5668" s="106"/>
      <c r="D5668" s="107"/>
      <c r="E5668" s="53" t="s">
        <v>1745</v>
      </c>
      <c r="F5668" s="94"/>
    </row>
    <row r="5669" spans="1:6" s="53" customFormat="1" ht="15" thickBot="1" x14ac:dyDescent="0.4">
      <c r="A5669" s="223"/>
      <c r="B5669" s="108"/>
      <c r="C5669" s="109" t="s">
        <v>129</v>
      </c>
      <c r="D5669" s="110">
        <f>SUM(D5656:D5668)</f>
        <v>7818950</v>
      </c>
      <c r="F5669" s="94"/>
    </row>
    <row r="5670" spans="1:6" s="53" customFormat="1" ht="15.5" thickTop="1" thickBot="1" x14ac:dyDescent="0.4">
      <c r="A5670" s="224"/>
      <c r="B5670" s="226"/>
      <c r="C5670" s="226"/>
      <c r="D5670" s="226"/>
      <c r="F5670" s="94"/>
    </row>
    <row r="5671" spans="1:6" s="53" customFormat="1" x14ac:dyDescent="0.35">
      <c r="B5671" s="87"/>
      <c r="C5671" s="53" t="s">
        <v>130</v>
      </c>
      <c r="D5671" s="111">
        <f>D5653-D5669</f>
        <v>2939050</v>
      </c>
      <c r="F5671" s="94"/>
    </row>
    <row r="5672" spans="1:6" s="53" customFormat="1" x14ac:dyDescent="0.35">
      <c r="B5672" s="87"/>
      <c r="D5672" s="111"/>
      <c r="F5672" s="94"/>
    </row>
    <row r="5673" spans="1:6" s="53" customFormat="1" x14ac:dyDescent="0.35">
      <c r="A5673" s="112"/>
      <c r="B5673" s="113"/>
      <c r="C5673" s="112"/>
      <c r="D5673" s="114"/>
      <c r="E5673" s="112"/>
      <c r="F5673" s="178"/>
    </row>
    <row r="5675" spans="1:6" s="53" customFormat="1" ht="23.5" x14ac:dyDescent="0.55000000000000004">
      <c r="B5675" s="227" t="s">
        <v>0</v>
      </c>
      <c r="C5675" s="227"/>
      <c r="D5675" s="227"/>
      <c r="E5675" s="70"/>
      <c r="F5675" s="176"/>
    </row>
    <row r="5676" spans="1:6" s="53" customFormat="1" ht="20.5" x14ac:dyDescent="0.45">
      <c r="B5676" s="71"/>
      <c r="C5676" s="72" t="s">
        <v>1383</v>
      </c>
      <c r="D5676" s="73"/>
      <c r="F5676" s="94"/>
    </row>
    <row r="5677" spans="1:6" s="53" customFormat="1" ht="21" thickBot="1" x14ac:dyDescent="0.5">
      <c r="B5677" s="71" t="s">
        <v>989</v>
      </c>
      <c r="C5677" s="74" t="s">
        <v>103</v>
      </c>
      <c r="D5677" s="73"/>
      <c r="F5677" s="94"/>
    </row>
    <row r="5678" spans="1:6" s="53" customFormat="1" ht="15" thickBot="1" x14ac:dyDescent="0.4">
      <c r="A5678" s="75" t="s">
        <v>104</v>
      </c>
      <c r="B5678" s="76" t="s">
        <v>81</v>
      </c>
      <c r="C5678" s="76" t="s">
        <v>105</v>
      </c>
      <c r="D5678" s="77" t="s">
        <v>84</v>
      </c>
      <c r="F5678" s="94"/>
    </row>
    <row r="5679" spans="1:6" s="53" customFormat="1" ht="14.5" customHeight="1" x14ac:dyDescent="0.35">
      <c r="A5679" s="222" t="s">
        <v>94</v>
      </c>
      <c r="B5679" s="78" t="s">
        <v>1384</v>
      </c>
      <c r="C5679" s="79" t="s">
        <v>959</v>
      </c>
      <c r="D5679" s="80">
        <f>F5686</f>
        <v>10758000</v>
      </c>
      <c r="F5679" s="94"/>
    </row>
    <row r="5680" spans="1:6" s="53" customFormat="1" ht="21" thickBot="1" x14ac:dyDescent="0.5">
      <c r="A5680" s="223"/>
      <c r="B5680" s="71"/>
      <c r="C5680" s="71"/>
      <c r="D5680" s="73"/>
      <c r="F5680" s="94"/>
    </row>
    <row r="5681" spans="1:7" s="53" customFormat="1" ht="15" thickBot="1" x14ac:dyDescent="0.4">
      <c r="A5681" s="223"/>
      <c r="B5681" s="81" t="s">
        <v>81</v>
      </c>
      <c r="C5681" s="82" t="s">
        <v>107</v>
      </c>
      <c r="D5681" s="83" t="s">
        <v>108</v>
      </c>
      <c r="F5681" s="94"/>
    </row>
    <row r="5682" spans="1:7" s="87" customFormat="1" x14ac:dyDescent="0.35">
      <c r="A5682" s="223"/>
      <c r="B5682" s="84" t="str">
        <f>B5679</f>
        <v>22nd October,2025</v>
      </c>
      <c r="C5682" s="85" t="s">
        <v>1340</v>
      </c>
      <c r="D5682" s="86">
        <f>1850*2704</f>
        <v>5002400</v>
      </c>
      <c r="F5682" s="177"/>
    </row>
    <row r="5683" spans="1:7" s="53" customFormat="1" x14ac:dyDescent="0.35">
      <c r="A5683" s="223"/>
      <c r="B5683" s="88"/>
      <c r="C5683" s="89" t="s">
        <v>188</v>
      </c>
      <c r="D5683" s="90">
        <f>325*2650</f>
        <v>861250</v>
      </c>
      <c r="F5683" s="94"/>
    </row>
    <row r="5684" spans="1:7" s="53" customFormat="1" x14ac:dyDescent="0.35">
      <c r="A5684" s="223"/>
      <c r="B5684" s="88" t="s">
        <v>109</v>
      </c>
      <c r="C5684" s="89" t="s">
        <v>110</v>
      </c>
      <c r="D5684" s="90">
        <v>1000000</v>
      </c>
      <c r="F5684" s="94"/>
    </row>
    <row r="5685" spans="1:7" s="53" customFormat="1" x14ac:dyDescent="0.35">
      <c r="A5685" s="223"/>
      <c r="B5685" s="88" t="s">
        <v>111</v>
      </c>
      <c r="C5685" s="89" t="s">
        <v>112</v>
      </c>
      <c r="D5685" s="90">
        <v>40000</v>
      </c>
      <c r="E5685" s="225" t="s">
        <v>113</v>
      </c>
      <c r="F5685" s="225"/>
    </row>
    <row r="5686" spans="1:7" s="53" customFormat="1" x14ac:dyDescent="0.35">
      <c r="A5686" s="223"/>
      <c r="B5686" s="88" t="s">
        <v>182</v>
      </c>
      <c r="C5686" s="89" t="s">
        <v>115</v>
      </c>
      <c r="D5686" s="90">
        <f>1050*123</f>
        <v>129150</v>
      </c>
      <c r="E5686" s="91" t="s">
        <v>116</v>
      </c>
      <c r="F5686" s="92">
        <f>4400*2445</f>
        <v>10758000</v>
      </c>
    </row>
    <row r="5687" spans="1:7" s="53" customFormat="1" x14ac:dyDescent="0.35">
      <c r="A5687" s="223"/>
      <c r="B5687" s="88"/>
      <c r="C5687" s="89" t="s">
        <v>117</v>
      </c>
      <c r="D5687" s="90">
        <f>3500*123</f>
        <v>430500</v>
      </c>
      <c r="E5687" s="93" t="s">
        <v>118</v>
      </c>
      <c r="F5687" s="94">
        <f>(2640*2445)+(1620*2445)</f>
        <v>10415700</v>
      </c>
    </row>
    <row r="5688" spans="1:7" s="53" customFormat="1" ht="15" thickBot="1" x14ac:dyDescent="0.4">
      <c r="A5688" s="223"/>
      <c r="B5688" s="88" t="s">
        <v>119</v>
      </c>
      <c r="C5688" s="89" t="s">
        <v>120</v>
      </c>
      <c r="D5688" s="95">
        <v>30000</v>
      </c>
      <c r="E5688" s="96" t="s">
        <v>121</v>
      </c>
      <c r="F5688" s="97">
        <f>F5686-F5687</f>
        <v>342300</v>
      </c>
      <c r="G5688" s="98">
        <f>F5688/2445</f>
        <v>140</v>
      </c>
    </row>
    <row r="5689" spans="1:7" s="53" customFormat="1" ht="15" thickTop="1" x14ac:dyDescent="0.35">
      <c r="A5689" s="223"/>
      <c r="B5689" s="88"/>
      <c r="C5689" s="89" t="s">
        <v>122</v>
      </c>
      <c r="D5689" s="90">
        <v>150000</v>
      </c>
      <c r="F5689" s="94"/>
    </row>
    <row r="5690" spans="1:7" s="53" customFormat="1" x14ac:dyDescent="0.35">
      <c r="A5690" s="223"/>
      <c r="B5690" s="88" t="s">
        <v>1382</v>
      </c>
      <c r="C5690" s="99" t="s">
        <v>123</v>
      </c>
      <c r="D5690" s="90">
        <v>15000</v>
      </c>
      <c r="E5690" s="91" t="s">
        <v>124</v>
      </c>
      <c r="F5690" s="92"/>
    </row>
    <row r="5691" spans="1:7" s="53" customFormat="1" x14ac:dyDescent="0.35">
      <c r="A5691" s="223"/>
      <c r="B5691" s="101"/>
      <c r="C5691" s="99" t="s">
        <v>125</v>
      </c>
      <c r="D5691" s="100">
        <v>10000</v>
      </c>
      <c r="E5691" s="102"/>
      <c r="F5691" s="103"/>
    </row>
    <row r="5692" spans="1:7" s="53" customFormat="1" x14ac:dyDescent="0.35">
      <c r="A5692" s="223"/>
      <c r="B5692" s="101"/>
      <c r="C5692" s="99" t="s">
        <v>126</v>
      </c>
      <c r="D5692" s="100">
        <v>50000</v>
      </c>
      <c r="E5692" s="102" t="s">
        <v>127</v>
      </c>
      <c r="F5692" s="103"/>
    </row>
    <row r="5693" spans="1:7" s="53" customFormat="1" x14ac:dyDescent="0.35">
      <c r="A5693" s="223"/>
      <c r="B5693" s="101"/>
      <c r="C5693" s="89" t="s">
        <v>265</v>
      </c>
      <c r="D5693" s="104">
        <f>841*122</f>
        <v>102602</v>
      </c>
      <c r="E5693" s="102" t="s">
        <v>1403</v>
      </c>
      <c r="F5693" s="103"/>
    </row>
    <row r="5694" spans="1:7" s="53" customFormat="1" ht="15" thickBot="1" x14ac:dyDescent="0.4">
      <c r="A5694" s="223"/>
      <c r="B5694" s="105"/>
      <c r="C5694" s="106"/>
      <c r="D5694" s="107"/>
      <c r="E5694" s="53" t="s">
        <v>1751</v>
      </c>
      <c r="F5694" s="94"/>
    </row>
    <row r="5695" spans="1:7" s="53" customFormat="1" ht="15" thickBot="1" x14ac:dyDescent="0.4">
      <c r="A5695" s="223"/>
      <c r="B5695" s="108"/>
      <c r="C5695" s="109" t="s">
        <v>129</v>
      </c>
      <c r="D5695" s="110">
        <f>SUM(D5682:D5694)</f>
        <v>7820902</v>
      </c>
      <c r="F5695" s="94"/>
    </row>
    <row r="5696" spans="1:7" s="53" customFormat="1" ht="15.5" thickTop="1" thickBot="1" x14ac:dyDescent="0.4">
      <c r="A5696" s="224"/>
      <c r="B5696" s="226"/>
      <c r="C5696" s="226"/>
      <c r="D5696" s="226"/>
      <c r="F5696" s="94"/>
    </row>
    <row r="5697" spans="1:6" s="53" customFormat="1" x14ac:dyDescent="0.35">
      <c r="B5697" s="87"/>
      <c r="C5697" s="53" t="s">
        <v>130</v>
      </c>
      <c r="D5697" s="111">
        <f>D5679-D5695</f>
        <v>2937098</v>
      </c>
      <c r="F5697" s="94"/>
    </row>
    <row r="5698" spans="1:6" s="53" customFormat="1" x14ac:dyDescent="0.35">
      <c r="B5698" s="87"/>
      <c r="D5698" s="111"/>
      <c r="F5698" s="94"/>
    </row>
    <row r="5699" spans="1:6" s="53" customFormat="1" x14ac:dyDescent="0.35">
      <c r="A5699" s="112"/>
      <c r="B5699" s="113"/>
      <c r="C5699" s="112"/>
      <c r="D5699" s="114"/>
      <c r="E5699" s="112"/>
      <c r="F5699" s="178"/>
    </row>
    <row r="5701" spans="1:6" s="53" customFormat="1" ht="23.5" x14ac:dyDescent="0.55000000000000004">
      <c r="B5701" s="227" t="s">
        <v>0</v>
      </c>
      <c r="C5701" s="227"/>
      <c r="D5701" s="227"/>
      <c r="E5701" s="70"/>
      <c r="F5701" s="176"/>
    </row>
    <row r="5702" spans="1:6" s="53" customFormat="1" ht="20.5" x14ac:dyDescent="0.45">
      <c r="B5702" s="71"/>
      <c r="C5702" s="72" t="s">
        <v>1394</v>
      </c>
      <c r="D5702" s="73"/>
      <c r="F5702" s="94"/>
    </row>
    <row r="5703" spans="1:6" s="53" customFormat="1" ht="21" thickBot="1" x14ac:dyDescent="0.5">
      <c r="B5703" s="71" t="s">
        <v>1023</v>
      </c>
      <c r="C5703" s="74" t="s">
        <v>103</v>
      </c>
      <c r="D5703" s="73"/>
      <c r="F5703" s="94"/>
    </row>
    <row r="5704" spans="1:6" s="53" customFormat="1" ht="15" thickBot="1" x14ac:dyDescent="0.4">
      <c r="A5704" s="75" t="s">
        <v>104</v>
      </c>
      <c r="B5704" s="76" t="s">
        <v>81</v>
      </c>
      <c r="C5704" s="76" t="s">
        <v>105</v>
      </c>
      <c r="D5704" s="77" t="s">
        <v>84</v>
      </c>
      <c r="F5704" s="94"/>
    </row>
    <row r="5705" spans="1:6" s="53" customFormat="1" ht="14.5" customHeight="1" x14ac:dyDescent="0.35">
      <c r="A5705" s="222" t="s">
        <v>94</v>
      </c>
      <c r="B5705" s="78" t="s">
        <v>1395</v>
      </c>
      <c r="C5705" s="79" t="s">
        <v>959</v>
      </c>
      <c r="D5705" s="80">
        <f>F5712</f>
        <v>10758000</v>
      </c>
      <c r="F5705" s="94"/>
    </row>
    <row r="5706" spans="1:6" s="53" customFormat="1" ht="21" thickBot="1" x14ac:dyDescent="0.5">
      <c r="A5706" s="223"/>
      <c r="B5706" s="71"/>
      <c r="C5706" s="71"/>
      <c r="D5706" s="73"/>
      <c r="F5706" s="94"/>
    </row>
    <row r="5707" spans="1:6" s="53" customFormat="1" ht="15" thickBot="1" x14ac:dyDescent="0.4">
      <c r="A5707" s="223"/>
      <c r="B5707" s="81" t="s">
        <v>81</v>
      </c>
      <c r="C5707" s="82" t="s">
        <v>107</v>
      </c>
      <c r="D5707" s="83" t="s">
        <v>108</v>
      </c>
      <c r="F5707" s="94"/>
    </row>
    <row r="5708" spans="1:6" s="87" customFormat="1" x14ac:dyDescent="0.35">
      <c r="A5708" s="223"/>
      <c r="B5708" s="84" t="str">
        <f>B5705</f>
        <v>26th October,2025</v>
      </c>
      <c r="C5708" s="85" t="s">
        <v>1331</v>
      </c>
      <c r="D5708" s="86"/>
      <c r="F5708" s="177"/>
    </row>
    <row r="5709" spans="1:6" s="53" customFormat="1" x14ac:dyDescent="0.35">
      <c r="A5709" s="223"/>
      <c r="B5709" s="88"/>
      <c r="C5709" s="89" t="s">
        <v>188</v>
      </c>
      <c r="D5709" s="90">
        <f>325*2650</f>
        <v>861250</v>
      </c>
      <c r="F5709" s="94"/>
    </row>
    <row r="5710" spans="1:6" s="53" customFormat="1" x14ac:dyDescent="0.35">
      <c r="A5710" s="223"/>
      <c r="B5710" s="88" t="s">
        <v>109</v>
      </c>
      <c r="C5710" s="89" t="s">
        <v>110</v>
      </c>
      <c r="D5710" s="90">
        <v>1000000</v>
      </c>
      <c r="F5710" s="94"/>
    </row>
    <row r="5711" spans="1:6" s="53" customFormat="1" x14ac:dyDescent="0.35">
      <c r="A5711" s="223"/>
      <c r="B5711" s="88" t="s">
        <v>111</v>
      </c>
      <c r="C5711" s="89" t="s">
        <v>112</v>
      </c>
      <c r="D5711" s="90">
        <v>40000</v>
      </c>
      <c r="E5711" s="225" t="s">
        <v>113</v>
      </c>
      <c r="F5711" s="225"/>
    </row>
    <row r="5712" spans="1:6" s="53" customFormat="1" x14ac:dyDescent="0.35">
      <c r="A5712" s="223"/>
      <c r="B5712" s="88" t="s">
        <v>182</v>
      </c>
      <c r="C5712" s="89" t="s">
        <v>115</v>
      </c>
      <c r="D5712" s="90">
        <f>400*123</f>
        <v>49200</v>
      </c>
      <c r="E5712" s="91" t="s">
        <v>116</v>
      </c>
      <c r="F5712" s="92">
        <f>4400*2445</f>
        <v>10758000</v>
      </c>
    </row>
    <row r="5713" spans="1:7" s="53" customFormat="1" x14ac:dyDescent="0.35">
      <c r="A5713" s="223"/>
      <c r="B5713" s="88"/>
      <c r="C5713" s="89" t="s">
        <v>117</v>
      </c>
      <c r="D5713" s="90">
        <f>3000*123</f>
        <v>369000</v>
      </c>
      <c r="E5713" s="93" t="s">
        <v>118</v>
      </c>
      <c r="F5713" s="94">
        <f>(2640*2445)+(1530*2445)</f>
        <v>10195650</v>
      </c>
    </row>
    <row r="5714" spans="1:7" s="53" customFormat="1" ht="15" thickBot="1" x14ac:dyDescent="0.4">
      <c r="A5714" s="223"/>
      <c r="B5714" s="88" t="s">
        <v>119</v>
      </c>
      <c r="C5714" s="89" t="s">
        <v>120</v>
      </c>
      <c r="D5714" s="95">
        <v>30000</v>
      </c>
      <c r="E5714" s="96" t="s">
        <v>121</v>
      </c>
      <c r="F5714" s="97">
        <f>F5712-F5713</f>
        <v>562350</v>
      </c>
      <c r="G5714" s="98">
        <f>F5714/2445</f>
        <v>230</v>
      </c>
    </row>
    <row r="5715" spans="1:7" s="53" customFormat="1" ht="15" thickTop="1" x14ac:dyDescent="0.35">
      <c r="A5715" s="223"/>
      <c r="B5715" s="88"/>
      <c r="C5715" s="89" t="s">
        <v>122</v>
      </c>
      <c r="D5715" s="90">
        <v>150000</v>
      </c>
      <c r="F5715" s="94"/>
    </row>
    <row r="5716" spans="1:7" s="53" customFormat="1" x14ac:dyDescent="0.35">
      <c r="A5716" s="223"/>
      <c r="B5716" s="88" t="s">
        <v>1393</v>
      </c>
      <c r="C5716" s="99" t="s">
        <v>123</v>
      </c>
      <c r="D5716" s="90">
        <v>15000</v>
      </c>
      <c r="E5716" s="91" t="s">
        <v>124</v>
      </c>
      <c r="F5716" s="92"/>
    </row>
    <row r="5717" spans="1:7" s="53" customFormat="1" x14ac:dyDescent="0.35">
      <c r="A5717" s="223"/>
      <c r="B5717" s="101"/>
      <c r="C5717" s="99" t="s">
        <v>125</v>
      </c>
      <c r="D5717" s="100">
        <v>10000</v>
      </c>
      <c r="E5717" s="102"/>
      <c r="F5717" s="103"/>
    </row>
    <row r="5718" spans="1:7" s="53" customFormat="1" x14ac:dyDescent="0.35">
      <c r="A5718" s="223"/>
      <c r="B5718" s="101"/>
      <c r="C5718" s="99" t="s">
        <v>126</v>
      </c>
      <c r="D5718" s="100">
        <v>20000</v>
      </c>
      <c r="E5718" s="102" t="s">
        <v>127</v>
      </c>
      <c r="F5718" s="103"/>
    </row>
    <row r="5719" spans="1:7" s="53" customFormat="1" x14ac:dyDescent="0.35">
      <c r="A5719" s="223"/>
      <c r="B5719" s="101"/>
      <c r="C5719" s="89"/>
      <c r="D5719" s="104"/>
      <c r="E5719" s="102" t="s">
        <v>1402</v>
      </c>
      <c r="F5719" s="103"/>
    </row>
    <row r="5720" spans="1:7" s="53" customFormat="1" ht="15" thickBot="1" x14ac:dyDescent="0.4">
      <c r="A5720" s="223"/>
      <c r="B5720" s="105"/>
      <c r="C5720" s="106"/>
      <c r="D5720" s="107"/>
      <c r="E5720" s="53" t="s">
        <v>1745</v>
      </c>
      <c r="F5720" s="94"/>
    </row>
    <row r="5721" spans="1:7" s="53" customFormat="1" ht="15" thickBot="1" x14ac:dyDescent="0.4">
      <c r="A5721" s="223"/>
      <c r="B5721" s="108"/>
      <c r="C5721" s="109" t="s">
        <v>129</v>
      </c>
      <c r="D5721" s="110">
        <f>SUM(D5708:D5720)</f>
        <v>2544450</v>
      </c>
      <c r="F5721" s="94"/>
    </row>
    <row r="5722" spans="1:7" s="53" customFormat="1" ht="15.5" thickTop="1" thickBot="1" x14ac:dyDescent="0.4">
      <c r="A5722" s="224"/>
      <c r="B5722" s="226"/>
      <c r="C5722" s="226"/>
      <c r="D5722" s="226"/>
      <c r="F5722" s="94"/>
    </row>
    <row r="5723" spans="1:7" s="53" customFormat="1" x14ac:dyDescent="0.35">
      <c r="B5723" s="87"/>
      <c r="C5723" s="53" t="s">
        <v>130</v>
      </c>
      <c r="D5723" s="111">
        <f>D5705-D5721</f>
        <v>8213550</v>
      </c>
      <c r="F5723" s="94"/>
    </row>
    <row r="5724" spans="1:7" s="53" customFormat="1" x14ac:dyDescent="0.35">
      <c r="B5724" s="87"/>
      <c r="D5724" s="111"/>
      <c r="F5724" s="94"/>
    </row>
    <row r="5725" spans="1:7" s="53" customFormat="1" x14ac:dyDescent="0.35">
      <c r="A5725" s="112"/>
      <c r="B5725" s="113"/>
      <c r="C5725" s="112"/>
      <c r="D5725" s="114"/>
      <c r="E5725" s="112"/>
      <c r="F5725" s="178"/>
    </row>
    <row r="5727" spans="1:7" s="53" customFormat="1" ht="23.5" x14ac:dyDescent="0.55000000000000004">
      <c r="B5727" s="227" t="s">
        <v>0</v>
      </c>
      <c r="C5727" s="227"/>
      <c r="D5727" s="227"/>
      <c r="E5727" s="70"/>
      <c r="F5727" s="176"/>
    </row>
    <row r="5728" spans="1:7" s="53" customFormat="1" ht="20.5" x14ac:dyDescent="0.45">
      <c r="B5728" s="71"/>
      <c r="C5728" s="72" t="s">
        <v>1405</v>
      </c>
      <c r="D5728" s="73"/>
      <c r="F5728" s="94"/>
    </row>
    <row r="5729" spans="1:7" s="53" customFormat="1" ht="21" thickBot="1" x14ac:dyDescent="0.5">
      <c r="B5729" s="71" t="s">
        <v>1148</v>
      </c>
      <c r="C5729" s="74" t="s">
        <v>103</v>
      </c>
      <c r="D5729" s="73"/>
      <c r="F5729" s="94"/>
    </row>
    <row r="5730" spans="1:7" s="53" customFormat="1" ht="15" thickBot="1" x14ac:dyDescent="0.4">
      <c r="A5730" s="75" t="s">
        <v>104</v>
      </c>
      <c r="B5730" s="76" t="s">
        <v>81</v>
      </c>
      <c r="C5730" s="76" t="s">
        <v>105</v>
      </c>
      <c r="D5730" s="77" t="s">
        <v>84</v>
      </c>
      <c r="F5730" s="94"/>
    </row>
    <row r="5731" spans="1:7" s="53" customFormat="1" ht="14.5" customHeight="1" x14ac:dyDescent="0.35">
      <c r="A5731" s="222" t="s">
        <v>95</v>
      </c>
      <c r="B5731" s="78" t="s">
        <v>1406</v>
      </c>
      <c r="C5731" s="79" t="s">
        <v>959</v>
      </c>
      <c r="D5731" s="80">
        <f>F5738</f>
        <v>10758000</v>
      </c>
      <c r="F5731" s="94"/>
    </row>
    <row r="5732" spans="1:7" s="53" customFormat="1" ht="21" thickBot="1" x14ac:dyDescent="0.5">
      <c r="A5732" s="223"/>
      <c r="B5732" s="71"/>
      <c r="C5732" s="71"/>
      <c r="D5732" s="73"/>
      <c r="F5732" s="94"/>
    </row>
    <row r="5733" spans="1:7" s="53" customFormat="1" ht="15" thickBot="1" x14ac:dyDescent="0.4">
      <c r="A5733" s="223"/>
      <c r="B5733" s="81" t="s">
        <v>81</v>
      </c>
      <c r="C5733" s="82" t="s">
        <v>107</v>
      </c>
      <c r="D5733" s="83" t="s">
        <v>108</v>
      </c>
      <c r="F5733" s="94"/>
    </row>
    <row r="5734" spans="1:7" s="87" customFormat="1" x14ac:dyDescent="0.35">
      <c r="A5734" s="223"/>
      <c r="B5734" s="84" t="str">
        <f>B5731</f>
        <v>05th November,2025</v>
      </c>
      <c r="C5734" s="85" t="s">
        <v>1340</v>
      </c>
      <c r="D5734" s="86">
        <f>1850*2704</f>
        <v>5002400</v>
      </c>
      <c r="F5734" s="177"/>
    </row>
    <row r="5735" spans="1:7" s="53" customFormat="1" x14ac:dyDescent="0.35">
      <c r="A5735" s="223"/>
      <c r="B5735" s="88"/>
      <c r="C5735" s="89" t="s">
        <v>188</v>
      </c>
      <c r="D5735" s="90">
        <f>325*2650</f>
        <v>861250</v>
      </c>
      <c r="F5735" s="94"/>
    </row>
    <row r="5736" spans="1:7" s="53" customFormat="1" x14ac:dyDescent="0.35">
      <c r="A5736" s="223"/>
      <c r="B5736" s="88" t="s">
        <v>109</v>
      </c>
      <c r="C5736" s="89" t="s">
        <v>110</v>
      </c>
      <c r="D5736" s="90">
        <v>1000000</v>
      </c>
      <c r="F5736" s="94"/>
    </row>
    <row r="5737" spans="1:7" s="53" customFormat="1" x14ac:dyDescent="0.35">
      <c r="A5737" s="223"/>
      <c r="B5737" s="88" t="s">
        <v>111</v>
      </c>
      <c r="C5737" s="89" t="s">
        <v>112</v>
      </c>
      <c r="D5737" s="90">
        <v>40000</v>
      </c>
      <c r="E5737" s="225" t="s">
        <v>113</v>
      </c>
      <c r="F5737" s="225"/>
    </row>
    <row r="5738" spans="1:7" s="53" customFormat="1" x14ac:dyDescent="0.35">
      <c r="A5738" s="223"/>
      <c r="B5738" s="88" t="s">
        <v>182</v>
      </c>
      <c r="C5738" s="89" t="s">
        <v>115</v>
      </c>
      <c r="D5738" s="90">
        <f>1000*123</f>
        <v>123000</v>
      </c>
      <c r="E5738" s="91" t="s">
        <v>116</v>
      </c>
      <c r="F5738" s="92">
        <f>4400*2445</f>
        <v>10758000</v>
      </c>
    </row>
    <row r="5739" spans="1:7" s="53" customFormat="1" x14ac:dyDescent="0.35">
      <c r="A5739" s="223"/>
      <c r="B5739" s="88"/>
      <c r="C5739" s="89" t="s">
        <v>117</v>
      </c>
      <c r="D5739" s="90">
        <f>3500*123</f>
        <v>430500</v>
      </c>
      <c r="E5739" s="93" t="s">
        <v>118</v>
      </c>
      <c r="F5739" s="94">
        <f>(2640*2445)+(1760*2445)</f>
        <v>10758000</v>
      </c>
    </row>
    <row r="5740" spans="1:7" s="53" customFormat="1" ht="15" thickBot="1" x14ac:dyDescent="0.4">
      <c r="A5740" s="223"/>
      <c r="B5740" s="88" t="s">
        <v>119</v>
      </c>
      <c r="C5740" s="89" t="s">
        <v>120</v>
      </c>
      <c r="D5740" s="95">
        <v>30000</v>
      </c>
      <c r="E5740" s="96" t="s">
        <v>121</v>
      </c>
      <c r="F5740" s="97">
        <f>F5738-F5739</f>
        <v>0</v>
      </c>
      <c r="G5740" s="98">
        <f>F5740/2445</f>
        <v>0</v>
      </c>
    </row>
    <row r="5741" spans="1:7" s="53" customFormat="1" ht="15" thickTop="1" x14ac:dyDescent="0.35">
      <c r="A5741" s="223"/>
      <c r="B5741" s="88"/>
      <c r="C5741" s="89" t="s">
        <v>122</v>
      </c>
      <c r="D5741" s="90">
        <v>75000</v>
      </c>
      <c r="F5741" s="94"/>
    </row>
    <row r="5742" spans="1:7" s="53" customFormat="1" x14ac:dyDescent="0.35">
      <c r="A5742" s="223"/>
      <c r="B5742" s="88" t="s">
        <v>1407</v>
      </c>
      <c r="C5742" s="99" t="s">
        <v>123</v>
      </c>
      <c r="D5742" s="90">
        <v>15000</v>
      </c>
      <c r="E5742" s="91" t="s">
        <v>124</v>
      </c>
      <c r="F5742" s="92"/>
    </row>
    <row r="5743" spans="1:7" s="53" customFormat="1" x14ac:dyDescent="0.35">
      <c r="A5743" s="223"/>
      <c r="B5743" s="101"/>
      <c r="C5743" s="99" t="s">
        <v>125</v>
      </c>
      <c r="D5743" s="100">
        <v>10000</v>
      </c>
      <c r="E5743" s="102"/>
      <c r="F5743" s="103"/>
    </row>
    <row r="5744" spans="1:7" s="53" customFormat="1" x14ac:dyDescent="0.35">
      <c r="A5744" s="223"/>
      <c r="B5744" s="101"/>
      <c r="C5744" s="99" t="s">
        <v>126</v>
      </c>
      <c r="D5744" s="100">
        <v>20000</v>
      </c>
      <c r="E5744" s="102" t="s">
        <v>127</v>
      </c>
      <c r="F5744" s="103"/>
    </row>
    <row r="5745" spans="1:6" s="53" customFormat="1" x14ac:dyDescent="0.35">
      <c r="A5745" s="223"/>
      <c r="B5745" s="101"/>
      <c r="C5745" s="89" t="s">
        <v>265</v>
      </c>
      <c r="D5745" s="104">
        <f>841*122</f>
        <v>102602</v>
      </c>
      <c r="E5745" s="53" t="s">
        <v>1437</v>
      </c>
      <c r="F5745" s="103"/>
    </row>
    <row r="5746" spans="1:6" s="53" customFormat="1" ht="15" thickBot="1" x14ac:dyDescent="0.4">
      <c r="A5746" s="223"/>
      <c r="B5746" s="105"/>
      <c r="C5746" s="106"/>
      <c r="D5746" s="107"/>
      <c r="E5746" s="53" t="s">
        <v>1745</v>
      </c>
      <c r="F5746" s="94"/>
    </row>
    <row r="5747" spans="1:6" s="53" customFormat="1" ht="15" thickBot="1" x14ac:dyDescent="0.4">
      <c r="A5747" s="223"/>
      <c r="B5747" s="108"/>
      <c r="C5747" s="109" t="s">
        <v>129</v>
      </c>
      <c r="D5747" s="110">
        <f>SUM(D5734:D5746)</f>
        <v>7709752</v>
      </c>
      <c r="F5747" s="94"/>
    </row>
    <row r="5748" spans="1:6" s="53" customFormat="1" ht="15.5" thickTop="1" thickBot="1" x14ac:dyDescent="0.4">
      <c r="A5748" s="224"/>
      <c r="B5748" s="226"/>
      <c r="C5748" s="226"/>
      <c r="D5748" s="226"/>
      <c r="F5748" s="94"/>
    </row>
    <row r="5749" spans="1:6" s="53" customFormat="1" x14ac:dyDescent="0.35">
      <c r="B5749" s="87"/>
      <c r="C5749" s="53" t="s">
        <v>130</v>
      </c>
      <c r="D5749" s="111">
        <f>D5731-D5747</f>
        <v>3048248</v>
      </c>
      <c r="F5749" s="94"/>
    </row>
    <row r="5750" spans="1:6" s="53" customFormat="1" x14ac:dyDescent="0.35">
      <c r="B5750" s="87"/>
      <c r="D5750" s="111"/>
      <c r="F5750" s="94"/>
    </row>
    <row r="5751" spans="1:6" s="53" customFormat="1" x14ac:dyDescent="0.35">
      <c r="A5751" s="112"/>
      <c r="B5751" s="113"/>
      <c r="C5751" s="112"/>
      <c r="D5751" s="114"/>
      <c r="E5751" s="112"/>
      <c r="F5751" s="178"/>
    </row>
    <row r="5753" spans="1:6" s="53" customFormat="1" ht="23.5" x14ac:dyDescent="0.55000000000000004">
      <c r="B5753" s="227" t="s">
        <v>0</v>
      </c>
      <c r="C5753" s="227"/>
      <c r="D5753" s="227"/>
      <c r="E5753" s="70"/>
      <c r="F5753" s="176"/>
    </row>
    <row r="5754" spans="1:6" s="53" customFormat="1" ht="20.5" x14ac:dyDescent="0.45">
      <c r="B5754" s="71"/>
      <c r="C5754" s="72" t="s">
        <v>1414</v>
      </c>
      <c r="D5754" s="73"/>
      <c r="F5754" s="94"/>
    </row>
    <row r="5755" spans="1:6" s="53" customFormat="1" ht="21" thickBot="1" x14ac:dyDescent="0.5">
      <c r="B5755" s="71" t="s">
        <v>984</v>
      </c>
      <c r="C5755" s="74" t="s">
        <v>103</v>
      </c>
      <c r="D5755" s="73"/>
      <c r="F5755" s="94"/>
    </row>
    <row r="5756" spans="1:6" s="53" customFormat="1" ht="15" thickBot="1" x14ac:dyDescent="0.4">
      <c r="A5756" s="75" t="s">
        <v>104</v>
      </c>
      <c r="B5756" s="76" t="s">
        <v>81</v>
      </c>
      <c r="C5756" s="76" t="s">
        <v>105</v>
      </c>
      <c r="D5756" s="77" t="s">
        <v>84</v>
      </c>
      <c r="F5756" s="94"/>
    </row>
    <row r="5757" spans="1:6" s="53" customFormat="1" ht="14.5" customHeight="1" x14ac:dyDescent="0.35">
      <c r="A5757" s="222" t="s">
        <v>95</v>
      </c>
      <c r="B5757" s="78" t="s">
        <v>1415</v>
      </c>
      <c r="C5757" s="79" t="s">
        <v>959</v>
      </c>
      <c r="D5757" s="80">
        <f>F5764</f>
        <v>12469500</v>
      </c>
      <c r="F5757" s="94"/>
    </row>
    <row r="5758" spans="1:6" s="53" customFormat="1" ht="21" thickBot="1" x14ac:dyDescent="0.5">
      <c r="A5758" s="223"/>
      <c r="B5758" s="71"/>
      <c r="C5758" s="71"/>
      <c r="D5758" s="73"/>
      <c r="F5758" s="94"/>
    </row>
    <row r="5759" spans="1:6" s="53" customFormat="1" ht="15" thickBot="1" x14ac:dyDescent="0.4">
      <c r="A5759" s="223"/>
      <c r="B5759" s="81" t="s">
        <v>81</v>
      </c>
      <c r="C5759" s="82" t="s">
        <v>107</v>
      </c>
      <c r="D5759" s="83" t="s">
        <v>108</v>
      </c>
      <c r="F5759" s="94"/>
    </row>
    <row r="5760" spans="1:6" s="87" customFormat="1" x14ac:dyDescent="0.35">
      <c r="A5760" s="223"/>
      <c r="B5760" s="84" t="str">
        <f>B5757</f>
        <v>07th November,2025</v>
      </c>
      <c r="C5760" s="85" t="s">
        <v>1416</v>
      </c>
      <c r="D5760" s="86">
        <f>1850*2720</f>
        <v>5032000</v>
      </c>
      <c r="F5760" s="177"/>
    </row>
    <row r="5761" spans="1:7" s="53" customFormat="1" x14ac:dyDescent="0.35">
      <c r="A5761" s="223"/>
      <c r="B5761" s="88"/>
      <c r="C5761" s="89" t="s">
        <v>210</v>
      </c>
      <c r="D5761" s="90">
        <f>319*2650</f>
        <v>845350</v>
      </c>
      <c r="F5761" s="94"/>
    </row>
    <row r="5762" spans="1:7" s="53" customFormat="1" x14ac:dyDescent="0.35">
      <c r="A5762" s="223"/>
      <c r="B5762" s="88" t="s">
        <v>109</v>
      </c>
      <c r="C5762" s="89" t="s">
        <v>110</v>
      </c>
      <c r="D5762" s="90">
        <v>1000000</v>
      </c>
      <c r="F5762" s="94"/>
    </row>
    <row r="5763" spans="1:7" s="53" customFormat="1" x14ac:dyDescent="0.35">
      <c r="A5763" s="223"/>
      <c r="B5763" s="88" t="s">
        <v>111</v>
      </c>
      <c r="C5763" s="89" t="s">
        <v>112</v>
      </c>
      <c r="D5763" s="90">
        <v>40000</v>
      </c>
      <c r="E5763" s="225" t="s">
        <v>113</v>
      </c>
      <c r="F5763" s="225"/>
    </row>
    <row r="5764" spans="1:7" s="53" customFormat="1" x14ac:dyDescent="0.35">
      <c r="A5764" s="223"/>
      <c r="B5764" s="88" t="s">
        <v>206</v>
      </c>
      <c r="C5764" s="89" t="s">
        <v>115</v>
      </c>
      <c r="D5764" s="90">
        <f>1000*123</f>
        <v>123000</v>
      </c>
      <c r="E5764" s="91" t="s">
        <v>116</v>
      </c>
      <c r="F5764" s="92">
        <f>5100*2445</f>
        <v>12469500</v>
      </c>
    </row>
    <row r="5765" spans="1:7" s="53" customFormat="1" x14ac:dyDescent="0.35">
      <c r="A5765" s="223"/>
      <c r="B5765" s="88"/>
      <c r="C5765" s="89" t="s">
        <v>117</v>
      </c>
      <c r="D5765" s="90">
        <f>3880*123</f>
        <v>477240</v>
      </c>
      <c r="E5765" s="93" t="s">
        <v>118</v>
      </c>
      <c r="F5765" s="94">
        <f>(3060*2445)</f>
        <v>7481700</v>
      </c>
    </row>
    <row r="5766" spans="1:7" s="53" customFormat="1" ht="15" thickBot="1" x14ac:dyDescent="0.4">
      <c r="A5766" s="223"/>
      <c r="B5766" s="88" t="s">
        <v>119</v>
      </c>
      <c r="C5766" s="89" t="s">
        <v>120</v>
      </c>
      <c r="D5766" s="95">
        <v>30000</v>
      </c>
      <c r="E5766" s="96" t="s">
        <v>121</v>
      </c>
      <c r="F5766" s="97">
        <f>F5764-F5765</f>
        <v>4987800</v>
      </c>
      <c r="G5766" s="98">
        <f>F5766/2445</f>
        <v>2040</v>
      </c>
    </row>
    <row r="5767" spans="1:7" s="53" customFormat="1" ht="15" thickTop="1" x14ac:dyDescent="0.35">
      <c r="A5767" s="223"/>
      <c r="B5767" s="88"/>
      <c r="C5767" s="99" t="s">
        <v>123</v>
      </c>
      <c r="D5767" s="90">
        <v>15000</v>
      </c>
      <c r="F5767" s="94"/>
    </row>
    <row r="5768" spans="1:7" s="53" customFormat="1" x14ac:dyDescent="0.35">
      <c r="A5768" s="223"/>
      <c r="B5768" s="88" t="s">
        <v>213</v>
      </c>
      <c r="C5768" s="99" t="s">
        <v>126</v>
      </c>
      <c r="D5768" s="100">
        <v>20000</v>
      </c>
      <c r="E5768" s="91" t="s">
        <v>124</v>
      </c>
      <c r="F5768" s="92"/>
    </row>
    <row r="5769" spans="1:7" s="53" customFormat="1" x14ac:dyDescent="0.35">
      <c r="A5769" s="223"/>
      <c r="B5769" s="101"/>
      <c r="C5769" s="99"/>
      <c r="D5769" s="100"/>
      <c r="E5769" s="102"/>
      <c r="F5769" s="103"/>
    </row>
    <row r="5770" spans="1:7" s="53" customFormat="1" x14ac:dyDescent="0.35">
      <c r="A5770" s="223"/>
      <c r="B5770" s="101"/>
      <c r="C5770" s="89"/>
      <c r="D5770" s="104"/>
      <c r="E5770" s="102" t="s">
        <v>127</v>
      </c>
      <c r="F5770" s="103"/>
    </row>
    <row r="5771" spans="1:7" s="53" customFormat="1" x14ac:dyDescent="0.35">
      <c r="A5771" s="223"/>
      <c r="B5771" s="101"/>
      <c r="C5771" s="89"/>
      <c r="D5771" s="104"/>
      <c r="E5771" s="53" t="s">
        <v>1417</v>
      </c>
      <c r="F5771" s="103"/>
    </row>
    <row r="5772" spans="1:7" s="53" customFormat="1" ht="15" thickBot="1" x14ac:dyDescent="0.4">
      <c r="A5772" s="223"/>
      <c r="B5772" s="105"/>
      <c r="C5772" s="106"/>
      <c r="D5772" s="107"/>
      <c r="F5772" s="94"/>
    </row>
    <row r="5773" spans="1:7" s="53" customFormat="1" ht="15" thickBot="1" x14ac:dyDescent="0.4">
      <c r="A5773" s="223"/>
      <c r="B5773" s="108"/>
      <c r="C5773" s="109" t="s">
        <v>129</v>
      </c>
      <c r="D5773" s="110">
        <f>SUM(D5760:D5772)</f>
        <v>7582590</v>
      </c>
      <c r="F5773" s="94"/>
    </row>
    <row r="5774" spans="1:7" s="53" customFormat="1" ht="15.5" thickTop="1" thickBot="1" x14ac:dyDescent="0.4">
      <c r="A5774" s="224"/>
      <c r="B5774" s="226"/>
      <c r="C5774" s="226"/>
      <c r="D5774" s="226"/>
      <c r="F5774" s="94"/>
    </row>
    <row r="5775" spans="1:7" s="53" customFormat="1" x14ac:dyDescent="0.35">
      <c r="B5775" s="87"/>
      <c r="C5775" s="53" t="s">
        <v>130</v>
      </c>
      <c r="D5775" s="111">
        <f>D5757-D5773</f>
        <v>4886910</v>
      </c>
      <c r="F5775" s="94"/>
    </row>
    <row r="5776" spans="1:7" s="53" customFormat="1" x14ac:dyDescent="0.35">
      <c r="B5776" s="87"/>
      <c r="D5776" s="111"/>
      <c r="F5776" s="94"/>
    </row>
    <row r="5777" spans="1:7" s="53" customFormat="1" x14ac:dyDescent="0.35">
      <c r="A5777" s="112"/>
      <c r="B5777" s="113"/>
      <c r="C5777" s="112"/>
      <c r="D5777" s="114"/>
      <c r="E5777" s="112"/>
      <c r="F5777" s="178"/>
    </row>
    <row r="5779" spans="1:7" s="53" customFormat="1" ht="23.5" x14ac:dyDescent="0.55000000000000004">
      <c r="B5779" s="227" t="s">
        <v>0</v>
      </c>
      <c r="C5779" s="227"/>
      <c r="D5779" s="227"/>
      <c r="E5779" s="70"/>
      <c r="F5779" s="176"/>
    </row>
    <row r="5780" spans="1:7" s="53" customFormat="1" ht="20.5" x14ac:dyDescent="0.45">
      <c r="B5780" s="71"/>
      <c r="C5780" s="72" t="s">
        <v>1426</v>
      </c>
      <c r="D5780" s="73"/>
      <c r="F5780" s="94"/>
    </row>
    <row r="5781" spans="1:7" s="53" customFormat="1" ht="21" thickBot="1" x14ac:dyDescent="0.5">
      <c r="B5781" s="71" t="s">
        <v>218</v>
      </c>
      <c r="C5781" s="74" t="s">
        <v>103</v>
      </c>
      <c r="D5781" s="73"/>
      <c r="F5781" s="94"/>
    </row>
    <row r="5782" spans="1:7" s="53" customFormat="1" ht="15" thickBot="1" x14ac:dyDescent="0.4">
      <c r="A5782" s="75" t="s">
        <v>104</v>
      </c>
      <c r="B5782" s="76" t="s">
        <v>81</v>
      </c>
      <c r="C5782" s="76" t="s">
        <v>105</v>
      </c>
      <c r="D5782" s="77" t="s">
        <v>84</v>
      </c>
      <c r="F5782" s="94"/>
    </row>
    <row r="5783" spans="1:7" s="53" customFormat="1" ht="14.5" customHeight="1" x14ac:dyDescent="0.35">
      <c r="A5783" s="222" t="s">
        <v>95</v>
      </c>
      <c r="B5783" s="78" t="s">
        <v>1427</v>
      </c>
      <c r="C5783" s="79" t="s">
        <v>319</v>
      </c>
      <c r="D5783" s="80">
        <f>F5790</f>
        <v>10710000</v>
      </c>
      <c r="F5783" s="94"/>
    </row>
    <row r="5784" spans="1:7" s="53" customFormat="1" ht="21" thickBot="1" x14ac:dyDescent="0.5">
      <c r="A5784" s="223"/>
      <c r="B5784" s="71"/>
      <c r="C5784" s="71"/>
      <c r="D5784" s="73"/>
      <c r="F5784" s="94"/>
    </row>
    <row r="5785" spans="1:7" s="53" customFormat="1" ht="15" thickBot="1" x14ac:dyDescent="0.4">
      <c r="A5785" s="223"/>
      <c r="B5785" s="81" t="s">
        <v>81</v>
      </c>
      <c r="C5785" s="82" t="s">
        <v>107</v>
      </c>
      <c r="D5785" s="83" t="s">
        <v>108</v>
      </c>
      <c r="F5785" s="94"/>
    </row>
    <row r="5786" spans="1:7" s="87" customFormat="1" x14ac:dyDescent="0.35">
      <c r="A5786" s="223"/>
      <c r="B5786" s="84" t="str">
        <f>B5783</f>
        <v>11th November,2025</v>
      </c>
      <c r="C5786" s="85" t="s">
        <v>1416</v>
      </c>
      <c r="D5786" s="86">
        <f>1850*2720</f>
        <v>5032000</v>
      </c>
      <c r="F5786" s="177"/>
    </row>
    <row r="5787" spans="1:7" s="53" customFormat="1" x14ac:dyDescent="0.35">
      <c r="A5787" s="223"/>
      <c r="B5787" s="88"/>
      <c r="C5787" s="89" t="s">
        <v>210</v>
      </c>
      <c r="D5787" s="90">
        <f>319*2650</f>
        <v>845350</v>
      </c>
      <c r="F5787" s="94"/>
    </row>
    <row r="5788" spans="1:7" s="53" customFormat="1" x14ac:dyDescent="0.35">
      <c r="A5788" s="223"/>
      <c r="B5788" s="88" t="s">
        <v>109</v>
      </c>
      <c r="C5788" s="89" t="s">
        <v>110</v>
      </c>
      <c r="D5788" s="90">
        <v>1000000</v>
      </c>
      <c r="F5788" s="94"/>
    </row>
    <row r="5789" spans="1:7" s="53" customFormat="1" x14ac:dyDescent="0.35">
      <c r="A5789" s="223"/>
      <c r="B5789" s="88" t="s">
        <v>111</v>
      </c>
      <c r="C5789" s="89" t="s">
        <v>112</v>
      </c>
      <c r="D5789" s="90">
        <v>40000</v>
      </c>
      <c r="E5789" s="225" t="s">
        <v>113</v>
      </c>
      <c r="F5789" s="225"/>
    </row>
    <row r="5790" spans="1:7" s="53" customFormat="1" x14ac:dyDescent="0.35">
      <c r="A5790" s="223"/>
      <c r="B5790" s="88" t="s">
        <v>206</v>
      </c>
      <c r="C5790" s="89" t="s">
        <v>115</v>
      </c>
      <c r="D5790" s="90">
        <f>400*123</f>
        <v>49200</v>
      </c>
      <c r="E5790" s="91" t="s">
        <v>116</v>
      </c>
      <c r="F5790" s="92">
        <f>4200*2550</f>
        <v>10710000</v>
      </c>
    </row>
    <row r="5791" spans="1:7" s="53" customFormat="1" x14ac:dyDescent="0.35">
      <c r="A5791" s="223"/>
      <c r="B5791" s="88"/>
      <c r="C5791" s="89" t="s">
        <v>117</v>
      </c>
      <c r="D5791" s="90">
        <f>3880*123</f>
        <v>477240</v>
      </c>
      <c r="E5791" s="93" t="s">
        <v>118</v>
      </c>
      <c r="F5791" s="94">
        <f>4200*2550</f>
        <v>10710000</v>
      </c>
    </row>
    <row r="5792" spans="1:7" s="53" customFormat="1" ht="15" thickBot="1" x14ac:dyDescent="0.4">
      <c r="A5792" s="223"/>
      <c r="B5792" s="88" t="s">
        <v>119</v>
      </c>
      <c r="C5792" s="89" t="s">
        <v>120</v>
      </c>
      <c r="D5792" s="95">
        <v>30000</v>
      </c>
      <c r="E5792" s="96" t="s">
        <v>121</v>
      </c>
      <c r="F5792" s="97">
        <f>F5790-F5791</f>
        <v>0</v>
      </c>
      <c r="G5792" s="98">
        <f>F5792/2550</f>
        <v>0</v>
      </c>
    </row>
    <row r="5793" spans="1:6" s="53" customFormat="1" ht="15" thickTop="1" x14ac:dyDescent="0.35">
      <c r="A5793" s="223"/>
      <c r="B5793" s="88"/>
      <c r="C5793" s="89" t="s">
        <v>122</v>
      </c>
      <c r="D5793" s="90">
        <v>75000</v>
      </c>
      <c r="F5793" s="94"/>
    </row>
    <row r="5794" spans="1:6" s="53" customFormat="1" x14ac:dyDescent="0.35">
      <c r="A5794" s="223"/>
      <c r="B5794" s="88" t="s">
        <v>1425</v>
      </c>
      <c r="C5794" s="99" t="s">
        <v>123</v>
      </c>
      <c r="D5794" s="90">
        <v>15000</v>
      </c>
      <c r="E5794" s="91" t="s">
        <v>124</v>
      </c>
      <c r="F5794" s="92"/>
    </row>
    <row r="5795" spans="1:6" s="53" customFormat="1" x14ac:dyDescent="0.35">
      <c r="A5795" s="223"/>
      <c r="B5795" s="101"/>
      <c r="C5795" s="99" t="s">
        <v>125</v>
      </c>
      <c r="D5795" s="100">
        <v>10000</v>
      </c>
      <c r="E5795" s="102"/>
      <c r="F5795" s="103"/>
    </row>
    <row r="5796" spans="1:6" s="53" customFormat="1" x14ac:dyDescent="0.35">
      <c r="A5796" s="223"/>
      <c r="B5796" s="101"/>
      <c r="C5796" s="99" t="s">
        <v>126</v>
      </c>
      <c r="D5796" s="100">
        <v>40000</v>
      </c>
      <c r="E5796" s="102" t="s">
        <v>127</v>
      </c>
      <c r="F5796" s="103"/>
    </row>
    <row r="5797" spans="1:6" s="53" customFormat="1" x14ac:dyDescent="0.35">
      <c r="A5797" s="223"/>
      <c r="B5797" s="101"/>
      <c r="C5797" s="89"/>
      <c r="D5797" s="104"/>
      <c r="E5797" s="102" t="s">
        <v>1742</v>
      </c>
      <c r="F5797" s="103"/>
    </row>
    <row r="5798" spans="1:6" s="53" customFormat="1" ht="15" thickBot="1" x14ac:dyDescent="0.4">
      <c r="A5798" s="223"/>
      <c r="B5798" s="105"/>
      <c r="C5798" s="106"/>
      <c r="D5798" s="107"/>
      <c r="F5798" s="94"/>
    </row>
    <row r="5799" spans="1:6" s="53" customFormat="1" ht="15" thickBot="1" x14ac:dyDescent="0.4">
      <c r="A5799" s="223"/>
      <c r="B5799" s="108"/>
      <c r="C5799" s="109" t="s">
        <v>129</v>
      </c>
      <c r="D5799" s="110">
        <f>SUM(D5786:D5798)</f>
        <v>7613790</v>
      </c>
      <c r="F5799" s="94"/>
    </row>
    <row r="5800" spans="1:6" s="53" customFormat="1" ht="15.5" thickTop="1" thickBot="1" x14ac:dyDescent="0.4">
      <c r="A5800" s="224"/>
      <c r="B5800" s="226"/>
      <c r="C5800" s="226"/>
      <c r="D5800" s="226"/>
      <c r="F5800" s="94"/>
    </row>
    <row r="5801" spans="1:6" s="53" customFormat="1" x14ac:dyDescent="0.35">
      <c r="B5801" s="87"/>
      <c r="C5801" s="53" t="s">
        <v>130</v>
      </c>
      <c r="D5801" s="111">
        <f>D5783-D5799</f>
        <v>3096210</v>
      </c>
      <c r="F5801" s="94"/>
    </row>
    <row r="5802" spans="1:6" s="53" customFormat="1" x14ac:dyDescent="0.35">
      <c r="B5802" s="87"/>
      <c r="D5802" s="111"/>
      <c r="F5802" s="94"/>
    </row>
    <row r="5803" spans="1:6" s="53" customFormat="1" x14ac:dyDescent="0.35">
      <c r="A5803" s="112"/>
      <c r="B5803" s="113"/>
      <c r="C5803" s="112"/>
      <c r="D5803" s="114"/>
      <c r="E5803" s="112"/>
      <c r="F5803" s="178"/>
    </row>
    <row r="5805" spans="1:6" s="53" customFormat="1" ht="23.5" x14ac:dyDescent="0.55000000000000004">
      <c r="B5805" s="227" t="s">
        <v>0</v>
      </c>
      <c r="C5805" s="227"/>
      <c r="D5805" s="227"/>
      <c r="E5805" s="70"/>
      <c r="F5805" s="176"/>
    </row>
    <row r="5806" spans="1:6" s="53" customFormat="1" ht="20.5" x14ac:dyDescent="0.45">
      <c r="B5806" s="71"/>
      <c r="C5806" s="72" t="s">
        <v>1436</v>
      </c>
      <c r="D5806" s="73"/>
      <c r="F5806" s="94"/>
    </row>
    <row r="5807" spans="1:6" s="53" customFormat="1" ht="21" thickBot="1" x14ac:dyDescent="0.5">
      <c r="B5807" s="71" t="s">
        <v>1089</v>
      </c>
      <c r="C5807" s="74" t="s">
        <v>103</v>
      </c>
      <c r="D5807" s="73"/>
      <c r="F5807" s="94"/>
    </row>
    <row r="5808" spans="1:6" s="53" customFormat="1" ht="15" thickBot="1" x14ac:dyDescent="0.4">
      <c r="A5808" s="75" t="s">
        <v>104</v>
      </c>
      <c r="B5808" s="76" t="s">
        <v>81</v>
      </c>
      <c r="C5808" s="76" t="s">
        <v>105</v>
      </c>
      <c r="D5808" s="77" t="s">
        <v>84</v>
      </c>
      <c r="F5808" s="94"/>
    </row>
    <row r="5809" spans="1:7" s="53" customFormat="1" ht="14.5" customHeight="1" x14ac:dyDescent="0.35">
      <c r="A5809" s="222" t="s">
        <v>95</v>
      </c>
      <c r="B5809" s="78" t="s">
        <v>1441</v>
      </c>
      <c r="C5809" s="79" t="s">
        <v>959</v>
      </c>
      <c r="D5809" s="80">
        <f>F5816</f>
        <v>10758000</v>
      </c>
      <c r="F5809" s="94"/>
    </row>
    <row r="5810" spans="1:7" s="53" customFormat="1" ht="21" thickBot="1" x14ac:dyDescent="0.5">
      <c r="A5810" s="223"/>
      <c r="B5810" s="71"/>
      <c r="C5810" s="71"/>
      <c r="D5810" s="73"/>
      <c r="F5810" s="94"/>
    </row>
    <row r="5811" spans="1:7" s="53" customFormat="1" ht="15" thickBot="1" x14ac:dyDescent="0.4">
      <c r="A5811" s="223"/>
      <c r="B5811" s="81" t="s">
        <v>81</v>
      </c>
      <c r="C5811" s="82" t="s">
        <v>107</v>
      </c>
      <c r="D5811" s="83" t="s">
        <v>108</v>
      </c>
      <c r="F5811" s="94"/>
    </row>
    <row r="5812" spans="1:7" s="87" customFormat="1" x14ac:dyDescent="0.35">
      <c r="A5812" s="223"/>
      <c r="B5812" s="84" t="str">
        <f>B5809</f>
        <v>13th November,2025</v>
      </c>
      <c r="C5812" s="85" t="s">
        <v>1416</v>
      </c>
      <c r="D5812" s="86">
        <f>1850*2720</f>
        <v>5032000</v>
      </c>
      <c r="F5812" s="177"/>
    </row>
    <row r="5813" spans="1:7" s="53" customFormat="1" x14ac:dyDescent="0.35">
      <c r="A5813" s="223"/>
      <c r="B5813" s="88"/>
      <c r="C5813" s="89" t="s">
        <v>188</v>
      </c>
      <c r="D5813" s="90">
        <f>325*2650</f>
        <v>861250</v>
      </c>
      <c r="F5813" s="94"/>
    </row>
    <row r="5814" spans="1:7" s="53" customFormat="1" x14ac:dyDescent="0.35">
      <c r="A5814" s="223"/>
      <c r="B5814" s="88" t="s">
        <v>109</v>
      </c>
      <c r="C5814" s="89" t="s">
        <v>110</v>
      </c>
      <c r="D5814" s="90">
        <v>1000000</v>
      </c>
      <c r="F5814" s="94"/>
    </row>
    <row r="5815" spans="1:7" s="53" customFormat="1" x14ac:dyDescent="0.35">
      <c r="A5815" s="223"/>
      <c r="B5815" s="88" t="s">
        <v>111</v>
      </c>
      <c r="C5815" s="89" t="s">
        <v>112</v>
      </c>
      <c r="D5815" s="90">
        <v>40000</v>
      </c>
      <c r="E5815" s="225" t="s">
        <v>113</v>
      </c>
      <c r="F5815" s="225"/>
    </row>
    <row r="5816" spans="1:7" s="53" customFormat="1" x14ac:dyDescent="0.35">
      <c r="A5816" s="223"/>
      <c r="B5816" s="88" t="s">
        <v>182</v>
      </c>
      <c r="C5816" s="89" t="s">
        <v>115</v>
      </c>
      <c r="D5816" s="90">
        <f>950*123</f>
        <v>116850</v>
      </c>
      <c r="E5816" s="91" t="s">
        <v>116</v>
      </c>
      <c r="F5816" s="92">
        <f>4400*2445</f>
        <v>10758000</v>
      </c>
    </row>
    <row r="5817" spans="1:7" s="53" customFormat="1" x14ac:dyDescent="0.35">
      <c r="A5817" s="223"/>
      <c r="B5817" s="88"/>
      <c r="C5817" s="89" t="s">
        <v>117</v>
      </c>
      <c r="D5817" s="90">
        <f>3500*123</f>
        <v>430500</v>
      </c>
      <c r="E5817" s="93" t="s">
        <v>118</v>
      </c>
      <c r="F5817" s="94">
        <f>(2640*2445)</f>
        <v>6454800</v>
      </c>
    </row>
    <row r="5818" spans="1:7" s="53" customFormat="1" ht="15" thickBot="1" x14ac:dyDescent="0.4">
      <c r="A5818" s="223"/>
      <c r="B5818" s="88" t="s">
        <v>119</v>
      </c>
      <c r="C5818" s="89" t="s">
        <v>120</v>
      </c>
      <c r="D5818" s="95">
        <v>30000</v>
      </c>
      <c r="E5818" s="96" t="s">
        <v>121</v>
      </c>
      <c r="F5818" s="97">
        <f>F5816-F5817</f>
        <v>4303200</v>
      </c>
      <c r="G5818" s="98">
        <f>F5818/2445</f>
        <v>1760</v>
      </c>
    </row>
    <row r="5819" spans="1:7" s="53" customFormat="1" ht="15" thickTop="1" x14ac:dyDescent="0.35">
      <c r="A5819" s="223"/>
      <c r="B5819" s="88"/>
      <c r="C5819" s="89" t="s">
        <v>122</v>
      </c>
      <c r="D5819" s="90">
        <v>150000</v>
      </c>
      <c r="F5819" s="94"/>
    </row>
    <row r="5820" spans="1:7" s="53" customFormat="1" x14ac:dyDescent="0.35">
      <c r="A5820" s="223"/>
      <c r="B5820" s="88" t="s">
        <v>1435</v>
      </c>
      <c r="C5820" s="99" t="s">
        <v>123</v>
      </c>
      <c r="D5820" s="90">
        <v>15000</v>
      </c>
      <c r="E5820" s="91" t="s">
        <v>124</v>
      </c>
      <c r="F5820" s="92"/>
    </row>
    <row r="5821" spans="1:7" s="53" customFormat="1" x14ac:dyDescent="0.35">
      <c r="A5821" s="223"/>
      <c r="B5821" s="101"/>
      <c r="C5821" s="99" t="s">
        <v>125</v>
      </c>
      <c r="D5821" s="100">
        <v>10000</v>
      </c>
      <c r="E5821" s="102"/>
      <c r="F5821" s="103"/>
    </row>
    <row r="5822" spans="1:7" s="53" customFormat="1" x14ac:dyDescent="0.35">
      <c r="A5822" s="223"/>
      <c r="B5822" s="101"/>
      <c r="C5822" s="99" t="s">
        <v>126</v>
      </c>
      <c r="D5822" s="100">
        <v>30000</v>
      </c>
      <c r="E5822" s="102" t="s">
        <v>127</v>
      </c>
      <c r="F5822" s="103"/>
    </row>
    <row r="5823" spans="1:7" s="53" customFormat="1" x14ac:dyDescent="0.35">
      <c r="A5823" s="223"/>
      <c r="B5823" s="101"/>
      <c r="C5823" s="89" t="s">
        <v>265</v>
      </c>
      <c r="D5823" s="104">
        <f>854*122</f>
        <v>104188</v>
      </c>
      <c r="E5823" s="53" t="s">
        <v>1484</v>
      </c>
      <c r="F5823" s="103"/>
    </row>
    <row r="5824" spans="1:7" s="53" customFormat="1" ht="15" thickBot="1" x14ac:dyDescent="0.4">
      <c r="A5824" s="223"/>
      <c r="B5824" s="105"/>
      <c r="C5824" s="106"/>
      <c r="D5824" s="107"/>
      <c r="F5824" s="94"/>
    </row>
    <row r="5825" spans="1:6" s="53" customFormat="1" ht="15" thickBot="1" x14ac:dyDescent="0.4">
      <c r="A5825" s="223"/>
      <c r="B5825" s="108"/>
      <c r="C5825" s="109" t="s">
        <v>129</v>
      </c>
      <c r="D5825" s="110">
        <f>SUM(D5812:D5824)</f>
        <v>7819788</v>
      </c>
      <c r="F5825" s="94"/>
    </row>
    <row r="5826" spans="1:6" s="53" customFormat="1" ht="15.5" thickTop="1" thickBot="1" x14ac:dyDescent="0.4">
      <c r="A5826" s="224"/>
      <c r="B5826" s="226"/>
      <c r="C5826" s="226"/>
      <c r="D5826" s="226"/>
      <c r="F5826" s="94"/>
    </row>
    <row r="5827" spans="1:6" s="53" customFormat="1" x14ac:dyDescent="0.35">
      <c r="B5827" s="87"/>
      <c r="C5827" s="53" t="s">
        <v>130</v>
      </c>
      <c r="D5827" s="111">
        <f>D5809-D5825</f>
        <v>2938212</v>
      </c>
      <c r="F5827" s="94"/>
    </row>
    <row r="5828" spans="1:6" s="53" customFormat="1" x14ac:dyDescent="0.35">
      <c r="B5828" s="87"/>
      <c r="D5828" s="111"/>
      <c r="F5828" s="94"/>
    </row>
    <row r="5829" spans="1:6" s="53" customFormat="1" x14ac:dyDescent="0.35">
      <c r="A5829" s="112"/>
      <c r="B5829" s="113"/>
      <c r="C5829" s="112"/>
      <c r="D5829" s="114"/>
      <c r="E5829" s="112"/>
      <c r="F5829" s="178"/>
    </row>
    <row r="5831" spans="1:6" s="53" customFormat="1" ht="23.5" x14ac:dyDescent="0.55000000000000004">
      <c r="B5831" s="227" t="s">
        <v>0</v>
      </c>
      <c r="C5831" s="227"/>
      <c r="D5831" s="227"/>
      <c r="E5831" s="70"/>
      <c r="F5831" s="176"/>
    </row>
    <row r="5832" spans="1:6" s="53" customFormat="1" ht="20.5" x14ac:dyDescent="0.45">
      <c r="B5832" s="71"/>
      <c r="C5832" s="72" t="s">
        <v>1440</v>
      </c>
      <c r="D5832" s="73"/>
      <c r="F5832" s="94"/>
    </row>
    <row r="5833" spans="1:6" s="53" customFormat="1" ht="21" thickBot="1" x14ac:dyDescent="0.5">
      <c r="B5833" s="71" t="s">
        <v>239</v>
      </c>
      <c r="C5833" s="74" t="s">
        <v>103</v>
      </c>
      <c r="D5833" s="73"/>
      <c r="F5833" s="94"/>
    </row>
    <row r="5834" spans="1:6" s="53" customFormat="1" ht="15" thickBot="1" x14ac:dyDescent="0.4">
      <c r="A5834" s="75" t="s">
        <v>104</v>
      </c>
      <c r="B5834" s="76" t="s">
        <v>81</v>
      </c>
      <c r="C5834" s="76" t="s">
        <v>105</v>
      </c>
      <c r="D5834" s="77" t="s">
        <v>84</v>
      </c>
      <c r="F5834" s="94"/>
    </row>
    <row r="5835" spans="1:6" s="53" customFormat="1" ht="14.5" customHeight="1" x14ac:dyDescent="0.35">
      <c r="A5835" s="222" t="s">
        <v>95</v>
      </c>
      <c r="B5835" s="78" t="s">
        <v>1441</v>
      </c>
      <c r="C5835" s="79" t="s">
        <v>959</v>
      </c>
      <c r="D5835" s="80">
        <f>F5842</f>
        <v>10758000</v>
      </c>
      <c r="F5835" s="94"/>
    </row>
    <row r="5836" spans="1:6" s="53" customFormat="1" ht="21" thickBot="1" x14ac:dyDescent="0.5">
      <c r="A5836" s="223"/>
      <c r="B5836" s="71"/>
      <c r="C5836" s="71"/>
      <c r="D5836" s="73"/>
      <c r="F5836" s="94"/>
    </row>
    <row r="5837" spans="1:6" s="53" customFormat="1" ht="15" thickBot="1" x14ac:dyDescent="0.4">
      <c r="A5837" s="223"/>
      <c r="B5837" s="81" t="s">
        <v>81</v>
      </c>
      <c r="C5837" s="82" t="s">
        <v>107</v>
      </c>
      <c r="D5837" s="83" t="s">
        <v>108</v>
      </c>
      <c r="F5837" s="94"/>
    </row>
    <row r="5838" spans="1:6" s="87" customFormat="1" x14ac:dyDescent="0.35">
      <c r="A5838" s="223"/>
      <c r="B5838" s="84" t="str">
        <f>B5835</f>
        <v>13th November,2025</v>
      </c>
      <c r="C5838" s="85" t="s">
        <v>1416</v>
      </c>
      <c r="D5838" s="86">
        <f>1850*2720</f>
        <v>5032000</v>
      </c>
      <c r="F5838" s="177"/>
    </row>
    <row r="5839" spans="1:6" s="53" customFormat="1" x14ac:dyDescent="0.35">
      <c r="A5839" s="223"/>
      <c r="B5839" s="88"/>
      <c r="C5839" s="89" t="s">
        <v>188</v>
      </c>
      <c r="D5839" s="90">
        <f>325*2650</f>
        <v>861250</v>
      </c>
      <c r="F5839" s="94"/>
    </row>
    <row r="5840" spans="1:6" s="53" customFormat="1" x14ac:dyDescent="0.35">
      <c r="A5840" s="223"/>
      <c r="B5840" s="88" t="s">
        <v>109</v>
      </c>
      <c r="C5840" s="89" t="s">
        <v>110</v>
      </c>
      <c r="D5840" s="90">
        <v>1000000</v>
      </c>
      <c r="F5840" s="94"/>
    </row>
    <row r="5841" spans="1:7" s="53" customFormat="1" x14ac:dyDescent="0.35">
      <c r="A5841" s="223"/>
      <c r="B5841" s="88" t="s">
        <v>111</v>
      </c>
      <c r="C5841" s="89" t="s">
        <v>112</v>
      </c>
      <c r="D5841" s="90">
        <v>40000</v>
      </c>
      <c r="E5841" s="225" t="s">
        <v>113</v>
      </c>
      <c r="F5841" s="225"/>
    </row>
    <row r="5842" spans="1:7" s="53" customFormat="1" x14ac:dyDescent="0.35">
      <c r="A5842" s="223"/>
      <c r="B5842" s="88" t="s">
        <v>182</v>
      </c>
      <c r="C5842" s="89" t="s">
        <v>115</v>
      </c>
      <c r="D5842" s="90">
        <f>950*123</f>
        <v>116850</v>
      </c>
      <c r="E5842" s="91" t="s">
        <v>116</v>
      </c>
      <c r="F5842" s="92">
        <f>4400*2445</f>
        <v>10758000</v>
      </c>
    </row>
    <row r="5843" spans="1:7" s="53" customFormat="1" x14ac:dyDescent="0.35">
      <c r="A5843" s="223"/>
      <c r="B5843" s="88"/>
      <c r="C5843" s="89" t="s">
        <v>117</v>
      </c>
      <c r="D5843" s="90">
        <f>3500*123</f>
        <v>430500</v>
      </c>
      <c r="E5843" s="93" t="s">
        <v>118</v>
      </c>
      <c r="F5843" s="94">
        <f>(2640*2445)+(1760*2445)</f>
        <v>10758000</v>
      </c>
    </row>
    <row r="5844" spans="1:7" s="53" customFormat="1" ht="15" thickBot="1" x14ac:dyDescent="0.4">
      <c r="A5844" s="223"/>
      <c r="B5844" s="88" t="s">
        <v>119</v>
      </c>
      <c r="C5844" s="89" t="s">
        <v>120</v>
      </c>
      <c r="D5844" s="95">
        <v>30000</v>
      </c>
      <c r="E5844" s="96" t="s">
        <v>121</v>
      </c>
      <c r="F5844" s="97">
        <f>F5842-F5843</f>
        <v>0</v>
      </c>
      <c r="G5844" s="98">
        <f>F5844/2445</f>
        <v>0</v>
      </c>
    </row>
    <row r="5845" spans="1:7" s="53" customFormat="1" ht="15" thickTop="1" x14ac:dyDescent="0.35">
      <c r="A5845" s="223"/>
      <c r="B5845" s="88"/>
      <c r="C5845" s="89" t="s">
        <v>122</v>
      </c>
      <c r="D5845" s="90">
        <v>150000</v>
      </c>
      <c r="F5845" s="94"/>
    </row>
    <row r="5846" spans="1:7" s="53" customFormat="1" x14ac:dyDescent="0.35">
      <c r="A5846" s="223"/>
      <c r="B5846" s="88" t="s">
        <v>1435</v>
      </c>
      <c r="C5846" s="99" t="s">
        <v>123</v>
      </c>
      <c r="D5846" s="90">
        <v>15000</v>
      </c>
      <c r="E5846" s="91" t="s">
        <v>124</v>
      </c>
      <c r="F5846" s="92"/>
    </row>
    <row r="5847" spans="1:7" s="53" customFormat="1" x14ac:dyDescent="0.35">
      <c r="A5847" s="223"/>
      <c r="B5847" s="101"/>
      <c r="C5847" s="99" t="s">
        <v>125</v>
      </c>
      <c r="D5847" s="100">
        <v>10000</v>
      </c>
      <c r="E5847" s="102"/>
      <c r="F5847" s="103"/>
    </row>
    <row r="5848" spans="1:7" s="53" customFormat="1" x14ac:dyDescent="0.35">
      <c r="A5848" s="223"/>
      <c r="B5848" s="101"/>
      <c r="C5848" s="99" t="s">
        <v>126</v>
      </c>
      <c r="D5848" s="100">
        <v>30000</v>
      </c>
      <c r="E5848" s="102" t="s">
        <v>127</v>
      </c>
      <c r="F5848" s="103"/>
    </row>
    <row r="5849" spans="1:7" s="53" customFormat="1" x14ac:dyDescent="0.35">
      <c r="A5849" s="223"/>
      <c r="B5849" s="101"/>
      <c r="C5849" s="89" t="s">
        <v>265</v>
      </c>
      <c r="D5849" s="104">
        <f>854*122</f>
        <v>104188</v>
      </c>
      <c r="E5849" s="53" t="s">
        <v>1485</v>
      </c>
      <c r="F5849" s="103"/>
    </row>
    <row r="5850" spans="1:7" s="53" customFormat="1" ht="15" thickBot="1" x14ac:dyDescent="0.4">
      <c r="A5850" s="223"/>
      <c r="B5850" s="105"/>
      <c r="C5850" s="106"/>
      <c r="D5850" s="107"/>
      <c r="E5850" s="53" t="s">
        <v>1747</v>
      </c>
      <c r="F5850" s="94"/>
    </row>
    <row r="5851" spans="1:7" s="53" customFormat="1" ht="15" thickBot="1" x14ac:dyDescent="0.4">
      <c r="A5851" s="223"/>
      <c r="B5851" s="108"/>
      <c r="C5851" s="109" t="s">
        <v>129</v>
      </c>
      <c r="D5851" s="110">
        <f>SUM(D5838:D5850)</f>
        <v>7819788</v>
      </c>
      <c r="F5851" s="94"/>
    </row>
    <row r="5852" spans="1:7" s="53" customFormat="1" ht="15.5" thickTop="1" thickBot="1" x14ac:dyDescent="0.4">
      <c r="A5852" s="224"/>
      <c r="B5852" s="226"/>
      <c r="C5852" s="226"/>
      <c r="D5852" s="226"/>
      <c r="F5852" s="94"/>
    </row>
    <row r="5853" spans="1:7" s="53" customFormat="1" x14ac:dyDescent="0.35">
      <c r="B5853" s="87"/>
      <c r="C5853" s="53" t="s">
        <v>130</v>
      </c>
      <c r="D5853" s="111">
        <f>D5835-D5851</f>
        <v>2938212</v>
      </c>
      <c r="F5853" s="94"/>
    </row>
    <row r="5854" spans="1:7" s="53" customFormat="1" x14ac:dyDescent="0.35">
      <c r="B5854" s="87"/>
      <c r="D5854" s="111"/>
      <c r="F5854" s="94"/>
    </row>
    <row r="5855" spans="1:7" s="53" customFormat="1" x14ac:dyDescent="0.35">
      <c r="A5855" s="112"/>
      <c r="B5855" s="113"/>
      <c r="C5855" s="112"/>
      <c r="D5855" s="114"/>
      <c r="E5855" s="112"/>
      <c r="F5855" s="178"/>
    </row>
    <row r="5857" spans="1:7" s="53" customFormat="1" ht="23.5" x14ac:dyDescent="0.55000000000000004">
      <c r="B5857" s="227" t="s">
        <v>0</v>
      </c>
      <c r="C5857" s="227"/>
      <c r="D5857" s="227"/>
      <c r="E5857" s="70"/>
      <c r="F5857" s="176"/>
    </row>
    <row r="5858" spans="1:7" s="53" customFormat="1" ht="20.5" x14ac:dyDescent="0.45">
      <c r="B5858" s="71"/>
      <c r="C5858" s="72" t="s">
        <v>1444</v>
      </c>
      <c r="D5858" s="73"/>
      <c r="F5858" s="94"/>
    </row>
    <row r="5859" spans="1:7" s="53" customFormat="1" ht="21" thickBot="1" x14ac:dyDescent="0.5">
      <c r="B5859" s="71" t="s">
        <v>208</v>
      </c>
      <c r="C5859" s="74" t="s">
        <v>103</v>
      </c>
      <c r="D5859" s="73"/>
      <c r="F5859" s="94"/>
    </row>
    <row r="5860" spans="1:7" s="53" customFormat="1" ht="15" thickBot="1" x14ac:dyDescent="0.4">
      <c r="A5860" s="75" t="s">
        <v>104</v>
      </c>
      <c r="B5860" s="76" t="s">
        <v>81</v>
      </c>
      <c r="C5860" s="76" t="s">
        <v>105</v>
      </c>
      <c r="D5860" s="77" t="s">
        <v>84</v>
      </c>
      <c r="F5860" s="94"/>
    </row>
    <row r="5861" spans="1:7" s="53" customFormat="1" ht="14.5" customHeight="1" x14ac:dyDescent="0.35">
      <c r="A5861" s="222" t="s">
        <v>95</v>
      </c>
      <c r="B5861" s="78" t="s">
        <v>1441</v>
      </c>
      <c r="C5861" s="79" t="s">
        <v>959</v>
      </c>
      <c r="D5861" s="80">
        <f>F5868</f>
        <v>10758000</v>
      </c>
      <c r="F5861" s="94"/>
    </row>
    <row r="5862" spans="1:7" s="53" customFormat="1" ht="21" thickBot="1" x14ac:dyDescent="0.5">
      <c r="A5862" s="223"/>
      <c r="B5862" s="71"/>
      <c r="C5862" s="71"/>
      <c r="D5862" s="73"/>
      <c r="F5862" s="94"/>
    </row>
    <row r="5863" spans="1:7" s="53" customFormat="1" ht="15" thickBot="1" x14ac:dyDescent="0.4">
      <c r="A5863" s="223"/>
      <c r="B5863" s="81" t="s">
        <v>81</v>
      </c>
      <c r="C5863" s="82" t="s">
        <v>107</v>
      </c>
      <c r="D5863" s="83" t="s">
        <v>108</v>
      </c>
      <c r="F5863" s="94"/>
    </row>
    <row r="5864" spans="1:7" s="87" customFormat="1" x14ac:dyDescent="0.35">
      <c r="A5864" s="223"/>
      <c r="B5864" s="84" t="str">
        <f>B5861</f>
        <v>13th November,2025</v>
      </c>
      <c r="C5864" s="85" t="s">
        <v>1416</v>
      </c>
      <c r="D5864" s="86">
        <f>1850*2720</f>
        <v>5032000</v>
      </c>
      <c r="F5864" s="177"/>
    </row>
    <row r="5865" spans="1:7" s="53" customFormat="1" x14ac:dyDescent="0.35">
      <c r="A5865" s="223"/>
      <c r="B5865" s="88"/>
      <c r="C5865" s="89" t="s">
        <v>188</v>
      </c>
      <c r="D5865" s="90">
        <f>325*2650</f>
        <v>861250</v>
      </c>
      <c r="F5865" s="94"/>
    </row>
    <row r="5866" spans="1:7" s="53" customFormat="1" x14ac:dyDescent="0.35">
      <c r="A5866" s="223"/>
      <c r="B5866" s="88" t="s">
        <v>109</v>
      </c>
      <c r="C5866" s="89" t="s">
        <v>110</v>
      </c>
      <c r="D5866" s="90">
        <v>1000000</v>
      </c>
      <c r="F5866" s="94"/>
    </row>
    <row r="5867" spans="1:7" s="53" customFormat="1" x14ac:dyDescent="0.35">
      <c r="A5867" s="223"/>
      <c r="B5867" s="88" t="s">
        <v>111</v>
      </c>
      <c r="C5867" s="89" t="s">
        <v>112</v>
      </c>
      <c r="D5867" s="90">
        <v>40000</v>
      </c>
      <c r="E5867" s="225" t="s">
        <v>113</v>
      </c>
      <c r="F5867" s="225"/>
    </row>
    <row r="5868" spans="1:7" s="53" customFormat="1" x14ac:dyDescent="0.35">
      <c r="A5868" s="223"/>
      <c r="B5868" s="88" t="s">
        <v>182</v>
      </c>
      <c r="C5868" s="89" t="s">
        <v>115</v>
      </c>
      <c r="D5868" s="90">
        <f>400*123</f>
        <v>49200</v>
      </c>
      <c r="E5868" s="91" t="s">
        <v>116</v>
      </c>
      <c r="F5868" s="92">
        <f>4400*2445</f>
        <v>10758000</v>
      </c>
    </row>
    <row r="5869" spans="1:7" s="53" customFormat="1" x14ac:dyDescent="0.35">
      <c r="A5869" s="223"/>
      <c r="B5869" s="88"/>
      <c r="C5869" s="89" t="s">
        <v>117</v>
      </c>
      <c r="D5869" s="90">
        <f>3000*123</f>
        <v>369000</v>
      </c>
      <c r="E5869" s="93" t="s">
        <v>118</v>
      </c>
      <c r="F5869" s="94">
        <f>(2640*2445)+(1700*2445)</f>
        <v>10611300</v>
      </c>
    </row>
    <row r="5870" spans="1:7" s="53" customFormat="1" ht="15" thickBot="1" x14ac:dyDescent="0.4">
      <c r="A5870" s="223"/>
      <c r="B5870" s="88" t="s">
        <v>119</v>
      </c>
      <c r="C5870" s="89" t="s">
        <v>120</v>
      </c>
      <c r="D5870" s="95">
        <v>30000</v>
      </c>
      <c r="E5870" s="96" t="s">
        <v>121</v>
      </c>
      <c r="F5870" s="97">
        <f>F5868-F5869</f>
        <v>146700</v>
      </c>
      <c r="G5870" s="98">
        <f>F5870/2445</f>
        <v>60</v>
      </c>
    </row>
    <row r="5871" spans="1:7" s="53" customFormat="1" ht="15" thickTop="1" x14ac:dyDescent="0.35">
      <c r="A5871" s="223"/>
      <c r="B5871" s="88"/>
      <c r="C5871" s="89" t="s">
        <v>122</v>
      </c>
      <c r="D5871" s="90">
        <v>150000</v>
      </c>
      <c r="F5871" s="94"/>
    </row>
    <row r="5872" spans="1:7" s="53" customFormat="1" x14ac:dyDescent="0.35">
      <c r="A5872" s="223"/>
      <c r="B5872" s="88" t="s">
        <v>1443</v>
      </c>
      <c r="C5872" s="99" t="s">
        <v>123</v>
      </c>
      <c r="D5872" s="90">
        <v>15000</v>
      </c>
      <c r="E5872" s="91" t="s">
        <v>124</v>
      </c>
      <c r="F5872" s="92"/>
    </row>
    <row r="5873" spans="1:6" s="53" customFormat="1" x14ac:dyDescent="0.35">
      <c r="A5873" s="223"/>
      <c r="B5873" s="101"/>
      <c r="C5873" s="99" t="s">
        <v>125</v>
      </c>
      <c r="D5873" s="100">
        <v>10000</v>
      </c>
      <c r="E5873" s="102"/>
      <c r="F5873" s="103"/>
    </row>
    <row r="5874" spans="1:6" s="53" customFormat="1" x14ac:dyDescent="0.35">
      <c r="A5874" s="223"/>
      <c r="B5874" s="101"/>
      <c r="C5874" s="99" t="s">
        <v>126</v>
      </c>
      <c r="D5874" s="100">
        <v>20000</v>
      </c>
      <c r="E5874" s="102" t="s">
        <v>127</v>
      </c>
      <c r="F5874" s="103"/>
    </row>
    <row r="5875" spans="1:6" s="53" customFormat="1" x14ac:dyDescent="0.35">
      <c r="A5875" s="223"/>
      <c r="B5875" s="101"/>
      <c r="C5875" s="89"/>
      <c r="D5875" s="104"/>
      <c r="E5875" s="53" t="s">
        <v>1485</v>
      </c>
      <c r="F5875" s="103"/>
    </row>
    <row r="5876" spans="1:6" s="53" customFormat="1" ht="15" thickBot="1" x14ac:dyDescent="0.4">
      <c r="A5876" s="223"/>
      <c r="B5876" s="105"/>
      <c r="C5876" s="106"/>
      <c r="D5876" s="107"/>
      <c r="E5876" s="53" t="s">
        <v>1751</v>
      </c>
      <c r="F5876" s="94"/>
    </row>
    <row r="5877" spans="1:6" s="53" customFormat="1" ht="15" thickBot="1" x14ac:dyDescent="0.4">
      <c r="A5877" s="223"/>
      <c r="B5877" s="108"/>
      <c r="C5877" s="109" t="s">
        <v>129</v>
      </c>
      <c r="D5877" s="110">
        <f>SUM(D5864:D5876)</f>
        <v>7576450</v>
      </c>
      <c r="F5877" s="94"/>
    </row>
    <row r="5878" spans="1:6" s="53" customFormat="1" ht="15.5" thickTop="1" thickBot="1" x14ac:dyDescent="0.4">
      <c r="A5878" s="224"/>
      <c r="B5878" s="226"/>
      <c r="C5878" s="226"/>
      <c r="D5878" s="226"/>
      <c r="F5878" s="94"/>
    </row>
    <row r="5879" spans="1:6" s="53" customFormat="1" x14ac:dyDescent="0.35">
      <c r="B5879" s="87"/>
      <c r="C5879" s="53" t="s">
        <v>130</v>
      </c>
      <c r="D5879" s="111">
        <f>D5861-D5877</f>
        <v>3181550</v>
      </c>
      <c r="F5879" s="94"/>
    </row>
    <row r="5880" spans="1:6" s="53" customFormat="1" x14ac:dyDescent="0.35">
      <c r="B5880" s="87"/>
      <c r="D5880" s="111"/>
      <c r="F5880" s="94"/>
    </row>
    <row r="5881" spans="1:6" s="53" customFormat="1" x14ac:dyDescent="0.35">
      <c r="A5881" s="112"/>
      <c r="B5881" s="113"/>
      <c r="C5881" s="112"/>
      <c r="D5881" s="114"/>
      <c r="E5881" s="112"/>
      <c r="F5881" s="178"/>
    </row>
    <row r="5883" spans="1:6" s="53" customFormat="1" ht="23.5" x14ac:dyDescent="0.55000000000000004">
      <c r="B5883" s="227" t="s">
        <v>0</v>
      </c>
      <c r="C5883" s="227"/>
      <c r="D5883" s="227"/>
      <c r="E5883" s="70"/>
      <c r="F5883" s="176"/>
    </row>
    <row r="5884" spans="1:6" s="53" customFormat="1" ht="20.5" x14ac:dyDescent="0.45">
      <c r="B5884" s="71"/>
      <c r="C5884" s="72" t="s">
        <v>1448</v>
      </c>
      <c r="D5884" s="73"/>
      <c r="F5884" s="94"/>
    </row>
    <row r="5885" spans="1:6" s="53" customFormat="1" ht="21" thickBot="1" x14ac:dyDescent="0.5">
      <c r="B5885" s="71" t="s">
        <v>812</v>
      </c>
      <c r="C5885" s="74" t="s">
        <v>103</v>
      </c>
      <c r="D5885" s="73"/>
      <c r="F5885" s="94"/>
    </row>
    <row r="5886" spans="1:6" s="53" customFormat="1" ht="15" thickBot="1" x14ac:dyDescent="0.4">
      <c r="A5886" s="75" t="s">
        <v>104</v>
      </c>
      <c r="B5886" s="76" t="s">
        <v>81</v>
      </c>
      <c r="C5886" s="76" t="s">
        <v>105</v>
      </c>
      <c r="D5886" s="77" t="s">
        <v>84</v>
      </c>
      <c r="F5886" s="94"/>
    </row>
    <row r="5887" spans="1:6" s="53" customFormat="1" ht="14.5" customHeight="1" x14ac:dyDescent="0.35">
      <c r="A5887" s="222" t="s">
        <v>95</v>
      </c>
      <c r="B5887" s="78" t="s">
        <v>1441</v>
      </c>
      <c r="C5887" s="79" t="s">
        <v>959</v>
      </c>
      <c r="D5887" s="80">
        <f>F5894</f>
        <v>10758000</v>
      </c>
      <c r="F5887" s="94"/>
    </row>
    <row r="5888" spans="1:6" s="53" customFormat="1" ht="21" thickBot="1" x14ac:dyDescent="0.5">
      <c r="A5888" s="223"/>
      <c r="B5888" s="71"/>
      <c r="C5888" s="71"/>
      <c r="D5888" s="73"/>
      <c r="F5888" s="94"/>
    </row>
    <row r="5889" spans="1:7" s="53" customFormat="1" ht="15" thickBot="1" x14ac:dyDescent="0.4">
      <c r="A5889" s="223"/>
      <c r="B5889" s="81" t="s">
        <v>81</v>
      </c>
      <c r="C5889" s="82" t="s">
        <v>107</v>
      </c>
      <c r="D5889" s="83" t="s">
        <v>108</v>
      </c>
      <c r="F5889" s="94"/>
    </row>
    <row r="5890" spans="1:7" s="87" customFormat="1" x14ac:dyDescent="0.35">
      <c r="A5890" s="223"/>
      <c r="B5890" s="84" t="str">
        <f>B5887</f>
        <v>13th November,2025</v>
      </c>
      <c r="C5890" s="85" t="s">
        <v>1416</v>
      </c>
      <c r="D5890" s="86">
        <f>1850*2720</f>
        <v>5032000</v>
      </c>
      <c r="F5890" s="177"/>
    </row>
    <row r="5891" spans="1:7" s="53" customFormat="1" x14ac:dyDescent="0.35">
      <c r="A5891" s="223"/>
      <c r="B5891" s="88"/>
      <c r="C5891" s="89" t="s">
        <v>188</v>
      </c>
      <c r="D5891" s="90">
        <f>325*2650</f>
        <v>861250</v>
      </c>
      <c r="F5891" s="94"/>
    </row>
    <row r="5892" spans="1:7" s="53" customFormat="1" x14ac:dyDescent="0.35">
      <c r="A5892" s="223"/>
      <c r="B5892" s="88" t="s">
        <v>109</v>
      </c>
      <c r="C5892" s="89" t="s">
        <v>110</v>
      </c>
      <c r="D5892" s="90">
        <v>1000000</v>
      </c>
      <c r="F5892" s="94"/>
    </row>
    <row r="5893" spans="1:7" s="53" customFormat="1" x14ac:dyDescent="0.35">
      <c r="A5893" s="223"/>
      <c r="B5893" s="88" t="s">
        <v>111</v>
      </c>
      <c r="C5893" s="89" t="s">
        <v>112</v>
      </c>
      <c r="D5893" s="90">
        <v>40000</v>
      </c>
      <c r="E5893" s="225" t="s">
        <v>113</v>
      </c>
      <c r="F5893" s="225"/>
    </row>
    <row r="5894" spans="1:7" s="53" customFormat="1" x14ac:dyDescent="0.35">
      <c r="A5894" s="223"/>
      <c r="B5894" s="88" t="s">
        <v>182</v>
      </c>
      <c r="C5894" s="89" t="s">
        <v>115</v>
      </c>
      <c r="D5894" s="90">
        <f>950*123</f>
        <v>116850</v>
      </c>
      <c r="E5894" s="91" t="s">
        <v>116</v>
      </c>
      <c r="F5894" s="92">
        <f>4400*2445</f>
        <v>10758000</v>
      </c>
    </row>
    <row r="5895" spans="1:7" s="53" customFormat="1" x14ac:dyDescent="0.35">
      <c r="A5895" s="223"/>
      <c r="B5895" s="88"/>
      <c r="C5895" s="89" t="s">
        <v>117</v>
      </c>
      <c r="D5895" s="90">
        <f>3500*123</f>
        <v>430500</v>
      </c>
      <c r="E5895" s="93" t="s">
        <v>118</v>
      </c>
      <c r="F5895" s="94">
        <f>(2640*2445)</f>
        <v>6454800</v>
      </c>
    </row>
    <row r="5896" spans="1:7" s="53" customFormat="1" ht="15" thickBot="1" x14ac:dyDescent="0.4">
      <c r="A5896" s="223"/>
      <c r="B5896" s="88" t="s">
        <v>119</v>
      </c>
      <c r="C5896" s="89" t="s">
        <v>120</v>
      </c>
      <c r="D5896" s="95">
        <v>30000</v>
      </c>
      <c r="E5896" s="96" t="s">
        <v>121</v>
      </c>
      <c r="F5896" s="97">
        <f>F5894-F5895</f>
        <v>4303200</v>
      </c>
      <c r="G5896" s="98">
        <f>F5896/2445</f>
        <v>1760</v>
      </c>
    </row>
    <row r="5897" spans="1:7" s="53" customFormat="1" ht="15" thickTop="1" x14ac:dyDescent="0.35">
      <c r="A5897" s="223"/>
      <c r="B5897" s="88"/>
      <c r="C5897" s="89" t="s">
        <v>122</v>
      </c>
      <c r="D5897" s="90">
        <v>150000</v>
      </c>
      <c r="F5897" s="94"/>
    </row>
    <row r="5898" spans="1:7" s="53" customFormat="1" x14ac:dyDescent="0.35">
      <c r="A5898" s="223"/>
      <c r="B5898" s="88" t="s">
        <v>1447</v>
      </c>
      <c r="C5898" s="99" t="s">
        <v>123</v>
      </c>
      <c r="D5898" s="90">
        <v>15000</v>
      </c>
      <c r="E5898" s="91" t="s">
        <v>124</v>
      </c>
      <c r="F5898" s="92"/>
    </row>
    <row r="5899" spans="1:7" s="53" customFormat="1" x14ac:dyDescent="0.35">
      <c r="A5899" s="223"/>
      <c r="B5899" s="101"/>
      <c r="C5899" s="99" t="s">
        <v>125</v>
      </c>
      <c r="D5899" s="100">
        <v>10000</v>
      </c>
      <c r="E5899" s="102"/>
      <c r="F5899" s="103"/>
    </row>
    <row r="5900" spans="1:7" s="53" customFormat="1" x14ac:dyDescent="0.35">
      <c r="A5900" s="223"/>
      <c r="B5900" s="101"/>
      <c r="C5900" s="99" t="s">
        <v>126</v>
      </c>
      <c r="D5900" s="100">
        <v>30000</v>
      </c>
      <c r="E5900" s="102" t="s">
        <v>127</v>
      </c>
      <c r="F5900" s="103"/>
    </row>
    <row r="5901" spans="1:7" s="53" customFormat="1" x14ac:dyDescent="0.35">
      <c r="A5901" s="223"/>
      <c r="B5901" s="101"/>
      <c r="C5901" s="89" t="s">
        <v>265</v>
      </c>
      <c r="D5901" s="104">
        <f>854*122</f>
        <v>104188</v>
      </c>
      <c r="E5901" s="53" t="s">
        <v>1485</v>
      </c>
      <c r="F5901" s="103"/>
    </row>
    <row r="5902" spans="1:7" s="53" customFormat="1" ht="15" thickBot="1" x14ac:dyDescent="0.4">
      <c r="A5902" s="223"/>
      <c r="B5902" s="105"/>
      <c r="C5902" s="106"/>
      <c r="D5902" s="107"/>
      <c r="F5902" s="94"/>
    </row>
    <row r="5903" spans="1:7" s="53" customFormat="1" ht="15" thickBot="1" x14ac:dyDescent="0.4">
      <c r="A5903" s="223"/>
      <c r="B5903" s="108"/>
      <c r="C5903" s="109" t="s">
        <v>129</v>
      </c>
      <c r="D5903" s="110">
        <f>SUM(D5890:D5902)</f>
        <v>7819788</v>
      </c>
      <c r="F5903" s="94"/>
    </row>
    <row r="5904" spans="1:7" s="53" customFormat="1" ht="15.5" thickTop="1" thickBot="1" x14ac:dyDescent="0.4">
      <c r="A5904" s="224"/>
      <c r="B5904" s="226"/>
      <c r="C5904" s="226"/>
      <c r="D5904" s="226"/>
      <c r="F5904" s="94"/>
    </row>
    <row r="5905" spans="1:6" s="53" customFormat="1" x14ac:dyDescent="0.35">
      <c r="B5905" s="87"/>
      <c r="C5905" s="53" t="s">
        <v>130</v>
      </c>
      <c r="D5905" s="111">
        <f>D5887-D5903</f>
        <v>2938212</v>
      </c>
      <c r="F5905" s="94"/>
    </row>
    <row r="5906" spans="1:6" s="53" customFormat="1" x14ac:dyDescent="0.35">
      <c r="B5906" s="87"/>
      <c r="D5906" s="111"/>
      <c r="F5906" s="94"/>
    </row>
    <row r="5907" spans="1:6" s="53" customFormat="1" x14ac:dyDescent="0.35">
      <c r="A5907" s="112"/>
      <c r="B5907" s="113"/>
      <c r="C5907" s="112"/>
      <c r="D5907" s="114"/>
      <c r="E5907" s="112"/>
      <c r="F5907" s="178"/>
    </row>
    <row r="5909" spans="1:6" s="53" customFormat="1" ht="23.5" x14ac:dyDescent="0.55000000000000004">
      <c r="B5909" s="227" t="s">
        <v>0</v>
      </c>
      <c r="C5909" s="227"/>
      <c r="D5909" s="227"/>
      <c r="E5909" s="70"/>
      <c r="F5909" s="176"/>
    </row>
    <row r="5910" spans="1:6" s="53" customFormat="1" ht="20.5" x14ac:dyDescent="0.45">
      <c r="B5910" s="71"/>
      <c r="C5910" s="72" t="s">
        <v>1450</v>
      </c>
      <c r="D5910" s="73"/>
      <c r="F5910" s="94"/>
    </row>
    <row r="5911" spans="1:6" s="53" customFormat="1" ht="21" thickBot="1" x14ac:dyDescent="0.5">
      <c r="B5911" s="71" t="s">
        <v>518</v>
      </c>
      <c r="C5911" s="74" t="s">
        <v>103</v>
      </c>
      <c r="D5911" s="73"/>
      <c r="F5911" s="94"/>
    </row>
    <row r="5912" spans="1:6" s="53" customFormat="1" ht="15" thickBot="1" x14ac:dyDescent="0.4">
      <c r="A5912" s="75" t="s">
        <v>104</v>
      </c>
      <c r="B5912" s="76" t="s">
        <v>81</v>
      </c>
      <c r="C5912" s="76" t="s">
        <v>105</v>
      </c>
      <c r="D5912" s="77" t="s">
        <v>84</v>
      </c>
      <c r="F5912" s="94"/>
    </row>
    <row r="5913" spans="1:6" s="53" customFormat="1" ht="14.5" customHeight="1" x14ac:dyDescent="0.35">
      <c r="A5913" s="222" t="s">
        <v>95</v>
      </c>
      <c r="B5913" s="78" t="s">
        <v>1441</v>
      </c>
      <c r="C5913" s="79" t="s">
        <v>959</v>
      </c>
      <c r="D5913" s="80">
        <f>F5920</f>
        <v>10758000</v>
      </c>
      <c r="F5913" s="94"/>
    </row>
    <row r="5914" spans="1:6" s="53" customFormat="1" ht="21" thickBot="1" x14ac:dyDescent="0.5">
      <c r="A5914" s="223"/>
      <c r="B5914" s="71"/>
      <c r="C5914" s="71"/>
      <c r="D5914" s="73"/>
      <c r="F5914" s="94"/>
    </row>
    <row r="5915" spans="1:6" s="53" customFormat="1" ht="15" thickBot="1" x14ac:dyDescent="0.4">
      <c r="A5915" s="223"/>
      <c r="B5915" s="81" t="s">
        <v>81</v>
      </c>
      <c r="C5915" s="82" t="s">
        <v>107</v>
      </c>
      <c r="D5915" s="83" t="s">
        <v>108</v>
      </c>
      <c r="F5915" s="94"/>
    </row>
    <row r="5916" spans="1:6" s="87" customFormat="1" x14ac:dyDescent="0.35">
      <c r="A5916" s="223"/>
      <c r="B5916" s="84" t="str">
        <f>B5913</f>
        <v>13th November,2025</v>
      </c>
      <c r="C5916" s="85" t="s">
        <v>1416</v>
      </c>
      <c r="D5916" s="86">
        <f>1850*2720</f>
        <v>5032000</v>
      </c>
      <c r="F5916" s="177"/>
    </row>
    <row r="5917" spans="1:6" s="53" customFormat="1" x14ac:dyDescent="0.35">
      <c r="A5917" s="223"/>
      <c r="B5917" s="88"/>
      <c r="C5917" s="89" t="s">
        <v>188</v>
      </c>
      <c r="D5917" s="90">
        <f>325*2650</f>
        <v>861250</v>
      </c>
      <c r="F5917" s="94"/>
    </row>
    <row r="5918" spans="1:6" s="53" customFormat="1" x14ac:dyDescent="0.35">
      <c r="A5918" s="223"/>
      <c r="B5918" s="88" t="s">
        <v>109</v>
      </c>
      <c r="C5918" s="89" t="s">
        <v>110</v>
      </c>
      <c r="D5918" s="90">
        <v>1000000</v>
      </c>
      <c r="F5918" s="94"/>
    </row>
    <row r="5919" spans="1:6" s="53" customFormat="1" x14ac:dyDescent="0.35">
      <c r="A5919" s="223"/>
      <c r="B5919" s="88" t="s">
        <v>111</v>
      </c>
      <c r="C5919" s="89" t="s">
        <v>112</v>
      </c>
      <c r="D5919" s="90">
        <v>40000</v>
      </c>
      <c r="E5919" s="225" t="s">
        <v>113</v>
      </c>
      <c r="F5919" s="225"/>
    </row>
    <row r="5920" spans="1:6" s="53" customFormat="1" x14ac:dyDescent="0.35">
      <c r="A5920" s="223"/>
      <c r="B5920" s="88" t="s">
        <v>182</v>
      </c>
      <c r="C5920" s="89" t="s">
        <v>115</v>
      </c>
      <c r="D5920" s="90">
        <f>400*123</f>
        <v>49200</v>
      </c>
      <c r="E5920" s="91" t="s">
        <v>116</v>
      </c>
      <c r="F5920" s="92">
        <f>4400*2445</f>
        <v>10758000</v>
      </c>
    </row>
    <row r="5921" spans="1:7" s="53" customFormat="1" x14ac:dyDescent="0.35">
      <c r="A5921" s="223"/>
      <c r="B5921" s="88"/>
      <c r="C5921" s="89" t="s">
        <v>117</v>
      </c>
      <c r="D5921" s="90">
        <f>3000*123</f>
        <v>369000</v>
      </c>
      <c r="E5921" s="93" t="s">
        <v>118</v>
      </c>
      <c r="F5921" s="94">
        <f>(2640*2445)+(1760*2445)</f>
        <v>10758000</v>
      </c>
    </row>
    <row r="5922" spans="1:7" s="53" customFormat="1" ht="15" thickBot="1" x14ac:dyDescent="0.4">
      <c r="A5922" s="223"/>
      <c r="B5922" s="88" t="s">
        <v>119</v>
      </c>
      <c r="C5922" s="89" t="s">
        <v>120</v>
      </c>
      <c r="D5922" s="95">
        <v>30000</v>
      </c>
      <c r="E5922" s="96" t="s">
        <v>121</v>
      </c>
      <c r="F5922" s="97">
        <f>F5920-F5921</f>
        <v>0</v>
      </c>
      <c r="G5922" s="98">
        <f>F5922/2445</f>
        <v>0</v>
      </c>
    </row>
    <row r="5923" spans="1:7" s="53" customFormat="1" ht="15" thickTop="1" x14ac:dyDescent="0.35">
      <c r="A5923" s="223"/>
      <c r="B5923" s="88"/>
      <c r="C5923" s="89" t="s">
        <v>122</v>
      </c>
      <c r="D5923" s="90">
        <v>150000</v>
      </c>
      <c r="F5923" s="94"/>
    </row>
    <row r="5924" spans="1:7" s="53" customFormat="1" x14ac:dyDescent="0.35">
      <c r="A5924" s="223"/>
      <c r="B5924" s="88" t="s">
        <v>1449</v>
      </c>
      <c r="C5924" s="99" t="s">
        <v>123</v>
      </c>
      <c r="D5924" s="90">
        <v>15000</v>
      </c>
      <c r="E5924" s="91" t="s">
        <v>124</v>
      </c>
      <c r="F5924" s="92"/>
    </row>
    <row r="5925" spans="1:7" s="53" customFormat="1" x14ac:dyDescent="0.35">
      <c r="A5925" s="223"/>
      <c r="B5925" s="101"/>
      <c r="C5925" s="99" t="s">
        <v>125</v>
      </c>
      <c r="D5925" s="100">
        <v>10000</v>
      </c>
      <c r="E5925" s="102"/>
      <c r="F5925" s="103"/>
    </row>
    <row r="5926" spans="1:7" s="53" customFormat="1" x14ac:dyDescent="0.35">
      <c r="A5926" s="223"/>
      <c r="B5926" s="101"/>
      <c r="C5926" s="99" t="s">
        <v>126</v>
      </c>
      <c r="D5926" s="100">
        <v>30000</v>
      </c>
      <c r="E5926" s="102" t="s">
        <v>127</v>
      </c>
      <c r="F5926" s="103"/>
    </row>
    <row r="5927" spans="1:7" s="53" customFormat="1" x14ac:dyDescent="0.35">
      <c r="A5927" s="223"/>
      <c r="B5927" s="101"/>
      <c r="C5927" s="89"/>
      <c r="D5927" s="104"/>
      <c r="E5927" s="53" t="s">
        <v>1483</v>
      </c>
      <c r="F5927" s="103"/>
    </row>
    <row r="5928" spans="1:7" s="53" customFormat="1" ht="15" thickBot="1" x14ac:dyDescent="0.4">
      <c r="A5928" s="223"/>
      <c r="B5928" s="105"/>
      <c r="C5928" s="106"/>
      <c r="D5928" s="107"/>
      <c r="E5928" s="53" t="s">
        <v>1751</v>
      </c>
      <c r="F5928" s="94"/>
    </row>
    <row r="5929" spans="1:7" s="53" customFormat="1" ht="15" thickBot="1" x14ac:dyDescent="0.4">
      <c r="A5929" s="223"/>
      <c r="B5929" s="108"/>
      <c r="C5929" s="109" t="s">
        <v>129</v>
      </c>
      <c r="D5929" s="110">
        <f>SUM(D5916:D5928)</f>
        <v>7586450</v>
      </c>
      <c r="F5929" s="94"/>
    </row>
    <row r="5930" spans="1:7" s="53" customFormat="1" ht="15.5" thickTop="1" thickBot="1" x14ac:dyDescent="0.4">
      <c r="A5930" s="224"/>
      <c r="B5930" s="226"/>
      <c r="C5930" s="226"/>
      <c r="D5930" s="226"/>
      <c r="F5930" s="94"/>
    </row>
    <row r="5931" spans="1:7" s="53" customFormat="1" x14ac:dyDescent="0.35">
      <c r="B5931" s="87"/>
      <c r="C5931" s="53" t="s">
        <v>130</v>
      </c>
      <c r="D5931" s="111">
        <f>D5913-D5929</f>
        <v>3171550</v>
      </c>
      <c r="F5931" s="94"/>
    </row>
    <row r="5932" spans="1:7" s="53" customFormat="1" x14ac:dyDescent="0.35">
      <c r="B5932" s="87"/>
      <c r="D5932" s="111"/>
      <c r="F5932" s="94"/>
    </row>
    <row r="5933" spans="1:7" s="53" customFormat="1" x14ac:dyDescent="0.35">
      <c r="A5933" s="112"/>
      <c r="B5933" s="113"/>
      <c r="C5933" s="112"/>
      <c r="D5933" s="114"/>
      <c r="E5933" s="112"/>
      <c r="F5933" s="178"/>
    </row>
    <row r="5935" spans="1:7" s="53" customFormat="1" ht="23.5" x14ac:dyDescent="0.55000000000000004">
      <c r="B5935" s="227" t="s">
        <v>0</v>
      </c>
      <c r="C5935" s="227"/>
      <c r="D5935" s="227"/>
      <c r="E5935" s="70"/>
      <c r="F5935" s="176"/>
    </row>
    <row r="5936" spans="1:7" s="53" customFormat="1" ht="20.5" x14ac:dyDescent="0.45">
      <c r="B5936" s="71"/>
      <c r="C5936" s="72" t="s">
        <v>1453</v>
      </c>
      <c r="D5936" s="73"/>
      <c r="F5936" s="94"/>
    </row>
    <row r="5937" spans="1:7" s="53" customFormat="1" ht="21" thickBot="1" x14ac:dyDescent="0.5">
      <c r="B5937" s="71" t="s">
        <v>163</v>
      </c>
      <c r="C5937" s="74" t="s">
        <v>103</v>
      </c>
      <c r="D5937" s="73"/>
      <c r="F5937" s="94"/>
    </row>
    <row r="5938" spans="1:7" s="53" customFormat="1" ht="15" thickBot="1" x14ac:dyDescent="0.4">
      <c r="A5938" s="75" t="s">
        <v>104</v>
      </c>
      <c r="B5938" s="76" t="s">
        <v>81</v>
      </c>
      <c r="C5938" s="76" t="s">
        <v>105</v>
      </c>
      <c r="D5938" s="77" t="s">
        <v>84</v>
      </c>
      <c r="F5938" s="94"/>
    </row>
    <row r="5939" spans="1:7" s="53" customFormat="1" ht="14.5" customHeight="1" x14ac:dyDescent="0.35">
      <c r="A5939" s="222" t="s">
        <v>95</v>
      </c>
      <c r="B5939" s="78" t="s">
        <v>1441</v>
      </c>
      <c r="C5939" s="79" t="s">
        <v>959</v>
      </c>
      <c r="D5939" s="80">
        <f>F5946</f>
        <v>10758000</v>
      </c>
      <c r="F5939" s="94"/>
    </row>
    <row r="5940" spans="1:7" s="53" customFormat="1" ht="21" thickBot="1" x14ac:dyDescent="0.5">
      <c r="A5940" s="223"/>
      <c r="B5940" s="71"/>
      <c r="C5940" s="71"/>
      <c r="D5940" s="73"/>
      <c r="F5940" s="94"/>
    </row>
    <row r="5941" spans="1:7" s="53" customFormat="1" ht="15" thickBot="1" x14ac:dyDescent="0.4">
      <c r="A5941" s="223"/>
      <c r="B5941" s="81" t="s">
        <v>81</v>
      </c>
      <c r="C5941" s="82" t="s">
        <v>107</v>
      </c>
      <c r="D5941" s="83" t="s">
        <v>108</v>
      </c>
      <c r="F5941" s="94"/>
    </row>
    <row r="5942" spans="1:7" s="87" customFormat="1" x14ac:dyDescent="0.35">
      <c r="A5942" s="223"/>
      <c r="B5942" s="84" t="str">
        <f>B5939</f>
        <v>13th November,2025</v>
      </c>
      <c r="C5942" s="85" t="s">
        <v>1416</v>
      </c>
      <c r="D5942" s="86">
        <f>1850*2720</f>
        <v>5032000</v>
      </c>
      <c r="F5942" s="177"/>
    </row>
    <row r="5943" spans="1:7" s="53" customFormat="1" x14ac:dyDescent="0.35">
      <c r="A5943" s="223"/>
      <c r="B5943" s="88"/>
      <c r="C5943" s="89" t="s">
        <v>188</v>
      </c>
      <c r="D5943" s="90">
        <f>325*2650</f>
        <v>861250</v>
      </c>
      <c r="F5943" s="94"/>
    </row>
    <row r="5944" spans="1:7" s="53" customFormat="1" x14ac:dyDescent="0.35">
      <c r="A5944" s="223"/>
      <c r="B5944" s="88" t="s">
        <v>109</v>
      </c>
      <c r="C5944" s="89" t="s">
        <v>110</v>
      </c>
      <c r="D5944" s="90">
        <v>1000000</v>
      </c>
      <c r="F5944" s="94"/>
    </row>
    <row r="5945" spans="1:7" s="53" customFormat="1" x14ac:dyDescent="0.35">
      <c r="A5945" s="223"/>
      <c r="B5945" s="88" t="s">
        <v>111</v>
      </c>
      <c r="C5945" s="89" t="s">
        <v>112</v>
      </c>
      <c r="D5945" s="90">
        <v>40000</v>
      </c>
      <c r="E5945" s="225" t="s">
        <v>113</v>
      </c>
      <c r="F5945" s="225"/>
    </row>
    <row r="5946" spans="1:7" s="53" customFormat="1" x14ac:dyDescent="0.35">
      <c r="A5946" s="223"/>
      <c r="B5946" s="88" t="s">
        <v>182</v>
      </c>
      <c r="C5946" s="89" t="s">
        <v>115</v>
      </c>
      <c r="D5946" s="90">
        <f>400*123</f>
        <v>49200</v>
      </c>
      <c r="E5946" s="91" t="s">
        <v>116</v>
      </c>
      <c r="F5946" s="92">
        <f>4400*2445</f>
        <v>10758000</v>
      </c>
    </row>
    <row r="5947" spans="1:7" s="53" customFormat="1" x14ac:dyDescent="0.35">
      <c r="A5947" s="223"/>
      <c r="B5947" s="88"/>
      <c r="C5947" s="89" t="s">
        <v>117</v>
      </c>
      <c r="D5947" s="90">
        <f>3000*123</f>
        <v>369000</v>
      </c>
      <c r="E5947" s="93" t="s">
        <v>118</v>
      </c>
      <c r="F5947" s="94">
        <f>(2640*2445)+(1700*2445)</f>
        <v>10611300</v>
      </c>
    </row>
    <row r="5948" spans="1:7" s="53" customFormat="1" ht="15" thickBot="1" x14ac:dyDescent="0.4">
      <c r="A5948" s="223"/>
      <c r="B5948" s="88" t="s">
        <v>119</v>
      </c>
      <c r="C5948" s="89" t="s">
        <v>120</v>
      </c>
      <c r="D5948" s="95">
        <v>30000</v>
      </c>
      <c r="E5948" s="96" t="s">
        <v>121</v>
      </c>
      <c r="F5948" s="97">
        <f>F5946-F5947</f>
        <v>146700</v>
      </c>
      <c r="G5948" s="98">
        <f>F5948/2445</f>
        <v>60</v>
      </c>
    </row>
    <row r="5949" spans="1:7" s="53" customFormat="1" ht="15" thickTop="1" x14ac:dyDescent="0.35">
      <c r="A5949" s="223"/>
      <c r="B5949" s="88"/>
      <c r="C5949" s="89" t="s">
        <v>122</v>
      </c>
      <c r="D5949" s="90">
        <v>150000</v>
      </c>
      <c r="F5949" s="94"/>
    </row>
    <row r="5950" spans="1:7" s="53" customFormat="1" x14ac:dyDescent="0.35">
      <c r="A5950" s="223"/>
      <c r="B5950" s="88" t="s">
        <v>1452</v>
      </c>
      <c r="C5950" s="99" t="s">
        <v>123</v>
      </c>
      <c r="D5950" s="90">
        <v>15000</v>
      </c>
      <c r="E5950" s="91" t="s">
        <v>124</v>
      </c>
      <c r="F5950" s="92"/>
    </row>
    <row r="5951" spans="1:7" s="53" customFormat="1" x14ac:dyDescent="0.35">
      <c r="A5951" s="223"/>
      <c r="B5951" s="101"/>
      <c r="C5951" s="99" t="s">
        <v>125</v>
      </c>
      <c r="D5951" s="100">
        <v>10000</v>
      </c>
      <c r="E5951" s="102"/>
      <c r="F5951" s="103"/>
    </row>
    <row r="5952" spans="1:7" s="53" customFormat="1" x14ac:dyDescent="0.35">
      <c r="A5952" s="223"/>
      <c r="B5952" s="101"/>
      <c r="C5952" s="99" t="s">
        <v>126</v>
      </c>
      <c r="D5952" s="100">
        <v>40000</v>
      </c>
      <c r="E5952" s="102" t="s">
        <v>127</v>
      </c>
      <c r="F5952" s="103"/>
    </row>
    <row r="5953" spans="1:6" s="53" customFormat="1" x14ac:dyDescent="0.35">
      <c r="A5953" s="223"/>
      <c r="B5953" s="101"/>
      <c r="C5953" s="89"/>
      <c r="D5953" s="104"/>
      <c r="E5953" s="53" t="s">
        <v>1483</v>
      </c>
      <c r="F5953" s="103"/>
    </row>
    <row r="5954" spans="1:6" s="53" customFormat="1" ht="15" thickBot="1" x14ac:dyDescent="0.4">
      <c r="A5954" s="223"/>
      <c r="B5954" s="105"/>
      <c r="C5954" s="106"/>
      <c r="D5954" s="107"/>
      <c r="E5954" s="53" t="s">
        <v>1747</v>
      </c>
      <c r="F5954" s="94"/>
    </row>
    <row r="5955" spans="1:6" s="53" customFormat="1" ht="15" thickBot="1" x14ac:dyDescent="0.4">
      <c r="A5955" s="223"/>
      <c r="B5955" s="108"/>
      <c r="C5955" s="109" t="s">
        <v>129</v>
      </c>
      <c r="D5955" s="110">
        <f>SUM(D5942:D5954)</f>
        <v>7596450</v>
      </c>
      <c r="F5955" s="94"/>
    </row>
    <row r="5956" spans="1:6" s="53" customFormat="1" ht="15.5" thickTop="1" thickBot="1" x14ac:dyDescent="0.4">
      <c r="A5956" s="224"/>
      <c r="B5956" s="226"/>
      <c r="C5956" s="226"/>
      <c r="D5956" s="226"/>
      <c r="F5956" s="94"/>
    </row>
    <row r="5957" spans="1:6" s="53" customFormat="1" x14ac:dyDescent="0.35">
      <c r="B5957" s="87"/>
      <c r="C5957" s="53" t="s">
        <v>130</v>
      </c>
      <c r="D5957" s="111">
        <f>D5939-D5955</f>
        <v>3161550</v>
      </c>
      <c r="F5957" s="94"/>
    </row>
    <row r="5958" spans="1:6" s="53" customFormat="1" x14ac:dyDescent="0.35">
      <c r="B5958" s="87"/>
      <c r="D5958" s="111"/>
      <c r="F5958" s="94"/>
    </row>
    <row r="5959" spans="1:6" s="53" customFormat="1" x14ac:dyDescent="0.35">
      <c r="A5959" s="112"/>
      <c r="B5959" s="113"/>
      <c r="C5959" s="112"/>
      <c r="D5959" s="114"/>
      <c r="E5959" s="112"/>
      <c r="F5959" s="178"/>
    </row>
    <row r="5961" spans="1:6" s="53" customFormat="1" ht="23.5" x14ac:dyDescent="0.55000000000000004">
      <c r="B5961" s="227" t="s">
        <v>0</v>
      </c>
      <c r="C5961" s="227"/>
      <c r="D5961" s="227"/>
      <c r="E5961" s="70"/>
      <c r="F5961" s="176"/>
    </row>
    <row r="5962" spans="1:6" s="53" customFormat="1" ht="20.5" x14ac:dyDescent="0.45">
      <c r="B5962" s="71"/>
      <c r="C5962" s="72" t="s">
        <v>1458</v>
      </c>
      <c r="D5962" s="73"/>
      <c r="F5962" s="94"/>
    </row>
    <row r="5963" spans="1:6" s="53" customFormat="1" ht="21" thickBot="1" x14ac:dyDescent="0.5">
      <c r="B5963" s="71" t="s">
        <v>844</v>
      </c>
      <c r="C5963" s="74" t="s">
        <v>103</v>
      </c>
      <c r="D5963" s="73"/>
      <c r="F5963" s="94"/>
    </row>
    <row r="5964" spans="1:6" s="53" customFormat="1" ht="15" thickBot="1" x14ac:dyDescent="0.4">
      <c r="A5964" s="75" t="s">
        <v>104</v>
      </c>
      <c r="B5964" s="76" t="s">
        <v>81</v>
      </c>
      <c r="C5964" s="76" t="s">
        <v>105</v>
      </c>
      <c r="D5964" s="77" t="s">
        <v>84</v>
      </c>
      <c r="F5964" s="94"/>
    </row>
    <row r="5965" spans="1:6" s="53" customFormat="1" ht="14.5" customHeight="1" x14ac:dyDescent="0.35">
      <c r="A5965" s="222" t="s">
        <v>95</v>
      </c>
      <c r="B5965" s="78" t="s">
        <v>1441</v>
      </c>
      <c r="C5965" s="79" t="s">
        <v>959</v>
      </c>
      <c r="D5965" s="80">
        <f>F5972</f>
        <v>10758000</v>
      </c>
      <c r="F5965" s="94"/>
    </row>
    <row r="5966" spans="1:6" s="53" customFormat="1" ht="21" thickBot="1" x14ac:dyDescent="0.5">
      <c r="A5966" s="223"/>
      <c r="B5966" s="71"/>
      <c r="C5966" s="71"/>
      <c r="D5966" s="73"/>
      <c r="F5966" s="94"/>
    </row>
    <row r="5967" spans="1:6" s="53" customFormat="1" ht="15" thickBot="1" x14ac:dyDescent="0.4">
      <c r="A5967" s="223"/>
      <c r="B5967" s="81" t="s">
        <v>81</v>
      </c>
      <c r="C5967" s="82" t="s">
        <v>107</v>
      </c>
      <c r="D5967" s="83" t="s">
        <v>108</v>
      </c>
      <c r="F5967" s="94"/>
    </row>
    <row r="5968" spans="1:6" s="87" customFormat="1" x14ac:dyDescent="0.35">
      <c r="A5968" s="223"/>
      <c r="B5968" s="84" t="str">
        <f>B5965</f>
        <v>13th November,2025</v>
      </c>
      <c r="C5968" s="85" t="s">
        <v>1416</v>
      </c>
      <c r="D5968" s="86">
        <f>1850*2720</f>
        <v>5032000</v>
      </c>
      <c r="F5968" s="177"/>
    </row>
    <row r="5969" spans="1:7" s="53" customFormat="1" x14ac:dyDescent="0.35">
      <c r="A5969" s="223"/>
      <c r="B5969" s="88"/>
      <c r="C5969" s="89" t="s">
        <v>188</v>
      </c>
      <c r="D5969" s="90">
        <f>325*2650</f>
        <v>861250</v>
      </c>
      <c r="F5969" s="94"/>
    </row>
    <row r="5970" spans="1:7" s="53" customFormat="1" x14ac:dyDescent="0.35">
      <c r="A5970" s="223"/>
      <c r="B5970" s="88" t="s">
        <v>109</v>
      </c>
      <c r="C5970" s="89" t="s">
        <v>110</v>
      </c>
      <c r="D5970" s="90">
        <v>1000000</v>
      </c>
      <c r="F5970" s="94"/>
    </row>
    <row r="5971" spans="1:7" s="53" customFormat="1" x14ac:dyDescent="0.35">
      <c r="A5971" s="223"/>
      <c r="B5971" s="88" t="s">
        <v>111</v>
      </c>
      <c r="C5971" s="89" t="s">
        <v>112</v>
      </c>
      <c r="D5971" s="90">
        <v>40000</v>
      </c>
      <c r="E5971" s="225" t="s">
        <v>113</v>
      </c>
      <c r="F5971" s="225"/>
    </row>
    <row r="5972" spans="1:7" s="53" customFormat="1" x14ac:dyDescent="0.35">
      <c r="A5972" s="223"/>
      <c r="B5972" s="88" t="s">
        <v>182</v>
      </c>
      <c r="C5972" s="89" t="s">
        <v>115</v>
      </c>
      <c r="D5972" s="90">
        <f>400*123</f>
        <v>49200</v>
      </c>
      <c r="E5972" s="91" t="s">
        <v>116</v>
      </c>
      <c r="F5972" s="92">
        <f>4400*2445</f>
        <v>10758000</v>
      </c>
    </row>
    <row r="5973" spans="1:7" s="53" customFormat="1" x14ac:dyDescent="0.35">
      <c r="A5973" s="223"/>
      <c r="B5973" s="88"/>
      <c r="C5973" s="89" t="s">
        <v>117</v>
      </c>
      <c r="D5973" s="90">
        <f>3000*123</f>
        <v>369000</v>
      </c>
      <c r="E5973" s="93" t="s">
        <v>118</v>
      </c>
      <c r="F5973" s="94">
        <f>(2640*2445)+(1700*2445)</f>
        <v>10611300</v>
      </c>
    </row>
    <row r="5974" spans="1:7" s="53" customFormat="1" ht="15" thickBot="1" x14ac:dyDescent="0.4">
      <c r="A5974" s="223"/>
      <c r="B5974" s="88" t="s">
        <v>119</v>
      </c>
      <c r="C5974" s="89" t="s">
        <v>120</v>
      </c>
      <c r="D5974" s="95">
        <v>30000</v>
      </c>
      <c r="E5974" s="96" t="s">
        <v>121</v>
      </c>
      <c r="F5974" s="97">
        <f>F5972-F5973</f>
        <v>146700</v>
      </c>
      <c r="G5974" s="98">
        <f>F5974/2445</f>
        <v>60</v>
      </c>
    </row>
    <row r="5975" spans="1:7" s="53" customFormat="1" ht="15" thickTop="1" x14ac:dyDescent="0.35">
      <c r="A5975" s="223"/>
      <c r="B5975" s="88"/>
      <c r="C5975" s="89" t="s">
        <v>122</v>
      </c>
      <c r="D5975" s="90">
        <v>150000</v>
      </c>
      <c r="F5975" s="94"/>
    </row>
    <row r="5976" spans="1:7" s="53" customFormat="1" x14ac:dyDescent="0.35">
      <c r="A5976" s="223"/>
      <c r="B5976" s="88" t="s">
        <v>1457</v>
      </c>
      <c r="C5976" s="99" t="s">
        <v>123</v>
      </c>
      <c r="D5976" s="90">
        <v>15000</v>
      </c>
      <c r="E5976" s="91" t="s">
        <v>124</v>
      </c>
      <c r="F5976" s="92"/>
    </row>
    <row r="5977" spans="1:7" s="53" customFormat="1" x14ac:dyDescent="0.35">
      <c r="A5977" s="223"/>
      <c r="B5977" s="101"/>
      <c r="C5977" s="99" t="s">
        <v>125</v>
      </c>
      <c r="D5977" s="100">
        <v>10000</v>
      </c>
      <c r="E5977" s="102"/>
      <c r="F5977" s="103"/>
    </row>
    <row r="5978" spans="1:7" s="53" customFormat="1" x14ac:dyDescent="0.35">
      <c r="A5978" s="223"/>
      <c r="B5978" s="101"/>
      <c r="C5978" s="99" t="s">
        <v>126</v>
      </c>
      <c r="D5978" s="100">
        <v>30000</v>
      </c>
      <c r="E5978" s="102" t="s">
        <v>127</v>
      </c>
      <c r="F5978" s="103"/>
    </row>
    <row r="5979" spans="1:7" s="53" customFormat="1" x14ac:dyDescent="0.35">
      <c r="A5979" s="223"/>
      <c r="B5979" s="101"/>
      <c r="C5979" s="89"/>
      <c r="D5979" s="104"/>
      <c r="E5979" s="53" t="s">
        <v>1483</v>
      </c>
      <c r="F5979" s="103"/>
    </row>
    <row r="5980" spans="1:7" s="53" customFormat="1" ht="15" thickBot="1" x14ac:dyDescent="0.4">
      <c r="A5980" s="223"/>
      <c r="B5980" s="105"/>
      <c r="C5980" s="106"/>
      <c r="D5980" s="107"/>
      <c r="E5980" s="53" t="s">
        <v>1749</v>
      </c>
      <c r="F5980" s="94"/>
    </row>
    <row r="5981" spans="1:7" s="53" customFormat="1" ht="15" thickBot="1" x14ac:dyDescent="0.4">
      <c r="A5981" s="223"/>
      <c r="B5981" s="108"/>
      <c r="C5981" s="109" t="s">
        <v>129</v>
      </c>
      <c r="D5981" s="110">
        <f>SUM(D5968:D5980)</f>
        <v>7586450</v>
      </c>
      <c r="F5981" s="94"/>
    </row>
    <row r="5982" spans="1:7" s="53" customFormat="1" ht="15.5" thickTop="1" thickBot="1" x14ac:dyDescent="0.4">
      <c r="A5982" s="224"/>
      <c r="B5982" s="226"/>
      <c r="C5982" s="226"/>
      <c r="D5982" s="226"/>
      <c r="F5982" s="94"/>
    </row>
    <row r="5983" spans="1:7" s="53" customFormat="1" x14ac:dyDescent="0.35">
      <c r="B5983" s="87"/>
      <c r="C5983" s="53" t="s">
        <v>130</v>
      </c>
      <c r="D5983" s="111">
        <f>D5965-D5981</f>
        <v>3171550</v>
      </c>
      <c r="F5983" s="94"/>
    </row>
    <row r="5984" spans="1:7" s="53" customFormat="1" x14ac:dyDescent="0.35">
      <c r="B5984" s="87"/>
      <c r="D5984" s="111"/>
      <c r="F5984" s="94"/>
    </row>
    <row r="5985" spans="1:7" s="53" customFormat="1" x14ac:dyDescent="0.35">
      <c r="A5985" s="112"/>
      <c r="B5985" s="113"/>
      <c r="C5985" s="112"/>
      <c r="D5985" s="114"/>
      <c r="E5985" s="112"/>
      <c r="F5985" s="178"/>
    </row>
    <row r="5987" spans="1:7" s="53" customFormat="1" ht="23.5" x14ac:dyDescent="0.55000000000000004">
      <c r="B5987" s="227" t="s">
        <v>0</v>
      </c>
      <c r="C5987" s="227"/>
      <c r="D5987" s="227"/>
      <c r="E5987" s="70"/>
      <c r="F5987" s="176"/>
    </row>
    <row r="5988" spans="1:7" s="53" customFormat="1" ht="20.5" x14ac:dyDescent="0.45">
      <c r="B5988" s="71"/>
      <c r="C5988" s="72" t="s">
        <v>1460</v>
      </c>
      <c r="D5988" s="73"/>
      <c r="F5988" s="94"/>
    </row>
    <row r="5989" spans="1:7" s="53" customFormat="1" ht="21" thickBot="1" x14ac:dyDescent="0.5">
      <c r="B5989" s="71" t="s">
        <v>761</v>
      </c>
      <c r="C5989" s="74" t="s">
        <v>103</v>
      </c>
      <c r="D5989" s="73"/>
      <c r="F5989" s="94"/>
    </row>
    <row r="5990" spans="1:7" s="53" customFormat="1" ht="15" thickBot="1" x14ac:dyDescent="0.4">
      <c r="A5990" s="75" t="s">
        <v>104</v>
      </c>
      <c r="B5990" s="76" t="s">
        <v>81</v>
      </c>
      <c r="C5990" s="76" t="s">
        <v>105</v>
      </c>
      <c r="D5990" s="77" t="s">
        <v>84</v>
      </c>
      <c r="F5990" s="94"/>
    </row>
    <row r="5991" spans="1:7" s="53" customFormat="1" ht="14.5" customHeight="1" x14ac:dyDescent="0.35">
      <c r="A5991" s="222" t="s">
        <v>95</v>
      </c>
      <c r="B5991" s="78" t="s">
        <v>1441</v>
      </c>
      <c r="C5991" s="79" t="s">
        <v>959</v>
      </c>
      <c r="D5991" s="80">
        <f>F5998</f>
        <v>10758000</v>
      </c>
      <c r="F5991" s="94"/>
    </row>
    <row r="5992" spans="1:7" s="53" customFormat="1" ht="21" thickBot="1" x14ac:dyDescent="0.5">
      <c r="A5992" s="223"/>
      <c r="B5992" s="71"/>
      <c r="C5992" s="71"/>
      <c r="D5992" s="73"/>
      <c r="F5992" s="94"/>
    </row>
    <row r="5993" spans="1:7" s="53" customFormat="1" ht="15" thickBot="1" x14ac:dyDescent="0.4">
      <c r="A5993" s="223"/>
      <c r="B5993" s="81" t="s">
        <v>81</v>
      </c>
      <c r="C5993" s="82" t="s">
        <v>107</v>
      </c>
      <c r="D5993" s="83" t="s">
        <v>108</v>
      </c>
      <c r="F5993" s="94"/>
    </row>
    <row r="5994" spans="1:7" s="87" customFormat="1" x14ac:dyDescent="0.35">
      <c r="A5994" s="223"/>
      <c r="B5994" s="84" t="str">
        <f>B5991</f>
        <v>13th November,2025</v>
      </c>
      <c r="C5994" s="85" t="s">
        <v>1416</v>
      </c>
      <c r="D5994" s="86">
        <f>1850*2720</f>
        <v>5032000</v>
      </c>
      <c r="F5994" s="177"/>
    </row>
    <row r="5995" spans="1:7" s="53" customFormat="1" x14ac:dyDescent="0.35">
      <c r="A5995" s="223"/>
      <c r="B5995" s="88"/>
      <c r="C5995" s="89" t="s">
        <v>188</v>
      </c>
      <c r="D5995" s="90">
        <f>325*2650</f>
        <v>861250</v>
      </c>
      <c r="F5995" s="94"/>
    </row>
    <row r="5996" spans="1:7" s="53" customFormat="1" x14ac:dyDescent="0.35">
      <c r="A5996" s="223"/>
      <c r="B5996" s="88" t="s">
        <v>109</v>
      </c>
      <c r="C5996" s="89" t="s">
        <v>110</v>
      </c>
      <c r="D5996" s="90">
        <v>1000000</v>
      </c>
      <c r="F5996" s="94"/>
    </row>
    <row r="5997" spans="1:7" s="53" customFormat="1" x14ac:dyDescent="0.35">
      <c r="A5997" s="223"/>
      <c r="B5997" s="88" t="s">
        <v>111</v>
      </c>
      <c r="C5997" s="89" t="s">
        <v>112</v>
      </c>
      <c r="D5997" s="90">
        <v>40000</v>
      </c>
      <c r="E5997" s="225" t="s">
        <v>113</v>
      </c>
      <c r="F5997" s="225"/>
    </row>
    <row r="5998" spans="1:7" s="53" customFormat="1" x14ac:dyDescent="0.35">
      <c r="A5998" s="223"/>
      <c r="B5998" s="88" t="s">
        <v>182</v>
      </c>
      <c r="C5998" s="89" t="s">
        <v>115</v>
      </c>
      <c r="D5998" s="90">
        <f>400*123</f>
        <v>49200</v>
      </c>
      <c r="E5998" s="91" t="s">
        <v>116</v>
      </c>
      <c r="F5998" s="92">
        <f>4400*2445</f>
        <v>10758000</v>
      </c>
    </row>
    <row r="5999" spans="1:7" s="53" customFormat="1" x14ac:dyDescent="0.35">
      <c r="A5999" s="223"/>
      <c r="B5999" s="88"/>
      <c r="C5999" s="89" t="s">
        <v>117</v>
      </c>
      <c r="D5999" s="90">
        <f>3000*123</f>
        <v>369000</v>
      </c>
      <c r="E5999" s="93" t="s">
        <v>118</v>
      </c>
      <c r="F5999" s="94">
        <f>(2640*2445)+(1700*2445)</f>
        <v>10611300</v>
      </c>
    </row>
    <row r="6000" spans="1:7" s="53" customFormat="1" ht="15" thickBot="1" x14ac:dyDescent="0.4">
      <c r="A6000" s="223"/>
      <c r="B6000" s="88" t="s">
        <v>119</v>
      </c>
      <c r="C6000" s="89" t="s">
        <v>120</v>
      </c>
      <c r="D6000" s="95">
        <v>30000</v>
      </c>
      <c r="E6000" s="96" t="s">
        <v>121</v>
      </c>
      <c r="F6000" s="97">
        <f>F5998-F5999</f>
        <v>146700</v>
      </c>
      <c r="G6000" s="98">
        <f>F6000/2445</f>
        <v>60</v>
      </c>
    </row>
    <row r="6001" spans="1:6" s="53" customFormat="1" ht="15" thickTop="1" x14ac:dyDescent="0.35">
      <c r="A6001" s="223"/>
      <c r="B6001" s="88"/>
      <c r="C6001" s="89" t="s">
        <v>122</v>
      </c>
      <c r="D6001" s="90">
        <v>150000</v>
      </c>
      <c r="F6001" s="94"/>
    </row>
    <row r="6002" spans="1:6" s="53" customFormat="1" x14ac:dyDescent="0.35">
      <c r="A6002" s="223"/>
      <c r="B6002" s="88" t="s">
        <v>1459</v>
      </c>
      <c r="C6002" s="99" t="s">
        <v>123</v>
      </c>
      <c r="D6002" s="90">
        <v>15000</v>
      </c>
      <c r="E6002" s="91" t="s">
        <v>124</v>
      </c>
      <c r="F6002" s="92"/>
    </row>
    <row r="6003" spans="1:6" s="53" customFormat="1" x14ac:dyDescent="0.35">
      <c r="A6003" s="223"/>
      <c r="B6003" s="101"/>
      <c r="C6003" s="99" t="s">
        <v>125</v>
      </c>
      <c r="D6003" s="100">
        <v>10000</v>
      </c>
      <c r="E6003" s="102"/>
      <c r="F6003" s="103"/>
    </row>
    <row r="6004" spans="1:6" s="53" customFormat="1" x14ac:dyDescent="0.35">
      <c r="A6004" s="223"/>
      <c r="B6004" s="101"/>
      <c r="C6004" s="99" t="s">
        <v>126</v>
      </c>
      <c r="D6004" s="100">
        <v>30000</v>
      </c>
      <c r="E6004" s="102" t="s">
        <v>127</v>
      </c>
      <c r="F6004" s="103"/>
    </row>
    <row r="6005" spans="1:6" s="53" customFormat="1" x14ac:dyDescent="0.35">
      <c r="A6005" s="223"/>
      <c r="B6005" s="101"/>
      <c r="C6005" s="89"/>
      <c r="D6005" s="104"/>
      <c r="E6005" s="53" t="s">
        <v>1484</v>
      </c>
      <c r="F6005" s="103"/>
    </row>
    <row r="6006" spans="1:6" s="53" customFormat="1" ht="15" thickBot="1" x14ac:dyDescent="0.4">
      <c r="A6006" s="223"/>
      <c r="B6006" s="105"/>
      <c r="C6006" s="106"/>
      <c r="D6006" s="107"/>
      <c r="E6006" s="53" t="s">
        <v>1749</v>
      </c>
      <c r="F6006" s="94"/>
    </row>
    <row r="6007" spans="1:6" s="53" customFormat="1" ht="15" thickBot="1" x14ac:dyDescent="0.4">
      <c r="A6007" s="223"/>
      <c r="B6007" s="108"/>
      <c r="C6007" s="109" t="s">
        <v>129</v>
      </c>
      <c r="D6007" s="110">
        <f>SUM(D5994:D6006)</f>
        <v>7586450</v>
      </c>
      <c r="F6007" s="94"/>
    </row>
    <row r="6008" spans="1:6" s="53" customFormat="1" ht="15.5" thickTop="1" thickBot="1" x14ac:dyDescent="0.4">
      <c r="A6008" s="224"/>
      <c r="B6008" s="226"/>
      <c r="C6008" s="226"/>
      <c r="D6008" s="226"/>
      <c r="F6008" s="94"/>
    </row>
    <row r="6009" spans="1:6" s="53" customFormat="1" x14ac:dyDescent="0.35">
      <c r="B6009" s="87"/>
      <c r="C6009" s="53" t="s">
        <v>130</v>
      </c>
      <c r="D6009" s="111">
        <f>D5991-D6007</f>
        <v>3171550</v>
      </c>
      <c r="F6009" s="94"/>
    </row>
    <row r="6010" spans="1:6" s="53" customFormat="1" x14ac:dyDescent="0.35">
      <c r="B6010" s="87"/>
      <c r="D6010" s="111"/>
      <c r="F6010" s="94"/>
    </row>
    <row r="6011" spans="1:6" s="53" customFormat="1" x14ac:dyDescent="0.35">
      <c r="A6011" s="112"/>
      <c r="B6011" s="113"/>
      <c r="C6011" s="112"/>
      <c r="D6011" s="114"/>
      <c r="E6011" s="112"/>
      <c r="F6011" s="178"/>
    </row>
    <row r="6013" spans="1:6" s="53" customFormat="1" ht="23.5" x14ac:dyDescent="0.55000000000000004">
      <c r="B6013" s="227" t="s">
        <v>0</v>
      </c>
      <c r="C6013" s="227"/>
      <c r="D6013" s="227"/>
      <c r="E6013" s="70"/>
      <c r="F6013" s="176"/>
    </row>
    <row r="6014" spans="1:6" s="53" customFormat="1" ht="20.5" x14ac:dyDescent="0.45">
      <c r="B6014" s="71"/>
      <c r="C6014" s="72" t="s">
        <v>1461</v>
      </c>
      <c r="D6014" s="73"/>
      <c r="F6014" s="94"/>
    </row>
    <row r="6015" spans="1:6" s="53" customFormat="1" ht="21" thickBot="1" x14ac:dyDescent="0.5">
      <c r="B6015" s="71" t="s">
        <v>156</v>
      </c>
      <c r="C6015" s="74" t="s">
        <v>103</v>
      </c>
      <c r="D6015" s="73"/>
      <c r="F6015" s="94"/>
    </row>
    <row r="6016" spans="1:6" s="53" customFormat="1" ht="15" thickBot="1" x14ac:dyDescent="0.4">
      <c r="A6016" s="75" t="s">
        <v>104</v>
      </c>
      <c r="B6016" s="76" t="s">
        <v>81</v>
      </c>
      <c r="C6016" s="76" t="s">
        <v>105</v>
      </c>
      <c r="D6016" s="77" t="s">
        <v>84</v>
      </c>
      <c r="F6016" s="94"/>
    </row>
    <row r="6017" spans="1:7" s="53" customFormat="1" ht="14.5" customHeight="1" x14ac:dyDescent="0.35">
      <c r="A6017" s="222" t="s">
        <v>95</v>
      </c>
      <c r="B6017" s="78" t="s">
        <v>1441</v>
      </c>
      <c r="C6017" s="79" t="s">
        <v>959</v>
      </c>
      <c r="D6017" s="80">
        <f>F6024</f>
        <v>10758000</v>
      </c>
      <c r="F6017" s="94"/>
    </row>
    <row r="6018" spans="1:7" s="53" customFormat="1" ht="21" thickBot="1" x14ac:dyDescent="0.5">
      <c r="A6018" s="223"/>
      <c r="B6018" s="71"/>
      <c r="C6018" s="71"/>
      <c r="D6018" s="73"/>
      <c r="F6018" s="94"/>
    </row>
    <row r="6019" spans="1:7" s="53" customFormat="1" ht="15" thickBot="1" x14ac:dyDescent="0.4">
      <c r="A6019" s="223"/>
      <c r="B6019" s="81" t="s">
        <v>81</v>
      </c>
      <c r="C6019" s="82" t="s">
        <v>107</v>
      </c>
      <c r="D6019" s="83" t="s">
        <v>108</v>
      </c>
      <c r="F6019" s="94"/>
    </row>
    <row r="6020" spans="1:7" s="87" customFormat="1" x14ac:dyDescent="0.35">
      <c r="A6020" s="223"/>
      <c r="B6020" s="84" t="str">
        <f>B6017</f>
        <v>13th November,2025</v>
      </c>
      <c r="C6020" s="85" t="s">
        <v>1416</v>
      </c>
      <c r="D6020" s="86">
        <f>1850*2720</f>
        <v>5032000</v>
      </c>
      <c r="F6020" s="177"/>
    </row>
    <row r="6021" spans="1:7" s="53" customFormat="1" x14ac:dyDescent="0.35">
      <c r="A6021" s="223"/>
      <c r="B6021" s="88"/>
      <c r="C6021" s="89" t="s">
        <v>1615</v>
      </c>
      <c r="D6021" s="90">
        <f>299*2500</f>
        <v>747500</v>
      </c>
      <c r="F6021" s="94"/>
    </row>
    <row r="6022" spans="1:7" s="53" customFormat="1" x14ac:dyDescent="0.35">
      <c r="A6022" s="223"/>
      <c r="B6022" s="88" t="s">
        <v>109</v>
      </c>
      <c r="C6022" s="89" t="s">
        <v>110</v>
      </c>
      <c r="D6022" s="90">
        <v>1000000</v>
      </c>
      <c r="F6022" s="94"/>
    </row>
    <row r="6023" spans="1:7" s="53" customFormat="1" x14ac:dyDescent="0.35">
      <c r="A6023" s="223"/>
      <c r="B6023" s="88" t="s">
        <v>111</v>
      </c>
      <c r="C6023" s="89" t="s">
        <v>112</v>
      </c>
      <c r="D6023" s="90">
        <v>40000</v>
      </c>
      <c r="E6023" s="225" t="s">
        <v>113</v>
      </c>
      <c r="F6023" s="225"/>
    </row>
    <row r="6024" spans="1:7" s="53" customFormat="1" x14ac:dyDescent="0.35">
      <c r="A6024" s="223"/>
      <c r="B6024" s="88" t="s">
        <v>114</v>
      </c>
      <c r="C6024" s="89" t="s">
        <v>115</v>
      </c>
      <c r="D6024" s="90">
        <f>950*123</f>
        <v>116850</v>
      </c>
      <c r="E6024" s="91" t="s">
        <v>116</v>
      </c>
      <c r="F6024" s="92">
        <f>4400*2445</f>
        <v>10758000</v>
      </c>
    </row>
    <row r="6025" spans="1:7" s="53" customFormat="1" x14ac:dyDescent="0.35">
      <c r="A6025" s="223"/>
      <c r="B6025" s="88"/>
      <c r="C6025" s="89" t="s">
        <v>117</v>
      </c>
      <c r="D6025" s="90">
        <f>2500*123</f>
        <v>307500</v>
      </c>
      <c r="E6025" s="93" t="s">
        <v>118</v>
      </c>
      <c r="F6025" s="94">
        <f>(2640*2445)+(1680*2445)</f>
        <v>10562400</v>
      </c>
    </row>
    <row r="6026" spans="1:7" s="53" customFormat="1" ht="15" thickBot="1" x14ac:dyDescent="0.4">
      <c r="A6026" s="223"/>
      <c r="B6026" s="88" t="s">
        <v>119</v>
      </c>
      <c r="C6026" s="89" t="s">
        <v>120</v>
      </c>
      <c r="D6026" s="95">
        <v>30000</v>
      </c>
      <c r="E6026" s="96" t="s">
        <v>121</v>
      </c>
      <c r="F6026" s="97">
        <f>F6024-F6025</f>
        <v>195600</v>
      </c>
      <c r="G6026" s="98">
        <f>F6026/2445</f>
        <v>80</v>
      </c>
    </row>
    <row r="6027" spans="1:7" s="53" customFormat="1" ht="15" thickTop="1" x14ac:dyDescent="0.35">
      <c r="A6027" s="223"/>
      <c r="B6027" s="88"/>
      <c r="C6027" s="89" t="s">
        <v>122</v>
      </c>
      <c r="D6027" s="90">
        <v>150000</v>
      </c>
      <c r="F6027" s="94"/>
    </row>
    <row r="6028" spans="1:7" s="53" customFormat="1" x14ac:dyDescent="0.35">
      <c r="A6028" s="223"/>
      <c r="B6028" s="88" t="s">
        <v>1462</v>
      </c>
      <c r="C6028" s="99" t="s">
        <v>123</v>
      </c>
      <c r="D6028" s="90">
        <v>15000</v>
      </c>
      <c r="E6028" s="91" t="s">
        <v>124</v>
      </c>
      <c r="F6028" s="92"/>
    </row>
    <row r="6029" spans="1:7" s="53" customFormat="1" x14ac:dyDescent="0.35">
      <c r="A6029" s="223"/>
      <c r="B6029" s="101"/>
      <c r="C6029" s="99" t="s">
        <v>125</v>
      </c>
      <c r="D6029" s="100">
        <v>10000</v>
      </c>
      <c r="E6029" s="102"/>
      <c r="F6029" s="103"/>
    </row>
    <row r="6030" spans="1:7" s="53" customFormat="1" x14ac:dyDescent="0.35">
      <c r="A6030" s="223"/>
      <c r="B6030" s="101"/>
      <c r="C6030" s="99" t="s">
        <v>126</v>
      </c>
      <c r="D6030" s="100">
        <v>30000</v>
      </c>
      <c r="E6030" s="102" t="s">
        <v>127</v>
      </c>
      <c r="F6030" s="103"/>
    </row>
    <row r="6031" spans="1:7" s="53" customFormat="1" x14ac:dyDescent="0.35">
      <c r="A6031" s="223"/>
      <c r="B6031" s="101"/>
      <c r="C6031" s="89"/>
      <c r="D6031" s="104"/>
      <c r="E6031" s="53" t="s">
        <v>1484</v>
      </c>
      <c r="F6031" s="103"/>
    </row>
    <row r="6032" spans="1:7" s="53" customFormat="1" ht="15" thickBot="1" x14ac:dyDescent="0.4">
      <c r="A6032" s="223"/>
      <c r="B6032" s="105"/>
      <c r="C6032" s="106"/>
      <c r="D6032" s="107"/>
      <c r="E6032" s="53" t="s">
        <v>1747</v>
      </c>
      <c r="F6032" s="94"/>
    </row>
    <row r="6033" spans="1:6" s="53" customFormat="1" ht="15" thickBot="1" x14ac:dyDescent="0.4">
      <c r="A6033" s="223"/>
      <c r="B6033" s="108"/>
      <c r="C6033" s="109" t="s">
        <v>129</v>
      </c>
      <c r="D6033" s="110">
        <f>SUM(D6020:D6032)</f>
        <v>7478850</v>
      </c>
      <c r="F6033" s="94"/>
    </row>
    <row r="6034" spans="1:6" s="53" customFormat="1" ht="15.5" thickTop="1" thickBot="1" x14ac:dyDescent="0.4">
      <c r="A6034" s="224"/>
      <c r="B6034" s="226"/>
      <c r="C6034" s="226"/>
      <c r="D6034" s="226"/>
      <c r="F6034" s="94"/>
    </row>
    <row r="6035" spans="1:6" s="53" customFormat="1" x14ac:dyDescent="0.35">
      <c r="B6035" s="87"/>
      <c r="C6035" s="53" t="s">
        <v>130</v>
      </c>
      <c r="D6035" s="111">
        <f>D6017-D6033</f>
        <v>3279150</v>
      </c>
      <c r="F6035" s="94"/>
    </row>
    <row r="6036" spans="1:6" s="53" customFormat="1" x14ac:dyDescent="0.35">
      <c r="B6036" s="87"/>
      <c r="D6036" s="111"/>
      <c r="F6036" s="94"/>
    </row>
    <row r="6037" spans="1:6" s="53" customFormat="1" x14ac:dyDescent="0.35">
      <c r="A6037" s="112"/>
      <c r="B6037" s="113"/>
      <c r="C6037" s="112"/>
      <c r="D6037" s="114"/>
      <c r="E6037" s="112"/>
      <c r="F6037" s="178"/>
    </row>
    <row r="6039" spans="1:6" s="53" customFormat="1" ht="23.5" x14ac:dyDescent="0.55000000000000004">
      <c r="B6039" s="227" t="s">
        <v>0</v>
      </c>
      <c r="C6039" s="227"/>
      <c r="D6039" s="227"/>
      <c r="E6039" s="70"/>
      <c r="F6039" s="176"/>
    </row>
    <row r="6040" spans="1:6" s="53" customFormat="1" ht="20.5" x14ac:dyDescent="0.45">
      <c r="B6040" s="71"/>
      <c r="C6040" s="72" t="s">
        <v>1473</v>
      </c>
      <c r="D6040" s="73"/>
      <c r="F6040" s="94"/>
    </row>
    <row r="6041" spans="1:6" s="53" customFormat="1" ht="21" thickBot="1" x14ac:dyDescent="0.5">
      <c r="B6041" s="71" t="s">
        <v>1136</v>
      </c>
      <c r="C6041" s="74" t="s">
        <v>103</v>
      </c>
      <c r="D6041" s="73"/>
      <c r="F6041" s="94"/>
    </row>
    <row r="6042" spans="1:6" s="53" customFormat="1" ht="15" thickBot="1" x14ac:dyDescent="0.4">
      <c r="A6042" s="75" t="s">
        <v>104</v>
      </c>
      <c r="B6042" s="76" t="s">
        <v>81</v>
      </c>
      <c r="C6042" s="76" t="s">
        <v>105</v>
      </c>
      <c r="D6042" s="77" t="s">
        <v>84</v>
      </c>
      <c r="F6042" s="94"/>
    </row>
    <row r="6043" spans="1:6" s="53" customFormat="1" ht="14.5" customHeight="1" x14ac:dyDescent="0.35">
      <c r="A6043" s="222" t="s">
        <v>95</v>
      </c>
      <c r="B6043" s="78" t="s">
        <v>1474</v>
      </c>
      <c r="C6043" s="79" t="s">
        <v>959</v>
      </c>
      <c r="D6043" s="80">
        <f>F6050</f>
        <v>10758000</v>
      </c>
      <c r="F6043" s="94"/>
    </row>
    <row r="6044" spans="1:6" s="53" customFormat="1" ht="21" thickBot="1" x14ac:dyDescent="0.5">
      <c r="A6044" s="223"/>
      <c r="B6044" s="71"/>
      <c r="C6044" s="71"/>
      <c r="D6044" s="73"/>
      <c r="F6044" s="94"/>
    </row>
    <row r="6045" spans="1:6" s="53" customFormat="1" ht="15" thickBot="1" x14ac:dyDescent="0.4">
      <c r="A6045" s="223"/>
      <c r="B6045" s="81" t="s">
        <v>81</v>
      </c>
      <c r="C6045" s="82" t="s">
        <v>107</v>
      </c>
      <c r="D6045" s="83" t="s">
        <v>108</v>
      </c>
      <c r="F6045" s="94"/>
    </row>
    <row r="6046" spans="1:6" s="87" customFormat="1" x14ac:dyDescent="0.35">
      <c r="A6046" s="223"/>
      <c r="B6046" s="84" t="str">
        <f>B6043</f>
        <v>15th November,2025</v>
      </c>
      <c r="C6046" s="85" t="s">
        <v>1416</v>
      </c>
      <c r="D6046" s="86">
        <f>1850*2720</f>
        <v>5032000</v>
      </c>
      <c r="F6046" s="177"/>
    </row>
    <row r="6047" spans="1:6" s="53" customFormat="1" x14ac:dyDescent="0.35">
      <c r="A6047" s="223"/>
      <c r="B6047" s="88"/>
      <c r="C6047" s="89" t="s">
        <v>188</v>
      </c>
      <c r="D6047" s="90">
        <f>325*2650</f>
        <v>861250</v>
      </c>
      <c r="F6047" s="94"/>
    </row>
    <row r="6048" spans="1:6" s="53" customFormat="1" x14ac:dyDescent="0.35">
      <c r="A6048" s="223"/>
      <c r="B6048" s="88" t="s">
        <v>109</v>
      </c>
      <c r="C6048" s="89" t="s">
        <v>110</v>
      </c>
      <c r="D6048" s="90">
        <v>1000000</v>
      </c>
      <c r="F6048" s="94"/>
    </row>
    <row r="6049" spans="1:7" s="53" customFormat="1" x14ac:dyDescent="0.35">
      <c r="A6049" s="223"/>
      <c r="B6049" s="88" t="s">
        <v>111</v>
      </c>
      <c r="C6049" s="89" t="s">
        <v>112</v>
      </c>
      <c r="D6049" s="90">
        <v>40000</v>
      </c>
      <c r="E6049" s="225" t="s">
        <v>113</v>
      </c>
      <c r="F6049" s="225"/>
    </row>
    <row r="6050" spans="1:7" s="53" customFormat="1" x14ac:dyDescent="0.35">
      <c r="A6050" s="223"/>
      <c r="B6050" s="88" t="s">
        <v>182</v>
      </c>
      <c r="C6050" s="89" t="s">
        <v>115</v>
      </c>
      <c r="D6050" s="90">
        <f>1000*123</f>
        <v>123000</v>
      </c>
      <c r="E6050" s="91" t="s">
        <v>116</v>
      </c>
      <c r="F6050" s="92">
        <f>4400*2445</f>
        <v>10758000</v>
      </c>
    </row>
    <row r="6051" spans="1:7" s="53" customFormat="1" x14ac:dyDescent="0.35">
      <c r="A6051" s="223"/>
      <c r="B6051" s="88"/>
      <c r="C6051" s="89" t="s">
        <v>117</v>
      </c>
      <c r="D6051" s="90">
        <f>3500*123</f>
        <v>430500</v>
      </c>
      <c r="E6051" s="93" t="s">
        <v>118</v>
      </c>
      <c r="F6051" s="94">
        <f>(2640*2445)+(1720*2445)</f>
        <v>10660200</v>
      </c>
    </row>
    <row r="6052" spans="1:7" s="53" customFormat="1" ht="15" thickBot="1" x14ac:dyDescent="0.4">
      <c r="A6052" s="223"/>
      <c r="B6052" s="88" t="s">
        <v>119</v>
      </c>
      <c r="C6052" s="89" t="s">
        <v>120</v>
      </c>
      <c r="D6052" s="95">
        <v>30000</v>
      </c>
      <c r="E6052" s="96" t="s">
        <v>121</v>
      </c>
      <c r="F6052" s="97">
        <f>F6050-F6051</f>
        <v>97800</v>
      </c>
      <c r="G6052" s="98">
        <f>F6052/2445</f>
        <v>40</v>
      </c>
    </row>
    <row r="6053" spans="1:7" s="53" customFormat="1" ht="15" thickTop="1" x14ac:dyDescent="0.35">
      <c r="A6053" s="223"/>
      <c r="B6053" s="88"/>
      <c r="C6053" s="89" t="s">
        <v>122</v>
      </c>
      <c r="D6053" s="90">
        <v>150000</v>
      </c>
      <c r="F6053" s="94"/>
    </row>
    <row r="6054" spans="1:7" s="53" customFormat="1" x14ac:dyDescent="0.35">
      <c r="A6054" s="223"/>
      <c r="B6054" s="88" t="s">
        <v>1472</v>
      </c>
      <c r="C6054" s="99" t="s">
        <v>123</v>
      </c>
      <c r="D6054" s="90">
        <v>15000</v>
      </c>
      <c r="E6054" s="91" t="s">
        <v>124</v>
      </c>
      <c r="F6054" s="92"/>
    </row>
    <row r="6055" spans="1:7" s="53" customFormat="1" x14ac:dyDescent="0.35">
      <c r="A6055" s="223"/>
      <c r="B6055" s="101"/>
      <c r="C6055" s="99" t="s">
        <v>125</v>
      </c>
      <c r="D6055" s="100">
        <v>10000</v>
      </c>
      <c r="E6055" s="102"/>
      <c r="F6055" s="103"/>
    </row>
    <row r="6056" spans="1:7" s="53" customFormat="1" x14ac:dyDescent="0.35">
      <c r="A6056" s="223"/>
      <c r="B6056" s="101"/>
      <c r="C6056" s="99" t="s">
        <v>126</v>
      </c>
      <c r="D6056" s="100">
        <v>40000</v>
      </c>
      <c r="E6056" s="102" t="s">
        <v>127</v>
      </c>
      <c r="F6056" s="103"/>
    </row>
    <row r="6057" spans="1:7" s="53" customFormat="1" x14ac:dyDescent="0.35">
      <c r="A6057" s="223"/>
      <c r="B6057" s="101"/>
      <c r="C6057" s="89" t="s">
        <v>265</v>
      </c>
      <c r="D6057" s="104">
        <f>853*123</f>
        <v>104919</v>
      </c>
      <c r="E6057" s="53" t="s">
        <v>1510</v>
      </c>
      <c r="F6057" s="103"/>
    </row>
    <row r="6058" spans="1:7" s="53" customFormat="1" ht="15" thickBot="1" x14ac:dyDescent="0.4">
      <c r="A6058" s="223"/>
      <c r="B6058" s="105"/>
      <c r="C6058" s="106"/>
      <c r="D6058" s="107"/>
      <c r="E6058" s="53" t="s">
        <v>1749</v>
      </c>
      <c r="F6058" s="94"/>
    </row>
    <row r="6059" spans="1:7" s="53" customFormat="1" ht="15" thickBot="1" x14ac:dyDescent="0.4">
      <c r="A6059" s="223"/>
      <c r="B6059" s="108"/>
      <c r="C6059" s="109" t="s">
        <v>129</v>
      </c>
      <c r="D6059" s="110">
        <f>SUM(D6046:D6058)</f>
        <v>7836669</v>
      </c>
      <c r="F6059" s="94"/>
    </row>
    <row r="6060" spans="1:7" s="53" customFormat="1" ht="15.5" thickTop="1" thickBot="1" x14ac:dyDescent="0.4">
      <c r="A6060" s="224"/>
      <c r="B6060" s="226"/>
      <c r="C6060" s="226"/>
      <c r="D6060" s="226"/>
      <c r="F6060" s="94"/>
    </row>
    <row r="6061" spans="1:7" s="53" customFormat="1" x14ac:dyDescent="0.35">
      <c r="B6061" s="87"/>
      <c r="C6061" s="53" t="s">
        <v>130</v>
      </c>
      <c r="D6061" s="111">
        <f>D6043-D6059</f>
        <v>2921331</v>
      </c>
      <c r="F6061" s="94"/>
    </row>
    <row r="6062" spans="1:7" s="53" customFormat="1" x14ac:dyDescent="0.35">
      <c r="B6062" s="87"/>
      <c r="D6062" s="111"/>
      <c r="F6062" s="94"/>
    </row>
    <row r="6063" spans="1:7" s="53" customFormat="1" x14ac:dyDescent="0.35">
      <c r="A6063" s="112"/>
      <c r="B6063" s="113"/>
      <c r="C6063" s="112"/>
      <c r="D6063" s="114"/>
      <c r="E6063" s="112"/>
      <c r="F6063" s="178"/>
    </row>
    <row r="6065" spans="1:7" s="53" customFormat="1" ht="23.5" x14ac:dyDescent="0.55000000000000004">
      <c r="B6065" s="227" t="s">
        <v>0</v>
      </c>
      <c r="C6065" s="227"/>
      <c r="D6065" s="227"/>
      <c r="E6065" s="70"/>
      <c r="F6065" s="176"/>
    </row>
    <row r="6066" spans="1:7" s="53" customFormat="1" ht="20.5" x14ac:dyDescent="0.45">
      <c r="B6066" s="71"/>
      <c r="C6066" s="72" t="s">
        <v>1476</v>
      </c>
      <c r="D6066" s="73"/>
      <c r="F6066" s="94"/>
    </row>
    <row r="6067" spans="1:7" s="53" customFormat="1" ht="21" thickBot="1" x14ac:dyDescent="0.5">
      <c r="B6067" s="71" t="s">
        <v>167</v>
      </c>
      <c r="C6067" s="74" t="s">
        <v>103</v>
      </c>
      <c r="D6067" s="73"/>
      <c r="F6067" s="94"/>
    </row>
    <row r="6068" spans="1:7" s="53" customFormat="1" ht="15" thickBot="1" x14ac:dyDescent="0.4">
      <c r="A6068" s="75" t="s">
        <v>104</v>
      </c>
      <c r="B6068" s="76" t="s">
        <v>81</v>
      </c>
      <c r="C6068" s="76" t="s">
        <v>105</v>
      </c>
      <c r="D6068" s="77" t="s">
        <v>84</v>
      </c>
      <c r="F6068" s="94"/>
    </row>
    <row r="6069" spans="1:7" s="53" customFormat="1" ht="14.5" customHeight="1" x14ac:dyDescent="0.35">
      <c r="A6069" s="222" t="s">
        <v>95</v>
      </c>
      <c r="B6069" s="78" t="s">
        <v>1474</v>
      </c>
      <c r="C6069" s="79" t="s">
        <v>959</v>
      </c>
      <c r="D6069" s="80">
        <f>F6076</f>
        <v>10758000</v>
      </c>
      <c r="F6069" s="94"/>
    </row>
    <row r="6070" spans="1:7" s="53" customFormat="1" ht="21" thickBot="1" x14ac:dyDescent="0.5">
      <c r="A6070" s="223"/>
      <c r="B6070" s="71"/>
      <c r="C6070" s="71"/>
      <c r="D6070" s="73"/>
      <c r="F6070" s="94"/>
    </row>
    <row r="6071" spans="1:7" s="53" customFormat="1" ht="15" thickBot="1" x14ac:dyDescent="0.4">
      <c r="A6071" s="223"/>
      <c r="B6071" s="81" t="s">
        <v>81</v>
      </c>
      <c r="C6071" s="82" t="s">
        <v>107</v>
      </c>
      <c r="D6071" s="83" t="s">
        <v>108</v>
      </c>
      <c r="F6071" s="94"/>
    </row>
    <row r="6072" spans="1:7" s="87" customFormat="1" x14ac:dyDescent="0.35">
      <c r="A6072" s="223"/>
      <c r="B6072" s="84" t="str">
        <f>B6069</f>
        <v>15th November,2025</v>
      </c>
      <c r="C6072" s="85" t="s">
        <v>1416</v>
      </c>
      <c r="D6072" s="86">
        <f>1850*2720</f>
        <v>5032000</v>
      </c>
      <c r="F6072" s="177"/>
    </row>
    <row r="6073" spans="1:7" s="53" customFormat="1" x14ac:dyDescent="0.35">
      <c r="A6073" s="223"/>
      <c r="B6073" s="88"/>
      <c r="C6073" s="89" t="s">
        <v>159</v>
      </c>
      <c r="D6073" s="90">
        <f>299*2650</f>
        <v>792350</v>
      </c>
      <c r="F6073" s="94"/>
    </row>
    <row r="6074" spans="1:7" s="53" customFormat="1" x14ac:dyDescent="0.35">
      <c r="A6074" s="223"/>
      <c r="B6074" s="88" t="s">
        <v>109</v>
      </c>
      <c r="C6074" s="89" t="s">
        <v>110</v>
      </c>
      <c r="D6074" s="90">
        <v>1000000</v>
      </c>
      <c r="F6074" s="94"/>
    </row>
    <row r="6075" spans="1:7" s="53" customFormat="1" x14ac:dyDescent="0.35">
      <c r="A6075" s="223"/>
      <c r="B6075" s="88" t="s">
        <v>111</v>
      </c>
      <c r="C6075" s="89" t="s">
        <v>112</v>
      </c>
      <c r="D6075" s="90">
        <v>40000</v>
      </c>
      <c r="E6075" s="225" t="s">
        <v>113</v>
      </c>
      <c r="F6075" s="225"/>
    </row>
    <row r="6076" spans="1:7" s="53" customFormat="1" x14ac:dyDescent="0.35">
      <c r="A6076" s="223"/>
      <c r="B6076" s="88" t="s">
        <v>114</v>
      </c>
      <c r="C6076" s="89" t="s">
        <v>115</v>
      </c>
      <c r="D6076" s="90">
        <f>1000*123</f>
        <v>123000</v>
      </c>
      <c r="E6076" s="91" t="s">
        <v>116</v>
      </c>
      <c r="F6076" s="92">
        <f>4400*2445</f>
        <v>10758000</v>
      </c>
    </row>
    <row r="6077" spans="1:7" s="53" customFormat="1" x14ac:dyDescent="0.35">
      <c r="A6077" s="223"/>
      <c r="B6077" s="88"/>
      <c r="C6077" s="89" t="s">
        <v>117</v>
      </c>
      <c r="D6077" s="90">
        <f>2500*123</f>
        <v>307500</v>
      </c>
      <c r="E6077" s="93" t="s">
        <v>118</v>
      </c>
      <c r="F6077" s="94">
        <f>(2640*2445)+(1700*2445)</f>
        <v>10611300</v>
      </c>
    </row>
    <row r="6078" spans="1:7" s="53" customFormat="1" ht="15" thickBot="1" x14ac:dyDescent="0.4">
      <c r="A6078" s="223"/>
      <c r="B6078" s="88" t="s">
        <v>119</v>
      </c>
      <c r="C6078" s="89" t="s">
        <v>120</v>
      </c>
      <c r="D6078" s="95">
        <v>30000</v>
      </c>
      <c r="E6078" s="96" t="s">
        <v>121</v>
      </c>
      <c r="F6078" s="97">
        <f>F6076-F6077</f>
        <v>146700</v>
      </c>
      <c r="G6078" s="98">
        <f>F6078/2445</f>
        <v>60</v>
      </c>
    </row>
    <row r="6079" spans="1:7" s="53" customFormat="1" ht="15" thickTop="1" x14ac:dyDescent="0.35">
      <c r="A6079" s="223"/>
      <c r="B6079" s="88"/>
      <c r="C6079" s="89" t="s">
        <v>122</v>
      </c>
      <c r="D6079" s="90">
        <v>150000</v>
      </c>
      <c r="F6079" s="94"/>
    </row>
    <row r="6080" spans="1:7" s="53" customFormat="1" x14ac:dyDescent="0.35">
      <c r="A6080" s="223"/>
      <c r="B6080" s="88" t="s">
        <v>1475</v>
      </c>
      <c r="C6080" s="99" t="s">
        <v>123</v>
      </c>
      <c r="D6080" s="90">
        <v>15000</v>
      </c>
      <c r="E6080" s="91" t="s">
        <v>124</v>
      </c>
      <c r="F6080" s="92"/>
    </row>
    <row r="6081" spans="1:6" s="53" customFormat="1" x14ac:dyDescent="0.35">
      <c r="A6081" s="223"/>
      <c r="B6081" s="101"/>
      <c r="C6081" s="99" t="s">
        <v>125</v>
      </c>
      <c r="D6081" s="100">
        <v>10000</v>
      </c>
      <c r="E6081" s="102"/>
      <c r="F6081" s="103"/>
    </row>
    <row r="6082" spans="1:6" s="53" customFormat="1" x14ac:dyDescent="0.35">
      <c r="A6082" s="223"/>
      <c r="B6082" s="101"/>
      <c r="C6082" s="99" t="s">
        <v>126</v>
      </c>
      <c r="D6082" s="100">
        <v>20000</v>
      </c>
      <c r="E6082" s="102" t="s">
        <v>127</v>
      </c>
      <c r="F6082" s="103"/>
    </row>
    <row r="6083" spans="1:6" s="53" customFormat="1" x14ac:dyDescent="0.35">
      <c r="A6083" s="223"/>
      <c r="B6083" s="101"/>
      <c r="C6083" s="89"/>
      <c r="D6083" s="104"/>
      <c r="E6083" s="53" t="s">
        <v>1510</v>
      </c>
      <c r="F6083" s="103"/>
    </row>
    <row r="6084" spans="1:6" s="53" customFormat="1" ht="15" thickBot="1" x14ac:dyDescent="0.4">
      <c r="A6084" s="223"/>
      <c r="B6084" s="105"/>
      <c r="C6084" s="106"/>
      <c r="D6084" s="107"/>
      <c r="E6084" s="53" t="s">
        <v>1751</v>
      </c>
      <c r="F6084" s="94"/>
    </row>
    <row r="6085" spans="1:6" s="53" customFormat="1" ht="15" thickBot="1" x14ac:dyDescent="0.4">
      <c r="A6085" s="223"/>
      <c r="B6085" s="108"/>
      <c r="C6085" s="109" t="s">
        <v>129</v>
      </c>
      <c r="D6085" s="110">
        <f>SUM(D6072:D6084)</f>
        <v>7519850</v>
      </c>
      <c r="F6085" s="94"/>
    </row>
    <row r="6086" spans="1:6" s="53" customFormat="1" ht="15.5" thickTop="1" thickBot="1" x14ac:dyDescent="0.4">
      <c r="A6086" s="224"/>
      <c r="B6086" s="226"/>
      <c r="C6086" s="226"/>
      <c r="D6086" s="226"/>
      <c r="F6086" s="94"/>
    </row>
    <row r="6087" spans="1:6" s="53" customFormat="1" x14ac:dyDescent="0.35">
      <c r="B6087" s="87"/>
      <c r="C6087" s="53" t="s">
        <v>130</v>
      </c>
      <c r="D6087" s="111">
        <f>D6069-D6085</f>
        <v>3238150</v>
      </c>
      <c r="F6087" s="94"/>
    </row>
    <row r="6088" spans="1:6" s="53" customFormat="1" x14ac:dyDescent="0.35">
      <c r="B6088" s="87"/>
      <c r="D6088" s="111"/>
      <c r="F6088" s="94"/>
    </row>
    <row r="6089" spans="1:6" s="53" customFormat="1" x14ac:dyDescent="0.35">
      <c r="A6089" s="112"/>
      <c r="B6089" s="113"/>
      <c r="C6089" s="112"/>
      <c r="D6089" s="114"/>
      <c r="E6089" s="112"/>
      <c r="F6089" s="178"/>
    </row>
    <row r="6091" spans="1:6" s="53" customFormat="1" ht="23.5" x14ac:dyDescent="0.55000000000000004">
      <c r="B6091" s="227" t="s">
        <v>0</v>
      </c>
      <c r="C6091" s="227"/>
      <c r="D6091" s="227"/>
      <c r="E6091" s="70"/>
      <c r="F6091" s="176"/>
    </row>
    <row r="6092" spans="1:6" s="53" customFormat="1" ht="20.5" x14ac:dyDescent="0.45">
      <c r="B6092" s="71"/>
      <c r="C6092" s="72" t="s">
        <v>1478</v>
      </c>
      <c r="D6092" s="73"/>
      <c r="F6092" s="94"/>
    </row>
    <row r="6093" spans="1:6" s="53" customFormat="1" ht="21" thickBot="1" x14ac:dyDescent="0.5">
      <c r="B6093" s="71" t="s">
        <v>396</v>
      </c>
      <c r="C6093" s="74" t="s">
        <v>103</v>
      </c>
      <c r="D6093" s="73"/>
      <c r="F6093" s="94"/>
    </row>
    <row r="6094" spans="1:6" s="53" customFormat="1" ht="15" thickBot="1" x14ac:dyDescent="0.4">
      <c r="A6094" s="75" t="s">
        <v>104</v>
      </c>
      <c r="B6094" s="76" t="s">
        <v>81</v>
      </c>
      <c r="C6094" s="76" t="s">
        <v>105</v>
      </c>
      <c r="D6094" s="77" t="s">
        <v>84</v>
      </c>
      <c r="F6094" s="94"/>
    </row>
    <row r="6095" spans="1:6" s="53" customFormat="1" ht="14.5" customHeight="1" x14ac:dyDescent="0.35">
      <c r="A6095" s="222" t="s">
        <v>95</v>
      </c>
      <c r="B6095" s="78" t="s">
        <v>1474</v>
      </c>
      <c r="C6095" s="79" t="s">
        <v>959</v>
      </c>
      <c r="D6095" s="80">
        <f>F6102</f>
        <v>10758000</v>
      </c>
      <c r="F6095" s="94"/>
    </row>
    <row r="6096" spans="1:6" s="53" customFormat="1" ht="21" thickBot="1" x14ac:dyDescent="0.5">
      <c r="A6096" s="223"/>
      <c r="B6096" s="71"/>
      <c r="C6096" s="71"/>
      <c r="D6096" s="73"/>
      <c r="F6096" s="94"/>
    </row>
    <row r="6097" spans="1:7" s="53" customFormat="1" ht="15" thickBot="1" x14ac:dyDescent="0.4">
      <c r="A6097" s="223"/>
      <c r="B6097" s="81" t="s">
        <v>81</v>
      </c>
      <c r="C6097" s="82" t="s">
        <v>107</v>
      </c>
      <c r="D6097" s="83" t="s">
        <v>108</v>
      </c>
      <c r="F6097" s="94"/>
    </row>
    <row r="6098" spans="1:7" s="87" customFormat="1" x14ac:dyDescent="0.35">
      <c r="A6098" s="223"/>
      <c r="B6098" s="84" t="str">
        <f>B6095</f>
        <v>15th November,2025</v>
      </c>
      <c r="C6098" s="85" t="s">
        <v>1416</v>
      </c>
      <c r="D6098" s="86">
        <f>1850*2720</f>
        <v>5032000</v>
      </c>
      <c r="F6098" s="177"/>
    </row>
    <row r="6099" spans="1:7" s="53" customFormat="1" x14ac:dyDescent="0.35">
      <c r="A6099" s="223"/>
      <c r="B6099" s="88"/>
      <c r="C6099" s="89" t="s">
        <v>159</v>
      </c>
      <c r="D6099" s="90">
        <f>299*2650</f>
        <v>792350</v>
      </c>
      <c r="F6099" s="94"/>
    </row>
    <row r="6100" spans="1:7" s="53" customFormat="1" x14ac:dyDescent="0.35">
      <c r="A6100" s="223"/>
      <c r="B6100" s="88" t="s">
        <v>109</v>
      </c>
      <c r="C6100" s="89" t="s">
        <v>110</v>
      </c>
      <c r="D6100" s="90">
        <v>1000000</v>
      </c>
      <c r="F6100" s="94"/>
    </row>
    <row r="6101" spans="1:7" s="53" customFormat="1" x14ac:dyDescent="0.35">
      <c r="A6101" s="223"/>
      <c r="B6101" s="88" t="s">
        <v>111</v>
      </c>
      <c r="C6101" s="89" t="s">
        <v>112</v>
      </c>
      <c r="D6101" s="90">
        <v>40000</v>
      </c>
      <c r="E6101" s="225" t="s">
        <v>113</v>
      </c>
      <c r="F6101" s="225"/>
    </row>
    <row r="6102" spans="1:7" s="53" customFormat="1" x14ac:dyDescent="0.35">
      <c r="A6102" s="223"/>
      <c r="B6102" s="88" t="s">
        <v>114</v>
      </c>
      <c r="C6102" s="89" t="s">
        <v>115</v>
      </c>
      <c r="D6102" s="90">
        <f>1000*123</f>
        <v>123000</v>
      </c>
      <c r="E6102" s="91" t="s">
        <v>116</v>
      </c>
      <c r="F6102" s="92">
        <f>4400*2445</f>
        <v>10758000</v>
      </c>
    </row>
    <row r="6103" spans="1:7" s="53" customFormat="1" x14ac:dyDescent="0.35">
      <c r="A6103" s="223"/>
      <c r="B6103" s="88"/>
      <c r="C6103" s="89" t="s">
        <v>117</v>
      </c>
      <c r="D6103" s="90">
        <f>2500*123</f>
        <v>307500</v>
      </c>
      <c r="E6103" s="93" t="s">
        <v>118</v>
      </c>
      <c r="F6103" s="94">
        <f>(2640*2445)+(1700*2445)</f>
        <v>10611300</v>
      </c>
    </row>
    <row r="6104" spans="1:7" s="53" customFormat="1" ht="15" thickBot="1" x14ac:dyDescent="0.4">
      <c r="A6104" s="223"/>
      <c r="B6104" s="88" t="s">
        <v>119</v>
      </c>
      <c r="C6104" s="89" t="s">
        <v>120</v>
      </c>
      <c r="D6104" s="95">
        <v>30000</v>
      </c>
      <c r="E6104" s="96" t="s">
        <v>121</v>
      </c>
      <c r="F6104" s="97">
        <f>F6102-F6103</f>
        <v>146700</v>
      </c>
      <c r="G6104" s="98">
        <f>F6104/2445</f>
        <v>60</v>
      </c>
    </row>
    <row r="6105" spans="1:7" s="53" customFormat="1" ht="15" thickTop="1" x14ac:dyDescent="0.35">
      <c r="A6105" s="223"/>
      <c r="B6105" s="88"/>
      <c r="C6105" s="89" t="s">
        <v>122</v>
      </c>
      <c r="D6105" s="90">
        <v>150000</v>
      </c>
      <c r="F6105" s="94"/>
    </row>
    <row r="6106" spans="1:7" s="53" customFormat="1" x14ac:dyDescent="0.35">
      <c r="A6106" s="223"/>
      <c r="B6106" s="88" t="s">
        <v>1477</v>
      </c>
      <c r="C6106" s="99" t="s">
        <v>123</v>
      </c>
      <c r="D6106" s="90">
        <v>15000</v>
      </c>
      <c r="E6106" s="91" t="s">
        <v>124</v>
      </c>
      <c r="F6106" s="92"/>
    </row>
    <row r="6107" spans="1:7" s="53" customFormat="1" x14ac:dyDescent="0.35">
      <c r="A6107" s="223"/>
      <c r="B6107" s="101"/>
      <c r="C6107" s="99" t="s">
        <v>125</v>
      </c>
      <c r="D6107" s="100">
        <v>10000</v>
      </c>
      <c r="E6107" s="102"/>
      <c r="F6107" s="103"/>
    </row>
    <row r="6108" spans="1:7" s="53" customFormat="1" x14ac:dyDescent="0.35">
      <c r="A6108" s="223"/>
      <c r="B6108" s="101"/>
      <c r="C6108" s="99" t="s">
        <v>126</v>
      </c>
      <c r="D6108" s="100">
        <v>20000</v>
      </c>
      <c r="E6108" s="102" t="s">
        <v>127</v>
      </c>
      <c r="F6108" s="103"/>
    </row>
    <row r="6109" spans="1:7" s="53" customFormat="1" x14ac:dyDescent="0.35">
      <c r="A6109" s="223"/>
      <c r="B6109" s="101"/>
      <c r="C6109" s="89"/>
      <c r="D6109" s="104"/>
      <c r="E6109" s="53" t="s">
        <v>1510</v>
      </c>
      <c r="F6109" s="103"/>
    </row>
    <row r="6110" spans="1:7" s="53" customFormat="1" ht="15" thickBot="1" x14ac:dyDescent="0.4">
      <c r="A6110" s="223"/>
      <c r="B6110" s="105"/>
      <c r="C6110" s="106"/>
      <c r="D6110" s="107"/>
      <c r="E6110" s="53" t="s">
        <v>1749</v>
      </c>
      <c r="F6110" s="94"/>
    </row>
    <row r="6111" spans="1:7" s="53" customFormat="1" ht="15" thickBot="1" x14ac:dyDescent="0.4">
      <c r="A6111" s="223"/>
      <c r="B6111" s="108"/>
      <c r="C6111" s="109" t="s">
        <v>129</v>
      </c>
      <c r="D6111" s="110">
        <f>SUM(D6098:D6110)</f>
        <v>7519850</v>
      </c>
      <c r="F6111" s="94"/>
    </row>
    <row r="6112" spans="1:7" s="53" customFormat="1" ht="15.5" thickTop="1" thickBot="1" x14ac:dyDescent="0.4">
      <c r="A6112" s="224"/>
      <c r="B6112" s="226"/>
      <c r="C6112" s="226"/>
      <c r="D6112" s="226"/>
      <c r="F6112" s="94"/>
    </row>
    <row r="6113" spans="1:6" s="53" customFormat="1" x14ac:dyDescent="0.35">
      <c r="B6113" s="87"/>
      <c r="C6113" s="53" t="s">
        <v>130</v>
      </c>
      <c r="D6113" s="111">
        <f>D6095-D6111</f>
        <v>3238150</v>
      </c>
      <c r="F6113" s="94"/>
    </row>
    <row r="6114" spans="1:6" s="53" customFormat="1" x14ac:dyDescent="0.35">
      <c r="B6114" s="87"/>
      <c r="D6114" s="111"/>
      <c r="F6114" s="94"/>
    </row>
    <row r="6115" spans="1:6" s="53" customFormat="1" x14ac:dyDescent="0.35">
      <c r="A6115" s="112"/>
      <c r="B6115" s="113"/>
      <c r="C6115" s="112"/>
      <c r="D6115" s="114"/>
      <c r="E6115" s="112"/>
      <c r="F6115" s="178"/>
    </row>
    <row r="6117" spans="1:6" s="53" customFormat="1" ht="23.5" x14ac:dyDescent="0.55000000000000004">
      <c r="B6117" s="227" t="s">
        <v>0</v>
      </c>
      <c r="C6117" s="227"/>
      <c r="D6117" s="227"/>
      <c r="E6117" s="70"/>
      <c r="F6117" s="176"/>
    </row>
    <row r="6118" spans="1:6" s="53" customFormat="1" ht="20.5" x14ac:dyDescent="0.45">
      <c r="B6118" s="71"/>
      <c r="C6118" s="72" t="s">
        <v>1480</v>
      </c>
      <c r="D6118" s="73"/>
      <c r="F6118" s="94"/>
    </row>
    <row r="6119" spans="1:6" s="53" customFormat="1" ht="21" thickBot="1" x14ac:dyDescent="0.5">
      <c r="B6119" s="71" t="s">
        <v>996</v>
      </c>
      <c r="C6119" s="74" t="s">
        <v>103</v>
      </c>
      <c r="D6119" s="73"/>
      <c r="F6119" s="94"/>
    </row>
    <row r="6120" spans="1:6" s="53" customFormat="1" ht="15" thickBot="1" x14ac:dyDescent="0.4">
      <c r="A6120" s="75" t="s">
        <v>104</v>
      </c>
      <c r="B6120" s="76" t="s">
        <v>81</v>
      </c>
      <c r="C6120" s="76" t="s">
        <v>105</v>
      </c>
      <c r="D6120" s="77" t="s">
        <v>84</v>
      </c>
      <c r="F6120" s="94"/>
    </row>
    <row r="6121" spans="1:6" s="53" customFormat="1" ht="14.5" customHeight="1" x14ac:dyDescent="0.35">
      <c r="A6121" s="222" t="s">
        <v>95</v>
      </c>
      <c r="B6121" s="78" t="s">
        <v>1474</v>
      </c>
      <c r="C6121" s="79" t="s">
        <v>959</v>
      </c>
      <c r="D6121" s="80">
        <f>F6128</f>
        <v>10758000</v>
      </c>
      <c r="F6121" s="94"/>
    </row>
    <row r="6122" spans="1:6" s="53" customFormat="1" ht="21" thickBot="1" x14ac:dyDescent="0.5">
      <c r="A6122" s="223"/>
      <c r="B6122" s="71"/>
      <c r="C6122" s="71"/>
      <c r="D6122" s="73"/>
      <c r="F6122" s="94"/>
    </row>
    <row r="6123" spans="1:6" s="53" customFormat="1" ht="15" thickBot="1" x14ac:dyDescent="0.4">
      <c r="A6123" s="223"/>
      <c r="B6123" s="81" t="s">
        <v>81</v>
      </c>
      <c r="C6123" s="82" t="s">
        <v>107</v>
      </c>
      <c r="D6123" s="83" t="s">
        <v>108</v>
      </c>
      <c r="F6123" s="94"/>
    </row>
    <row r="6124" spans="1:6" s="87" customFormat="1" x14ac:dyDescent="0.35">
      <c r="A6124" s="223"/>
      <c r="B6124" s="84" t="str">
        <f>B6121</f>
        <v>15th November,2025</v>
      </c>
      <c r="C6124" s="85" t="s">
        <v>1416</v>
      </c>
      <c r="D6124" s="86">
        <f>1850*2720</f>
        <v>5032000</v>
      </c>
      <c r="F6124" s="177"/>
    </row>
    <row r="6125" spans="1:6" s="53" customFormat="1" x14ac:dyDescent="0.35">
      <c r="A6125" s="223"/>
      <c r="B6125" s="88"/>
      <c r="C6125" s="89" t="s">
        <v>188</v>
      </c>
      <c r="D6125" s="90">
        <f>325*2650</f>
        <v>861250</v>
      </c>
      <c r="F6125" s="94"/>
    </row>
    <row r="6126" spans="1:6" s="53" customFormat="1" x14ac:dyDescent="0.35">
      <c r="A6126" s="223"/>
      <c r="B6126" s="88" t="s">
        <v>109</v>
      </c>
      <c r="C6126" s="89" t="s">
        <v>110</v>
      </c>
      <c r="D6126" s="90">
        <v>1000000</v>
      </c>
      <c r="F6126" s="94"/>
    </row>
    <row r="6127" spans="1:6" s="53" customFormat="1" x14ac:dyDescent="0.35">
      <c r="A6127" s="223"/>
      <c r="B6127" s="88" t="s">
        <v>111</v>
      </c>
      <c r="C6127" s="89" t="s">
        <v>112</v>
      </c>
      <c r="D6127" s="90">
        <v>40000</v>
      </c>
      <c r="E6127" s="225" t="s">
        <v>113</v>
      </c>
      <c r="F6127" s="225"/>
    </row>
    <row r="6128" spans="1:6" s="53" customFormat="1" x14ac:dyDescent="0.35">
      <c r="A6128" s="223"/>
      <c r="B6128" s="88" t="s">
        <v>182</v>
      </c>
      <c r="C6128" s="89" t="s">
        <v>115</v>
      </c>
      <c r="D6128" s="90">
        <f>400*123</f>
        <v>49200</v>
      </c>
      <c r="E6128" s="91" t="s">
        <v>116</v>
      </c>
      <c r="F6128" s="92">
        <f>4400*2445</f>
        <v>10758000</v>
      </c>
    </row>
    <row r="6129" spans="1:7" s="53" customFormat="1" x14ac:dyDescent="0.35">
      <c r="A6129" s="223"/>
      <c r="B6129" s="88"/>
      <c r="C6129" s="89" t="s">
        <v>117</v>
      </c>
      <c r="D6129" s="90">
        <f>3000*123</f>
        <v>369000</v>
      </c>
      <c r="E6129" s="93" t="s">
        <v>118</v>
      </c>
      <c r="F6129" s="94">
        <f>(2640*2445)+(1680*2445)</f>
        <v>10562400</v>
      </c>
    </row>
    <row r="6130" spans="1:7" s="53" customFormat="1" ht="15" thickBot="1" x14ac:dyDescent="0.4">
      <c r="A6130" s="223"/>
      <c r="B6130" s="88" t="s">
        <v>119</v>
      </c>
      <c r="C6130" s="89" t="s">
        <v>120</v>
      </c>
      <c r="D6130" s="95">
        <v>30000</v>
      </c>
      <c r="E6130" s="96" t="s">
        <v>121</v>
      </c>
      <c r="F6130" s="97">
        <f>F6128-F6129</f>
        <v>195600</v>
      </c>
      <c r="G6130" s="98">
        <f>F6130/2445</f>
        <v>80</v>
      </c>
    </row>
    <row r="6131" spans="1:7" s="53" customFormat="1" ht="15" thickTop="1" x14ac:dyDescent="0.35">
      <c r="A6131" s="223"/>
      <c r="B6131" s="88"/>
      <c r="C6131" s="89" t="s">
        <v>122</v>
      </c>
      <c r="D6131" s="90">
        <v>150000</v>
      </c>
      <c r="F6131" s="94"/>
    </row>
    <row r="6132" spans="1:7" s="53" customFormat="1" x14ac:dyDescent="0.35">
      <c r="A6132" s="223"/>
      <c r="B6132" s="88" t="s">
        <v>1479</v>
      </c>
      <c r="C6132" s="99" t="s">
        <v>123</v>
      </c>
      <c r="D6132" s="90">
        <v>15000</v>
      </c>
      <c r="E6132" s="91" t="s">
        <v>124</v>
      </c>
      <c r="F6132" s="92"/>
    </row>
    <row r="6133" spans="1:7" s="53" customFormat="1" x14ac:dyDescent="0.35">
      <c r="A6133" s="223"/>
      <c r="B6133" s="101"/>
      <c r="C6133" s="99" t="s">
        <v>125</v>
      </c>
      <c r="D6133" s="100">
        <v>10000</v>
      </c>
      <c r="E6133" s="102"/>
      <c r="F6133" s="103"/>
    </row>
    <row r="6134" spans="1:7" s="53" customFormat="1" x14ac:dyDescent="0.35">
      <c r="A6134" s="223"/>
      <c r="B6134" s="101"/>
      <c r="C6134" s="99" t="s">
        <v>126</v>
      </c>
      <c r="D6134" s="100">
        <v>30000</v>
      </c>
      <c r="E6134" s="102" t="s">
        <v>127</v>
      </c>
      <c r="F6134" s="103"/>
    </row>
    <row r="6135" spans="1:7" s="53" customFormat="1" x14ac:dyDescent="0.35">
      <c r="A6135" s="223"/>
      <c r="B6135" s="101"/>
      <c r="C6135" s="89"/>
      <c r="D6135" s="104"/>
      <c r="E6135" s="53" t="s">
        <v>1511</v>
      </c>
      <c r="F6135" s="103"/>
    </row>
    <row r="6136" spans="1:7" s="53" customFormat="1" ht="15" thickBot="1" x14ac:dyDescent="0.4">
      <c r="A6136" s="223"/>
      <c r="B6136" s="105"/>
      <c r="C6136" s="106"/>
      <c r="D6136" s="107"/>
      <c r="E6136" s="53" t="s">
        <v>1746</v>
      </c>
      <c r="F6136" s="94"/>
    </row>
    <row r="6137" spans="1:7" s="53" customFormat="1" ht="15" thickBot="1" x14ac:dyDescent="0.4">
      <c r="A6137" s="223"/>
      <c r="B6137" s="108"/>
      <c r="C6137" s="109" t="s">
        <v>129</v>
      </c>
      <c r="D6137" s="110">
        <f>SUM(D6124:D6136)</f>
        <v>7586450</v>
      </c>
      <c r="F6137" s="94"/>
    </row>
    <row r="6138" spans="1:7" s="53" customFormat="1" ht="15.5" thickTop="1" thickBot="1" x14ac:dyDescent="0.4">
      <c r="A6138" s="224"/>
      <c r="B6138" s="226"/>
      <c r="C6138" s="226"/>
      <c r="D6138" s="226"/>
      <c r="F6138" s="94"/>
    </row>
    <row r="6139" spans="1:7" s="53" customFormat="1" x14ac:dyDescent="0.35">
      <c r="B6139" s="87"/>
      <c r="C6139" s="53" t="s">
        <v>130</v>
      </c>
      <c r="D6139" s="111">
        <f>D6121-D6137</f>
        <v>3171550</v>
      </c>
      <c r="F6139" s="94"/>
    </row>
    <row r="6140" spans="1:7" s="53" customFormat="1" x14ac:dyDescent="0.35">
      <c r="B6140" s="87"/>
      <c r="D6140" s="111"/>
      <c r="F6140" s="94"/>
    </row>
    <row r="6141" spans="1:7" s="53" customFormat="1" x14ac:dyDescent="0.35">
      <c r="A6141" s="112"/>
      <c r="B6141" s="113"/>
      <c r="C6141" s="112"/>
      <c r="D6141" s="114"/>
      <c r="E6141" s="112"/>
      <c r="F6141" s="178"/>
    </row>
    <row r="6143" spans="1:7" s="53" customFormat="1" ht="23.5" x14ac:dyDescent="0.55000000000000004">
      <c r="B6143" s="227" t="s">
        <v>0</v>
      </c>
      <c r="C6143" s="227"/>
      <c r="D6143" s="227"/>
      <c r="E6143" s="70"/>
      <c r="F6143" s="176"/>
    </row>
    <row r="6144" spans="1:7" s="53" customFormat="1" ht="20.5" x14ac:dyDescent="0.45">
      <c r="B6144" s="71"/>
      <c r="C6144" s="72" t="s">
        <v>1482</v>
      </c>
      <c r="D6144" s="73"/>
      <c r="F6144" s="94"/>
    </row>
    <row r="6145" spans="1:7" s="53" customFormat="1" ht="21" thickBot="1" x14ac:dyDescent="0.5">
      <c r="B6145" s="71" t="s">
        <v>949</v>
      </c>
      <c r="C6145" s="74" t="s">
        <v>103</v>
      </c>
      <c r="D6145" s="73"/>
      <c r="F6145" s="94"/>
    </row>
    <row r="6146" spans="1:7" s="53" customFormat="1" ht="15" thickBot="1" x14ac:dyDescent="0.4">
      <c r="A6146" s="75" t="s">
        <v>104</v>
      </c>
      <c r="B6146" s="76" t="s">
        <v>81</v>
      </c>
      <c r="C6146" s="76" t="s">
        <v>105</v>
      </c>
      <c r="D6146" s="77" t="s">
        <v>84</v>
      </c>
      <c r="F6146" s="94"/>
    </row>
    <row r="6147" spans="1:7" s="53" customFormat="1" ht="14.5" customHeight="1" x14ac:dyDescent="0.35">
      <c r="A6147" s="222" t="s">
        <v>95</v>
      </c>
      <c r="B6147" s="78" t="s">
        <v>1474</v>
      </c>
      <c r="C6147" s="79" t="s">
        <v>959</v>
      </c>
      <c r="D6147" s="80">
        <f>F6154</f>
        <v>10758000</v>
      </c>
      <c r="F6147" s="94"/>
    </row>
    <row r="6148" spans="1:7" s="53" customFormat="1" ht="21" thickBot="1" x14ac:dyDescent="0.5">
      <c r="A6148" s="223"/>
      <c r="B6148" s="71"/>
      <c r="C6148" s="71"/>
      <c r="D6148" s="73"/>
      <c r="F6148" s="94"/>
    </row>
    <row r="6149" spans="1:7" s="53" customFormat="1" ht="15" thickBot="1" x14ac:dyDescent="0.4">
      <c r="A6149" s="223"/>
      <c r="B6149" s="81" t="s">
        <v>81</v>
      </c>
      <c r="C6149" s="82" t="s">
        <v>107</v>
      </c>
      <c r="D6149" s="83" t="s">
        <v>108</v>
      </c>
      <c r="F6149" s="94"/>
    </row>
    <row r="6150" spans="1:7" s="87" customFormat="1" x14ac:dyDescent="0.35">
      <c r="A6150" s="223"/>
      <c r="B6150" s="84" t="str">
        <f>B6147</f>
        <v>15th November,2025</v>
      </c>
      <c r="C6150" s="85" t="s">
        <v>1416</v>
      </c>
      <c r="D6150" s="86">
        <f>1850*2720</f>
        <v>5032000</v>
      </c>
      <c r="F6150" s="177"/>
    </row>
    <row r="6151" spans="1:7" s="53" customFormat="1" x14ac:dyDescent="0.35">
      <c r="A6151" s="223"/>
      <c r="B6151" s="88"/>
      <c r="C6151" s="89" t="s">
        <v>188</v>
      </c>
      <c r="D6151" s="90">
        <f>325*2650</f>
        <v>861250</v>
      </c>
      <c r="F6151" s="94"/>
    </row>
    <row r="6152" spans="1:7" s="53" customFormat="1" x14ac:dyDescent="0.35">
      <c r="A6152" s="223"/>
      <c r="B6152" s="88" t="s">
        <v>109</v>
      </c>
      <c r="C6152" s="89" t="s">
        <v>110</v>
      </c>
      <c r="D6152" s="90">
        <v>1000000</v>
      </c>
      <c r="F6152" s="94"/>
    </row>
    <row r="6153" spans="1:7" s="53" customFormat="1" x14ac:dyDescent="0.35">
      <c r="A6153" s="223"/>
      <c r="B6153" s="88" t="s">
        <v>111</v>
      </c>
      <c r="C6153" s="89" t="s">
        <v>112</v>
      </c>
      <c r="D6153" s="90">
        <v>40000</v>
      </c>
      <c r="E6153" s="225" t="s">
        <v>113</v>
      </c>
      <c r="F6153" s="225"/>
    </row>
    <row r="6154" spans="1:7" s="53" customFormat="1" x14ac:dyDescent="0.35">
      <c r="A6154" s="223"/>
      <c r="B6154" s="88" t="s">
        <v>182</v>
      </c>
      <c r="C6154" s="89" t="s">
        <v>115</v>
      </c>
      <c r="D6154" s="90">
        <f>400*123</f>
        <v>49200</v>
      </c>
      <c r="E6154" s="91" t="s">
        <v>116</v>
      </c>
      <c r="F6154" s="92">
        <f>4400*2445</f>
        <v>10758000</v>
      </c>
    </row>
    <row r="6155" spans="1:7" s="53" customFormat="1" x14ac:dyDescent="0.35">
      <c r="A6155" s="223"/>
      <c r="B6155" s="88"/>
      <c r="C6155" s="89" t="s">
        <v>117</v>
      </c>
      <c r="D6155" s="90">
        <f>3000*123</f>
        <v>369000</v>
      </c>
      <c r="E6155" s="93" t="s">
        <v>118</v>
      </c>
      <c r="F6155" s="94">
        <f>(2640*2445)+(1680*2445)</f>
        <v>10562400</v>
      </c>
    </row>
    <row r="6156" spans="1:7" s="53" customFormat="1" ht="15" thickBot="1" x14ac:dyDescent="0.4">
      <c r="A6156" s="223"/>
      <c r="B6156" s="88" t="s">
        <v>119</v>
      </c>
      <c r="C6156" s="89" t="s">
        <v>120</v>
      </c>
      <c r="D6156" s="95">
        <v>30000</v>
      </c>
      <c r="E6156" s="96" t="s">
        <v>121</v>
      </c>
      <c r="F6156" s="97">
        <f>F6154-F6155</f>
        <v>195600</v>
      </c>
      <c r="G6156" s="98">
        <f>F6156/2445</f>
        <v>80</v>
      </c>
    </row>
    <row r="6157" spans="1:7" s="53" customFormat="1" ht="15" thickTop="1" x14ac:dyDescent="0.35">
      <c r="A6157" s="223"/>
      <c r="B6157" s="88"/>
      <c r="C6157" s="89" t="s">
        <v>122</v>
      </c>
      <c r="D6157" s="90">
        <v>150000</v>
      </c>
      <c r="F6157" s="94"/>
    </row>
    <row r="6158" spans="1:7" s="53" customFormat="1" x14ac:dyDescent="0.35">
      <c r="A6158" s="223"/>
      <c r="B6158" s="88" t="s">
        <v>1481</v>
      </c>
      <c r="C6158" s="99" t="s">
        <v>123</v>
      </c>
      <c r="D6158" s="90">
        <v>15000</v>
      </c>
      <c r="E6158" s="91" t="s">
        <v>124</v>
      </c>
      <c r="F6158" s="92"/>
    </row>
    <row r="6159" spans="1:7" s="53" customFormat="1" x14ac:dyDescent="0.35">
      <c r="A6159" s="223"/>
      <c r="B6159" s="101"/>
      <c r="C6159" s="99" t="s">
        <v>125</v>
      </c>
      <c r="D6159" s="100">
        <v>10000</v>
      </c>
      <c r="E6159" s="102"/>
      <c r="F6159" s="103"/>
    </row>
    <row r="6160" spans="1:7" s="53" customFormat="1" x14ac:dyDescent="0.35">
      <c r="A6160" s="223"/>
      <c r="B6160" s="101"/>
      <c r="C6160" s="99" t="s">
        <v>126</v>
      </c>
      <c r="D6160" s="100">
        <v>20000</v>
      </c>
      <c r="E6160" s="102" t="s">
        <v>127</v>
      </c>
      <c r="F6160" s="103"/>
    </row>
    <row r="6161" spans="1:6" s="53" customFormat="1" x14ac:dyDescent="0.35">
      <c r="A6161" s="223"/>
      <c r="B6161" s="101"/>
      <c r="C6161" s="89"/>
      <c r="D6161" s="104"/>
      <c r="E6161" s="53" t="s">
        <v>1511</v>
      </c>
      <c r="F6161" s="103"/>
    </row>
    <row r="6162" spans="1:6" s="53" customFormat="1" ht="15" thickBot="1" x14ac:dyDescent="0.4">
      <c r="A6162" s="223"/>
      <c r="B6162" s="105"/>
      <c r="C6162" s="106"/>
      <c r="D6162" s="107"/>
      <c r="E6162" s="53" t="s">
        <v>1746</v>
      </c>
      <c r="F6162" s="94"/>
    </row>
    <row r="6163" spans="1:6" s="53" customFormat="1" ht="15" thickBot="1" x14ac:dyDescent="0.4">
      <c r="A6163" s="223"/>
      <c r="B6163" s="108"/>
      <c r="C6163" s="109" t="s">
        <v>129</v>
      </c>
      <c r="D6163" s="110">
        <f>SUM(D6150:D6162)</f>
        <v>7576450</v>
      </c>
      <c r="F6163" s="94"/>
    </row>
    <row r="6164" spans="1:6" s="53" customFormat="1" ht="15.5" thickTop="1" thickBot="1" x14ac:dyDescent="0.4">
      <c r="A6164" s="224"/>
      <c r="B6164" s="226"/>
      <c r="C6164" s="226"/>
      <c r="D6164" s="226"/>
      <c r="F6164" s="94"/>
    </row>
    <row r="6165" spans="1:6" s="53" customFormat="1" x14ac:dyDescent="0.35">
      <c r="B6165" s="87"/>
      <c r="C6165" s="53" t="s">
        <v>130</v>
      </c>
      <c r="D6165" s="111">
        <f>D6147-D6163</f>
        <v>3181550</v>
      </c>
      <c r="F6165" s="94"/>
    </row>
    <row r="6166" spans="1:6" s="53" customFormat="1" x14ac:dyDescent="0.35">
      <c r="B6166" s="87"/>
      <c r="D6166" s="111"/>
      <c r="F6166" s="94"/>
    </row>
    <row r="6167" spans="1:6" s="53" customFormat="1" x14ac:dyDescent="0.35">
      <c r="A6167" s="112"/>
      <c r="B6167" s="113"/>
      <c r="C6167" s="112"/>
      <c r="D6167" s="114"/>
      <c r="E6167" s="112"/>
      <c r="F6167" s="178"/>
    </row>
    <row r="6169" spans="1:6" s="53" customFormat="1" ht="23.5" x14ac:dyDescent="0.55000000000000004">
      <c r="B6169" s="227" t="s">
        <v>0</v>
      </c>
      <c r="C6169" s="227"/>
      <c r="D6169" s="227"/>
      <c r="E6169" s="70"/>
      <c r="F6169" s="176"/>
    </row>
    <row r="6170" spans="1:6" s="53" customFormat="1" ht="20.5" x14ac:dyDescent="0.45">
      <c r="B6170" s="71"/>
      <c r="C6170" s="72" t="s">
        <v>1499</v>
      </c>
      <c r="D6170" s="73"/>
      <c r="F6170" s="94"/>
    </row>
    <row r="6171" spans="1:6" s="53" customFormat="1" ht="21" thickBot="1" x14ac:dyDescent="0.5">
      <c r="B6171" s="71" t="s">
        <v>334</v>
      </c>
      <c r="C6171" s="74" t="s">
        <v>103</v>
      </c>
      <c r="D6171" s="73"/>
      <c r="F6171" s="94"/>
    </row>
    <row r="6172" spans="1:6" s="53" customFormat="1" ht="15" thickBot="1" x14ac:dyDescent="0.4">
      <c r="A6172" s="75" t="s">
        <v>104</v>
      </c>
      <c r="B6172" s="76" t="s">
        <v>81</v>
      </c>
      <c r="C6172" s="76" t="s">
        <v>105</v>
      </c>
      <c r="D6172" s="77" t="s">
        <v>84</v>
      </c>
      <c r="F6172" s="94"/>
    </row>
    <row r="6173" spans="1:6" s="53" customFormat="1" ht="14.5" customHeight="1" x14ac:dyDescent="0.35">
      <c r="A6173" s="222" t="s">
        <v>95</v>
      </c>
      <c r="B6173" s="78" t="s">
        <v>1500</v>
      </c>
      <c r="C6173" s="79" t="s">
        <v>959</v>
      </c>
      <c r="D6173" s="80">
        <f>F6180</f>
        <v>10758000</v>
      </c>
      <c r="F6173" s="94"/>
    </row>
    <row r="6174" spans="1:6" s="53" customFormat="1" ht="21" thickBot="1" x14ac:dyDescent="0.5">
      <c r="A6174" s="223"/>
      <c r="B6174" s="71"/>
      <c r="C6174" s="71"/>
      <c r="D6174" s="73"/>
      <c r="F6174" s="94"/>
    </row>
    <row r="6175" spans="1:6" s="53" customFormat="1" ht="15" thickBot="1" x14ac:dyDescent="0.4">
      <c r="A6175" s="223"/>
      <c r="B6175" s="81" t="s">
        <v>81</v>
      </c>
      <c r="C6175" s="82" t="s">
        <v>107</v>
      </c>
      <c r="D6175" s="83" t="s">
        <v>108</v>
      </c>
      <c r="F6175" s="94"/>
    </row>
    <row r="6176" spans="1:6" s="87" customFormat="1" x14ac:dyDescent="0.35">
      <c r="A6176" s="223"/>
      <c r="B6176" s="84" t="str">
        <f>B6173</f>
        <v>20th November,2025</v>
      </c>
      <c r="C6176" s="85" t="s">
        <v>1416</v>
      </c>
      <c r="D6176" s="86">
        <f>1850*2720</f>
        <v>5032000</v>
      </c>
      <c r="F6176" s="177"/>
    </row>
    <row r="6177" spans="1:7" s="53" customFormat="1" x14ac:dyDescent="0.35">
      <c r="A6177" s="223"/>
      <c r="B6177" s="88"/>
      <c r="C6177" s="89" t="s">
        <v>188</v>
      </c>
      <c r="D6177" s="90">
        <f>325*2650</f>
        <v>861250</v>
      </c>
      <c r="F6177" s="94"/>
    </row>
    <row r="6178" spans="1:7" s="53" customFormat="1" x14ac:dyDescent="0.35">
      <c r="A6178" s="223"/>
      <c r="B6178" s="88" t="s">
        <v>109</v>
      </c>
      <c r="C6178" s="89" t="s">
        <v>110</v>
      </c>
      <c r="D6178" s="90">
        <v>1000000</v>
      </c>
      <c r="F6178" s="94"/>
    </row>
    <row r="6179" spans="1:7" s="53" customFormat="1" x14ac:dyDescent="0.35">
      <c r="A6179" s="223"/>
      <c r="B6179" s="88" t="s">
        <v>111</v>
      </c>
      <c r="C6179" s="89" t="s">
        <v>112</v>
      </c>
      <c r="D6179" s="90">
        <v>40000</v>
      </c>
      <c r="E6179" s="225" t="s">
        <v>113</v>
      </c>
      <c r="F6179" s="225"/>
    </row>
    <row r="6180" spans="1:7" s="53" customFormat="1" x14ac:dyDescent="0.35">
      <c r="A6180" s="223"/>
      <c r="B6180" s="88" t="s">
        <v>182</v>
      </c>
      <c r="C6180" s="89" t="s">
        <v>115</v>
      </c>
      <c r="D6180" s="90">
        <f>1150*123</f>
        <v>141450</v>
      </c>
      <c r="E6180" s="91" t="s">
        <v>116</v>
      </c>
      <c r="F6180" s="92">
        <f>4400*2445</f>
        <v>10758000</v>
      </c>
    </row>
    <row r="6181" spans="1:7" s="53" customFormat="1" x14ac:dyDescent="0.35">
      <c r="A6181" s="223"/>
      <c r="B6181" s="88"/>
      <c r="C6181" s="89" t="s">
        <v>117</v>
      </c>
      <c r="D6181" s="90">
        <f>3000*123</f>
        <v>369000</v>
      </c>
      <c r="E6181" s="93" t="s">
        <v>118</v>
      </c>
      <c r="F6181" s="94">
        <f>(2640*2445)+(1760*2445)</f>
        <v>10758000</v>
      </c>
    </row>
    <row r="6182" spans="1:7" s="53" customFormat="1" ht="15" thickBot="1" x14ac:dyDescent="0.4">
      <c r="A6182" s="223"/>
      <c r="B6182" s="88" t="s">
        <v>119</v>
      </c>
      <c r="C6182" s="89" t="s">
        <v>120</v>
      </c>
      <c r="D6182" s="95">
        <v>30000</v>
      </c>
      <c r="E6182" s="96" t="s">
        <v>121</v>
      </c>
      <c r="F6182" s="97">
        <f>F6180-F6181</f>
        <v>0</v>
      </c>
      <c r="G6182" s="98">
        <f>F6182/2445</f>
        <v>0</v>
      </c>
    </row>
    <row r="6183" spans="1:7" s="53" customFormat="1" ht="15" thickTop="1" x14ac:dyDescent="0.35">
      <c r="A6183" s="223"/>
      <c r="B6183" s="88"/>
      <c r="C6183" s="89" t="s">
        <v>122</v>
      </c>
      <c r="D6183" s="90">
        <v>150000</v>
      </c>
      <c r="F6183" s="94"/>
    </row>
    <row r="6184" spans="1:7" s="53" customFormat="1" x14ac:dyDescent="0.35">
      <c r="A6184" s="223"/>
      <c r="B6184" s="88" t="s">
        <v>1498</v>
      </c>
      <c r="C6184" s="99" t="s">
        <v>123</v>
      </c>
      <c r="D6184" s="90">
        <v>15000</v>
      </c>
      <c r="E6184" s="91" t="s">
        <v>124</v>
      </c>
      <c r="F6184" s="92"/>
    </row>
    <row r="6185" spans="1:7" s="53" customFormat="1" x14ac:dyDescent="0.35">
      <c r="A6185" s="223"/>
      <c r="B6185" s="101"/>
      <c r="C6185" s="99" t="s">
        <v>125</v>
      </c>
      <c r="D6185" s="100">
        <v>10000</v>
      </c>
      <c r="E6185" s="102"/>
      <c r="F6185" s="103"/>
    </row>
    <row r="6186" spans="1:7" s="53" customFormat="1" x14ac:dyDescent="0.35">
      <c r="A6186" s="223"/>
      <c r="B6186" s="101"/>
      <c r="C6186" s="99" t="s">
        <v>126</v>
      </c>
      <c r="D6186" s="100">
        <v>30000</v>
      </c>
      <c r="E6186" s="102" t="s">
        <v>127</v>
      </c>
      <c r="F6186" s="103"/>
    </row>
    <row r="6187" spans="1:7" s="53" customFormat="1" x14ac:dyDescent="0.35">
      <c r="A6187" s="223"/>
      <c r="B6187" s="101"/>
      <c r="C6187" s="89" t="s">
        <v>265</v>
      </c>
      <c r="D6187" s="104">
        <f>853*123</f>
        <v>104919</v>
      </c>
      <c r="E6187" s="53" t="s">
        <v>1542</v>
      </c>
      <c r="F6187" s="103"/>
    </row>
    <row r="6188" spans="1:7" s="53" customFormat="1" ht="15" thickBot="1" x14ac:dyDescent="0.4">
      <c r="A6188" s="223"/>
      <c r="B6188" s="105"/>
      <c r="C6188" s="106"/>
      <c r="D6188" s="107"/>
      <c r="E6188" s="53" t="s">
        <v>1751</v>
      </c>
      <c r="F6188" s="94"/>
    </row>
    <row r="6189" spans="1:7" s="53" customFormat="1" ht="15" thickBot="1" x14ac:dyDescent="0.4">
      <c r="A6189" s="223"/>
      <c r="B6189" s="108"/>
      <c r="C6189" s="109" t="s">
        <v>129</v>
      </c>
      <c r="D6189" s="110">
        <f>SUM(D6176:D6188)</f>
        <v>7783619</v>
      </c>
      <c r="F6189" s="94"/>
    </row>
    <row r="6190" spans="1:7" s="53" customFormat="1" ht="15.5" thickTop="1" thickBot="1" x14ac:dyDescent="0.4">
      <c r="A6190" s="224"/>
      <c r="B6190" s="226"/>
      <c r="C6190" s="226"/>
      <c r="D6190" s="226"/>
      <c r="F6190" s="94"/>
    </row>
    <row r="6191" spans="1:7" s="53" customFormat="1" x14ac:dyDescent="0.35">
      <c r="B6191" s="87"/>
      <c r="C6191" s="53" t="s">
        <v>130</v>
      </c>
      <c r="D6191" s="111">
        <f>D6173-D6189</f>
        <v>2974381</v>
      </c>
      <c r="F6191" s="94"/>
    </row>
    <row r="6192" spans="1:7" s="53" customFormat="1" x14ac:dyDescent="0.35">
      <c r="B6192" s="87"/>
      <c r="D6192" s="111"/>
      <c r="F6192" s="94"/>
    </row>
    <row r="6193" spans="1:7" s="53" customFormat="1" x14ac:dyDescent="0.35">
      <c r="A6193" s="112"/>
      <c r="B6193" s="113"/>
      <c r="C6193" s="112"/>
      <c r="D6193" s="114"/>
      <c r="E6193" s="112"/>
      <c r="F6193" s="178"/>
    </row>
    <row r="6195" spans="1:7" s="53" customFormat="1" ht="23.5" x14ac:dyDescent="0.55000000000000004">
      <c r="B6195" s="227" t="s">
        <v>0</v>
      </c>
      <c r="C6195" s="227"/>
      <c r="D6195" s="227"/>
      <c r="E6195" s="70"/>
      <c r="F6195" s="176"/>
    </row>
    <row r="6196" spans="1:7" s="53" customFormat="1" ht="20.5" x14ac:dyDescent="0.45">
      <c r="B6196" s="71"/>
      <c r="C6196" s="72" t="s">
        <v>1502</v>
      </c>
      <c r="D6196" s="73"/>
      <c r="F6196" s="94"/>
    </row>
    <row r="6197" spans="1:7" s="53" customFormat="1" ht="21" thickBot="1" x14ac:dyDescent="0.5">
      <c r="B6197" s="71" t="s">
        <v>173</v>
      </c>
      <c r="C6197" s="74" t="s">
        <v>103</v>
      </c>
      <c r="D6197" s="73"/>
      <c r="F6197" s="94"/>
    </row>
    <row r="6198" spans="1:7" s="53" customFormat="1" ht="15" thickBot="1" x14ac:dyDescent="0.4">
      <c r="A6198" s="75" t="s">
        <v>104</v>
      </c>
      <c r="B6198" s="76" t="s">
        <v>81</v>
      </c>
      <c r="C6198" s="76" t="s">
        <v>105</v>
      </c>
      <c r="D6198" s="77" t="s">
        <v>84</v>
      </c>
      <c r="F6198" s="94"/>
    </row>
    <row r="6199" spans="1:7" s="53" customFormat="1" ht="14.5" customHeight="1" x14ac:dyDescent="0.35">
      <c r="A6199" s="222" t="s">
        <v>95</v>
      </c>
      <c r="B6199" s="78" t="s">
        <v>1500</v>
      </c>
      <c r="C6199" s="79" t="s">
        <v>959</v>
      </c>
      <c r="D6199" s="80">
        <f>F6206</f>
        <v>10758000</v>
      </c>
      <c r="F6199" s="94"/>
    </row>
    <row r="6200" spans="1:7" s="53" customFormat="1" ht="21" thickBot="1" x14ac:dyDescent="0.5">
      <c r="A6200" s="223"/>
      <c r="B6200" s="71"/>
      <c r="C6200" s="71"/>
      <c r="D6200" s="73"/>
      <c r="F6200" s="94"/>
    </row>
    <row r="6201" spans="1:7" s="53" customFormat="1" ht="15" thickBot="1" x14ac:dyDescent="0.4">
      <c r="A6201" s="223"/>
      <c r="B6201" s="81" t="s">
        <v>81</v>
      </c>
      <c r="C6201" s="82" t="s">
        <v>107</v>
      </c>
      <c r="D6201" s="83" t="s">
        <v>108</v>
      </c>
      <c r="F6201" s="94"/>
    </row>
    <row r="6202" spans="1:7" s="87" customFormat="1" x14ac:dyDescent="0.35">
      <c r="A6202" s="223"/>
      <c r="B6202" s="84" t="str">
        <f>B6199</f>
        <v>20th November,2025</v>
      </c>
      <c r="C6202" s="85" t="s">
        <v>1416</v>
      </c>
      <c r="D6202" s="86">
        <f>1850*2720</f>
        <v>5032000</v>
      </c>
      <c r="F6202" s="177"/>
    </row>
    <row r="6203" spans="1:7" s="53" customFormat="1" x14ac:dyDescent="0.35">
      <c r="A6203" s="223"/>
      <c r="B6203" s="88"/>
      <c r="C6203" s="89" t="s">
        <v>188</v>
      </c>
      <c r="D6203" s="90">
        <f>325*2650</f>
        <v>861250</v>
      </c>
      <c r="F6203" s="94"/>
    </row>
    <row r="6204" spans="1:7" s="53" customFormat="1" x14ac:dyDescent="0.35">
      <c r="A6204" s="223"/>
      <c r="B6204" s="88" t="s">
        <v>109</v>
      </c>
      <c r="C6204" s="89" t="s">
        <v>110</v>
      </c>
      <c r="D6204" s="90">
        <v>1000000</v>
      </c>
      <c r="F6204" s="94"/>
    </row>
    <row r="6205" spans="1:7" s="53" customFormat="1" x14ac:dyDescent="0.35">
      <c r="A6205" s="223"/>
      <c r="B6205" s="88" t="s">
        <v>111</v>
      </c>
      <c r="C6205" s="89" t="s">
        <v>112</v>
      </c>
      <c r="D6205" s="90">
        <v>40000</v>
      </c>
      <c r="E6205" s="225" t="s">
        <v>113</v>
      </c>
      <c r="F6205" s="225"/>
    </row>
    <row r="6206" spans="1:7" s="53" customFormat="1" x14ac:dyDescent="0.35">
      <c r="A6206" s="223"/>
      <c r="B6206" s="88" t="s">
        <v>182</v>
      </c>
      <c r="C6206" s="89" t="s">
        <v>115</v>
      </c>
      <c r="D6206" s="90">
        <f>400*123</f>
        <v>49200</v>
      </c>
      <c r="E6206" s="91" t="s">
        <v>116</v>
      </c>
      <c r="F6206" s="92">
        <f>4400*2445</f>
        <v>10758000</v>
      </c>
    </row>
    <row r="6207" spans="1:7" s="53" customFormat="1" x14ac:dyDescent="0.35">
      <c r="A6207" s="223"/>
      <c r="B6207" s="88"/>
      <c r="C6207" s="89" t="s">
        <v>117</v>
      </c>
      <c r="D6207" s="90">
        <f>3000*123</f>
        <v>369000</v>
      </c>
      <c r="E6207" s="93" t="s">
        <v>118</v>
      </c>
      <c r="F6207" s="94">
        <f>(2640*2445)+(1760*2445)</f>
        <v>10758000</v>
      </c>
    </row>
    <row r="6208" spans="1:7" s="53" customFormat="1" ht="15" thickBot="1" x14ac:dyDescent="0.4">
      <c r="A6208" s="223"/>
      <c r="B6208" s="88" t="s">
        <v>119</v>
      </c>
      <c r="C6208" s="89" t="s">
        <v>120</v>
      </c>
      <c r="D6208" s="95">
        <v>30000</v>
      </c>
      <c r="E6208" s="96" t="s">
        <v>121</v>
      </c>
      <c r="F6208" s="97">
        <f>F6206-F6207</f>
        <v>0</v>
      </c>
      <c r="G6208" s="98">
        <f>F6208/2445</f>
        <v>0</v>
      </c>
    </row>
    <row r="6209" spans="1:6" s="53" customFormat="1" ht="15" thickTop="1" x14ac:dyDescent="0.35">
      <c r="A6209" s="223"/>
      <c r="B6209" s="88"/>
      <c r="C6209" s="89" t="s">
        <v>122</v>
      </c>
      <c r="D6209" s="90">
        <v>150000</v>
      </c>
      <c r="F6209" s="94"/>
    </row>
    <row r="6210" spans="1:6" s="53" customFormat="1" x14ac:dyDescent="0.35">
      <c r="A6210" s="223"/>
      <c r="B6210" s="88" t="s">
        <v>1501</v>
      </c>
      <c r="C6210" s="99" t="s">
        <v>123</v>
      </c>
      <c r="D6210" s="90">
        <v>15000</v>
      </c>
      <c r="E6210" s="91" t="s">
        <v>124</v>
      </c>
      <c r="F6210" s="92"/>
    </row>
    <row r="6211" spans="1:6" s="53" customFormat="1" x14ac:dyDescent="0.35">
      <c r="A6211" s="223"/>
      <c r="B6211" s="101"/>
      <c r="C6211" s="99" t="s">
        <v>125</v>
      </c>
      <c r="D6211" s="100">
        <v>10000</v>
      </c>
      <c r="E6211" s="102"/>
      <c r="F6211" s="103"/>
    </row>
    <row r="6212" spans="1:6" s="53" customFormat="1" x14ac:dyDescent="0.35">
      <c r="A6212" s="223"/>
      <c r="B6212" s="101"/>
      <c r="C6212" s="99" t="s">
        <v>126</v>
      </c>
      <c r="D6212" s="100">
        <v>20000</v>
      </c>
      <c r="E6212" s="102" t="s">
        <v>127</v>
      </c>
      <c r="F6212" s="103"/>
    </row>
    <row r="6213" spans="1:6" s="53" customFormat="1" x14ac:dyDescent="0.35">
      <c r="A6213" s="223"/>
      <c r="B6213" s="101"/>
      <c r="C6213" s="89"/>
      <c r="D6213" s="104"/>
      <c r="E6213" s="53" t="s">
        <v>1542</v>
      </c>
      <c r="F6213" s="103"/>
    </row>
    <row r="6214" spans="1:6" s="53" customFormat="1" ht="15" thickBot="1" x14ac:dyDescent="0.4">
      <c r="A6214" s="223"/>
      <c r="B6214" s="105"/>
      <c r="C6214" s="106"/>
      <c r="D6214" s="107"/>
      <c r="E6214" s="53" t="s">
        <v>1751</v>
      </c>
      <c r="F6214" s="94"/>
    </row>
    <row r="6215" spans="1:6" s="53" customFormat="1" ht="15" thickBot="1" x14ac:dyDescent="0.4">
      <c r="A6215" s="223"/>
      <c r="B6215" s="108"/>
      <c r="C6215" s="109" t="s">
        <v>129</v>
      </c>
      <c r="D6215" s="110">
        <f>SUM(D6202:D6214)</f>
        <v>7576450</v>
      </c>
      <c r="F6215" s="94"/>
    </row>
    <row r="6216" spans="1:6" s="53" customFormat="1" ht="15.5" thickTop="1" thickBot="1" x14ac:dyDescent="0.4">
      <c r="A6216" s="224"/>
      <c r="B6216" s="226"/>
      <c r="C6216" s="226"/>
      <c r="D6216" s="226"/>
      <c r="F6216" s="94"/>
    </row>
    <row r="6217" spans="1:6" s="53" customFormat="1" x14ac:dyDescent="0.35">
      <c r="B6217" s="87"/>
      <c r="C6217" s="53" t="s">
        <v>130</v>
      </c>
      <c r="D6217" s="111">
        <f>D6199-D6215</f>
        <v>3181550</v>
      </c>
      <c r="F6217" s="94"/>
    </row>
    <row r="6218" spans="1:6" s="53" customFormat="1" x14ac:dyDescent="0.35">
      <c r="B6218" s="87"/>
      <c r="D6218" s="111"/>
      <c r="F6218" s="94"/>
    </row>
    <row r="6219" spans="1:6" s="53" customFormat="1" x14ac:dyDescent="0.35">
      <c r="A6219" s="112"/>
      <c r="B6219" s="113"/>
      <c r="C6219" s="112"/>
      <c r="D6219" s="114"/>
      <c r="E6219" s="112"/>
      <c r="F6219" s="178"/>
    </row>
    <row r="6221" spans="1:6" s="53" customFormat="1" ht="23.5" x14ac:dyDescent="0.55000000000000004">
      <c r="B6221" s="227" t="s">
        <v>0</v>
      </c>
      <c r="C6221" s="227"/>
      <c r="D6221" s="227"/>
      <c r="E6221" s="70"/>
      <c r="F6221" s="176"/>
    </row>
    <row r="6222" spans="1:6" s="53" customFormat="1" ht="20.5" x14ac:dyDescent="0.45">
      <c r="B6222" s="71"/>
      <c r="C6222" s="72" t="s">
        <v>1505</v>
      </c>
      <c r="D6222" s="73"/>
      <c r="F6222" s="94"/>
    </row>
    <row r="6223" spans="1:6" s="53" customFormat="1" ht="21" thickBot="1" x14ac:dyDescent="0.5">
      <c r="B6223" s="71" t="s">
        <v>964</v>
      </c>
      <c r="C6223" s="74" t="s">
        <v>103</v>
      </c>
      <c r="D6223" s="73"/>
      <c r="F6223" s="94"/>
    </row>
    <row r="6224" spans="1:6" s="53" customFormat="1" ht="15" thickBot="1" x14ac:dyDescent="0.4">
      <c r="A6224" s="75" t="s">
        <v>104</v>
      </c>
      <c r="B6224" s="76" t="s">
        <v>81</v>
      </c>
      <c r="C6224" s="76" t="s">
        <v>105</v>
      </c>
      <c r="D6224" s="77" t="s">
        <v>84</v>
      </c>
      <c r="F6224" s="94"/>
    </row>
    <row r="6225" spans="1:7" s="53" customFormat="1" ht="14.5" customHeight="1" x14ac:dyDescent="0.35">
      <c r="A6225" s="222" t="s">
        <v>93</v>
      </c>
      <c r="B6225" s="78" t="s">
        <v>1507</v>
      </c>
      <c r="C6225" s="79" t="s">
        <v>959</v>
      </c>
      <c r="D6225" s="80">
        <f>F6232</f>
        <v>12225000</v>
      </c>
      <c r="F6225" s="94"/>
    </row>
    <row r="6226" spans="1:7" s="53" customFormat="1" ht="21" thickBot="1" x14ac:dyDescent="0.5">
      <c r="A6226" s="223"/>
      <c r="B6226" s="71"/>
      <c r="C6226" s="71"/>
      <c r="D6226" s="73"/>
      <c r="F6226" s="94"/>
    </row>
    <row r="6227" spans="1:7" s="53" customFormat="1" ht="15" thickBot="1" x14ac:dyDescent="0.4">
      <c r="A6227" s="223"/>
      <c r="B6227" s="81" t="s">
        <v>81</v>
      </c>
      <c r="C6227" s="82" t="s">
        <v>107</v>
      </c>
      <c r="D6227" s="83" t="s">
        <v>108</v>
      </c>
      <c r="F6227" s="94"/>
    </row>
    <row r="6228" spans="1:7" s="87" customFormat="1" x14ac:dyDescent="0.35">
      <c r="A6228" s="223"/>
      <c r="B6228" s="84" t="str">
        <f>B6225</f>
        <v>21st November,2025</v>
      </c>
      <c r="C6228" s="85" t="s">
        <v>1603</v>
      </c>
      <c r="D6228" s="86">
        <f>1900*2777</f>
        <v>5276300</v>
      </c>
      <c r="F6228" s="177"/>
    </row>
    <row r="6229" spans="1:7" s="53" customFormat="1" x14ac:dyDescent="0.35">
      <c r="A6229" s="223"/>
      <c r="B6229" s="88"/>
      <c r="C6229" s="89" t="s">
        <v>1506</v>
      </c>
      <c r="D6229" s="90">
        <f>356*2500</f>
        <v>890000</v>
      </c>
      <c r="F6229" s="94"/>
    </row>
    <row r="6230" spans="1:7" s="53" customFormat="1" x14ac:dyDescent="0.35">
      <c r="A6230" s="223"/>
      <c r="B6230" s="88" t="s">
        <v>109</v>
      </c>
      <c r="C6230" s="89" t="s">
        <v>110</v>
      </c>
      <c r="D6230" s="90">
        <v>1000000</v>
      </c>
      <c r="F6230" s="94"/>
    </row>
    <row r="6231" spans="1:7" s="53" customFormat="1" x14ac:dyDescent="0.35">
      <c r="A6231" s="223"/>
      <c r="B6231" s="88" t="s">
        <v>111</v>
      </c>
      <c r="C6231" s="89" t="s">
        <v>112</v>
      </c>
      <c r="D6231" s="90">
        <v>40000</v>
      </c>
      <c r="E6231" s="225" t="s">
        <v>113</v>
      </c>
      <c r="F6231" s="225"/>
    </row>
    <row r="6232" spans="1:7" s="53" customFormat="1" x14ac:dyDescent="0.35">
      <c r="A6232" s="223"/>
      <c r="B6232" s="88" t="s">
        <v>415</v>
      </c>
      <c r="C6232" s="89" t="s">
        <v>115</v>
      </c>
      <c r="D6232" s="90">
        <f>1000*120</f>
        <v>120000</v>
      </c>
      <c r="E6232" s="91" t="s">
        <v>116</v>
      </c>
      <c r="F6232" s="92">
        <f>5000*2445</f>
        <v>12225000</v>
      </c>
    </row>
    <row r="6233" spans="1:7" s="53" customFormat="1" x14ac:dyDescent="0.35">
      <c r="A6233" s="223"/>
      <c r="B6233" s="88"/>
      <c r="C6233" s="89" t="s">
        <v>117</v>
      </c>
      <c r="D6233" s="90">
        <f>4400*123</f>
        <v>541200</v>
      </c>
      <c r="E6233" s="93" t="s">
        <v>118</v>
      </c>
      <c r="F6233" s="94">
        <f>(3000*2445)+(1972.49*2445)</f>
        <v>12157738.050000001</v>
      </c>
    </row>
    <row r="6234" spans="1:7" s="53" customFormat="1" ht="15" thickBot="1" x14ac:dyDescent="0.4">
      <c r="A6234" s="223"/>
      <c r="B6234" s="88" t="s">
        <v>119</v>
      </c>
      <c r="C6234" s="89" t="s">
        <v>120</v>
      </c>
      <c r="D6234" s="95">
        <v>30000</v>
      </c>
      <c r="E6234" s="96" t="s">
        <v>121</v>
      </c>
      <c r="F6234" s="97">
        <f>F6232-F6233</f>
        <v>67261.949999999255</v>
      </c>
      <c r="G6234" s="98">
        <f>F6234/2445</f>
        <v>27.509999999999696</v>
      </c>
    </row>
    <row r="6235" spans="1:7" s="53" customFormat="1" ht="15" thickTop="1" x14ac:dyDescent="0.35">
      <c r="A6235" s="223"/>
      <c r="B6235" s="88"/>
      <c r="C6235" s="99" t="s">
        <v>123</v>
      </c>
      <c r="D6235" s="90">
        <v>15000</v>
      </c>
      <c r="F6235" s="94"/>
    </row>
    <row r="6236" spans="1:7" s="53" customFormat="1" x14ac:dyDescent="0.35">
      <c r="A6236" s="223"/>
      <c r="B6236" s="88" t="s">
        <v>1504</v>
      </c>
      <c r="C6236" s="99" t="s">
        <v>125</v>
      </c>
      <c r="D6236" s="100">
        <v>10000</v>
      </c>
      <c r="E6236" s="91" t="s">
        <v>124</v>
      </c>
      <c r="F6236" s="92"/>
    </row>
    <row r="6237" spans="1:7" s="53" customFormat="1" x14ac:dyDescent="0.35">
      <c r="A6237" s="223"/>
      <c r="B6237" s="101"/>
      <c r="C6237" s="99" t="s">
        <v>126</v>
      </c>
      <c r="D6237" s="100">
        <v>20000</v>
      </c>
      <c r="E6237" s="102"/>
      <c r="F6237" s="103"/>
    </row>
    <row r="6238" spans="1:7" s="53" customFormat="1" x14ac:dyDescent="0.35">
      <c r="A6238" s="223"/>
      <c r="B6238" s="101"/>
      <c r="C6238" s="89"/>
      <c r="D6238" s="104"/>
      <c r="E6238" s="102" t="s">
        <v>127</v>
      </c>
      <c r="F6238" s="103"/>
    </row>
    <row r="6239" spans="1:7" s="53" customFormat="1" x14ac:dyDescent="0.35">
      <c r="A6239" s="223"/>
      <c r="B6239" s="101"/>
      <c r="C6239" s="89"/>
      <c r="D6239" s="104"/>
      <c r="E6239" s="53" t="s">
        <v>1542</v>
      </c>
      <c r="F6239" s="103"/>
    </row>
    <row r="6240" spans="1:7" s="53" customFormat="1" ht="15" thickBot="1" x14ac:dyDescent="0.4">
      <c r="A6240" s="223"/>
      <c r="B6240" s="105"/>
      <c r="C6240" s="106"/>
      <c r="D6240" s="107"/>
      <c r="E6240" s="53" t="s">
        <v>1751</v>
      </c>
      <c r="F6240" s="94"/>
    </row>
    <row r="6241" spans="1:6" s="53" customFormat="1" ht="15" thickBot="1" x14ac:dyDescent="0.4">
      <c r="A6241" s="223"/>
      <c r="B6241" s="108"/>
      <c r="C6241" s="109" t="s">
        <v>129</v>
      </c>
      <c r="D6241" s="110">
        <f>SUM(D6228:D6240)</f>
        <v>7942500</v>
      </c>
      <c r="F6241" s="94"/>
    </row>
    <row r="6242" spans="1:6" s="53" customFormat="1" ht="15.5" thickTop="1" thickBot="1" x14ac:dyDescent="0.4">
      <c r="A6242" s="224"/>
      <c r="B6242" s="226"/>
      <c r="C6242" s="226"/>
      <c r="D6242" s="226"/>
      <c r="F6242" s="94"/>
    </row>
    <row r="6243" spans="1:6" s="53" customFormat="1" x14ac:dyDescent="0.35">
      <c r="B6243" s="87"/>
      <c r="C6243" s="53" t="s">
        <v>130</v>
      </c>
      <c r="D6243" s="111">
        <f>D6225-D6241</f>
        <v>4282500</v>
      </c>
      <c r="F6243" s="94"/>
    </row>
    <row r="6244" spans="1:6" s="53" customFormat="1" x14ac:dyDescent="0.35">
      <c r="B6244" s="87"/>
      <c r="D6244" s="111"/>
      <c r="F6244" s="94"/>
    </row>
    <row r="6245" spans="1:6" s="53" customFormat="1" x14ac:dyDescent="0.35">
      <c r="A6245" s="112"/>
      <c r="B6245" s="113"/>
      <c r="C6245" s="112"/>
      <c r="D6245" s="114"/>
      <c r="E6245" s="112"/>
      <c r="F6245" s="178"/>
    </row>
    <row r="6247" spans="1:6" s="53" customFormat="1" ht="23.5" x14ac:dyDescent="0.55000000000000004">
      <c r="B6247" s="227" t="s">
        <v>0</v>
      </c>
      <c r="C6247" s="227"/>
      <c r="D6247" s="227"/>
      <c r="E6247" s="70"/>
      <c r="F6247" s="176"/>
    </row>
    <row r="6248" spans="1:6" s="53" customFormat="1" ht="20.5" x14ac:dyDescent="0.45">
      <c r="B6248" s="71"/>
      <c r="C6248" s="72" t="s">
        <v>1519</v>
      </c>
      <c r="D6248" s="73"/>
      <c r="F6248" s="94"/>
    </row>
    <row r="6249" spans="1:6" s="53" customFormat="1" ht="21" thickBot="1" x14ac:dyDescent="0.5">
      <c r="B6249" s="71" t="s">
        <v>222</v>
      </c>
      <c r="C6249" s="74" t="s">
        <v>103</v>
      </c>
      <c r="D6249" s="73"/>
      <c r="F6249" s="94"/>
    </row>
    <row r="6250" spans="1:6" s="53" customFormat="1" ht="15" thickBot="1" x14ac:dyDescent="0.4">
      <c r="A6250" s="75" t="s">
        <v>104</v>
      </c>
      <c r="B6250" s="76" t="s">
        <v>81</v>
      </c>
      <c r="C6250" s="76" t="s">
        <v>105</v>
      </c>
      <c r="D6250" s="77" t="s">
        <v>84</v>
      </c>
      <c r="F6250" s="94"/>
    </row>
    <row r="6251" spans="1:6" s="53" customFormat="1" ht="14.5" customHeight="1" x14ac:dyDescent="0.35">
      <c r="A6251" s="222" t="s">
        <v>95</v>
      </c>
      <c r="B6251" s="78" t="s">
        <v>1521</v>
      </c>
      <c r="C6251" s="79" t="s">
        <v>959</v>
      </c>
      <c r="D6251" s="80">
        <f>F6258</f>
        <v>10758000</v>
      </c>
      <c r="F6251" s="94"/>
    </row>
    <row r="6252" spans="1:6" s="53" customFormat="1" ht="21" thickBot="1" x14ac:dyDescent="0.5">
      <c r="A6252" s="223"/>
      <c r="B6252" s="71"/>
      <c r="C6252" s="71"/>
      <c r="D6252" s="73"/>
      <c r="F6252" s="94"/>
    </row>
    <row r="6253" spans="1:6" s="53" customFormat="1" ht="15" thickBot="1" x14ac:dyDescent="0.4">
      <c r="A6253" s="223"/>
      <c r="B6253" s="81" t="s">
        <v>81</v>
      </c>
      <c r="C6253" s="82" t="s">
        <v>107</v>
      </c>
      <c r="D6253" s="83" t="s">
        <v>108</v>
      </c>
      <c r="F6253" s="94"/>
    </row>
    <row r="6254" spans="1:6" s="87" customFormat="1" x14ac:dyDescent="0.35">
      <c r="A6254" s="223"/>
      <c r="B6254" s="84" t="str">
        <f>B6251</f>
        <v>22nd November,2025</v>
      </c>
      <c r="C6254" s="85" t="s">
        <v>1416</v>
      </c>
      <c r="D6254" s="86">
        <f>1850*2720</f>
        <v>5032000</v>
      </c>
      <c r="F6254" s="177"/>
    </row>
    <row r="6255" spans="1:6" s="53" customFormat="1" x14ac:dyDescent="0.35">
      <c r="A6255" s="223"/>
      <c r="B6255" s="88"/>
      <c r="C6255" s="89" t="s">
        <v>159</v>
      </c>
      <c r="D6255" s="90">
        <f>299*2650</f>
        <v>792350</v>
      </c>
      <c r="F6255" s="94"/>
    </row>
    <row r="6256" spans="1:6" s="53" customFormat="1" x14ac:dyDescent="0.35">
      <c r="A6256" s="223"/>
      <c r="B6256" s="88" t="s">
        <v>109</v>
      </c>
      <c r="C6256" s="89" t="s">
        <v>110</v>
      </c>
      <c r="D6256" s="90">
        <v>1000000</v>
      </c>
      <c r="F6256" s="94"/>
    </row>
    <row r="6257" spans="1:7" s="53" customFormat="1" x14ac:dyDescent="0.35">
      <c r="A6257" s="223"/>
      <c r="B6257" s="88" t="s">
        <v>111</v>
      </c>
      <c r="C6257" s="89" t="s">
        <v>112</v>
      </c>
      <c r="D6257" s="90">
        <v>40000</v>
      </c>
      <c r="E6257" s="225" t="s">
        <v>113</v>
      </c>
      <c r="F6257" s="225"/>
    </row>
    <row r="6258" spans="1:7" s="53" customFormat="1" x14ac:dyDescent="0.35">
      <c r="A6258" s="223"/>
      <c r="B6258" s="88" t="s">
        <v>114</v>
      </c>
      <c r="C6258" s="89" t="s">
        <v>115</v>
      </c>
      <c r="D6258" s="90">
        <f>1000*123</f>
        <v>123000</v>
      </c>
      <c r="E6258" s="91" t="s">
        <v>116</v>
      </c>
      <c r="F6258" s="92">
        <f>4400*2445</f>
        <v>10758000</v>
      </c>
    </row>
    <row r="6259" spans="1:7" s="53" customFormat="1" x14ac:dyDescent="0.35">
      <c r="A6259" s="223"/>
      <c r="B6259" s="88"/>
      <c r="C6259" s="89" t="s">
        <v>117</v>
      </c>
      <c r="D6259" s="90">
        <f>2500*123</f>
        <v>307500</v>
      </c>
      <c r="E6259" s="93" t="s">
        <v>118</v>
      </c>
      <c r="F6259" s="94">
        <f>(2640*2445)+(1760*2445)</f>
        <v>10758000</v>
      </c>
    </row>
    <row r="6260" spans="1:7" s="53" customFormat="1" ht="15" thickBot="1" x14ac:dyDescent="0.4">
      <c r="A6260" s="223"/>
      <c r="B6260" s="88" t="s">
        <v>119</v>
      </c>
      <c r="C6260" s="89" t="s">
        <v>120</v>
      </c>
      <c r="D6260" s="95">
        <v>30000</v>
      </c>
      <c r="E6260" s="96" t="s">
        <v>121</v>
      </c>
      <c r="F6260" s="97">
        <f>F6258-F6259</f>
        <v>0</v>
      </c>
      <c r="G6260" s="98">
        <f>F6260/2445</f>
        <v>0</v>
      </c>
    </row>
    <row r="6261" spans="1:7" s="53" customFormat="1" ht="15" thickTop="1" x14ac:dyDescent="0.35">
      <c r="A6261" s="223"/>
      <c r="B6261" s="88"/>
      <c r="C6261" s="89" t="s">
        <v>122</v>
      </c>
      <c r="D6261" s="90">
        <v>150000</v>
      </c>
      <c r="F6261" s="94"/>
    </row>
    <row r="6262" spans="1:7" s="53" customFormat="1" x14ac:dyDescent="0.35">
      <c r="A6262" s="223"/>
      <c r="B6262" s="88" t="s">
        <v>1518</v>
      </c>
      <c r="C6262" s="99" t="s">
        <v>123</v>
      </c>
      <c r="D6262" s="90">
        <v>15000</v>
      </c>
      <c r="E6262" s="91" t="s">
        <v>124</v>
      </c>
      <c r="F6262" s="92"/>
    </row>
    <row r="6263" spans="1:7" s="53" customFormat="1" x14ac:dyDescent="0.35">
      <c r="A6263" s="223"/>
      <c r="B6263" s="101"/>
      <c r="C6263" s="99" t="s">
        <v>125</v>
      </c>
      <c r="D6263" s="100">
        <v>10000</v>
      </c>
      <c r="E6263" s="102"/>
      <c r="F6263" s="103"/>
    </row>
    <row r="6264" spans="1:7" s="53" customFormat="1" x14ac:dyDescent="0.35">
      <c r="A6264" s="223"/>
      <c r="B6264" s="101"/>
      <c r="C6264" s="99" t="s">
        <v>126</v>
      </c>
      <c r="D6264" s="100">
        <v>30000</v>
      </c>
      <c r="E6264" s="102" t="s">
        <v>127</v>
      </c>
      <c r="F6264" s="103"/>
    </row>
    <row r="6265" spans="1:7" s="53" customFormat="1" x14ac:dyDescent="0.35">
      <c r="A6265" s="223"/>
      <c r="B6265" s="101"/>
      <c r="C6265" s="89"/>
      <c r="D6265" s="104"/>
      <c r="E6265" s="53" t="s">
        <v>1560</v>
      </c>
      <c r="F6265" s="103"/>
    </row>
    <row r="6266" spans="1:7" s="53" customFormat="1" ht="15" thickBot="1" x14ac:dyDescent="0.4">
      <c r="A6266" s="223"/>
      <c r="B6266" s="105"/>
      <c r="C6266" s="106"/>
      <c r="D6266" s="107"/>
      <c r="E6266" s="53" t="s">
        <v>1746</v>
      </c>
      <c r="F6266" s="94"/>
    </row>
    <row r="6267" spans="1:7" s="53" customFormat="1" ht="15" thickBot="1" x14ac:dyDescent="0.4">
      <c r="A6267" s="223"/>
      <c r="B6267" s="108"/>
      <c r="C6267" s="109" t="s">
        <v>129</v>
      </c>
      <c r="D6267" s="110">
        <f>SUM(D6254:D6266)</f>
        <v>7529850</v>
      </c>
      <c r="F6267" s="94"/>
    </row>
    <row r="6268" spans="1:7" s="53" customFormat="1" ht="15.5" thickTop="1" thickBot="1" x14ac:dyDescent="0.4">
      <c r="A6268" s="224"/>
      <c r="B6268" s="226"/>
      <c r="C6268" s="226"/>
      <c r="D6268" s="226"/>
      <c r="F6268" s="94"/>
    </row>
    <row r="6269" spans="1:7" s="53" customFormat="1" x14ac:dyDescent="0.35">
      <c r="B6269" s="87"/>
      <c r="C6269" s="53" t="s">
        <v>130</v>
      </c>
      <c r="D6269" s="111">
        <f>D6251-D6267</f>
        <v>3228150</v>
      </c>
      <c r="F6269" s="94"/>
    </row>
    <row r="6270" spans="1:7" s="53" customFormat="1" x14ac:dyDescent="0.35">
      <c r="B6270" s="87"/>
      <c r="D6270" s="111"/>
      <c r="F6270" s="94"/>
    </row>
    <row r="6271" spans="1:7" s="53" customFormat="1" x14ac:dyDescent="0.35">
      <c r="A6271" s="112"/>
      <c r="B6271" s="113"/>
      <c r="C6271" s="112"/>
      <c r="D6271" s="114"/>
      <c r="E6271" s="112"/>
      <c r="F6271" s="178"/>
    </row>
    <row r="6273" spans="1:7" s="53" customFormat="1" ht="23.5" x14ac:dyDescent="0.55000000000000004">
      <c r="B6273" s="227" t="s">
        <v>0</v>
      </c>
      <c r="C6273" s="227"/>
      <c r="D6273" s="227"/>
      <c r="E6273" s="70"/>
      <c r="F6273" s="176"/>
    </row>
    <row r="6274" spans="1:7" s="53" customFormat="1" ht="20.5" x14ac:dyDescent="0.45">
      <c r="B6274" s="71"/>
      <c r="C6274" s="72" t="s">
        <v>1520</v>
      </c>
      <c r="D6274" s="73"/>
      <c r="F6274" s="94"/>
    </row>
    <row r="6275" spans="1:7" s="53" customFormat="1" ht="21" thickBot="1" x14ac:dyDescent="0.5">
      <c r="B6275" s="71" t="s">
        <v>735</v>
      </c>
      <c r="C6275" s="74" t="s">
        <v>103</v>
      </c>
      <c r="D6275" s="73"/>
      <c r="F6275" s="94"/>
    </row>
    <row r="6276" spans="1:7" s="53" customFormat="1" ht="15" thickBot="1" x14ac:dyDescent="0.4">
      <c r="A6276" s="75" t="s">
        <v>104</v>
      </c>
      <c r="B6276" s="76" t="s">
        <v>81</v>
      </c>
      <c r="C6276" s="76" t="s">
        <v>105</v>
      </c>
      <c r="D6276" s="77" t="s">
        <v>84</v>
      </c>
      <c r="F6276" s="94"/>
    </row>
    <row r="6277" spans="1:7" s="53" customFormat="1" ht="14.5" customHeight="1" x14ac:dyDescent="0.35">
      <c r="A6277" s="222" t="s">
        <v>95</v>
      </c>
      <c r="B6277" s="78" t="s">
        <v>1521</v>
      </c>
      <c r="C6277" s="79" t="s">
        <v>959</v>
      </c>
      <c r="D6277" s="80">
        <f>F6284</f>
        <v>10758000</v>
      </c>
      <c r="F6277" s="94"/>
    </row>
    <row r="6278" spans="1:7" s="53" customFormat="1" ht="21" thickBot="1" x14ac:dyDescent="0.5">
      <c r="A6278" s="223"/>
      <c r="B6278" s="71"/>
      <c r="C6278" s="71"/>
      <c r="D6278" s="73"/>
      <c r="F6278" s="94"/>
    </row>
    <row r="6279" spans="1:7" s="53" customFormat="1" ht="15" thickBot="1" x14ac:dyDescent="0.4">
      <c r="A6279" s="223"/>
      <c r="B6279" s="81" t="s">
        <v>81</v>
      </c>
      <c r="C6279" s="82" t="s">
        <v>107</v>
      </c>
      <c r="D6279" s="83" t="s">
        <v>108</v>
      </c>
      <c r="F6279" s="94"/>
    </row>
    <row r="6280" spans="1:7" s="87" customFormat="1" x14ac:dyDescent="0.35">
      <c r="A6280" s="223"/>
      <c r="B6280" s="84" t="str">
        <f>B6277</f>
        <v>22nd November,2025</v>
      </c>
      <c r="C6280" s="85" t="s">
        <v>1416</v>
      </c>
      <c r="D6280" s="86">
        <f>1850*2720</f>
        <v>5032000</v>
      </c>
      <c r="F6280" s="177"/>
    </row>
    <row r="6281" spans="1:7" s="53" customFormat="1" x14ac:dyDescent="0.35">
      <c r="A6281" s="223"/>
      <c r="B6281" s="88"/>
      <c r="C6281" s="89" t="s">
        <v>159</v>
      </c>
      <c r="D6281" s="90">
        <f>299*2650</f>
        <v>792350</v>
      </c>
      <c r="F6281" s="94"/>
    </row>
    <row r="6282" spans="1:7" s="53" customFormat="1" x14ac:dyDescent="0.35">
      <c r="A6282" s="223"/>
      <c r="B6282" s="88" t="s">
        <v>109</v>
      </c>
      <c r="C6282" s="89" t="s">
        <v>110</v>
      </c>
      <c r="D6282" s="90">
        <v>1000000</v>
      </c>
      <c r="F6282" s="94"/>
    </row>
    <row r="6283" spans="1:7" s="53" customFormat="1" x14ac:dyDescent="0.35">
      <c r="A6283" s="223"/>
      <c r="B6283" s="88" t="s">
        <v>111</v>
      </c>
      <c r="C6283" s="89" t="s">
        <v>112</v>
      </c>
      <c r="D6283" s="90">
        <v>40000</v>
      </c>
      <c r="E6283" s="225" t="s">
        <v>113</v>
      </c>
      <c r="F6283" s="225"/>
    </row>
    <row r="6284" spans="1:7" s="53" customFormat="1" x14ac:dyDescent="0.35">
      <c r="A6284" s="223"/>
      <c r="B6284" s="88" t="s">
        <v>114</v>
      </c>
      <c r="C6284" s="89" t="s">
        <v>115</v>
      </c>
      <c r="D6284" s="90">
        <f>1000*123</f>
        <v>123000</v>
      </c>
      <c r="E6284" s="91" t="s">
        <v>116</v>
      </c>
      <c r="F6284" s="92">
        <f>4400*2445</f>
        <v>10758000</v>
      </c>
    </row>
    <row r="6285" spans="1:7" s="53" customFormat="1" x14ac:dyDescent="0.35">
      <c r="A6285" s="223"/>
      <c r="B6285" s="88"/>
      <c r="C6285" s="89" t="s">
        <v>117</v>
      </c>
      <c r="D6285" s="90">
        <f>2500*123</f>
        <v>307500</v>
      </c>
      <c r="E6285" s="93" t="s">
        <v>118</v>
      </c>
      <c r="F6285" s="94">
        <f>(2640*2445)+(1760*2445)</f>
        <v>10758000</v>
      </c>
    </row>
    <row r="6286" spans="1:7" s="53" customFormat="1" ht="15" thickBot="1" x14ac:dyDescent="0.4">
      <c r="A6286" s="223"/>
      <c r="B6286" s="88" t="s">
        <v>119</v>
      </c>
      <c r="C6286" s="89" t="s">
        <v>120</v>
      </c>
      <c r="D6286" s="95">
        <v>30000</v>
      </c>
      <c r="E6286" s="96" t="s">
        <v>121</v>
      </c>
      <c r="F6286" s="97">
        <f>F6284-F6285</f>
        <v>0</v>
      </c>
      <c r="G6286" s="98">
        <f>F6286/2445</f>
        <v>0</v>
      </c>
    </row>
    <row r="6287" spans="1:7" s="53" customFormat="1" ht="15" thickTop="1" x14ac:dyDescent="0.35">
      <c r="A6287" s="223"/>
      <c r="B6287" s="88"/>
      <c r="C6287" s="89" t="s">
        <v>122</v>
      </c>
      <c r="D6287" s="90">
        <v>150000</v>
      </c>
      <c r="F6287" s="94"/>
    </row>
    <row r="6288" spans="1:7" s="53" customFormat="1" x14ac:dyDescent="0.35">
      <c r="A6288" s="223"/>
      <c r="B6288" s="88" t="s">
        <v>1522</v>
      </c>
      <c r="C6288" s="99" t="s">
        <v>123</v>
      </c>
      <c r="D6288" s="90">
        <v>15000</v>
      </c>
      <c r="E6288" s="91" t="s">
        <v>124</v>
      </c>
      <c r="F6288" s="92"/>
    </row>
    <row r="6289" spans="1:6" s="53" customFormat="1" x14ac:dyDescent="0.35">
      <c r="A6289" s="223"/>
      <c r="B6289" s="101"/>
      <c r="C6289" s="99" t="s">
        <v>125</v>
      </c>
      <c r="D6289" s="100">
        <v>10000</v>
      </c>
      <c r="E6289" s="102"/>
      <c r="F6289" s="103"/>
    </row>
    <row r="6290" spans="1:6" s="53" customFormat="1" x14ac:dyDescent="0.35">
      <c r="A6290" s="223"/>
      <c r="B6290" s="101"/>
      <c r="C6290" s="99" t="s">
        <v>126</v>
      </c>
      <c r="D6290" s="100">
        <v>30000</v>
      </c>
      <c r="E6290" s="102" t="s">
        <v>127</v>
      </c>
      <c r="F6290" s="103"/>
    </row>
    <row r="6291" spans="1:6" s="53" customFormat="1" x14ac:dyDescent="0.35">
      <c r="A6291" s="223"/>
      <c r="B6291" s="101"/>
      <c r="C6291" s="89"/>
      <c r="D6291" s="104"/>
      <c r="E6291" s="53" t="s">
        <v>1560</v>
      </c>
      <c r="F6291" s="103"/>
    </row>
    <row r="6292" spans="1:6" s="53" customFormat="1" ht="15" thickBot="1" x14ac:dyDescent="0.4">
      <c r="A6292" s="223"/>
      <c r="B6292" s="105"/>
      <c r="C6292" s="106"/>
      <c r="D6292" s="107"/>
      <c r="E6292" s="53" t="s">
        <v>1748</v>
      </c>
      <c r="F6292" s="94"/>
    </row>
    <row r="6293" spans="1:6" s="53" customFormat="1" ht="15" thickBot="1" x14ac:dyDescent="0.4">
      <c r="A6293" s="223"/>
      <c r="B6293" s="108"/>
      <c r="C6293" s="109" t="s">
        <v>129</v>
      </c>
      <c r="D6293" s="110">
        <f>SUM(D6280:D6292)</f>
        <v>7529850</v>
      </c>
      <c r="F6293" s="94"/>
    </row>
    <row r="6294" spans="1:6" s="53" customFormat="1" ht="15.5" thickTop="1" thickBot="1" x14ac:dyDescent="0.4">
      <c r="A6294" s="224"/>
      <c r="B6294" s="226"/>
      <c r="C6294" s="226"/>
      <c r="D6294" s="226"/>
      <c r="F6294" s="94"/>
    </row>
    <row r="6295" spans="1:6" s="53" customFormat="1" x14ac:dyDescent="0.35">
      <c r="B6295" s="87"/>
      <c r="C6295" s="53" t="s">
        <v>130</v>
      </c>
      <c r="D6295" s="111">
        <f>D6277-D6293</f>
        <v>3228150</v>
      </c>
      <c r="F6295" s="94"/>
    </row>
    <row r="6296" spans="1:6" s="53" customFormat="1" x14ac:dyDescent="0.35">
      <c r="B6296" s="87"/>
      <c r="D6296" s="111"/>
      <c r="F6296" s="94"/>
    </row>
    <row r="6297" spans="1:6" s="53" customFormat="1" x14ac:dyDescent="0.35">
      <c r="A6297" s="112"/>
      <c r="B6297" s="113"/>
      <c r="C6297" s="112"/>
      <c r="D6297" s="114"/>
      <c r="E6297" s="112"/>
      <c r="F6297" s="178"/>
    </row>
    <row r="6299" spans="1:6" s="53" customFormat="1" ht="23.5" x14ac:dyDescent="0.55000000000000004">
      <c r="B6299" s="227" t="s">
        <v>0</v>
      </c>
      <c r="C6299" s="227"/>
      <c r="D6299" s="227"/>
      <c r="E6299" s="70"/>
      <c r="F6299" s="176"/>
    </row>
    <row r="6300" spans="1:6" s="53" customFormat="1" ht="20.5" x14ac:dyDescent="0.45">
      <c r="B6300" s="71"/>
      <c r="C6300" s="72" t="s">
        <v>1524</v>
      </c>
      <c r="D6300" s="73"/>
      <c r="F6300" s="94"/>
    </row>
    <row r="6301" spans="1:6" s="53" customFormat="1" ht="21" thickBot="1" x14ac:dyDescent="0.5">
      <c r="B6301" s="71" t="s">
        <v>401</v>
      </c>
      <c r="C6301" s="74" t="s">
        <v>103</v>
      </c>
      <c r="D6301" s="73"/>
      <c r="F6301" s="94"/>
    </row>
    <row r="6302" spans="1:6" s="53" customFormat="1" ht="15" thickBot="1" x14ac:dyDescent="0.4">
      <c r="A6302" s="75" t="s">
        <v>104</v>
      </c>
      <c r="B6302" s="76" t="s">
        <v>81</v>
      </c>
      <c r="C6302" s="76" t="s">
        <v>105</v>
      </c>
      <c r="D6302" s="77" t="s">
        <v>84</v>
      </c>
      <c r="F6302" s="94"/>
    </row>
    <row r="6303" spans="1:6" s="53" customFormat="1" ht="14.5" customHeight="1" x14ac:dyDescent="0.35">
      <c r="A6303" s="222" t="s">
        <v>95</v>
      </c>
      <c r="B6303" s="78" t="s">
        <v>1521</v>
      </c>
      <c r="C6303" s="79" t="s">
        <v>959</v>
      </c>
      <c r="D6303" s="80">
        <f>F6310</f>
        <v>10758000</v>
      </c>
      <c r="F6303" s="94"/>
    </row>
    <row r="6304" spans="1:6" s="53" customFormat="1" ht="21" thickBot="1" x14ac:dyDescent="0.5">
      <c r="A6304" s="223"/>
      <c r="B6304" s="71"/>
      <c r="C6304" s="71"/>
      <c r="D6304" s="73"/>
      <c r="F6304" s="94"/>
    </row>
    <row r="6305" spans="1:7" s="53" customFormat="1" ht="15" thickBot="1" x14ac:dyDescent="0.4">
      <c r="A6305" s="223"/>
      <c r="B6305" s="81" t="s">
        <v>81</v>
      </c>
      <c r="C6305" s="82" t="s">
        <v>107</v>
      </c>
      <c r="D6305" s="83" t="s">
        <v>108</v>
      </c>
      <c r="F6305" s="94"/>
    </row>
    <row r="6306" spans="1:7" s="87" customFormat="1" x14ac:dyDescent="0.35">
      <c r="A6306" s="223"/>
      <c r="B6306" s="84" t="str">
        <f>B6303</f>
        <v>22nd November,2025</v>
      </c>
      <c r="C6306" s="85" t="s">
        <v>1416</v>
      </c>
      <c r="D6306" s="86">
        <f>1850*2720</f>
        <v>5032000</v>
      </c>
      <c r="F6306" s="177"/>
    </row>
    <row r="6307" spans="1:7" s="53" customFormat="1" x14ac:dyDescent="0.35">
      <c r="A6307" s="223"/>
      <c r="B6307" s="88"/>
      <c r="C6307" s="89" t="s">
        <v>159</v>
      </c>
      <c r="D6307" s="90">
        <f>299*2650</f>
        <v>792350</v>
      </c>
      <c r="F6307" s="94"/>
    </row>
    <row r="6308" spans="1:7" s="53" customFormat="1" x14ac:dyDescent="0.35">
      <c r="A6308" s="223"/>
      <c r="B6308" s="88" t="s">
        <v>109</v>
      </c>
      <c r="C6308" s="89" t="s">
        <v>110</v>
      </c>
      <c r="D6308" s="90">
        <v>1000000</v>
      </c>
      <c r="F6308" s="94"/>
    </row>
    <row r="6309" spans="1:7" s="53" customFormat="1" x14ac:dyDescent="0.35">
      <c r="A6309" s="223"/>
      <c r="B6309" s="88" t="s">
        <v>111</v>
      </c>
      <c r="C6309" s="89" t="s">
        <v>112</v>
      </c>
      <c r="D6309" s="90">
        <v>40000</v>
      </c>
      <c r="E6309" s="225" t="s">
        <v>113</v>
      </c>
      <c r="F6309" s="225"/>
    </row>
    <row r="6310" spans="1:7" s="53" customFormat="1" x14ac:dyDescent="0.35">
      <c r="A6310" s="223"/>
      <c r="B6310" s="88" t="s">
        <v>114</v>
      </c>
      <c r="C6310" s="89" t="s">
        <v>115</v>
      </c>
      <c r="D6310" s="90">
        <f>1000*123</f>
        <v>123000</v>
      </c>
      <c r="E6310" s="91" t="s">
        <v>116</v>
      </c>
      <c r="F6310" s="92">
        <f>4400*2445</f>
        <v>10758000</v>
      </c>
    </row>
    <row r="6311" spans="1:7" s="53" customFormat="1" x14ac:dyDescent="0.35">
      <c r="A6311" s="223"/>
      <c r="B6311" s="88"/>
      <c r="C6311" s="89" t="s">
        <v>117</v>
      </c>
      <c r="D6311" s="90">
        <f>2500*123</f>
        <v>307500</v>
      </c>
      <c r="E6311" s="93" t="s">
        <v>118</v>
      </c>
      <c r="F6311" s="94">
        <f>(2640*2445)</f>
        <v>6454800</v>
      </c>
    </row>
    <row r="6312" spans="1:7" s="53" customFormat="1" ht="15" thickBot="1" x14ac:dyDescent="0.4">
      <c r="A6312" s="223"/>
      <c r="B6312" s="88" t="s">
        <v>119</v>
      </c>
      <c r="C6312" s="89" t="s">
        <v>120</v>
      </c>
      <c r="D6312" s="95">
        <v>30000</v>
      </c>
      <c r="E6312" s="96" t="s">
        <v>121</v>
      </c>
      <c r="F6312" s="97">
        <f>F6310-F6311</f>
        <v>4303200</v>
      </c>
      <c r="G6312" s="98">
        <f>F6312/2445</f>
        <v>1760</v>
      </c>
    </row>
    <row r="6313" spans="1:7" s="53" customFormat="1" ht="15" thickTop="1" x14ac:dyDescent="0.35">
      <c r="A6313" s="223"/>
      <c r="B6313" s="88"/>
      <c r="C6313" s="89" t="s">
        <v>122</v>
      </c>
      <c r="D6313" s="90">
        <v>150000</v>
      </c>
      <c r="F6313" s="94"/>
    </row>
    <row r="6314" spans="1:7" s="53" customFormat="1" x14ac:dyDescent="0.35">
      <c r="A6314" s="223"/>
      <c r="B6314" s="88" t="s">
        <v>1523</v>
      </c>
      <c r="C6314" s="99" t="s">
        <v>123</v>
      </c>
      <c r="D6314" s="90">
        <v>15000</v>
      </c>
      <c r="E6314" s="91" t="s">
        <v>124</v>
      </c>
      <c r="F6314" s="92"/>
    </row>
    <row r="6315" spans="1:7" s="53" customFormat="1" x14ac:dyDescent="0.35">
      <c r="A6315" s="223"/>
      <c r="B6315" s="101"/>
      <c r="C6315" s="99" t="s">
        <v>125</v>
      </c>
      <c r="D6315" s="100">
        <v>10000</v>
      </c>
      <c r="E6315" s="102"/>
      <c r="F6315" s="103"/>
    </row>
    <row r="6316" spans="1:7" s="53" customFormat="1" x14ac:dyDescent="0.35">
      <c r="A6316" s="223"/>
      <c r="B6316" s="101"/>
      <c r="C6316" s="99" t="s">
        <v>126</v>
      </c>
      <c r="D6316" s="100">
        <v>30000</v>
      </c>
      <c r="E6316" s="102" t="s">
        <v>127</v>
      </c>
      <c r="F6316" s="103"/>
    </row>
    <row r="6317" spans="1:7" s="53" customFormat="1" x14ac:dyDescent="0.35">
      <c r="A6317" s="223"/>
      <c r="B6317" s="101"/>
      <c r="C6317" s="89"/>
      <c r="D6317" s="104"/>
      <c r="E6317" s="53" t="s">
        <v>1560</v>
      </c>
      <c r="F6317" s="103"/>
    </row>
    <row r="6318" spans="1:7" s="53" customFormat="1" ht="15" thickBot="1" x14ac:dyDescent="0.4">
      <c r="A6318" s="223"/>
      <c r="B6318" s="105"/>
      <c r="C6318" s="106"/>
      <c r="D6318" s="107"/>
      <c r="F6318" s="94"/>
    </row>
    <row r="6319" spans="1:7" s="53" customFormat="1" ht="15" thickBot="1" x14ac:dyDescent="0.4">
      <c r="A6319" s="223"/>
      <c r="B6319" s="108"/>
      <c r="C6319" s="109" t="s">
        <v>129</v>
      </c>
      <c r="D6319" s="110">
        <f>SUM(D6306:D6318)</f>
        <v>7529850</v>
      </c>
      <c r="F6319" s="94"/>
    </row>
    <row r="6320" spans="1:7" s="53" customFormat="1" ht="15.5" thickTop="1" thickBot="1" x14ac:dyDescent="0.4">
      <c r="A6320" s="224"/>
      <c r="B6320" s="226"/>
      <c r="C6320" s="226"/>
      <c r="D6320" s="226"/>
      <c r="F6320" s="94"/>
    </row>
    <row r="6321" spans="1:6" s="53" customFormat="1" x14ac:dyDescent="0.35">
      <c r="B6321" s="87"/>
      <c r="C6321" s="53" t="s">
        <v>130</v>
      </c>
      <c r="D6321" s="111">
        <f>D6303-D6319</f>
        <v>3228150</v>
      </c>
      <c r="F6321" s="94"/>
    </row>
    <row r="6322" spans="1:6" s="53" customFormat="1" x14ac:dyDescent="0.35">
      <c r="B6322" s="87"/>
      <c r="D6322" s="111"/>
      <c r="F6322" s="94"/>
    </row>
    <row r="6323" spans="1:6" s="53" customFormat="1" x14ac:dyDescent="0.35">
      <c r="A6323" s="112"/>
      <c r="B6323" s="113"/>
      <c r="C6323" s="112"/>
      <c r="D6323" s="114"/>
      <c r="E6323" s="112"/>
      <c r="F6323" s="178"/>
    </row>
    <row r="6325" spans="1:6" s="53" customFormat="1" ht="23.5" x14ac:dyDescent="0.55000000000000004">
      <c r="B6325" s="227" t="s">
        <v>0</v>
      </c>
      <c r="C6325" s="227"/>
      <c r="D6325" s="227"/>
      <c r="E6325" s="70"/>
      <c r="F6325" s="176"/>
    </row>
    <row r="6326" spans="1:6" s="53" customFormat="1" ht="20.5" x14ac:dyDescent="0.45">
      <c r="B6326" s="71"/>
      <c r="C6326" s="72" t="s">
        <v>1526</v>
      </c>
      <c r="D6326" s="73"/>
      <c r="F6326" s="94"/>
    </row>
    <row r="6327" spans="1:6" s="53" customFormat="1" ht="21" thickBot="1" x14ac:dyDescent="0.5">
      <c r="B6327" s="71" t="s">
        <v>296</v>
      </c>
      <c r="C6327" s="74" t="s">
        <v>103</v>
      </c>
      <c r="D6327" s="73"/>
      <c r="F6327" s="94"/>
    </row>
    <row r="6328" spans="1:6" s="53" customFormat="1" ht="15" thickBot="1" x14ac:dyDescent="0.4">
      <c r="A6328" s="75" t="s">
        <v>104</v>
      </c>
      <c r="B6328" s="76" t="s">
        <v>81</v>
      </c>
      <c r="C6328" s="76" t="s">
        <v>105</v>
      </c>
      <c r="D6328" s="77" t="s">
        <v>84</v>
      </c>
      <c r="F6328" s="94"/>
    </row>
    <row r="6329" spans="1:6" s="53" customFormat="1" ht="14.5" customHeight="1" x14ac:dyDescent="0.35">
      <c r="A6329" s="222" t="s">
        <v>95</v>
      </c>
      <c r="B6329" s="78" t="s">
        <v>1521</v>
      </c>
      <c r="C6329" s="79" t="s">
        <v>959</v>
      </c>
      <c r="D6329" s="80">
        <f>F6336</f>
        <v>10758000</v>
      </c>
      <c r="F6329" s="94"/>
    </row>
    <row r="6330" spans="1:6" s="53" customFormat="1" ht="21" thickBot="1" x14ac:dyDescent="0.5">
      <c r="A6330" s="223"/>
      <c r="B6330" s="71"/>
      <c r="C6330" s="71"/>
      <c r="D6330" s="73"/>
      <c r="F6330" s="94"/>
    </row>
    <row r="6331" spans="1:6" s="53" customFormat="1" ht="15" thickBot="1" x14ac:dyDescent="0.4">
      <c r="A6331" s="223"/>
      <c r="B6331" s="81" t="s">
        <v>81</v>
      </c>
      <c r="C6331" s="82" t="s">
        <v>107</v>
      </c>
      <c r="D6331" s="83" t="s">
        <v>108</v>
      </c>
      <c r="F6331" s="94"/>
    </row>
    <row r="6332" spans="1:6" s="87" customFormat="1" x14ac:dyDescent="0.35">
      <c r="A6332" s="223"/>
      <c r="B6332" s="84" t="str">
        <f>B6329</f>
        <v>22nd November,2025</v>
      </c>
      <c r="C6332" s="85" t="s">
        <v>1416</v>
      </c>
      <c r="D6332" s="86">
        <f>1850*2720</f>
        <v>5032000</v>
      </c>
      <c r="F6332" s="177"/>
    </row>
    <row r="6333" spans="1:6" s="53" customFormat="1" x14ac:dyDescent="0.35">
      <c r="A6333" s="223"/>
      <c r="B6333" s="88"/>
      <c r="C6333" s="89" t="s">
        <v>159</v>
      </c>
      <c r="D6333" s="90">
        <f>299*2650</f>
        <v>792350</v>
      </c>
      <c r="F6333" s="94"/>
    </row>
    <row r="6334" spans="1:6" s="53" customFormat="1" x14ac:dyDescent="0.35">
      <c r="A6334" s="223"/>
      <c r="B6334" s="88" t="s">
        <v>109</v>
      </c>
      <c r="C6334" s="89" t="s">
        <v>110</v>
      </c>
      <c r="D6334" s="90">
        <v>1000000</v>
      </c>
      <c r="F6334" s="94"/>
    </row>
    <row r="6335" spans="1:6" s="53" customFormat="1" x14ac:dyDescent="0.35">
      <c r="A6335" s="223"/>
      <c r="B6335" s="88" t="s">
        <v>111</v>
      </c>
      <c r="C6335" s="89" t="s">
        <v>112</v>
      </c>
      <c r="D6335" s="90">
        <v>40000</v>
      </c>
      <c r="E6335" s="225" t="s">
        <v>113</v>
      </c>
      <c r="F6335" s="225"/>
    </row>
    <row r="6336" spans="1:6" s="53" customFormat="1" x14ac:dyDescent="0.35">
      <c r="A6336" s="223"/>
      <c r="B6336" s="88" t="s">
        <v>114</v>
      </c>
      <c r="C6336" s="89" t="s">
        <v>115</v>
      </c>
      <c r="D6336" s="90">
        <f>1000*123</f>
        <v>123000</v>
      </c>
      <c r="E6336" s="91" t="s">
        <v>116</v>
      </c>
      <c r="F6336" s="92">
        <f>4400*2445</f>
        <v>10758000</v>
      </c>
    </row>
    <row r="6337" spans="1:7" s="53" customFormat="1" x14ac:dyDescent="0.35">
      <c r="A6337" s="223"/>
      <c r="B6337" s="88"/>
      <c r="C6337" s="89" t="s">
        <v>117</v>
      </c>
      <c r="D6337" s="90">
        <f>2500*123</f>
        <v>307500</v>
      </c>
      <c r="E6337" s="93" t="s">
        <v>118</v>
      </c>
      <c r="F6337" s="94">
        <f>(2640*2445)+(1760*2445)</f>
        <v>10758000</v>
      </c>
    </row>
    <row r="6338" spans="1:7" s="53" customFormat="1" ht="15" thickBot="1" x14ac:dyDescent="0.4">
      <c r="A6338" s="223"/>
      <c r="B6338" s="88" t="s">
        <v>119</v>
      </c>
      <c r="C6338" s="89" t="s">
        <v>120</v>
      </c>
      <c r="D6338" s="95">
        <v>30000</v>
      </c>
      <c r="E6338" s="96" t="s">
        <v>121</v>
      </c>
      <c r="F6338" s="97">
        <f>F6336-F6337</f>
        <v>0</v>
      </c>
      <c r="G6338" s="98">
        <f>F6338/2445</f>
        <v>0</v>
      </c>
    </row>
    <row r="6339" spans="1:7" s="53" customFormat="1" ht="15" thickTop="1" x14ac:dyDescent="0.35">
      <c r="A6339" s="223"/>
      <c r="B6339" s="88"/>
      <c r="C6339" s="89" t="s">
        <v>122</v>
      </c>
      <c r="D6339" s="90">
        <v>150000</v>
      </c>
      <c r="F6339" s="94"/>
    </row>
    <row r="6340" spans="1:7" s="53" customFormat="1" x14ac:dyDescent="0.35">
      <c r="A6340" s="223"/>
      <c r="B6340" s="88" t="s">
        <v>1523</v>
      </c>
      <c r="C6340" s="99" t="s">
        <v>123</v>
      </c>
      <c r="D6340" s="90">
        <v>15000</v>
      </c>
      <c r="E6340" s="91" t="s">
        <v>124</v>
      </c>
      <c r="F6340" s="92"/>
    </row>
    <row r="6341" spans="1:7" s="53" customFormat="1" x14ac:dyDescent="0.35">
      <c r="A6341" s="223"/>
      <c r="B6341" s="101"/>
      <c r="C6341" s="99" t="s">
        <v>125</v>
      </c>
      <c r="D6341" s="100">
        <v>10000</v>
      </c>
      <c r="E6341" s="102"/>
      <c r="F6341" s="103"/>
    </row>
    <row r="6342" spans="1:7" s="53" customFormat="1" x14ac:dyDescent="0.35">
      <c r="A6342" s="223"/>
      <c r="B6342" s="101"/>
      <c r="C6342" s="99" t="s">
        <v>126</v>
      </c>
      <c r="D6342" s="100">
        <v>30000</v>
      </c>
      <c r="E6342" s="102" t="s">
        <v>127</v>
      </c>
      <c r="F6342" s="103"/>
    </row>
    <row r="6343" spans="1:7" s="53" customFormat="1" x14ac:dyDescent="0.35">
      <c r="A6343" s="223"/>
      <c r="B6343" s="101"/>
      <c r="C6343" s="89"/>
      <c r="D6343" s="104"/>
      <c r="E6343" s="53" t="s">
        <v>1543</v>
      </c>
      <c r="F6343" s="103"/>
    </row>
    <row r="6344" spans="1:7" s="53" customFormat="1" ht="15" thickBot="1" x14ac:dyDescent="0.4">
      <c r="A6344" s="223"/>
      <c r="B6344" s="105"/>
      <c r="C6344" s="106"/>
      <c r="D6344" s="107"/>
      <c r="E6344" s="53" t="s">
        <v>1746</v>
      </c>
      <c r="F6344" s="94"/>
    </row>
    <row r="6345" spans="1:7" s="53" customFormat="1" ht="15" thickBot="1" x14ac:dyDescent="0.4">
      <c r="A6345" s="223"/>
      <c r="B6345" s="108"/>
      <c r="C6345" s="109" t="s">
        <v>129</v>
      </c>
      <c r="D6345" s="110">
        <f>SUM(D6332:D6344)</f>
        <v>7529850</v>
      </c>
      <c r="F6345" s="94"/>
    </row>
    <row r="6346" spans="1:7" s="53" customFormat="1" ht="15.5" thickTop="1" thickBot="1" x14ac:dyDescent="0.4">
      <c r="A6346" s="224"/>
      <c r="B6346" s="226"/>
      <c r="C6346" s="226"/>
      <c r="D6346" s="226"/>
      <c r="F6346" s="94"/>
    </row>
    <row r="6347" spans="1:7" s="53" customFormat="1" x14ac:dyDescent="0.35">
      <c r="B6347" s="87"/>
      <c r="C6347" s="53" t="s">
        <v>130</v>
      </c>
      <c r="D6347" s="111">
        <f>D6329-D6345</f>
        <v>3228150</v>
      </c>
      <c r="F6347" s="94"/>
    </row>
    <row r="6348" spans="1:7" s="53" customFormat="1" x14ac:dyDescent="0.35">
      <c r="B6348" s="87"/>
      <c r="D6348" s="111"/>
      <c r="F6348" s="94"/>
    </row>
    <row r="6349" spans="1:7" s="53" customFormat="1" x14ac:dyDescent="0.35">
      <c r="A6349" s="112"/>
      <c r="B6349" s="113"/>
      <c r="C6349" s="112"/>
      <c r="D6349" s="114"/>
      <c r="E6349" s="112"/>
      <c r="F6349" s="178"/>
    </row>
    <row r="6351" spans="1:7" s="53" customFormat="1" ht="23.5" x14ac:dyDescent="0.55000000000000004">
      <c r="B6351" s="227" t="s">
        <v>0</v>
      </c>
      <c r="C6351" s="227"/>
      <c r="D6351" s="227"/>
      <c r="E6351" s="70"/>
      <c r="F6351" s="176"/>
    </row>
    <row r="6352" spans="1:7" s="53" customFormat="1" ht="20.5" x14ac:dyDescent="0.45">
      <c r="B6352" s="71"/>
      <c r="C6352" s="72" t="s">
        <v>1528</v>
      </c>
      <c r="D6352" s="73"/>
      <c r="F6352" s="94"/>
    </row>
    <row r="6353" spans="1:7" s="53" customFormat="1" ht="21" thickBot="1" x14ac:dyDescent="0.5">
      <c r="B6353" s="71" t="s">
        <v>704</v>
      </c>
      <c r="C6353" s="74" t="s">
        <v>103</v>
      </c>
      <c r="D6353" s="73"/>
      <c r="F6353" s="94"/>
    </row>
    <row r="6354" spans="1:7" s="53" customFormat="1" ht="15" thickBot="1" x14ac:dyDescent="0.4">
      <c r="A6354" s="75" t="s">
        <v>104</v>
      </c>
      <c r="B6354" s="76" t="s">
        <v>81</v>
      </c>
      <c r="C6354" s="76" t="s">
        <v>105</v>
      </c>
      <c r="D6354" s="77" t="s">
        <v>84</v>
      </c>
      <c r="F6354" s="94"/>
    </row>
    <row r="6355" spans="1:7" s="53" customFormat="1" ht="14.5" customHeight="1" x14ac:dyDescent="0.35">
      <c r="A6355" s="222" t="s">
        <v>95</v>
      </c>
      <c r="B6355" s="78" t="s">
        <v>1521</v>
      </c>
      <c r="C6355" s="79" t="s">
        <v>959</v>
      </c>
      <c r="D6355" s="80">
        <f>F6362</f>
        <v>10758000</v>
      </c>
      <c r="F6355" s="94"/>
    </row>
    <row r="6356" spans="1:7" s="53" customFormat="1" ht="21" thickBot="1" x14ac:dyDescent="0.5">
      <c r="A6356" s="223"/>
      <c r="B6356" s="71"/>
      <c r="C6356" s="71"/>
      <c r="D6356" s="73"/>
      <c r="F6356" s="94"/>
    </row>
    <row r="6357" spans="1:7" s="53" customFormat="1" ht="15" thickBot="1" x14ac:dyDescent="0.4">
      <c r="A6357" s="223"/>
      <c r="B6357" s="81" t="s">
        <v>81</v>
      </c>
      <c r="C6357" s="82" t="s">
        <v>107</v>
      </c>
      <c r="D6357" s="83" t="s">
        <v>108</v>
      </c>
      <c r="F6357" s="94"/>
    </row>
    <row r="6358" spans="1:7" s="87" customFormat="1" x14ac:dyDescent="0.35">
      <c r="A6358" s="223"/>
      <c r="B6358" s="84" t="str">
        <f>B6355</f>
        <v>22nd November,2025</v>
      </c>
      <c r="C6358" s="85" t="s">
        <v>1416</v>
      </c>
      <c r="D6358" s="86">
        <f>1850*2720</f>
        <v>5032000</v>
      </c>
      <c r="F6358" s="177"/>
    </row>
    <row r="6359" spans="1:7" s="53" customFormat="1" x14ac:dyDescent="0.35">
      <c r="A6359" s="223"/>
      <c r="B6359" s="88"/>
      <c r="C6359" s="89" t="s">
        <v>159</v>
      </c>
      <c r="D6359" s="90">
        <f>299*2650</f>
        <v>792350</v>
      </c>
      <c r="F6359" s="94"/>
    </row>
    <row r="6360" spans="1:7" s="53" customFormat="1" x14ac:dyDescent="0.35">
      <c r="A6360" s="223"/>
      <c r="B6360" s="88" t="s">
        <v>109</v>
      </c>
      <c r="C6360" s="89" t="s">
        <v>110</v>
      </c>
      <c r="D6360" s="90">
        <v>1000000</v>
      </c>
      <c r="F6360" s="94"/>
    </row>
    <row r="6361" spans="1:7" s="53" customFormat="1" x14ac:dyDescent="0.35">
      <c r="A6361" s="223"/>
      <c r="B6361" s="88" t="s">
        <v>111</v>
      </c>
      <c r="C6361" s="89" t="s">
        <v>112</v>
      </c>
      <c r="D6361" s="90">
        <v>40000</v>
      </c>
      <c r="E6361" s="225" t="s">
        <v>113</v>
      </c>
      <c r="F6361" s="225"/>
    </row>
    <row r="6362" spans="1:7" s="53" customFormat="1" x14ac:dyDescent="0.35">
      <c r="A6362" s="223"/>
      <c r="B6362" s="88" t="s">
        <v>114</v>
      </c>
      <c r="C6362" s="89" t="s">
        <v>115</v>
      </c>
      <c r="D6362" s="90">
        <f>1000*123</f>
        <v>123000</v>
      </c>
      <c r="E6362" s="91" t="s">
        <v>116</v>
      </c>
      <c r="F6362" s="92">
        <f>4400*2445</f>
        <v>10758000</v>
      </c>
    </row>
    <row r="6363" spans="1:7" s="53" customFormat="1" x14ac:dyDescent="0.35">
      <c r="A6363" s="223"/>
      <c r="B6363" s="88"/>
      <c r="C6363" s="89" t="s">
        <v>117</v>
      </c>
      <c r="D6363" s="90">
        <f>2500*123</f>
        <v>307500</v>
      </c>
      <c r="E6363" s="93" t="s">
        <v>118</v>
      </c>
      <c r="F6363" s="94">
        <f>(2640*2445)+(1760*2445)</f>
        <v>10758000</v>
      </c>
    </row>
    <row r="6364" spans="1:7" s="53" customFormat="1" ht="15" thickBot="1" x14ac:dyDescent="0.4">
      <c r="A6364" s="223"/>
      <c r="B6364" s="88" t="s">
        <v>119</v>
      </c>
      <c r="C6364" s="89" t="s">
        <v>120</v>
      </c>
      <c r="D6364" s="95">
        <v>30000</v>
      </c>
      <c r="E6364" s="96" t="s">
        <v>121</v>
      </c>
      <c r="F6364" s="97">
        <f>F6362-F6363</f>
        <v>0</v>
      </c>
      <c r="G6364" s="98">
        <f>F6364/2445</f>
        <v>0</v>
      </c>
    </row>
    <row r="6365" spans="1:7" s="53" customFormat="1" ht="15" thickTop="1" x14ac:dyDescent="0.35">
      <c r="A6365" s="223"/>
      <c r="B6365" s="88"/>
      <c r="C6365" s="89" t="s">
        <v>122</v>
      </c>
      <c r="D6365" s="90">
        <v>150000</v>
      </c>
      <c r="F6365" s="94"/>
    </row>
    <row r="6366" spans="1:7" s="53" customFormat="1" x14ac:dyDescent="0.35">
      <c r="A6366" s="223"/>
      <c r="B6366" s="88" t="s">
        <v>1527</v>
      </c>
      <c r="C6366" s="99" t="s">
        <v>123</v>
      </c>
      <c r="D6366" s="90">
        <v>15000</v>
      </c>
      <c r="E6366" s="91" t="s">
        <v>124</v>
      </c>
      <c r="F6366" s="92"/>
    </row>
    <row r="6367" spans="1:7" s="53" customFormat="1" x14ac:dyDescent="0.35">
      <c r="A6367" s="223"/>
      <c r="B6367" s="101"/>
      <c r="C6367" s="99" t="s">
        <v>125</v>
      </c>
      <c r="D6367" s="100">
        <v>10000</v>
      </c>
      <c r="E6367" s="102"/>
      <c r="F6367" s="103"/>
    </row>
    <row r="6368" spans="1:7" s="53" customFormat="1" x14ac:dyDescent="0.35">
      <c r="A6368" s="223"/>
      <c r="B6368" s="101"/>
      <c r="C6368" s="99" t="s">
        <v>126</v>
      </c>
      <c r="D6368" s="100">
        <v>30000</v>
      </c>
      <c r="E6368" s="102" t="s">
        <v>127</v>
      </c>
      <c r="F6368" s="103"/>
    </row>
    <row r="6369" spans="1:6" s="53" customFormat="1" x14ac:dyDescent="0.35">
      <c r="A6369" s="223"/>
      <c r="B6369" s="101"/>
      <c r="C6369" s="89"/>
      <c r="D6369" s="104"/>
      <c r="E6369" s="53" t="s">
        <v>1543</v>
      </c>
      <c r="F6369" s="103"/>
    </row>
    <row r="6370" spans="1:6" s="53" customFormat="1" ht="15" thickBot="1" x14ac:dyDescent="0.4">
      <c r="A6370" s="223"/>
      <c r="B6370" s="105"/>
      <c r="C6370" s="106"/>
      <c r="D6370" s="107"/>
      <c r="E6370" s="53" t="s">
        <v>1748</v>
      </c>
      <c r="F6370" s="94"/>
    </row>
    <row r="6371" spans="1:6" s="53" customFormat="1" ht="15" thickBot="1" x14ac:dyDescent="0.4">
      <c r="A6371" s="223"/>
      <c r="B6371" s="108"/>
      <c r="C6371" s="109" t="s">
        <v>129</v>
      </c>
      <c r="D6371" s="110">
        <f>SUM(D6358:D6370)</f>
        <v>7529850</v>
      </c>
      <c r="F6371" s="94"/>
    </row>
    <row r="6372" spans="1:6" s="53" customFormat="1" ht="15.5" thickTop="1" thickBot="1" x14ac:dyDescent="0.4">
      <c r="A6372" s="224"/>
      <c r="B6372" s="226"/>
      <c r="C6372" s="226"/>
      <c r="D6372" s="226"/>
      <c r="F6372" s="94"/>
    </row>
    <row r="6373" spans="1:6" s="53" customFormat="1" x14ac:dyDescent="0.35">
      <c r="B6373" s="87"/>
      <c r="C6373" s="53" t="s">
        <v>130</v>
      </c>
      <c r="D6373" s="111">
        <f>D6355-D6371</f>
        <v>3228150</v>
      </c>
      <c r="F6373" s="94"/>
    </row>
    <row r="6374" spans="1:6" s="53" customFormat="1" x14ac:dyDescent="0.35">
      <c r="B6374" s="87"/>
      <c r="D6374" s="111"/>
      <c r="F6374" s="94"/>
    </row>
    <row r="6375" spans="1:6" s="53" customFormat="1" x14ac:dyDescent="0.35">
      <c r="A6375" s="112"/>
      <c r="B6375" s="113"/>
      <c r="C6375" s="112"/>
      <c r="D6375" s="114"/>
      <c r="E6375" s="112"/>
      <c r="F6375" s="178"/>
    </row>
    <row r="6377" spans="1:6" s="53" customFormat="1" ht="23.5" x14ac:dyDescent="0.55000000000000004">
      <c r="B6377" s="227" t="s">
        <v>0</v>
      </c>
      <c r="C6377" s="227"/>
      <c r="D6377" s="227"/>
      <c r="E6377" s="70"/>
      <c r="F6377" s="176"/>
    </row>
    <row r="6378" spans="1:6" s="53" customFormat="1" ht="20.5" x14ac:dyDescent="0.45">
      <c r="B6378" s="71"/>
      <c r="C6378" s="72" t="s">
        <v>1530</v>
      </c>
      <c r="D6378" s="73"/>
      <c r="F6378" s="94"/>
    </row>
    <row r="6379" spans="1:6" s="53" customFormat="1" ht="21" thickBot="1" x14ac:dyDescent="0.5">
      <c r="B6379" s="71" t="s">
        <v>954</v>
      </c>
      <c r="C6379" s="74" t="s">
        <v>103</v>
      </c>
      <c r="D6379" s="73"/>
      <c r="F6379" s="94"/>
    </row>
    <row r="6380" spans="1:6" s="53" customFormat="1" ht="15" thickBot="1" x14ac:dyDescent="0.4">
      <c r="A6380" s="75" t="s">
        <v>104</v>
      </c>
      <c r="B6380" s="76" t="s">
        <v>81</v>
      </c>
      <c r="C6380" s="76" t="s">
        <v>105</v>
      </c>
      <c r="D6380" s="77" t="s">
        <v>84</v>
      </c>
      <c r="F6380" s="94"/>
    </row>
    <row r="6381" spans="1:6" s="53" customFormat="1" ht="14.5" customHeight="1" x14ac:dyDescent="0.35">
      <c r="A6381" s="222" t="s">
        <v>95</v>
      </c>
      <c r="B6381" s="78" t="s">
        <v>1521</v>
      </c>
      <c r="C6381" s="79" t="s">
        <v>959</v>
      </c>
      <c r="D6381" s="80">
        <f>F6388</f>
        <v>10758000</v>
      </c>
      <c r="F6381" s="94"/>
    </row>
    <row r="6382" spans="1:6" s="53" customFormat="1" ht="21" thickBot="1" x14ac:dyDescent="0.5">
      <c r="A6382" s="223"/>
      <c r="B6382" s="71"/>
      <c r="C6382" s="71"/>
      <c r="D6382" s="73"/>
      <c r="F6382" s="94"/>
    </row>
    <row r="6383" spans="1:6" s="53" customFormat="1" ht="15" thickBot="1" x14ac:dyDescent="0.4">
      <c r="A6383" s="223"/>
      <c r="B6383" s="81" t="s">
        <v>81</v>
      </c>
      <c r="C6383" s="82" t="s">
        <v>107</v>
      </c>
      <c r="D6383" s="83" t="s">
        <v>108</v>
      </c>
      <c r="F6383" s="94"/>
    </row>
    <row r="6384" spans="1:6" s="87" customFormat="1" x14ac:dyDescent="0.35">
      <c r="A6384" s="223"/>
      <c r="B6384" s="84" t="str">
        <f>B6381</f>
        <v>22nd November,2025</v>
      </c>
      <c r="C6384" s="85" t="s">
        <v>1416</v>
      </c>
      <c r="D6384" s="86">
        <f>1850*2720</f>
        <v>5032000</v>
      </c>
      <c r="F6384" s="177"/>
    </row>
    <row r="6385" spans="1:7" s="53" customFormat="1" x14ac:dyDescent="0.35">
      <c r="A6385" s="223"/>
      <c r="B6385" s="88"/>
      <c r="C6385" s="89" t="s">
        <v>159</v>
      </c>
      <c r="D6385" s="90">
        <f>299*2650</f>
        <v>792350</v>
      </c>
      <c r="F6385" s="94"/>
    </row>
    <row r="6386" spans="1:7" s="53" customFormat="1" x14ac:dyDescent="0.35">
      <c r="A6386" s="223"/>
      <c r="B6386" s="88" t="s">
        <v>109</v>
      </c>
      <c r="C6386" s="89" t="s">
        <v>110</v>
      </c>
      <c r="D6386" s="90">
        <v>1000000</v>
      </c>
      <c r="F6386" s="94"/>
    </row>
    <row r="6387" spans="1:7" s="53" customFormat="1" x14ac:dyDescent="0.35">
      <c r="A6387" s="223"/>
      <c r="B6387" s="88" t="s">
        <v>111</v>
      </c>
      <c r="C6387" s="89" t="s">
        <v>112</v>
      </c>
      <c r="D6387" s="90">
        <v>40000</v>
      </c>
      <c r="E6387" s="225" t="s">
        <v>113</v>
      </c>
      <c r="F6387" s="225"/>
    </row>
    <row r="6388" spans="1:7" s="53" customFormat="1" x14ac:dyDescent="0.35">
      <c r="A6388" s="223"/>
      <c r="B6388" s="88" t="s">
        <v>114</v>
      </c>
      <c r="C6388" s="89" t="s">
        <v>115</v>
      </c>
      <c r="D6388" s="90">
        <f>1000*123</f>
        <v>123000</v>
      </c>
      <c r="E6388" s="91" t="s">
        <v>116</v>
      </c>
      <c r="F6388" s="92">
        <f>4400*2445</f>
        <v>10758000</v>
      </c>
    </row>
    <row r="6389" spans="1:7" s="53" customFormat="1" x14ac:dyDescent="0.35">
      <c r="A6389" s="223"/>
      <c r="B6389" s="88"/>
      <c r="C6389" s="89" t="s">
        <v>117</v>
      </c>
      <c r="D6389" s="90">
        <f>2500*123</f>
        <v>307500</v>
      </c>
      <c r="E6389" s="93" t="s">
        <v>118</v>
      </c>
      <c r="F6389" s="94">
        <f>(2640*2445)+(1760*2445)</f>
        <v>10758000</v>
      </c>
    </row>
    <row r="6390" spans="1:7" s="53" customFormat="1" ht="15" thickBot="1" x14ac:dyDescent="0.4">
      <c r="A6390" s="223"/>
      <c r="B6390" s="88" t="s">
        <v>119</v>
      </c>
      <c r="C6390" s="89" t="s">
        <v>120</v>
      </c>
      <c r="D6390" s="95">
        <v>30000</v>
      </c>
      <c r="E6390" s="96" t="s">
        <v>121</v>
      </c>
      <c r="F6390" s="97">
        <f>F6388-F6389</f>
        <v>0</v>
      </c>
      <c r="G6390" s="98">
        <f>F6390/2445</f>
        <v>0</v>
      </c>
    </row>
    <row r="6391" spans="1:7" s="53" customFormat="1" ht="15" thickTop="1" x14ac:dyDescent="0.35">
      <c r="A6391" s="223"/>
      <c r="B6391" s="88"/>
      <c r="C6391" s="89" t="s">
        <v>122</v>
      </c>
      <c r="D6391" s="90">
        <v>150000</v>
      </c>
      <c r="F6391" s="94"/>
    </row>
    <row r="6392" spans="1:7" s="53" customFormat="1" x14ac:dyDescent="0.35">
      <c r="A6392" s="223"/>
      <c r="B6392" s="88" t="s">
        <v>1529</v>
      </c>
      <c r="C6392" s="99" t="s">
        <v>123</v>
      </c>
      <c r="D6392" s="90">
        <v>15000</v>
      </c>
      <c r="E6392" s="91" t="s">
        <v>124</v>
      </c>
      <c r="F6392" s="92"/>
    </row>
    <row r="6393" spans="1:7" s="53" customFormat="1" x14ac:dyDescent="0.35">
      <c r="A6393" s="223"/>
      <c r="B6393" s="101"/>
      <c r="C6393" s="99" t="s">
        <v>125</v>
      </c>
      <c r="D6393" s="100">
        <v>10000</v>
      </c>
      <c r="E6393" s="102"/>
      <c r="F6393" s="103"/>
    </row>
    <row r="6394" spans="1:7" s="53" customFormat="1" x14ac:dyDescent="0.35">
      <c r="A6394" s="223"/>
      <c r="B6394" s="101"/>
      <c r="C6394" s="99" t="s">
        <v>126</v>
      </c>
      <c r="D6394" s="100">
        <v>30000</v>
      </c>
      <c r="E6394" s="102" t="s">
        <v>127</v>
      </c>
      <c r="F6394" s="103"/>
    </row>
    <row r="6395" spans="1:7" s="53" customFormat="1" x14ac:dyDescent="0.35">
      <c r="A6395" s="223"/>
      <c r="B6395" s="101"/>
      <c r="C6395" s="89"/>
      <c r="D6395" s="104"/>
      <c r="E6395" s="53" t="s">
        <v>1543</v>
      </c>
      <c r="F6395" s="103"/>
    </row>
    <row r="6396" spans="1:7" s="53" customFormat="1" ht="15" thickBot="1" x14ac:dyDescent="0.4">
      <c r="A6396" s="223"/>
      <c r="B6396" s="105"/>
      <c r="C6396" s="106"/>
      <c r="D6396" s="107"/>
      <c r="E6396" s="53" t="s">
        <v>1747</v>
      </c>
      <c r="F6396" s="94"/>
    </row>
    <row r="6397" spans="1:7" s="53" customFormat="1" ht="15" thickBot="1" x14ac:dyDescent="0.4">
      <c r="A6397" s="223"/>
      <c r="B6397" s="108"/>
      <c r="C6397" s="109" t="s">
        <v>129</v>
      </c>
      <c r="D6397" s="110">
        <f>SUM(D6384:D6396)</f>
        <v>7529850</v>
      </c>
      <c r="F6397" s="94"/>
    </row>
    <row r="6398" spans="1:7" s="53" customFormat="1" ht="15.5" thickTop="1" thickBot="1" x14ac:dyDescent="0.4">
      <c r="A6398" s="224"/>
      <c r="B6398" s="226"/>
      <c r="C6398" s="226"/>
      <c r="D6398" s="226"/>
      <c r="F6398" s="94"/>
    </row>
    <row r="6399" spans="1:7" s="53" customFormat="1" x14ac:dyDescent="0.35">
      <c r="B6399" s="87"/>
      <c r="C6399" s="53" t="s">
        <v>130</v>
      </c>
      <c r="D6399" s="111">
        <f>D6381-D6397</f>
        <v>3228150</v>
      </c>
      <c r="F6399" s="94"/>
    </row>
    <row r="6400" spans="1:7" s="53" customFormat="1" x14ac:dyDescent="0.35">
      <c r="B6400" s="87"/>
      <c r="D6400" s="111"/>
      <c r="F6400" s="94"/>
    </row>
    <row r="6401" spans="1:7" s="53" customFormat="1" x14ac:dyDescent="0.35">
      <c r="A6401" s="112"/>
      <c r="B6401" s="113"/>
      <c r="C6401" s="112"/>
      <c r="D6401" s="114"/>
      <c r="E6401" s="112"/>
      <c r="F6401" s="178"/>
    </row>
    <row r="6403" spans="1:7" s="53" customFormat="1" ht="23.5" x14ac:dyDescent="0.55000000000000004">
      <c r="B6403" s="227" t="s">
        <v>0</v>
      </c>
      <c r="C6403" s="227"/>
      <c r="D6403" s="227"/>
      <c r="E6403" s="70"/>
      <c r="F6403" s="176"/>
    </row>
    <row r="6404" spans="1:7" s="53" customFormat="1" ht="20.5" x14ac:dyDescent="0.45">
      <c r="B6404" s="71"/>
      <c r="C6404" s="72" t="s">
        <v>1537</v>
      </c>
      <c r="D6404" s="73"/>
      <c r="F6404" s="94"/>
    </row>
    <row r="6405" spans="1:7" s="53" customFormat="1" ht="21" thickBot="1" x14ac:dyDescent="0.5">
      <c r="B6405" s="71" t="s">
        <v>1002</v>
      </c>
      <c r="C6405" s="74" t="s">
        <v>103</v>
      </c>
      <c r="D6405" s="73"/>
      <c r="F6405" s="94"/>
    </row>
    <row r="6406" spans="1:7" s="53" customFormat="1" ht="15" thickBot="1" x14ac:dyDescent="0.4">
      <c r="A6406" s="75" t="s">
        <v>104</v>
      </c>
      <c r="B6406" s="76" t="s">
        <v>81</v>
      </c>
      <c r="C6406" s="76" t="s">
        <v>105</v>
      </c>
      <c r="D6406" s="77" t="s">
        <v>84</v>
      </c>
      <c r="F6406" s="94"/>
    </row>
    <row r="6407" spans="1:7" s="53" customFormat="1" ht="14.5" customHeight="1" x14ac:dyDescent="0.35">
      <c r="A6407" s="222" t="s">
        <v>95</v>
      </c>
      <c r="B6407" s="78" t="s">
        <v>1538</v>
      </c>
      <c r="C6407" s="79" t="s">
        <v>319</v>
      </c>
      <c r="D6407" s="80">
        <f>F6414</f>
        <v>11875000</v>
      </c>
      <c r="F6407" s="94"/>
    </row>
    <row r="6408" spans="1:7" s="53" customFormat="1" ht="21" thickBot="1" x14ac:dyDescent="0.5">
      <c r="A6408" s="223"/>
      <c r="B6408" s="71"/>
      <c r="C6408" s="71"/>
      <c r="D6408" s="73"/>
      <c r="F6408" s="94"/>
    </row>
    <row r="6409" spans="1:7" s="53" customFormat="1" ht="15" thickBot="1" x14ac:dyDescent="0.4">
      <c r="A6409" s="223"/>
      <c r="B6409" s="81" t="s">
        <v>81</v>
      </c>
      <c r="C6409" s="82" t="s">
        <v>107</v>
      </c>
      <c r="D6409" s="83" t="s">
        <v>108</v>
      </c>
      <c r="F6409" s="94"/>
    </row>
    <row r="6410" spans="1:7" s="87" customFormat="1" x14ac:dyDescent="0.35">
      <c r="A6410" s="223"/>
      <c r="B6410" s="84" t="str">
        <f>B6407</f>
        <v>25th November,2025</v>
      </c>
      <c r="C6410" s="85" t="s">
        <v>1603</v>
      </c>
      <c r="D6410" s="86">
        <f>1900*2777</f>
        <v>5276300</v>
      </c>
      <c r="F6410" s="177"/>
    </row>
    <row r="6411" spans="1:7" s="53" customFormat="1" x14ac:dyDescent="0.35">
      <c r="A6411" s="223"/>
      <c r="B6411" s="88"/>
      <c r="C6411" s="89" t="s">
        <v>1539</v>
      </c>
      <c r="D6411" s="90">
        <f>334*2500</f>
        <v>835000</v>
      </c>
      <c r="F6411" s="94"/>
    </row>
    <row r="6412" spans="1:7" s="53" customFormat="1" x14ac:dyDescent="0.35">
      <c r="A6412" s="223"/>
      <c r="B6412" s="88" t="s">
        <v>109</v>
      </c>
      <c r="C6412" s="89" t="s">
        <v>110</v>
      </c>
      <c r="D6412" s="90">
        <v>1000000</v>
      </c>
      <c r="F6412" s="94"/>
    </row>
    <row r="6413" spans="1:7" s="53" customFormat="1" x14ac:dyDescent="0.35">
      <c r="A6413" s="223"/>
      <c r="B6413" s="88" t="s">
        <v>111</v>
      </c>
      <c r="C6413" s="89" t="s">
        <v>112</v>
      </c>
      <c r="D6413" s="90">
        <v>40000</v>
      </c>
      <c r="E6413" s="225" t="s">
        <v>113</v>
      </c>
      <c r="F6413" s="225"/>
    </row>
    <row r="6414" spans="1:7" s="53" customFormat="1" x14ac:dyDescent="0.35">
      <c r="A6414" s="223"/>
      <c r="B6414" s="88" t="s">
        <v>1536</v>
      </c>
      <c r="C6414" s="89" t="s">
        <v>115</v>
      </c>
      <c r="D6414" s="90">
        <f>1700*123</f>
        <v>209100</v>
      </c>
      <c r="E6414" s="91" t="s">
        <v>116</v>
      </c>
      <c r="F6414" s="92">
        <f>4750*2500</f>
        <v>11875000</v>
      </c>
    </row>
    <row r="6415" spans="1:7" s="53" customFormat="1" x14ac:dyDescent="0.35">
      <c r="A6415" s="223"/>
      <c r="B6415" s="88"/>
      <c r="C6415" s="89" t="s">
        <v>117</v>
      </c>
      <c r="D6415" s="90">
        <f>4380*123</f>
        <v>538740</v>
      </c>
      <c r="E6415" s="93" t="s">
        <v>118</v>
      </c>
      <c r="F6415" s="94">
        <f>4750*2500</f>
        <v>11875000</v>
      </c>
    </row>
    <row r="6416" spans="1:7" s="53" customFormat="1" ht="15" thickBot="1" x14ac:dyDescent="0.4">
      <c r="A6416" s="223"/>
      <c r="B6416" s="88" t="s">
        <v>119</v>
      </c>
      <c r="C6416" s="89" t="s">
        <v>120</v>
      </c>
      <c r="D6416" s="95">
        <v>30000</v>
      </c>
      <c r="E6416" s="96" t="s">
        <v>121</v>
      </c>
      <c r="F6416" s="97">
        <f>F6414-F6415</f>
        <v>0</v>
      </c>
      <c r="G6416" s="98">
        <f>F6416/2500</f>
        <v>0</v>
      </c>
    </row>
    <row r="6417" spans="1:6" s="53" customFormat="1" ht="15" thickTop="1" x14ac:dyDescent="0.35">
      <c r="A6417" s="223"/>
      <c r="B6417" s="88"/>
      <c r="C6417" s="99" t="s">
        <v>126</v>
      </c>
      <c r="D6417" s="90">
        <v>40000</v>
      </c>
      <c r="F6417" s="94"/>
    </row>
    <row r="6418" spans="1:6" s="53" customFormat="1" x14ac:dyDescent="0.35">
      <c r="A6418" s="223"/>
      <c r="B6418" s="88" t="s">
        <v>213</v>
      </c>
      <c r="C6418" s="99" t="s">
        <v>123</v>
      </c>
      <c r="D6418" s="90">
        <v>15000</v>
      </c>
      <c r="E6418" s="91" t="s">
        <v>124</v>
      </c>
      <c r="F6418" s="92"/>
    </row>
    <row r="6419" spans="1:6" s="53" customFormat="1" x14ac:dyDescent="0.35">
      <c r="A6419" s="223"/>
      <c r="B6419" s="101"/>
      <c r="C6419" s="99" t="s">
        <v>265</v>
      </c>
      <c r="D6419" s="100">
        <f>486*123</f>
        <v>59778</v>
      </c>
      <c r="E6419" s="102"/>
      <c r="F6419" s="103"/>
    </row>
    <row r="6420" spans="1:6" s="53" customFormat="1" x14ac:dyDescent="0.35">
      <c r="A6420" s="223"/>
      <c r="B6420" s="101"/>
      <c r="C6420" s="99"/>
      <c r="D6420" s="100"/>
      <c r="E6420" s="102" t="s">
        <v>127</v>
      </c>
      <c r="F6420" s="103"/>
    </row>
    <row r="6421" spans="1:6" s="53" customFormat="1" x14ac:dyDescent="0.35">
      <c r="A6421" s="223"/>
      <c r="B6421" s="101"/>
      <c r="C6421" s="89"/>
      <c r="D6421" s="104"/>
      <c r="E6421" s="102" t="s">
        <v>1725</v>
      </c>
      <c r="F6421" s="103"/>
    </row>
    <row r="6422" spans="1:6" s="53" customFormat="1" ht="15" thickBot="1" x14ac:dyDescent="0.4">
      <c r="A6422" s="223"/>
      <c r="B6422" s="105"/>
      <c r="C6422" s="106"/>
      <c r="D6422" s="107"/>
      <c r="F6422" s="94"/>
    </row>
    <row r="6423" spans="1:6" s="53" customFormat="1" ht="15" thickBot="1" x14ac:dyDescent="0.4">
      <c r="A6423" s="223"/>
      <c r="B6423" s="108"/>
      <c r="C6423" s="109" t="s">
        <v>129</v>
      </c>
      <c r="D6423" s="110">
        <f>SUM(D6410:D6422)</f>
        <v>8043918</v>
      </c>
      <c r="F6423" s="94"/>
    </row>
    <row r="6424" spans="1:6" s="53" customFormat="1" ht="15.5" thickTop="1" thickBot="1" x14ac:dyDescent="0.4">
      <c r="A6424" s="224"/>
      <c r="B6424" s="226"/>
      <c r="C6424" s="226"/>
      <c r="D6424" s="226"/>
      <c r="F6424" s="94"/>
    </row>
    <row r="6425" spans="1:6" s="53" customFormat="1" x14ac:dyDescent="0.35">
      <c r="B6425" s="87"/>
      <c r="C6425" s="53" t="s">
        <v>130</v>
      </c>
      <c r="D6425" s="111">
        <f>D6407-D6423</f>
        <v>3831082</v>
      </c>
      <c r="F6425" s="94"/>
    </row>
    <row r="6426" spans="1:6" s="53" customFormat="1" x14ac:dyDescent="0.35">
      <c r="B6426" s="87"/>
      <c r="D6426" s="111"/>
      <c r="F6426" s="94"/>
    </row>
    <row r="6427" spans="1:6" s="53" customFormat="1" x14ac:dyDescent="0.35">
      <c r="A6427" s="112"/>
      <c r="B6427" s="113"/>
      <c r="C6427" s="112"/>
      <c r="D6427" s="114"/>
      <c r="E6427" s="112"/>
      <c r="F6427" s="178"/>
    </row>
    <row r="6429" spans="1:6" s="53" customFormat="1" ht="23.5" x14ac:dyDescent="0.55000000000000004">
      <c r="B6429" s="227" t="s">
        <v>0</v>
      </c>
      <c r="C6429" s="227"/>
      <c r="D6429" s="227"/>
      <c r="E6429" s="70"/>
      <c r="F6429" s="176"/>
    </row>
    <row r="6430" spans="1:6" s="53" customFormat="1" ht="20.5" x14ac:dyDescent="0.45">
      <c r="B6430" s="71"/>
      <c r="C6430" s="72" t="s">
        <v>1540</v>
      </c>
      <c r="D6430" s="73"/>
      <c r="F6430" s="94"/>
    </row>
    <row r="6431" spans="1:6" s="53" customFormat="1" ht="21" thickBot="1" x14ac:dyDescent="0.5">
      <c r="B6431" s="71" t="s">
        <v>979</v>
      </c>
      <c r="C6431" s="74" t="s">
        <v>103</v>
      </c>
      <c r="D6431" s="73"/>
      <c r="F6431" s="94"/>
    </row>
    <row r="6432" spans="1:6" s="53" customFormat="1" ht="15" thickBot="1" x14ac:dyDescent="0.4">
      <c r="A6432" s="75" t="s">
        <v>104</v>
      </c>
      <c r="B6432" s="76" t="s">
        <v>81</v>
      </c>
      <c r="C6432" s="76" t="s">
        <v>105</v>
      </c>
      <c r="D6432" s="77" t="s">
        <v>84</v>
      </c>
      <c r="F6432" s="94"/>
    </row>
    <row r="6433" spans="1:7" s="53" customFormat="1" ht="14.5" customHeight="1" x14ac:dyDescent="0.35">
      <c r="A6433" s="222" t="s">
        <v>95</v>
      </c>
      <c r="B6433" s="78" t="s">
        <v>1538</v>
      </c>
      <c r="C6433" s="79" t="s">
        <v>319</v>
      </c>
      <c r="D6433" s="80">
        <f>F6440</f>
        <v>11875000</v>
      </c>
      <c r="F6433" s="94"/>
    </row>
    <row r="6434" spans="1:7" s="53" customFormat="1" ht="21" thickBot="1" x14ac:dyDescent="0.5">
      <c r="A6434" s="223"/>
      <c r="B6434" s="71"/>
      <c r="C6434" s="71"/>
      <c r="D6434" s="73"/>
      <c r="F6434" s="94"/>
    </row>
    <row r="6435" spans="1:7" s="53" customFormat="1" ht="15" thickBot="1" x14ac:dyDescent="0.4">
      <c r="A6435" s="223"/>
      <c r="B6435" s="81" t="s">
        <v>81</v>
      </c>
      <c r="C6435" s="82" t="s">
        <v>107</v>
      </c>
      <c r="D6435" s="83" t="s">
        <v>108</v>
      </c>
      <c r="F6435" s="94"/>
    </row>
    <row r="6436" spans="1:7" s="87" customFormat="1" x14ac:dyDescent="0.35">
      <c r="A6436" s="223"/>
      <c r="B6436" s="84" t="str">
        <f>B6433</f>
        <v>25th November,2025</v>
      </c>
      <c r="C6436" s="85" t="s">
        <v>1603</v>
      </c>
      <c r="D6436" s="86">
        <f>1900*2777</f>
        <v>5276300</v>
      </c>
      <c r="F6436" s="177"/>
    </row>
    <row r="6437" spans="1:7" s="53" customFormat="1" x14ac:dyDescent="0.35">
      <c r="A6437" s="223"/>
      <c r="B6437" s="88"/>
      <c r="C6437" s="89" t="s">
        <v>1539</v>
      </c>
      <c r="D6437" s="90">
        <f>334*2500</f>
        <v>835000</v>
      </c>
      <c r="F6437" s="94"/>
    </row>
    <row r="6438" spans="1:7" s="53" customFormat="1" x14ac:dyDescent="0.35">
      <c r="A6438" s="223"/>
      <c r="B6438" s="88" t="s">
        <v>109</v>
      </c>
      <c r="C6438" s="89" t="s">
        <v>110</v>
      </c>
      <c r="D6438" s="90">
        <v>1000000</v>
      </c>
      <c r="F6438" s="94"/>
    </row>
    <row r="6439" spans="1:7" s="53" customFormat="1" x14ac:dyDescent="0.35">
      <c r="A6439" s="223"/>
      <c r="B6439" s="88" t="s">
        <v>111</v>
      </c>
      <c r="C6439" s="89" t="s">
        <v>112</v>
      </c>
      <c r="D6439" s="90">
        <v>40000</v>
      </c>
      <c r="E6439" s="225" t="s">
        <v>113</v>
      </c>
      <c r="F6439" s="225"/>
    </row>
    <row r="6440" spans="1:7" s="53" customFormat="1" x14ac:dyDescent="0.35">
      <c r="A6440" s="223"/>
      <c r="B6440" s="88" t="s">
        <v>1536</v>
      </c>
      <c r="C6440" s="89" t="s">
        <v>115</v>
      </c>
      <c r="D6440" s="90">
        <f>1700*123</f>
        <v>209100</v>
      </c>
      <c r="E6440" s="91" t="s">
        <v>116</v>
      </c>
      <c r="F6440" s="92">
        <f>4750*2500</f>
        <v>11875000</v>
      </c>
    </row>
    <row r="6441" spans="1:7" s="53" customFormat="1" x14ac:dyDescent="0.35">
      <c r="A6441" s="223"/>
      <c r="B6441" s="88"/>
      <c r="C6441" s="89" t="s">
        <v>117</v>
      </c>
      <c r="D6441" s="90">
        <f>4380*123</f>
        <v>538740</v>
      </c>
      <c r="E6441" s="93" t="s">
        <v>118</v>
      </c>
      <c r="F6441" s="94">
        <f>4750*2500</f>
        <v>11875000</v>
      </c>
    </row>
    <row r="6442" spans="1:7" s="53" customFormat="1" ht="15" thickBot="1" x14ac:dyDescent="0.4">
      <c r="A6442" s="223"/>
      <c r="B6442" s="88" t="s">
        <v>119</v>
      </c>
      <c r="C6442" s="89" t="s">
        <v>120</v>
      </c>
      <c r="D6442" s="95">
        <v>30000</v>
      </c>
      <c r="E6442" s="96" t="s">
        <v>121</v>
      </c>
      <c r="F6442" s="97">
        <f>F6440-F6441</f>
        <v>0</v>
      </c>
      <c r="G6442" s="98">
        <f>F6442/2500</f>
        <v>0</v>
      </c>
    </row>
    <row r="6443" spans="1:7" s="53" customFormat="1" ht="15" thickTop="1" x14ac:dyDescent="0.35">
      <c r="A6443" s="223"/>
      <c r="B6443" s="88"/>
      <c r="C6443" s="99" t="s">
        <v>126</v>
      </c>
      <c r="D6443" s="90">
        <v>40000</v>
      </c>
      <c r="F6443" s="94"/>
    </row>
    <row r="6444" spans="1:7" s="53" customFormat="1" x14ac:dyDescent="0.35">
      <c r="A6444" s="223"/>
      <c r="B6444" s="88" t="s">
        <v>213</v>
      </c>
      <c r="C6444" s="99" t="s">
        <v>123</v>
      </c>
      <c r="D6444" s="90">
        <v>15000</v>
      </c>
      <c r="E6444" s="91" t="s">
        <v>124</v>
      </c>
      <c r="F6444" s="92"/>
    </row>
    <row r="6445" spans="1:7" s="53" customFormat="1" x14ac:dyDescent="0.35">
      <c r="A6445" s="223"/>
      <c r="B6445" s="101"/>
      <c r="C6445" s="99" t="s">
        <v>265</v>
      </c>
      <c r="D6445" s="100">
        <f>486*123</f>
        <v>59778</v>
      </c>
      <c r="E6445" s="102"/>
      <c r="F6445" s="103"/>
    </row>
    <row r="6446" spans="1:7" s="53" customFormat="1" x14ac:dyDescent="0.35">
      <c r="A6446" s="223"/>
      <c r="B6446" s="101"/>
      <c r="C6446" s="99"/>
      <c r="D6446" s="100"/>
      <c r="E6446" s="102" t="s">
        <v>127</v>
      </c>
      <c r="F6446" s="103"/>
    </row>
    <row r="6447" spans="1:7" s="53" customFormat="1" x14ac:dyDescent="0.35">
      <c r="A6447" s="223"/>
      <c r="B6447" s="101"/>
      <c r="C6447" s="89"/>
      <c r="D6447" s="104"/>
      <c r="E6447" s="102" t="s">
        <v>1725</v>
      </c>
      <c r="F6447" s="103"/>
    </row>
    <row r="6448" spans="1:7" s="53" customFormat="1" ht="15" thickBot="1" x14ac:dyDescent="0.4">
      <c r="A6448" s="223"/>
      <c r="B6448" s="105"/>
      <c r="C6448" s="106"/>
      <c r="D6448" s="107"/>
      <c r="F6448" s="94"/>
    </row>
    <row r="6449" spans="1:6" s="53" customFormat="1" ht="15" thickBot="1" x14ac:dyDescent="0.4">
      <c r="A6449" s="223"/>
      <c r="B6449" s="108"/>
      <c r="C6449" s="109" t="s">
        <v>129</v>
      </c>
      <c r="D6449" s="110">
        <f>SUM(D6436:D6448)</f>
        <v>8043918</v>
      </c>
      <c r="F6449" s="94"/>
    </row>
    <row r="6450" spans="1:6" s="53" customFormat="1" ht="15.5" thickTop="1" thickBot="1" x14ac:dyDescent="0.4">
      <c r="A6450" s="224"/>
      <c r="B6450" s="226"/>
      <c r="C6450" s="226"/>
      <c r="D6450" s="226"/>
      <c r="F6450" s="94"/>
    </row>
    <row r="6451" spans="1:6" s="53" customFormat="1" x14ac:dyDescent="0.35">
      <c r="B6451" s="87"/>
      <c r="C6451" s="53" t="s">
        <v>130</v>
      </c>
      <c r="D6451" s="111">
        <f>D6433-D6449</f>
        <v>3831082</v>
      </c>
      <c r="F6451" s="94"/>
    </row>
    <row r="6452" spans="1:6" s="53" customFormat="1" x14ac:dyDescent="0.35">
      <c r="B6452" s="87"/>
      <c r="D6452" s="111"/>
      <c r="F6452" s="94"/>
    </row>
    <row r="6453" spans="1:6" s="53" customFormat="1" x14ac:dyDescent="0.35">
      <c r="A6453" s="112"/>
      <c r="B6453" s="113"/>
      <c r="C6453" s="112"/>
      <c r="D6453" s="114"/>
      <c r="E6453" s="112"/>
      <c r="F6453" s="178"/>
    </row>
    <row r="6455" spans="1:6" s="53" customFormat="1" ht="23.5" x14ac:dyDescent="0.55000000000000004">
      <c r="B6455" s="227" t="s">
        <v>0</v>
      </c>
      <c r="C6455" s="227"/>
      <c r="D6455" s="227"/>
      <c r="E6455" s="70"/>
      <c r="F6455" s="176"/>
    </row>
    <row r="6456" spans="1:6" s="53" customFormat="1" ht="20.5" x14ac:dyDescent="0.45">
      <c r="B6456" s="71"/>
      <c r="C6456" s="72" t="s">
        <v>1550</v>
      </c>
      <c r="D6456" s="73"/>
      <c r="F6456" s="94"/>
    </row>
    <row r="6457" spans="1:6" s="53" customFormat="1" ht="21" thickBot="1" x14ac:dyDescent="0.5">
      <c r="B6457" s="71" t="s">
        <v>185</v>
      </c>
      <c r="C6457" s="74" t="s">
        <v>103</v>
      </c>
      <c r="D6457" s="73"/>
      <c r="F6457" s="94"/>
    </row>
    <row r="6458" spans="1:6" s="53" customFormat="1" ht="15" thickBot="1" x14ac:dyDescent="0.4">
      <c r="A6458" s="75" t="s">
        <v>104</v>
      </c>
      <c r="B6458" s="76" t="s">
        <v>81</v>
      </c>
      <c r="C6458" s="76" t="s">
        <v>105</v>
      </c>
      <c r="D6458" s="77" t="s">
        <v>84</v>
      </c>
      <c r="F6458" s="94"/>
    </row>
    <row r="6459" spans="1:6" s="53" customFormat="1" ht="14.5" customHeight="1" x14ac:dyDescent="0.35">
      <c r="A6459" s="222" t="s">
        <v>95</v>
      </c>
      <c r="B6459" s="78" t="s">
        <v>1555</v>
      </c>
      <c r="C6459" s="79" t="s">
        <v>319</v>
      </c>
      <c r="D6459" s="80">
        <f>F6466</f>
        <v>10750000</v>
      </c>
      <c r="F6459" s="94"/>
    </row>
    <row r="6460" spans="1:6" s="53" customFormat="1" ht="21" thickBot="1" x14ac:dyDescent="0.5">
      <c r="A6460" s="223"/>
      <c r="B6460" s="71"/>
      <c r="C6460" s="71"/>
      <c r="D6460" s="73"/>
      <c r="F6460" s="94"/>
    </row>
    <row r="6461" spans="1:6" s="53" customFormat="1" ht="15" thickBot="1" x14ac:dyDescent="0.4">
      <c r="A6461" s="223"/>
      <c r="B6461" s="81" t="s">
        <v>81</v>
      </c>
      <c r="C6461" s="82" t="s">
        <v>107</v>
      </c>
      <c r="D6461" s="83" t="s">
        <v>108</v>
      </c>
      <c r="F6461" s="94"/>
    </row>
    <row r="6462" spans="1:6" s="87" customFormat="1" x14ac:dyDescent="0.35">
      <c r="A6462" s="223"/>
      <c r="B6462" s="84" t="str">
        <f>B6459</f>
        <v>28th November,2025</v>
      </c>
      <c r="C6462" s="85" t="s">
        <v>1708</v>
      </c>
      <c r="D6462" s="86">
        <f>1850*2799</f>
        <v>5178150</v>
      </c>
      <c r="F6462" s="177"/>
    </row>
    <row r="6463" spans="1:6" s="53" customFormat="1" x14ac:dyDescent="0.35">
      <c r="A6463" s="223"/>
      <c r="B6463" s="88"/>
      <c r="C6463" s="89" t="s">
        <v>188</v>
      </c>
      <c r="D6463" s="90">
        <f>325*2650</f>
        <v>861250</v>
      </c>
      <c r="F6463" s="94"/>
    </row>
    <row r="6464" spans="1:6" s="53" customFormat="1" x14ac:dyDescent="0.35">
      <c r="A6464" s="223"/>
      <c r="B6464" s="88" t="s">
        <v>109</v>
      </c>
      <c r="C6464" s="89" t="s">
        <v>110</v>
      </c>
      <c r="D6464" s="90">
        <v>1000000</v>
      </c>
      <c r="F6464" s="94"/>
    </row>
    <row r="6465" spans="1:7" s="53" customFormat="1" x14ac:dyDescent="0.35">
      <c r="A6465" s="223"/>
      <c r="B6465" s="88" t="s">
        <v>111</v>
      </c>
      <c r="C6465" s="89" t="s">
        <v>112</v>
      </c>
      <c r="D6465" s="90">
        <v>40000</v>
      </c>
      <c r="E6465" s="225" t="s">
        <v>113</v>
      </c>
      <c r="F6465" s="225"/>
    </row>
    <row r="6466" spans="1:7" s="53" customFormat="1" x14ac:dyDescent="0.35">
      <c r="A6466" s="223"/>
      <c r="B6466" s="88" t="s">
        <v>182</v>
      </c>
      <c r="C6466" s="89" t="s">
        <v>115</v>
      </c>
      <c r="D6466" s="90">
        <f>400*123</f>
        <v>49200</v>
      </c>
      <c r="E6466" s="91" t="s">
        <v>116</v>
      </c>
      <c r="F6466" s="92">
        <f>4300*2500</f>
        <v>10750000</v>
      </c>
    </row>
    <row r="6467" spans="1:7" s="53" customFormat="1" x14ac:dyDescent="0.35">
      <c r="A6467" s="223"/>
      <c r="B6467" s="88"/>
      <c r="C6467" s="89" t="s">
        <v>117</v>
      </c>
      <c r="D6467" s="90">
        <f>3000*123</f>
        <v>369000</v>
      </c>
      <c r="E6467" s="93" t="s">
        <v>118</v>
      </c>
      <c r="F6467" s="94">
        <f>(4300*2500)</f>
        <v>10750000</v>
      </c>
    </row>
    <row r="6468" spans="1:7" s="53" customFormat="1" ht="15" thickBot="1" x14ac:dyDescent="0.4">
      <c r="A6468" s="223"/>
      <c r="B6468" s="88" t="s">
        <v>119</v>
      </c>
      <c r="C6468" s="89" t="s">
        <v>120</v>
      </c>
      <c r="D6468" s="95">
        <v>30000</v>
      </c>
      <c r="E6468" s="96" t="s">
        <v>121</v>
      </c>
      <c r="F6468" s="97">
        <f>F6466-F6467</f>
        <v>0</v>
      </c>
      <c r="G6468" s="98">
        <f>F6468/2500</f>
        <v>0</v>
      </c>
    </row>
    <row r="6469" spans="1:7" s="53" customFormat="1" ht="15" thickTop="1" x14ac:dyDescent="0.35">
      <c r="A6469" s="223"/>
      <c r="B6469" s="88"/>
      <c r="C6469" s="89" t="s">
        <v>122</v>
      </c>
      <c r="D6469" s="90">
        <v>150000</v>
      </c>
      <c r="F6469" s="94"/>
    </row>
    <row r="6470" spans="1:7" s="53" customFormat="1" x14ac:dyDescent="0.35">
      <c r="A6470" s="223"/>
      <c r="B6470" s="88" t="s">
        <v>1548</v>
      </c>
      <c r="C6470" s="99" t="s">
        <v>123</v>
      </c>
      <c r="D6470" s="90">
        <v>15000</v>
      </c>
      <c r="E6470" s="91" t="s">
        <v>124</v>
      </c>
      <c r="F6470" s="92"/>
    </row>
    <row r="6471" spans="1:7" s="53" customFormat="1" x14ac:dyDescent="0.35">
      <c r="A6471" s="223"/>
      <c r="B6471" s="101"/>
      <c r="C6471" s="99" t="s">
        <v>125</v>
      </c>
      <c r="D6471" s="100">
        <v>10000</v>
      </c>
      <c r="E6471" s="102"/>
      <c r="F6471" s="103"/>
    </row>
    <row r="6472" spans="1:7" s="53" customFormat="1" x14ac:dyDescent="0.35">
      <c r="A6472" s="223"/>
      <c r="B6472" s="101"/>
      <c r="C6472" s="99" t="s">
        <v>126</v>
      </c>
      <c r="D6472" s="100">
        <v>20000</v>
      </c>
      <c r="E6472" s="102" t="s">
        <v>127</v>
      </c>
      <c r="F6472" s="103"/>
    </row>
    <row r="6473" spans="1:7" s="53" customFormat="1" x14ac:dyDescent="0.35">
      <c r="A6473" s="223"/>
      <c r="B6473" s="101"/>
      <c r="C6473" s="89"/>
      <c r="D6473" s="104"/>
      <c r="E6473" s="102" t="s">
        <v>1741</v>
      </c>
      <c r="F6473" s="103"/>
    </row>
    <row r="6474" spans="1:7" s="53" customFormat="1" ht="15" thickBot="1" x14ac:dyDescent="0.4">
      <c r="A6474" s="223"/>
      <c r="B6474" s="105"/>
      <c r="C6474" s="106"/>
      <c r="D6474" s="107"/>
      <c r="F6474" s="94"/>
    </row>
    <row r="6475" spans="1:7" s="53" customFormat="1" ht="15" thickBot="1" x14ac:dyDescent="0.4">
      <c r="A6475" s="223"/>
      <c r="B6475" s="108"/>
      <c r="C6475" s="109" t="s">
        <v>129</v>
      </c>
      <c r="D6475" s="110">
        <f>SUM(D6462:D6474)</f>
        <v>7722600</v>
      </c>
      <c r="F6475" s="94"/>
    </row>
    <row r="6476" spans="1:7" s="53" customFormat="1" ht="15.5" thickTop="1" thickBot="1" x14ac:dyDescent="0.4">
      <c r="A6476" s="224"/>
      <c r="B6476" s="226"/>
      <c r="C6476" s="226"/>
      <c r="D6476" s="226"/>
      <c r="F6476" s="94"/>
    </row>
    <row r="6477" spans="1:7" s="53" customFormat="1" x14ac:dyDescent="0.35">
      <c r="B6477" s="87"/>
      <c r="C6477" s="53" t="s">
        <v>130</v>
      </c>
      <c r="D6477" s="111">
        <f>D6459-D6475</f>
        <v>3027400</v>
      </c>
      <c r="F6477" s="94"/>
    </row>
    <row r="6478" spans="1:7" s="53" customFormat="1" x14ac:dyDescent="0.35">
      <c r="B6478" s="87"/>
      <c r="D6478" s="111"/>
      <c r="F6478" s="94"/>
    </row>
    <row r="6479" spans="1:7" s="53" customFormat="1" x14ac:dyDescent="0.35">
      <c r="A6479" s="112"/>
      <c r="B6479" s="113"/>
      <c r="C6479" s="112"/>
      <c r="D6479" s="114"/>
      <c r="E6479" s="112"/>
      <c r="F6479" s="178"/>
    </row>
    <row r="6481" spans="1:7" s="53" customFormat="1" ht="23.5" x14ac:dyDescent="0.55000000000000004">
      <c r="B6481" s="227" t="s">
        <v>0</v>
      </c>
      <c r="C6481" s="227"/>
      <c r="D6481" s="227"/>
      <c r="E6481" s="70"/>
      <c r="F6481" s="176"/>
    </row>
    <row r="6482" spans="1:7" s="53" customFormat="1" ht="20.5" x14ac:dyDescent="0.45">
      <c r="B6482" s="71"/>
      <c r="C6482" s="72" t="s">
        <v>1571</v>
      </c>
      <c r="D6482" s="73"/>
      <c r="F6482" s="94"/>
    </row>
    <row r="6483" spans="1:7" s="53" customFormat="1" ht="21" thickBot="1" x14ac:dyDescent="0.5">
      <c r="B6483" s="71" t="s">
        <v>989</v>
      </c>
      <c r="C6483" s="74" t="s">
        <v>103</v>
      </c>
      <c r="D6483" s="73"/>
      <c r="F6483" s="94"/>
    </row>
    <row r="6484" spans="1:7" s="53" customFormat="1" ht="15" thickBot="1" x14ac:dyDescent="0.4">
      <c r="A6484" s="75" t="s">
        <v>104</v>
      </c>
      <c r="B6484" s="76" t="s">
        <v>81</v>
      </c>
      <c r="C6484" s="76" t="s">
        <v>105</v>
      </c>
      <c r="D6484" s="77" t="s">
        <v>84</v>
      </c>
      <c r="F6484" s="94"/>
    </row>
    <row r="6485" spans="1:7" s="53" customFormat="1" ht="14.5" customHeight="1" x14ac:dyDescent="0.35">
      <c r="A6485" s="222" t="s">
        <v>95</v>
      </c>
      <c r="B6485" s="78" t="s">
        <v>1555</v>
      </c>
      <c r="C6485" s="79" t="s">
        <v>319</v>
      </c>
      <c r="D6485" s="80">
        <f>F6492</f>
        <v>11000000</v>
      </c>
      <c r="F6485" s="94"/>
    </row>
    <row r="6486" spans="1:7" s="53" customFormat="1" ht="21" thickBot="1" x14ac:dyDescent="0.5">
      <c r="A6486" s="223"/>
      <c r="B6486" s="71"/>
      <c r="C6486" s="71"/>
      <c r="D6486" s="73"/>
      <c r="F6486" s="94"/>
    </row>
    <row r="6487" spans="1:7" s="53" customFormat="1" ht="15" thickBot="1" x14ac:dyDescent="0.4">
      <c r="A6487" s="223"/>
      <c r="B6487" s="81" t="s">
        <v>81</v>
      </c>
      <c r="C6487" s="82" t="s">
        <v>107</v>
      </c>
      <c r="D6487" s="83" t="s">
        <v>108</v>
      </c>
      <c r="F6487" s="94"/>
    </row>
    <row r="6488" spans="1:7" s="87" customFormat="1" x14ac:dyDescent="0.35">
      <c r="A6488" s="223"/>
      <c r="B6488" s="84" t="str">
        <f>B6485</f>
        <v>28th November,2025</v>
      </c>
      <c r="C6488" s="85" t="s">
        <v>1708</v>
      </c>
      <c r="D6488" s="86">
        <f>1850*2799</f>
        <v>5178150</v>
      </c>
      <c r="F6488" s="177"/>
    </row>
    <row r="6489" spans="1:7" s="53" customFormat="1" x14ac:dyDescent="0.35">
      <c r="A6489" s="223"/>
      <c r="B6489" s="88"/>
      <c r="C6489" s="89" t="s">
        <v>159</v>
      </c>
      <c r="D6489" s="90">
        <f>299*2650</f>
        <v>792350</v>
      </c>
      <c r="F6489" s="94"/>
    </row>
    <row r="6490" spans="1:7" s="53" customFormat="1" x14ac:dyDescent="0.35">
      <c r="A6490" s="223"/>
      <c r="B6490" s="88" t="s">
        <v>109</v>
      </c>
      <c r="C6490" s="89" t="s">
        <v>110</v>
      </c>
      <c r="D6490" s="90">
        <v>1000000</v>
      </c>
      <c r="F6490" s="94"/>
    </row>
    <row r="6491" spans="1:7" s="53" customFormat="1" x14ac:dyDescent="0.35">
      <c r="A6491" s="223"/>
      <c r="B6491" s="88" t="s">
        <v>111</v>
      </c>
      <c r="C6491" s="89" t="s">
        <v>112</v>
      </c>
      <c r="D6491" s="90">
        <v>40000</v>
      </c>
      <c r="E6491" s="225" t="s">
        <v>113</v>
      </c>
      <c r="F6491" s="225"/>
    </row>
    <row r="6492" spans="1:7" s="53" customFormat="1" x14ac:dyDescent="0.35">
      <c r="A6492" s="223"/>
      <c r="B6492" s="88" t="s">
        <v>114</v>
      </c>
      <c r="C6492" s="89" t="s">
        <v>115</v>
      </c>
      <c r="D6492" s="90">
        <f>950*123</f>
        <v>116850</v>
      </c>
      <c r="E6492" s="91" t="s">
        <v>116</v>
      </c>
      <c r="F6492" s="92">
        <f>4400*2500</f>
        <v>11000000</v>
      </c>
    </row>
    <row r="6493" spans="1:7" s="53" customFormat="1" x14ac:dyDescent="0.35">
      <c r="A6493" s="223"/>
      <c r="B6493" s="88"/>
      <c r="C6493" s="89" t="s">
        <v>117</v>
      </c>
      <c r="D6493" s="90">
        <f>2500*123</f>
        <v>307500</v>
      </c>
      <c r="E6493" s="93" t="s">
        <v>118</v>
      </c>
      <c r="F6493" s="94">
        <f>4400*2500</f>
        <v>11000000</v>
      </c>
    </row>
    <row r="6494" spans="1:7" s="53" customFormat="1" ht="15" thickBot="1" x14ac:dyDescent="0.4">
      <c r="A6494" s="223"/>
      <c r="B6494" s="88" t="s">
        <v>119</v>
      </c>
      <c r="C6494" s="89" t="s">
        <v>120</v>
      </c>
      <c r="D6494" s="95">
        <v>30000</v>
      </c>
      <c r="E6494" s="96" t="s">
        <v>121</v>
      </c>
      <c r="F6494" s="97">
        <f>F6492-F6493</f>
        <v>0</v>
      </c>
      <c r="G6494" s="98">
        <f>F6494/2500</f>
        <v>0</v>
      </c>
    </row>
    <row r="6495" spans="1:7" s="53" customFormat="1" ht="15" thickTop="1" x14ac:dyDescent="0.35">
      <c r="A6495" s="223"/>
      <c r="B6495" s="88"/>
      <c r="C6495" s="89" t="s">
        <v>122</v>
      </c>
      <c r="D6495" s="90">
        <v>150000</v>
      </c>
      <c r="F6495" s="94"/>
    </row>
    <row r="6496" spans="1:7" s="53" customFormat="1" x14ac:dyDescent="0.35">
      <c r="A6496" s="223"/>
      <c r="B6496" s="88" t="s">
        <v>1554</v>
      </c>
      <c r="C6496" s="99" t="s">
        <v>123</v>
      </c>
      <c r="D6496" s="90">
        <v>15000</v>
      </c>
      <c r="E6496" s="91" t="s">
        <v>124</v>
      </c>
      <c r="F6496" s="92"/>
    </row>
    <row r="6497" spans="1:6" s="53" customFormat="1" x14ac:dyDescent="0.35">
      <c r="A6497" s="223"/>
      <c r="B6497" s="101"/>
      <c r="C6497" s="99" t="s">
        <v>125</v>
      </c>
      <c r="D6497" s="100">
        <v>10000</v>
      </c>
      <c r="E6497" s="102"/>
      <c r="F6497" s="103"/>
    </row>
    <row r="6498" spans="1:6" s="53" customFormat="1" x14ac:dyDescent="0.35">
      <c r="A6498" s="223"/>
      <c r="B6498" s="101"/>
      <c r="C6498" s="99" t="s">
        <v>126</v>
      </c>
      <c r="D6498" s="100">
        <v>20000</v>
      </c>
      <c r="E6498" s="102" t="s">
        <v>127</v>
      </c>
      <c r="F6498" s="103"/>
    </row>
    <row r="6499" spans="1:6" s="53" customFormat="1" x14ac:dyDescent="0.35">
      <c r="A6499" s="223"/>
      <c r="B6499" s="101"/>
      <c r="C6499" s="89"/>
      <c r="D6499" s="104"/>
      <c r="E6499" s="102" t="s">
        <v>1752</v>
      </c>
      <c r="F6499" s="103"/>
    </row>
    <row r="6500" spans="1:6" s="53" customFormat="1" ht="15" thickBot="1" x14ac:dyDescent="0.4">
      <c r="A6500" s="223"/>
      <c r="B6500" s="105"/>
      <c r="C6500" s="106"/>
      <c r="D6500" s="107"/>
      <c r="F6500" s="94"/>
    </row>
    <row r="6501" spans="1:6" s="53" customFormat="1" ht="15" thickBot="1" x14ac:dyDescent="0.4">
      <c r="A6501" s="223"/>
      <c r="B6501" s="108"/>
      <c r="C6501" s="109" t="s">
        <v>129</v>
      </c>
      <c r="D6501" s="110">
        <f>SUM(D6488:D6500)</f>
        <v>7659850</v>
      </c>
      <c r="F6501" s="94"/>
    </row>
    <row r="6502" spans="1:6" s="53" customFormat="1" ht="15.5" thickTop="1" thickBot="1" x14ac:dyDescent="0.4">
      <c r="A6502" s="224"/>
      <c r="B6502" s="226"/>
      <c r="C6502" s="226"/>
      <c r="D6502" s="226"/>
      <c r="F6502" s="94"/>
    </row>
    <row r="6503" spans="1:6" s="53" customFormat="1" x14ac:dyDescent="0.35">
      <c r="B6503" s="87"/>
      <c r="C6503" s="53" t="s">
        <v>130</v>
      </c>
      <c r="D6503" s="111">
        <f>D6485-D6501</f>
        <v>3340150</v>
      </c>
      <c r="F6503" s="94"/>
    </row>
    <row r="6504" spans="1:6" s="53" customFormat="1" x14ac:dyDescent="0.35">
      <c r="B6504" s="87"/>
      <c r="D6504" s="111"/>
      <c r="F6504" s="94"/>
    </row>
    <row r="6505" spans="1:6" s="53" customFormat="1" x14ac:dyDescent="0.35">
      <c r="A6505" s="112"/>
      <c r="B6505" s="113"/>
      <c r="C6505" s="112"/>
      <c r="D6505" s="114"/>
      <c r="E6505" s="112"/>
      <c r="F6505" s="178"/>
    </row>
    <row r="6507" spans="1:6" s="53" customFormat="1" ht="23.5" x14ac:dyDescent="0.55000000000000004">
      <c r="B6507" s="227" t="s">
        <v>0</v>
      </c>
      <c r="C6507" s="227"/>
      <c r="D6507" s="227"/>
      <c r="E6507" s="70"/>
      <c r="F6507" s="176"/>
    </row>
    <row r="6508" spans="1:6" s="53" customFormat="1" ht="20.5" x14ac:dyDescent="0.45">
      <c r="B6508" s="71"/>
      <c r="C6508" s="72" t="s">
        <v>1559</v>
      </c>
      <c r="D6508" s="73"/>
      <c r="F6508" s="94"/>
    </row>
    <row r="6509" spans="1:6" s="53" customFormat="1" ht="21" thickBot="1" x14ac:dyDescent="0.5">
      <c r="B6509" s="71" t="s">
        <v>102</v>
      </c>
      <c r="C6509" s="74" t="s">
        <v>103</v>
      </c>
      <c r="D6509" s="73"/>
      <c r="F6509" s="94"/>
    </row>
    <row r="6510" spans="1:6" s="53" customFormat="1" ht="15" thickBot="1" x14ac:dyDescent="0.4">
      <c r="A6510" s="75" t="s">
        <v>104</v>
      </c>
      <c r="B6510" s="76" t="s">
        <v>81</v>
      </c>
      <c r="C6510" s="76" t="s">
        <v>105</v>
      </c>
      <c r="D6510" s="77" t="s">
        <v>84</v>
      </c>
      <c r="F6510" s="94"/>
    </row>
    <row r="6511" spans="1:6" s="53" customFormat="1" ht="14.5" customHeight="1" x14ac:dyDescent="0.35">
      <c r="A6511" s="222" t="s">
        <v>95</v>
      </c>
      <c r="B6511" s="78" t="s">
        <v>1555</v>
      </c>
      <c r="C6511" s="79" t="s">
        <v>959</v>
      </c>
      <c r="D6511" s="80">
        <f>F6518</f>
        <v>12225000</v>
      </c>
      <c r="F6511" s="94"/>
    </row>
    <row r="6512" spans="1:6" s="53" customFormat="1" ht="21" thickBot="1" x14ac:dyDescent="0.5">
      <c r="A6512" s="223"/>
      <c r="B6512" s="71"/>
      <c r="C6512" s="71"/>
      <c r="D6512" s="73"/>
      <c r="F6512" s="94"/>
    </row>
    <row r="6513" spans="1:7" s="53" customFormat="1" ht="15" thickBot="1" x14ac:dyDescent="0.4">
      <c r="A6513" s="223"/>
      <c r="B6513" s="81" t="s">
        <v>81</v>
      </c>
      <c r="C6513" s="82" t="s">
        <v>107</v>
      </c>
      <c r="D6513" s="83" t="s">
        <v>108</v>
      </c>
      <c r="F6513" s="94"/>
    </row>
    <row r="6514" spans="1:7" s="87" customFormat="1" x14ac:dyDescent="0.35">
      <c r="A6514" s="223"/>
      <c r="B6514" s="84" t="str">
        <f>B6511</f>
        <v>28th November,2025</v>
      </c>
      <c r="C6514" s="85" t="s">
        <v>1724</v>
      </c>
      <c r="D6514" s="86">
        <f>2000*2977</f>
        <v>5954000</v>
      </c>
      <c r="F6514" s="177"/>
    </row>
    <row r="6515" spans="1:7" s="53" customFormat="1" x14ac:dyDescent="0.35">
      <c r="A6515" s="223"/>
      <c r="B6515" s="88"/>
      <c r="C6515" s="89" t="s">
        <v>1506</v>
      </c>
      <c r="D6515" s="90">
        <f>356*2500</f>
        <v>890000</v>
      </c>
      <c r="F6515" s="94"/>
    </row>
    <row r="6516" spans="1:7" s="53" customFormat="1" x14ac:dyDescent="0.35">
      <c r="A6516" s="223"/>
      <c r="B6516" s="88" t="s">
        <v>109</v>
      </c>
      <c r="C6516" s="89" t="s">
        <v>110</v>
      </c>
      <c r="D6516" s="90">
        <v>1000000</v>
      </c>
      <c r="F6516" s="94"/>
    </row>
    <row r="6517" spans="1:7" s="53" customFormat="1" x14ac:dyDescent="0.35">
      <c r="A6517" s="223"/>
      <c r="B6517" s="88" t="s">
        <v>111</v>
      </c>
      <c r="C6517" s="89" t="s">
        <v>112</v>
      </c>
      <c r="D6517" s="90">
        <v>40000</v>
      </c>
      <c r="E6517" s="225" t="s">
        <v>113</v>
      </c>
      <c r="F6517" s="225"/>
    </row>
    <row r="6518" spans="1:7" s="53" customFormat="1" x14ac:dyDescent="0.35">
      <c r="A6518" s="223"/>
      <c r="B6518" s="88" t="s">
        <v>383</v>
      </c>
      <c r="C6518" s="89" t="s">
        <v>115</v>
      </c>
      <c r="D6518" s="90">
        <f>600*120</f>
        <v>72000</v>
      </c>
      <c r="E6518" s="91" t="s">
        <v>116</v>
      </c>
      <c r="F6518" s="92">
        <f>5000*2445</f>
        <v>12225000</v>
      </c>
    </row>
    <row r="6519" spans="1:7" s="53" customFormat="1" x14ac:dyDescent="0.35">
      <c r="A6519" s="223"/>
      <c r="B6519" s="88"/>
      <c r="C6519" s="89" t="s">
        <v>117</v>
      </c>
      <c r="D6519" s="90">
        <f>7250*123</f>
        <v>891750</v>
      </c>
      <c r="E6519" s="93" t="s">
        <v>118</v>
      </c>
      <c r="F6519" s="94">
        <f>(3000*2445)+(2000*2445)</f>
        <v>12225000</v>
      </c>
    </row>
    <row r="6520" spans="1:7" s="53" customFormat="1" ht="15" thickBot="1" x14ac:dyDescent="0.4">
      <c r="A6520" s="223"/>
      <c r="B6520" s="88" t="s">
        <v>119</v>
      </c>
      <c r="C6520" s="89" t="s">
        <v>120</v>
      </c>
      <c r="D6520" s="95">
        <v>30000</v>
      </c>
      <c r="E6520" s="96" t="s">
        <v>121</v>
      </c>
      <c r="F6520" s="97">
        <f>F6518-F6519</f>
        <v>0</v>
      </c>
      <c r="G6520" s="98">
        <f>F6520/2445</f>
        <v>0</v>
      </c>
    </row>
    <row r="6521" spans="1:7" s="53" customFormat="1" ht="15" thickTop="1" x14ac:dyDescent="0.35">
      <c r="A6521" s="223"/>
      <c r="B6521" s="88"/>
      <c r="C6521" s="89" t="s">
        <v>122</v>
      </c>
      <c r="D6521" s="90">
        <v>150000</v>
      </c>
      <c r="F6521" s="94"/>
    </row>
    <row r="6522" spans="1:7" s="53" customFormat="1" x14ac:dyDescent="0.35">
      <c r="A6522" s="223"/>
      <c r="B6522" s="88" t="s">
        <v>1558</v>
      </c>
      <c r="C6522" s="99" t="s">
        <v>123</v>
      </c>
      <c r="D6522" s="90">
        <v>15000</v>
      </c>
      <c r="E6522" s="91" t="s">
        <v>124</v>
      </c>
      <c r="F6522" s="92"/>
    </row>
    <row r="6523" spans="1:7" s="53" customFormat="1" x14ac:dyDescent="0.35">
      <c r="A6523" s="223"/>
      <c r="B6523" s="101"/>
      <c r="C6523" s="99" t="s">
        <v>125</v>
      </c>
      <c r="D6523" s="100">
        <v>10000</v>
      </c>
      <c r="E6523" s="102"/>
      <c r="F6523" s="103"/>
    </row>
    <row r="6524" spans="1:7" s="53" customFormat="1" x14ac:dyDescent="0.35">
      <c r="A6524" s="223"/>
      <c r="B6524" s="101"/>
      <c r="C6524" s="99" t="s">
        <v>126</v>
      </c>
      <c r="D6524" s="100">
        <v>30000</v>
      </c>
      <c r="E6524" s="102" t="s">
        <v>127</v>
      </c>
      <c r="F6524" s="103"/>
    </row>
    <row r="6525" spans="1:7" s="53" customFormat="1" x14ac:dyDescent="0.35">
      <c r="A6525" s="223"/>
      <c r="B6525" s="101"/>
      <c r="C6525" s="89"/>
      <c r="D6525" s="104"/>
      <c r="E6525" s="53" t="s">
        <v>1580</v>
      </c>
      <c r="F6525" s="103"/>
    </row>
    <row r="6526" spans="1:7" s="53" customFormat="1" ht="15" thickBot="1" x14ac:dyDescent="0.4">
      <c r="A6526" s="223"/>
      <c r="B6526" s="105"/>
      <c r="C6526" s="106"/>
      <c r="D6526" s="107"/>
      <c r="E6526" s="53" t="s">
        <v>1751</v>
      </c>
      <c r="F6526" s="94"/>
    </row>
    <row r="6527" spans="1:7" s="53" customFormat="1" ht="15" thickBot="1" x14ac:dyDescent="0.4">
      <c r="A6527" s="223"/>
      <c r="B6527" s="108"/>
      <c r="C6527" s="109" t="s">
        <v>129</v>
      </c>
      <c r="D6527" s="110">
        <f>SUM(D6514:D6526)</f>
        <v>9082750</v>
      </c>
      <c r="F6527" s="94"/>
    </row>
    <row r="6528" spans="1:7" s="53" customFormat="1" ht="15.5" thickTop="1" thickBot="1" x14ac:dyDescent="0.4">
      <c r="A6528" s="224"/>
      <c r="B6528" s="226"/>
      <c r="C6528" s="226"/>
      <c r="D6528" s="226"/>
      <c r="F6528" s="94"/>
    </row>
    <row r="6529" spans="1:6" s="53" customFormat="1" x14ac:dyDescent="0.35">
      <c r="B6529" s="87"/>
      <c r="C6529" s="53" t="s">
        <v>130</v>
      </c>
      <c r="D6529" s="111">
        <f>D6511-D6527</f>
        <v>3142250</v>
      </c>
      <c r="F6529" s="94"/>
    </row>
    <row r="6530" spans="1:6" s="53" customFormat="1" x14ac:dyDescent="0.35">
      <c r="B6530" s="87"/>
      <c r="D6530" s="111"/>
      <c r="F6530" s="94"/>
    </row>
    <row r="6531" spans="1:6" s="53" customFormat="1" x14ac:dyDescent="0.35">
      <c r="A6531" s="112"/>
      <c r="B6531" s="113"/>
      <c r="C6531" s="112"/>
      <c r="D6531" s="114"/>
      <c r="E6531" s="112"/>
      <c r="F6531" s="178"/>
    </row>
    <row r="6533" spans="1:6" s="53" customFormat="1" ht="23.5" x14ac:dyDescent="0.55000000000000004">
      <c r="B6533" s="227" t="s">
        <v>0</v>
      </c>
      <c r="C6533" s="227"/>
      <c r="D6533" s="227"/>
      <c r="E6533" s="70"/>
      <c r="F6533" s="176"/>
    </row>
    <row r="6534" spans="1:6" s="53" customFormat="1" ht="20.5" x14ac:dyDescent="0.45">
      <c r="B6534" s="71"/>
      <c r="C6534" s="72" t="s">
        <v>1569</v>
      </c>
      <c r="D6534" s="73"/>
      <c r="F6534" s="94"/>
    </row>
    <row r="6535" spans="1:6" s="53" customFormat="1" ht="21" thickBot="1" x14ac:dyDescent="0.5">
      <c r="B6535" s="71" t="s">
        <v>898</v>
      </c>
      <c r="C6535" s="74" t="s">
        <v>103</v>
      </c>
      <c r="D6535" s="73"/>
      <c r="F6535" s="94"/>
    </row>
    <row r="6536" spans="1:6" s="53" customFormat="1" ht="15" thickBot="1" x14ac:dyDescent="0.4">
      <c r="A6536" s="75" t="s">
        <v>104</v>
      </c>
      <c r="B6536" s="76" t="s">
        <v>81</v>
      </c>
      <c r="C6536" s="76" t="s">
        <v>105</v>
      </c>
      <c r="D6536" s="77" t="s">
        <v>84</v>
      </c>
      <c r="F6536" s="94"/>
    </row>
    <row r="6537" spans="1:6" s="53" customFormat="1" ht="14.5" customHeight="1" x14ac:dyDescent="0.35">
      <c r="A6537" s="222" t="s">
        <v>96</v>
      </c>
      <c r="B6537" s="78" t="s">
        <v>1568</v>
      </c>
      <c r="C6537" s="79" t="s">
        <v>959</v>
      </c>
      <c r="D6537" s="80">
        <f>F6544</f>
        <v>10758000</v>
      </c>
      <c r="F6537" s="94"/>
    </row>
    <row r="6538" spans="1:6" s="53" customFormat="1" ht="21" thickBot="1" x14ac:dyDescent="0.5">
      <c r="A6538" s="223"/>
      <c r="B6538" s="71"/>
      <c r="C6538" s="71"/>
      <c r="D6538" s="73"/>
      <c r="F6538" s="94"/>
    </row>
    <row r="6539" spans="1:6" s="53" customFormat="1" ht="15" thickBot="1" x14ac:dyDescent="0.4">
      <c r="A6539" s="223"/>
      <c r="B6539" s="81" t="s">
        <v>81</v>
      </c>
      <c r="C6539" s="82" t="s">
        <v>107</v>
      </c>
      <c r="D6539" s="83" t="s">
        <v>108</v>
      </c>
      <c r="F6539" s="94"/>
    </row>
    <row r="6540" spans="1:6" s="87" customFormat="1" x14ac:dyDescent="0.35">
      <c r="A6540" s="223"/>
      <c r="B6540" s="84" t="str">
        <f>B6537</f>
        <v>01st December,2025</v>
      </c>
      <c r="C6540" s="85" t="s">
        <v>1708</v>
      </c>
      <c r="D6540" s="86">
        <f>1850*2799</f>
        <v>5178150</v>
      </c>
      <c r="F6540" s="177"/>
    </row>
    <row r="6541" spans="1:6" s="53" customFormat="1" x14ac:dyDescent="0.35">
      <c r="A6541" s="223"/>
      <c r="B6541" s="88"/>
      <c r="C6541" s="89" t="s">
        <v>159</v>
      </c>
      <c r="D6541" s="90">
        <f>299*2650</f>
        <v>792350</v>
      </c>
      <c r="F6541" s="94"/>
    </row>
    <row r="6542" spans="1:6" s="53" customFormat="1" x14ac:dyDescent="0.35">
      <c r="A6542" s="223"/>
      <c r="B6542" s="88" t="s">
        <v>109</v>
      </c>
      <c r="C6542" s="89" t="s">
        <v>110</v>
      </c>
      <c r="D6542" s="90">
        <v>1000000</v>
      </c>
      <c r="F6542" s="94"/>
    </row>
    <row r="6543" spans="1:6" s="53" customFormat="1" x14ac:dyDescent="0.35">
      <c r="A6543" s="223"/>
      <c r="B6543" s="88" t="s">
        <v>111</v>
      </c>
      <c r="C6543" s="89" t="s">
        <v>112</v>
      </c>
      <c r="D6543" s="90">
        <v>40000</v>
      </c>
      <c r="E6543" s="225" t="s">
        <v>113</v>
      </c>
      <c r="F6543" s="225"/>
    </row>
    <row r="6544" spans="1:6" s="53" customFormat="1" x14ac:dyDescent="0.35">
      <c r="A6544" s="223"/>
      <c r="B6544" s="88" t="s">
        <v>114</v>
      </c>
      <c r="C6544" s="89" t="s">
        <v>115</v>
      </c>
      <c r="D6544" s="90">
        <f>1800*123</f>
        <v>221400</v>
      </c>
      <c r="E6544" s="91" t="s">
        <v>116</v>
      </c>
      <c r="F6544" s="92">
        <f>4400*2445</f>
        <v>10758000</v>
      </c>
    </row>
    <row r="6545" spans="1:7" s="53" customFormat="1" x14ac:dyDescent="0.35">
      <c r="A6545" s="223"/>
      <c r="B6545" s="88"/>
      <c r="C6545" s="89" t="s">
        <v>117</v>
      </c>
      <c r="D6545" s="90">
        <f>2500*123</f>
        <v>307500</v>
      </c>
      <c r="E6545" s="93" t="s">
        <v>118</v>
      </c>
      <c r="F6545" s="94">
        <f>(2640*2445)+(1760*2445)</f>
        <v>10758000</v>
      </c>
    </row>
    <row r="6546" spans="1:7" s="53" customFormat="1" ht="15" thickBot="1" x14ac:dyDescent="0.4">
      <c r="A6546" s="223"/>
      <c r="B6546" s="88" t="s">
        <v>119</v>
      </c>
      <c r="C6546" s="89" t="s">
        <v>120</v>
      </c>
      <c r="D6546" s="95">
        <v>30000</v>
      </c>
      <c r="E6546" s="96" t="s">
        <v>121</v>
      </c>
      <c r="F6546" s="97">
        <f>F6544-F6545</f>
        <v>0</v>
      </c>
      <c r="G6546" s="98">
        <f>F6546/2445</f>
        <v>0</v>
      </c>
    </row>
    <row r="6547" spans="1:7" s="53" customFormat="1" ht="15" thickTop="1" x14ac:dyDescent="0.35">
      <c r="A6547" s="223"/>
      <c r="B6547" s="88"/>
      <c r="C6547" s="99" t="s">
        <v>123</v>
      </c>
      <c r="D6547" s="90">
        <v>15000</v>
      </c>
      <c r="F6547" s="94"/>
    </row>
    <row r="6548" spans="1:7" s="53" customFormat="1" x14ac:dyDescent="0.35">
      <c r="A6548" s="223"/>
      <c r="B6548" s="88" t="s">
        <v>1565</v>
      </c>
      <c r="C6548" s="99" t="s">
        <v>126</v>
      </c>
      <c r="D6548" s="100">
        <v>30000</v>
      </c>
      <c r="E6548" s="91" t="s">
        <v>124</v>
      </c>
      <c r="F6548" s="92"/>
    </row>
    <row r="6549" spans="1:7" s="53" customFormat="1" x14ac:dyDescent="0.35">
      <c r="A6549" s="223"/>
      <c r="B6549" s="101"/>
      <c r="C6549" s="99"/>
      <c r="D6549" s="100"/>
      <c r="E6549" s="102"/>
      <c r="F6549" s="103"/>
    </row>
    <row r="6550" spans="1:7" s="53" customFormat="1" x14ac:dyDescent="0.35">
      <c r="A6550" s="223"/>
      <c r="B6550" s="101"/>
      <c r="C6550" s="89"/>
      <c r="D6550" s="104"/>
      <c r="E6550" s="102" t="s">
        <v>127</v>
      </c>
      <c r="F6550" s="103"/>
    </row>
    <row r="6551" spans="1:7" s="53" customFormat="1" x14ac:dyDescent="0.35">
      <c r="A6551" s="223"/>
      <c r="B6551" s="101"/>
      <c r="C6551" s="89"/>
      <c r="D6551" s="104"/>
      <c r="E6551" s="53" t="s">
        <v>1590</v>
      </c>
      <c r="F6551" s="103"/>
    </row>
    <row r="6552" spans="1:7" s="53" customFormat="1" ht="15" thickBot="1" x14ac:dyDescent="0.4">
      <c r="A6552" s="223"/>
      <c r="B6552" s="105"/>
      <c r="C6552" s="106"/>
      <c r="D6552" s="107"/>
      <c r="E6552" s="53" t="s">
        <v>1751</v>
      </c>
      <c r="F6552" s="94"/>
    </row>
    <row r="6553" spans="1:7" s="53" customFormat="1" ht="15" thickBot="1" x14ac:dyDescent="0.4">
      <c r="A6553" s="223"/>
      <c r="B6553" s="108"/>
      <c r="C6553" s="109" t="s">
        <v>129</v>
      </c>
      <c r="D6553" s="110">
        <f>SUM(D6540:D6552)</f>
        <v>7614400</v>
      </c>
      <c r="F6553" s="94"/>
    </row>
    <row r="6554" spans="1:7" s="53" customFormat="1" ht="15.5" thickTop="1" thickBot="1" x14ac:dyDescent="0.4">
      <c r="A6554" s="224"/>
      <c r="B6554" s="226"/>
      <c r="C6554" s="226"/>
      <c r="D6554" s="226"/>
      <c r="F6554" s="94"/>
    </row>
    <row r="6555" spans="1:7" s="53" customFormat="1" x14ac:dyDescent="0.35">
      <c r="B6555" s="87"/>
      <c r="C6555" s="53" t="s">
        <v>130</v>
      </c>
      <c r="D6555" s="111">
        <f>D6537-D6553</f>
        <v>3143600</v>
      </c>
      <c r="F6555" s="94"/>
    </row>
    <row r="6556" spans="1:7" s="53" customFormat="1" x14ac:dyDescent="0.35">
      <c r="B6556" s="87"/>
      <c r="D6556" s="111"/>
      <c r="F6556" s="94"/>
    </row>
    <row r="6557" spans="1:7" s="53" customFormat="1" x14ac:dyDescent="0.35">
      <c r="A6557" s="112"/>
      <c r="B6557" s="113"/>
      <c r="C6557" s="112"/>
      <c r="D6557" s="114"/>
      <c r="E6557" s="112"/>
      <c r="F6557" s="178"/>
    </row>
    <row r="6559" spans="1:7" s="53" customFormat="1" ht="23.5" x14ac:dyDescent="0.55000000000000004">
      <c r="B6559" s="227" t="s">
        <v>0</v>
      </c>
      <c r="C6559" s="227"/>
      <c r="D6559" s="227"/>
      <c r="E6559" s="70"/>
      <c r="F6559" s="176"/>
    </row>
    <row r="6560" spans="1:7" s="53" customFormat="1" ht="20.5" x14ac:dyDescent="0.45">
      <c r="B6560" s="71"/>
      <c r="C6560" s="72" t="s">
        <v>1570</v>
      </c>
      <c r="D6560" s="73"/>
      <c r="F6560" s="94"/>
    </row>
    <row r="6561" spans="1:7" s="53" customFormat="1" ht="21" thickBot="1" x14ac:dyDescent="0.5">
      <c r="B6561" s="71" t="s">
        <v>193</v>
      </c>
      <c r="C6561" s="74" t="s">
        <v>103</v>
      </c>
      <c r="D6561" s="73"/>
      <c r="F6561" s="94"/>
    </row>
    <row r="6562" spans="1:7" s="53" customFormat="1" ht="15" thickBot="1" x14ac:dyDescent="0.4">
      <c r="A6562" s="75" t="s">
        <v>104</v>
      </c>
      <c r="B6562" s="76" t="s">
        <v>81</v>
      </c>
      <c r="C6562" s="76" t="s">
        <v>105</v>
      </c>
      <c r="D6562" s="77" t="s">
        <v>84</v>
      </c>
      <c r="F6562" s="94"/>
    </row>
    <row r="6563" spans="1:7" s="53" customFormat="1" ht="14.5" customHeight="1" x14ac:dyDescent="0.35">
      <c r="A6563" s="222" t="s">
        <v>96</v>
      </c>
      <c r="B6563" s="78" t="s">
        <v>1568</v>
      </c>
      <c r="C6563" s="79" t="s">
        <v>959</v>
      </c>
      <c r="D6563" s="80">
        <f>F6570</f>
        <v>10758000</v>
      </c>
      <c r="F6563" s="94"/>
    </row>
    <row r="6564" spans="1:7" s="53" customFormat="1" ht="21" thickBot="1" x14ac:dyDescent="0.5">
      <c r="A6564" s="223"/>
      <c r="B6564" s="71"/>
      <c r="C6564" s="71"/>
      <c r="D6564" s="73"/>
      <c r="F6564" s="94"/>
    </row>
    <row r="6565" spans="1:7" s="53" customFormat="1" ht="15" thickBot="1" x14ac:dyDescent="0.4">
      <c r="A6565" s="223"/>
      <c r="B6565" s="81" t="s">
        <v>81</v>
      </c>
      <c r="C6565" s="82" t="s">
        <v>107</v>
      </c>
      <c r="D6565" s="83" t="s">
        <v>108</v>
      </c>
      <c r="F6565" s="94"/>
    </row>
    <row r="6566" spans="1:7" s="87" customFormat="1" x14ac:dyDescent="0.35">
      <c r="A6566" s="223"/>
      <c r="B6566" s="84" t="str">
        <f>B6563</f>
        <v>01st December,2025</v>
      </c>
      <c r="C6566" s="85" t="s">
        <v>1708</v>
      </c>
      <c r="D6566" s="86">
        <f>1850*2799</f>
        <v>5178150</v>
      </c>
      <c r="F6566" s="177"/>
    </row>
    <row r="6567" spans="1:7" s="53" customFormat="1" x14ac:dyDescent="0.35">
      <c r="A6567" s="223"/>
      <c r="B6567" s="88"/>
      <c r="C6567" s="89" t="s">
        <v>159</v>
      </c>
      <c r="D6567" s="90">
        <f>299*2650</f>
        <v>792350</v>
      </c>
      <c r="F6567" s="94"/>
    </row>
    <row r="6568" spans="1:7" s="53" customFormat="1" x14ac:dyDescent="0.35">
      <c r="A6568" s="223"/>
      <c r="B6568" s="88" t="s">
        <v>109</v>
      </c>
      <c r="C6568" s="89" t="s">
        <v>110</v>
      </c>
      <c r="D6568" s="90">
        <v>1000000</v>
      </c>
      <c r="F6568" s="94"/>
    </row>
    <row r="6569" spans="1:7" s="53" customFormat="1" x14ac:dyDescent="0.35">
      <c r="A6569" s="223"/>
      <c r="B6569" s="88" t="s">
        <v>111</v>
      </c>
      <c r="C6569" s="89" t="s">
        <v>112</v>
      </c>
      <c r="D6569" s="90">
        <v>40000</v>
      </c>
      <c r="E6569" s="225" t="s">
        <v>113</v>
      </c>
      <c r="F6569" s="225"/>
    </row>
    <row r="6570" spans="1:7" s="53" customFormat="1" x14ac:dyDescent="0.35">
      <c r="A6570" s="223"/>
      <c r="B6570" s="88" t="s">
        <v>114</v>
      </c>
      <c r="C6570" s="89" t="s">
        <v>115</v>
      </c>
      <c r="D6570" s="90">
        <f>1800*123</f>
        <v>221400</v>
      </c>
      <c r="E6570" s="91" t="s">
        <v>116</v>
      </c>
      <c r="F6570" s="92">
        <f>4400*2445</f>
        <v>10758000</v>
      </c>
    </row>
    <row r="6571" spans="1:7" s="53" customFormat="1" x14ac:dyDescent="0.35">
      <c r="A6571" s="223"/>
      <c r="B6571" s="88"/>
      <c r="C6571" s="89" t="s">
        <v>117</v>
      </c>
      <c r="D6571" s="90">
        <f>2500*123</f>
        <v>307500</v>
      </c>
      <c r="E6571" s="93" t="s">
        <v>118</v>
      </c>
      <c r="F6571" s="94">
        <f>(2640*2445)+(1760*2445)</f>
        <v>10758000</v>
      </c>
    </row>
    <row r="6572" spans="1:7" s="53" customFormat="1" ht="15" thickBot="1" x14ac:dyDescent="0.4">
      <c r="A6572" s="223"/>
      <c r="B6572" s="88" t="s">
        <v>119</v>
      </c>
      <c r="C6572" s="89" t="s">
        <v>120</v>
      </c>
      <c r="D6572" s="95">
        <v>30000</v>
      </c>
      <c r="E6572" s="96" t="s">
        <v>121</v>
      </c>
      <c r="F6572" s="97">
        <f>F6570-F6571</f>
        <v>0</v>
      </c>
      <c r="G6572" s="98">
        <f>F6572/2445</f>
        <v>0</v>
      </c>
    </row>
    <row r="6573" spans="1:7" s="53" customFormat="1" ht="15" thickTop="1" x14ac:dyDescent="0.35">
      <c r="A6573" s="223"/>
      <c r="B6573" s="88"/>
      <c r="C6573" s="99" t="s">
        <v>123</v>
      </c>
      <c r="D6573" s="90">
        <v>15000</v>
      </c>
      <c r="F6573" s="94"/>
    </row>
    <row r="6574" spans="1:7" s="53" customFormat="1" x14ac:dyDescent="0.35">
      <c r="A6574" s="223"/>
      <c r="B6574" s="88" t="s">
        <v>1566</v>
      </c>
      <c r="C6574" s="99" t="s">
        <v>126</v>
      </c>
      <c r="D6574" s="100">
        <v>30000</v>
      </c>
      <c r="E6574" s="91" t="s">
        <v>124</v>
      </c>
      <c r="F6574" s="92"/>
    </row>
    <row r="6575" spans="1:7" s="53" customFormat="1" x14ac:dyDescent="0.35">
      <c r="A6575" s="223"/>
      <c r="B6575" s="101"/>
      <c r="C6575" s="99"/>
      <c r="D6575" s="100"/>
      <c r="E6575" s="102"/>
      <c r="F6575" s="103"/>
    </row>
    <row r="6576" spans="1:7" s="53" customFormat="1" x14ac:dyDescent="0.35">
      <c r="A6576" s="223"/>
      <c r="B6576" s="101"/>
      <c r="C6576" s="89"/>
      <c r="D6576" s="104"/>
      <c r="E6576" s="102" t="s">
        <v>127</v>
      </c>
      <c r="F6576" s="103"/>
    </row>
    <row r="6577" spans="1:6" s="53" customFormat="1" x14ac:dyDescent="0.35">
      <c r="A6577" s="223"/>
      <c r="B6577" s="101"/>
      <c r="C6577" s="89"/>
      <c r="D6577" s="104"/>
      <c r="E6577" s="53" t="s">
        <v>1590</v>
      </c>
      <c r="F6577" s="103"/>
    </row>
    <row r="6578" spans="1:6" s="53" customFormat="1" ht="15" thickBot="1" x14ac:dyDescent="0.4">
      <c r="A6578" s="223"/>
      <c r="B6578" s="105"/>
      <c r="C6578" s="106"/>
      <c r="D6578" s="107"/>
      <c r="E6578" s="53" t="s">
        <v>1751</v>
      </c>
      <c r="F6578" s="94"/>
    </row>
    <row r="6579" spans="1:6" s="53" customFormat="1" ht="15" thickBot="1" x14ac:dyDescent="0.4">
      <c r="A6579" s="223"/>
      <c r="B6579" s="108"/>
      <c r="C6579" s="109" t="s">
        <v>129</v>
      </c>
      <c r="D6579" s="110">
        <f>SUM(D6566:D6578)</f>
        <v>7614400</v>
      </c>
      <c r="F6579" s="94"/>
    </row>
    <row r="6580" spans="1:6" s="53" customFormat="1" ht="15.5" thickTop="1" thickBot="1" x14ac:dyDescent="0.4">
      <c r="A6580" s="224"/>
      <c r="B6580" s="226"/>
      <c r="C6580" s="226"/>
      <c r="D6580" s="226"/>
      <c r="F6580" s="94"/>
    </row>
    <row r="6581" spans="1:6" s="53" customFormat="1" x14ac:dyDescent="0.35">
      <c r="B6581" s="87"/>
      <c r="C6581" s="53" t="s">
        <v>130</v>
      </c>
      <c r="D6581" s="111">
        <f>D6563-D6579</f>
        <v>3143600</v>
      </c>
      <c r="F6581" s="94"/>
    </row>
    <row r="6582" spans="1:6" s="53" customFormat="1" x14ac:dyDescent="0.35">
      <c r="B6582" s="87"/>
      <c r="D6582" s="111"/>
      <c r="F6582" s="94"/>
    </row>
    <row r="6583" spans="1:6" s="53" customFormat="1" x14ac:dyDescent="0.35">
      <c r="A6583" s="112"/>
      <c r="B6583" s="113"/>
      <c r="C6583" s="112"/>
      <c r="D6583" s="114"/>
      <c r="E6583" s="112"/>
      <c r="F6583" s="178"/>
    </row>
    <row r="6585" spans="1:6" s="53" customFormat="1" ht="23.5" x14ac:dyDescent="0.55000000000000004">
      <c r="B6585" s="227" t="s">
        <v>0</v>
      </c>
      <c r="C6585" s="227"/>
      <c r="D6585" s="227"/>
      <c r="E6585" s="70"/>
      <c r="F6585" s="176"/>
    </row>
    <row r="6586" spans="1:6" s="53" customFormat="1" ht="20.5" x14ac:dyDescent="0.45">
      <c r="B6586" s="71"/>
      <c r="C6586" s="72" t="s">
        <v>1743</v>
      </c>
      <c r="D6586" s="73"/>
      <c r="F6586" s="94"/>
    </row>
    <row r="6587" spans="1:6" s="53" customFormat="1" ht="21" thickBot="1" x14ac:dyDescent="0.5">
      <c r="B6587" s="71" t="s">
        <v>1148</v>
      </c>
      <c r="C6587" s="74" t="s">
        <v>103</v>
      </c>
      <c r="D6587" s="73"/>
      <c r="F6587" s="94"/>
    </row>
    <row r="6588" spans="1:6" s="53" customFormat="1" ht="15" thickBot="1" x14ac:dyDescent="0.4">
      <c r="A6588" s="75" t="s">
        <v>104</v>
      </c>
      <c r="B6588" s="76" t="s">
        <v>81</v>
      </c>
      <c r="C6588" s="76" t="s">
        <v>105</v>
      </c>
      <c r="D6588" s="77" t="s">
        <v>84</v>
      </c>
      <c r="F6588" s="94"/>
    </row>
    <row r="6589" spans="1:6" s="53" customFormat="1" ht="14.5" customHeight="1" x14ac:dyDescent="0.35">
      <c r="A6589" s="222" t="s">
        <v>96</v>
      </c>
      <c r="B6589" s="78" t="s">
        <v>1568</v>
      </c>
      <c r="C6589" s="79" t="s">
        <v>319</v>
      </c>
      <c r="D6589" s="80">
        <f>F6596</f>
        <v>11000000</v>
      </c>
      <c r="F6589" s="94"/>
    </row>
    <row r="6590" spans="1:6" s="53" customFormat="1" ht="21" thickBot="1" x14ac:dyDescent="0.5">
      <c r="A6590" s="223"/>
      <c r="B6590" s="71"/>
      <c r="C6590" s="71"/>
      <c r="D6590" s="73"/>
      <c r="F6590" s="94"/>
    </row>
    <row r="6591" spans="1:6" s="53" customFormat="1" ht="15" thickBot="1" x14ac:dyDescent="0.4">
      <c r="A6591" s="223"/>
      <c r="B6591" s="81" t="s">
        <v>81</v>
      </c>
      <c r="C6591" s="82" t="s">
        <v>107</v>
      </c>
      <c r="D6591" s="83" t="s">
        <v>108</v>
      </c>
      <c r="F6591" s="94"/>
    </row>
    <row r="6592" spans="1:6" s="87" customFormat="1" x14ac:dyDescent="0.35">
      <c r="A6592" s="223"/>
      <c r="B6592" s="84" t="str">
        <f>B6589</f>
        <v>01st December,2025</v>
      </c>
      <c r="C6592" s="85" t="s">
        <v>1708</v>
      </c>
      <c r="D6592" s="86">
        <f>1850*2799</f>
        <v>5178150</v>
      </c>
      <c r="F6592" s="177"/>
    </row>
    <row r="6593" spans="1:7" s="53" customFormat="1" x14ac:dyDescent="0.35">
      <c r="A6593" s="223"/>
      <c r="B6593" s="88"/>
      <c r="C6593" s="89" t="s">
        <v>188</v>
      </c>
      <c r="D6593" s="90">
        <f>325*2650</f>
        <v>861250</v>
      </c>
      <c r="F6593" s="94"/>
    </row>
    <row r="6594" spans="1:7" s="53" customFormat="1" x14ac:dyDescent="0.35">
      <c r="A6594" s="223"/>
      <c r="B6594" s="88" t="s">
        <v>109</v>
      </c>
      <c r="C6594" s="89" t="s">
        <v>110</v>
      </c>
      <c r="D6594" s="90">
        <v>1000000</v>
      </c>
      <c r="F6594" s="94"/>
    </row>
    <row r="6595" spans="1:7" s="53" customFormat="1" x14ac:dyDescent="0.35">
      <c r="A6595" s="223"/>
      <c r="B6595" s="88" t="s">
        <v>111</v>
      </c>
      <c r="C6595" s="89" t="s">
        <v>112</v>
      </c>
      <c r="D6595" s="90">
        <v>40000</v>
      </c>
      <c r="E6595" s="228" t="s">
        <v>113</v>
      </c>
      <c r="F6595" s="225"/>
    </row>
    <row r="6596" spans="1:7" s="53" customFormat="1" x14ac:dyDescent="0.35">
      <c r="A6596" s="223"/>
      <c r="B6596" s="88" t="s">
        <v>245</v>
      </c>
      <c r="C6596" s="89" t="s">
        <v>115</v>
      </c>
      <c r="D6596" s="90">
        <f>1150*123</f>
        <v>141450</v>
      </c>
      <c r="E6596" s="91" t="s">
        <v>116</v>
      </c>
      <c r="F6596" s="92">
        <f>4400*2500</f>
        <v>11000000</v>
      </c>
    </row>
    <row r="6597" spans="1:7" s="53" customFormat="1" x14ac:dyDescent="0.35">
      <c r="A6597" s="223"/>
      <c r="B6597" s="88"/>
      <c r="C6597" s="89" t="s">
        <v>117</v>
      </c>
      <c r="D6597" s="90">
        <f>4000*123</f>
        <v>492000</v>
      </c>
      <c r="E6597" s="93" t="s">
        <v>118</v>
      </c>
      <c r="F6597" s="94">
        <f>4400*2500</f>
        <v>11000000</v>
      </c>
    </row>
    <row r="6598" spans="1:7" s="53" customFormat="1" ht="15" thickBot="1" x14ac:dyDescent="0.4">
      <c r="A6598" s="223"/>
      <c r="B6598" s="88" t="s">
        <v>119</v>
      </c>
      <c r="C6598" s="89" t="s">
        <v>120</v>
      </c>
      <c r="D6598" s="95">
        <v>30000</v>
      </c>
      <c r="E6598" s="96" t="s">
        <v>121</v>
      </c>
      <c r="F6598" s="97">
        <f>F6596-F6597</f>
        <v>0</v>
      </c>
      <c r="G6598" s="98">
        <f>F6598/2500</f>
        <v>0</v>
      </c>
    </row>
    <row r="6599" spans="1:7" s="53" customFormat="1" ht="15" thickTop="1" x14ac:dyDescent="0.35">
      <c r="A6599" s="223"/>
      <c r="B6599" s="88"/>
      <c r="C6599" s="89" t="s">
        <v>122</v>
      </c>
      <c r="D6599" s="90">
        <v>150000</v>
      </c>
      <c r="F6599" s="94"/>
    </row>
    <row r="6600" spans="1:7" s="53" customFormat="1" x14ac:dyDescent="0.35">
      <c r="A6600" s="223"/>
      <c r="B6600" s="88" t="s">
        <v>1567</v>
      </c>
      <c r="C6600" s="99" t="s">
        <v>123</v>
      </c>
      <c r="D6600" s="90">
        <v>15000</v>
      </c>
      <c r="E6600" s="91" t="s">
        <v>124</v>
      </c>
      <c r="F6600" s="92"/>
    </row>
    <row r="6601" spans="1:7" s="53" customFormat="1" x14ac:dyDescent="0.35">
      <c r="A6601" s="223"/>
      <c r="B6601" s="101"/>
      <c r="C6601" s="99" t="s">
        <v>125</v>
      </c>
      <c r="D6601" s="100">
        <v>10000</v>
      </c>
      <c r="E6601" s="102"/>
      <c r="F6601" s="103"/>
    </row>
    <row r="6602" spans="1:7" s="53" customFormat="1" x14ac:dyDescent="0.35">
      <c r="A6602" s="223"/>
      <c r="B6602" s="101"/>
      <c r="C6602" s="99" t="s">
        <v>126</v>
      </c>
      <c r="D6602" s="100">
        <v>30000</v>
      </c>
      <c r="E6602" s="102" t="s">
        <v>127</v>
      </c>
      <c r="F6602" s="103"/>
    </row>
    <row r="6603" spans="1:7" s="53" customFormat="1" x14ac:dyDescent="0.35">
      <c r="A6603" s="223"/>
      <c r="B6603" s="101"/>
      <c r="C6603" s="89" t="s">
        <v>265</v>
      </c>
      <c r="D6603" s="104">
        <f>(860+373)*123</f>
        <v>151659</v>
      </c>
      <c r="E6603" s="102" t="s">
        <v>1742</v>
      </c>
      <c r="F6603" s="103"/>
    </row>
    <row r="6604" spans="1:7" s="53" customFormat="1" ht="15" thickBot="1" x14ac:dyDescent="0.4">
      <c r="A6604" s="223"/>
      <c r="B6604" s="105"/>
      <c r="C6604" s="106"/>
      <c r="D6604" s="107"/>
      <c r="F6604" s="94"/>
    </row>
    <row r="6605" spans="1:7" s="53" customFormat="1" ht="15" thickBot="1" x14ac:dyDescent="0.4">
      <c r="A6605" s="223"/>
      <c r="B6605" s="108"/>
      <c r="C6605" s="109" t="s">
        <v>129</v>
      </c>
      <c r="D6605" s="110">
        <f>SUM(D6592:D6604)</f>
        <v>8099509</v>
      </c>
      <c r="F6605" s="94"/>
    </row>
    <row r="6606" spans="1:7" s="53" customFormat="1" ht="15.5" thickTop="1" thickBot="1" x14ac:dyDescent="0.4">
      <c r="A6606" s="224"/>
      <c r="B6606" s="226"/>
      <c r="C6606" s="226"/>
      <c r="D6606" s="226"/>
      <c r="F6606" s="94"/>
    </row>
    <row r="6607" spans="1:7" s="53" customFormat="1" x14ac:dyDescent="0.35">
      <c r="B6607" s="87"/>
      <c r="C6607" s="53" t="s">
        <v>130</v>
      </c>
      <c r="D6607" s="111">
        <f>D6589-D6605</f>
        <v>2900491</v>
      </c>
      <c r="F6607" s="94"/>
    </row>
    <row r="6608" spans="1:7" s="53" customFormat="1" x14ac:dyDescent="0.35">
      <c r="B6608" s="87"/>
      <c r="D6608" s="111"/>
      <c r="F6608" s="94"/>
    </row>
    <row r="6609" spans="1:6" s="53" customFormat="1" x14ac:dyDescent="0.35">
      <c r="A6609" s="112"/>
      <c r="B6609" s="113"/>
      <c r="C6609" s="112"/>
      <c r="D6609" s="114"/>
      <c r="E6609" s="112"/>
      <c r="F6609" s="178"/>
    </row>
    <row r="6612" spans="1:6" s="53" customFormat="1" ht="23.5" x14ac:dyDescent="0.55000000000000004">
      <c r="B6612" s="227" t="s">
        <v>0</v>
      </c>
      <c r="C6612" s="227"/>
      <c r="D6612" s="227"/>
      <c r="E6612" s="70"/>
      <c r="F6612" s="176"/>
    </row>
    <row r="6613" spans="1:6" s="53" customFormat="1" ht="20.5" x14ac:dyDescent="0.45">
      <c r="B6613" s="71"/>
      <c r="C6613" s="72" t="s">
        <v>1578</v>
      </c>
      <c r="D6613" s="73"/>
      <c r="F6613" s="94"/>
    </row>
    <row r="6614" spans="1:6" s="53" customFormat="1" ht="21" thickBot="1" x14ac:dyDescent="0.5">
      <c r="B6614" s="71" t="s">
        <v>1023</v>
      </c>
      <c r="C6614" s="74" t="s">
        <v>103</v>
      </c>
      <c r="D6614" s="73"/>
      <c r="F6614" s="94"/>
    </row>
    <row r="6615" spans="1:6" s="53" customFormat="1" ht="15" thickBot="1" x14ac:dyDescent="0.4">
      <c r="A6615" s="75" t="s">
        <v>104</v>
      </c>
      <c r="B6615" s="76" t="s">
        <v>81</v>
      </c>
      <c r="C6615" s="76" t="s">
        <v>105</v>
      </c>
      <c r="D6615" s="77" t="s">
        <v>84</v>
      </c>
      <c r="F6615" s="94"/>
    </row>
    <row r="6616" spans="1:6" s="53" customFormat="1" ht="14.5" customHeight="1" x14ac:dyDescent="0.35">
      <c r="A6616" s="222" t="s">
        <v>96</v>
      </c>
      <c r="B6616" s="78" t="s">
        <v>1579</v>
      </c>
      <c r="C6616" s="79" t="s">
        <v>959</v>
      </c>
      <c r="D6616" s="80">
        <f>F6623</f>
        <v>10758000</v>
      </c>
      <c r="F6616" s="94"/>
    </row>
    <row r="6617" spans="1:6" s="53" customFormat="1" ht="21" thickBot="1" x14ac:dyDescent="0.5">
      <c r="A6617" s="223"/>
      <c r="B6617" s="71"/>
      <c r="C6617" s="71"/>
      <c r="D6617" s="73"/>
      <c r="F6617" s="94"/>
    </row>
    <row r="6618" spans="1:6" s="53" customFormat="1" ht="15" thickBot="1" x14ac:dyDescent="0.4">
      <c r="A6618" s="223"/>
      <c r="B6618" s="81" t="s">
        <v>81</v>
      </c>
      <c r="C6618" s="82" t="s">
        <v>107</v>
      </c>
      <c r="D6618" s="83" t="s">
        <v>108</v>
      </c>
      <c r="F6618" s="94"/>
    </row>
    <row r="6619" spans="1:6" s="87" customFormat="1" x14ac:dyDescent="0.35">
      <c r="A6619" s="223"/>
      <c r="B6619" s="84" t="str">
        <f>B6616</f>
        <v>02nd December,2025</v>
      </c>
      <c r="C6619" s="85" t="s">
        <v>1708</v>
      </c>
      <c r="D6619" s="86">
        <f>1850*2799</f>
        <v>5178150</v>
      </c>
      <c r="F6619" s="177"/>
    </row>
    <row r="6620" spans="1:6" s="53" customFormat="1" x14ac:dyDescent="0.35">
      <c r="A6620" s="223"/>
      <c r="B6620" s="88"/>
      <c r="C6620" s="89" t="s">
        <v>188</v>
      </c>
      <c r="D6620" s="90">
        <f>325*2650</f>
        <v>861250</v>
      </c>
      <c r="F6620" s="94"/>
    </row>
    <row r="6621" spans="1:6" s="53" customFormat="1" x14ac:dyDescent="0.35">
      <c r="A6621" s="223"/>
      <c r="B6621" s="88" t="s">
        <v>109</v>
      </c>
      <c r="C6621" s="89" t="s">
        <v>110</v>
      </c>
      <c r="D6621" s="90">
        <v>1000000</v>
      </c>
      <c r="F6621" s="94"/>
    </row>
    <row r="6622" spans="1:6" s="53" customFormat="1" x14ac:dyDescent="0.35">
      <c r="A6622" s="223"/>
      <c r="B6622" s="88" t="s">
        <v>111</v>
      </c>
      <c r="C6622" s="89" t="s">
        <v>112</v>
      </c>
      <c r="D6622" s="90">
        <v>40000</v>
      </c>
      <c r="E6622" s="225" t="s">
        <v>113</v>
      </c>
      <c r="F6622" s="225"/>
    </row>
    <row r="6623" spans="1:6" s="53" customFormat="1" x14ac:dyDescent="0.35">
      <c r="A6623" s="223"/>
      <c r="B6623" s="88" t="s">
        <v>182</v>
      </c>
      <c r="C6623" s="89" t="s">
        <v>115</v>
      </c>
      <c r="D6623" s="90">
        <f>800*123</f>
        <v>98400</v>
      </c>
      <c r="E6623" s="91" t="s">
        <v>116</v>
      </c>
      <c r="F6623" s="92">
        <f>4400*2445</f>
        <v>10758000</v>
      </c>
    </row>
    <row r="6624" spans="1:6" s="53" customFormat="1" x14ac:dyDescent="0.35">
      <c r="A6624" s="223"/>
      <c r="B6624" s="88"/>
      <c r="C6624" s="89" t="s">
        <v>117</v>
      </c>
      <c r="D6624" s="90">
        <f>3500*123</f>
        <v>430500</v>
      </c>
      <c r="E6624" s="93" t="s">
        <v>118</v>
      </c>
      <c r="F6624" s="94">
        <f>(2640*2445)+(1760*2445)</f>
        <v>10758000</v>
      </c>
    </row>
    <row r="6625" spans="1:7" s="53" customFormat="1" ht="15" thickBot="1" x14ac:dyDescent="0.4">
      <c r="A6625" s="223"/>
      <c r="B6625" s="88" t="s">
        <v>119</v>
      </c>
      <c r="C6625" s="89" t="s">
        <v>120</v>
      </c>
      <c r="D6625" s="95">
        <v>30000</v>
      </c>
      <c r="E6625" s="96" t="s">
        <v>121</v>
      </c>
      <c r="F6625" s="97">
        <f>F6623-F6624</f>
        <v>0</v>
      </c>
      <c r="G6625" s="98">
        <f>F6625/2445</f>
        <v>0</v>
      </c>
    </row>
    <row r="6626" spans="1:7" s="53" customFormat="1" ht="15" thickTop="1" x14ac:dyDescent="0.35">
      <c r="A6626" s="223"/>
      <c r="B6626" s="88"/>
      <c r="C6626" s="89" t="s">
        <v>122</v>
      </c>
      <c r="D6626" s="90">
        <v>150000</v>
      </c>
      <c r="F6626" s="94"/>
    </row>
    <row r="6627" spans="1:7" s="53" customFormat="1" x14ac:dyDescent="0.35">
      <c r="A6627" s="223"/>
      <c r="B6627" s="88" t="s">
        <v>1577</v>
      </c>
      <c r="C6627" s="99" t="s">
        <v>123</v>
      </c>
      <c r="D6627" s="90">
        <v>15000</v>
      </c>
      <c r="E6627" s="91" t="s">
        <v>124</v>
      </c>
      <c r="F6627" s="92"/>
    </row>
    <row r="6628" spans="1:7" s="53" customFormat="1" x14ac:dyDescent="0.35">
      <c r="A6628" s="223"/>
      <c r="B6628" s="101"/>
      <c r="C6628" s="99" t="s">
        <v>125</v>
      </c>
      <c r="D6628" s="100">
        <v>10000</v>
      </c>
      <c r="E6628" s="102"/>
      <c r="F6628" s="103"/>
    </row>
    <row r="6629" spans="1:7" s="53" customFormat="1" x14ac:dyDescent="0.35">
      <c r="A6629" s="223"/>
      <c r="B6629" s="101"/>
      <c r="C6629" s="99" t="s">
        <v>126</v>
      </c>
      <c r="D6629" s="100">
        <v>20000</v>
      </c>
      <c r="E6629" s="102" t="s">
        <v>127</v>
      </c>
      <c r="F6629" s="103"/>
    </row>
    <row r="6630" spans="1:7" s="53" customFormat="1" x14ac:dyDescent="0.35">
      <c r="A6630" s="223"/>
      <c r="B6630" s="101"/>
      <c r="C6630" s="89" t="s">
        <v>265</v>
      </c>
      <c r="D6630" s="104">
        <f>854*124</f>
        <v>105896</v>
      </c>
      <c r="E6630" s="53" t="s">
        <v>1588</v>
      </c>
      <c r="F6630" s="103"/>
    </row>
    <row r="6631" spans="1:7" s="53" customFormat="1" ht="15" thickBot="1" x14ac:dyDescent="0.4">
      <c r="A6631" s="223"/>
      <c r="B6631" s="105"/>
      <c r="C6631" s="106"/>
      <c r="D6631" s="107"/>
      <c r="E6631" s="53" t="s">
        <v>1754</v>
      </c>
      <c r="F6631" s="94"/>
    </row>
    <row r="6632" spans="1:7" s="53" customFormat="1" ht="15" thickBot="1" x14ac:dyDescent="0.4">
      <c r="A6632" s="223"/>
      <c r="B6632" s="108"/>
      <c r="C6632" s="109" t="s">
        <v>129</v>
      </c>
      <c r="D6632" s="110">
        <f>SUM(D6619:D6631)</f>
        <v>7939196</v>
      </c>
      <c r="F6632" s="94"/>
    </row>
    <row r="6633" spans="1:7" s="53" customFormat="1" ht="15.5" thickTop="1" thickBot="1" x14ac:dyDescent="0.4">
      <c r="A6633" s="224"/>
      <c r="B6633" s="226"/>
      <c r="C6633" s="226"/>
      <c r="D6633" s="226"/>
      <c r="F6633" s="94"/>
    </row>
    <row r="6634" spans="1:7" s="53" customFormat="1" x14ac:dyDescent="0.35">
      <c r="B6634" s="87"/>
      <c r="C6634" s="53" t="s">
        <v>130</v>
      </c>
      <c r="D6634" s="111">
        <f>D6616-D6632</f>
        <v>2818804</v>
      </c>
      <c r="F6634" s="94"/>
    </row>
    <row r="6635" spans="1:7" s="53" customFormat="1" x14ac:dyDescent="0.35">
      <c r="B6635" s="87"/>
      <c r="D6635" s="111"/>
      <c r="F6635" s="94"/>
    </row>
    <row r="6636" spans="1:7" s="53" customFormat="1" x14ac:dyDescent="0.35">
      <c r="A6636" s="112"/>
      <c r="B6636" s="113"/>
      <c r="C6636" s="112"/>
      <c r="D6636" s="114"/>
      <c r="E6636" s="112"/>
      <c r="F6636" s="178"/>
    </row>
    <row r="6638" spans="1:7" s="53" customFormat="1" ht="23.5" x14ac:dyDescent="0.55000000000000004">
      <c r="B6638" s="227" t="s">
        <v>0</v>
      </c>
      <c r="C6638" s="227"/>
      <c r="D6638" s="227"/>
      <c r="E6638" s="70"/>
      <c r="F6638" s="176"/>
    </row>
    <row r="6639" spans="1:7" s="53" customFormat="1" ht="20.5" x14ac:dyDescent="0.45">
      <c r="B6639" s="71"/>
      <c r="C6639" s="72" t="s">
        <v>1585</v>
      </c>
      <c r="D6639" s="73"/>
      <c r="F6639" s="94"/>
    </row>
    <row r="6640" spans="1:7" s="53" customFormat="1" ht="21" thickBot="1" x14ac:dyDescent="0.5">
      <c r="B6640" s="71" t="s">
        <v>724</v>
      </c>
      <c r="C6640" s="74" t="s">
        <v>103</v>
      </c>
      <c r="D6640" s="73"/>
      <c r="F6640" s="94"/>
    </row>
    <row r="6641" spans="1:7" s="53" customFormat="1" ht="15" thickBot="1" x14ac:dyDescent="0.4">
      <c r="A6641" s="75" t="s">
        <v>104</v>
      </c>
      <c r="B6641" s="76" t="s">
        <v>81</v>
      </c>
      <c r="C6641" s="76" t="s">
        <v>105</v>
      </c>
      <c r="D6641" s="77" t="s">
        <v>84</v>
      </c>
      <c r="F6641" s="94"/>
    </row>
    <row r="6642" spans="1:7" s="53" customFormat="1" ht="14.5" customHeight="1" x14ac:dyDescent="0.35">
      <c r="A6642" s="222" t="s">
        <v>96</v>
      </c>
      <c r="B6642" s="78" t="s">
        <v>1586</v>
      </c>
      <c r="C6642" s="79" t="s">
        <v>959</v>
      </c>
      <c r="D6642" s="80">
        <f>F6649</f>
        <v>11247000</v>
      </c>
      <c r="F6642" s="94"/>
    </row>
    <row r="6643" spans="1:7" s="53" customFormat="1" ht="21" thickBot="1" x14ac:dyDescent="0.5">
      <c r="A6643" s="223"/>
      <c r="B6643" s="71"/>
      <c r="C6643" s="71"/>
      <c r="D6643" s="73"/>
      <c r="F6643" s="94"/>
    </row>
    <row r="6644" spans="1:7" s="53" customFormat="1" ht="15" thickBot="1" x14ac:dyDescent="0.4">
      <c r="A6644" s="223"/>
      <c r="B6644" s="81" t="s">
        <v>81</v>
      </c>
      <c r="C6644" s="82" t="s">
        <v>107</v>
      </c>
      <c r="D6644" s="83" t="s">
        <v>108</v>
      </c>
      <c r="F6644" s="94"/>
    </row>
    <row r="6645" spans="1:7" s="87" customFormat="1" x14ac:dyDescent="0.35">
      <c r="A6645" s="223"/>
      <c r="B6645" s="84" t="str">
        <f>B6642</f>
        <v>05th December,2025</v>
      </c>
      <c r="C6645" s="85" t="s">
        <v>1708</v>
      </c>
      <c r="D6645" s="86">
        <f>1850*2799</f>
        <v>5178150</v>
      </c>
      <c r="F6645" s="177"/>
    </row>
    <row r="6646" spans="1:7" s="53" customFormat="1" x14ac:dyDescent="0.35">
      <c r="A6646" s="223"/>
      <c r="B6646" s="88"/>
      <c r="C6646" s="89" t="s">
        <v>159</v>
      </c>
      <c r="D6646" s="90">
        <f>299*2650</f>
        <v>792350</v>
      </c>
      <c r="F6646" s="94"/>
    </row>
    <row r="6647" spans="1:7" s="53" customFormat="1" x14ac:dyDescent="0.35">
      <c r="A6647" s="223"/>
      <c r="B6647" s="88" t="s">
        <v>109</v>
      </c>
      <c r="C6647" s="89" t="s">
        <v>110</v>
      </c>
      <c r="D6647" s="90">
        <v>1000000</v>
      </c>
      <c r="F6647" s="94"/>
    </row>
    <row r="6648" spans="1:7" s="53" customFormat="1" x14ac:dyDescent="0.35">
      <c r="A6648" s="223"/>
      <c r="B6648" s="88" t="s">
        <v>111</v>
      </c>
      <c r="C6648" s="89" t="s">
        <v>112</v>
      </c>
      <c r="D6648" s="90">
        <v>40000</v>
      </c>
      <c r="E6648" s="225" t="s">
        <v>113</v>
      </c>
      <c r="F6648" s="225"/>
    </row>
    <row r="6649" spans="1:7" s="53" customFormat="1" x14ac:dyDescent="0.35">
      <c r="A6649" s="223"/>
      <c r="B6649" s="88" t="s">
        <v>114</v>
      </c>
      <c r="C6649" s="89" t="s">
        <v>115</v>
      </c>
      <c r="D6649" s="90">
        <f>1050*123</f>
        <v>129150</v>
      </c>
      <c r="E6649" s="91" t="s">
        <v>116</v>
      </c>
      <c r="F6649" s="92">
        <f>4600*2445</f>
        <v>11247000</v>
      </c>
    </row>
    <row r="6650" spans="1:7" s="53" customFormat="1" x14ac:dyDescent="0.35">
      <c r="A6650" s="223"/>
      <c r="B6650" s="88"/>
      <c r="C6650" s="89" t="s">
        <v>117</v>
      </c>
      <c r="D6650" s="90">
        <f>3650*123</f>
        <v>448950</v>
      </c>
      <c r="E6650" s="93" t="s">
        <v>118</v>
      </c>
      <c r="F6650" s="94">
        <f>(2760*2445)+(1840*2445)</f>
        <v>11247000</v>
      </c>
    </row>
    <row r="6651" spans="1:7" s="53" customFormat="1" ht="15" thickBot="1" x14ac:dyDescent="0.4">
      <c r="A6651" s="223"/>
      <c r="B6651" s="88" t="s">
        <v>119</v>
      </c>
      <c r="C6651" s="89" t="s">
        <v>120</v>
      </c>
      <c r="D6651" s="95">
        <v>30000</v>
      </c>
      <c r="E6651" s="96" t="s">
        <v>121</v>
      </c>
      <c r="F6651" s="97">
        <f>F6649-F6650</f>
        <v>0</v>
      </c>
      <c r="G6651" s="98">
        <f>F6651/2445</f>
        <v>0</v>
      </c>
    </row>
    <row r="6652" spans="1:7" s="53" customFormat="1" ht="15" thickTop="1" x14ac:dyDescent="0.35">
      <c r="A6652" s="223"/>
      <c r="B6652" s="88"/>
      <c r="C6652" s="89" t="s">
        <v>122</v>
      </c>
      <c r="D6652" s="90">
        <v>150000</v>
      </c>
      <c r="F6652" s="94"/>
    </row>
    <row r="6653" spans="1:7" s="53" customFormat="1" x14ac:dyDescent="0.35">
      <c r="A6653" s="223"/>
      <c r="B6653" s="88" t="s">
        <v>1584</v>
      </c>
      <c r="C6653" s="99" t="s">
        <v>123</v>
      </c>
      <c r="D6653" s="90">
        <v>15000</v>
      </c>
      <c r="E6653" s="91" t="s">
        <v>124</v>
      </c>
      <c r="F6653" s="92"/>
    </row>
    <row r="6654" spans="1:7" s="53" customFormat="1" x14ac:dyDescent="0.35">
      <c r="A6654" s="223"/>
      <c r="B6654" s="101"/>
      <c r="C6654" s="99" t="s">
        <v>125</v>
      </c>
      <c r="D6654" s="100">
        <v>10000</v>
      </c>
      <c r="E6654" s="102"/>
      <c r="F6654" s="103"/>
    </row>
    <row r="6655" spans="1:7" s="53" customFormat="1" x14ac:dyDescent="0.35">
      <c r="A6655" s="223"/>
      <c r="B6655" s="101"/>
      <c r="C6655" s="99" t="s">
        <v>126</v>
      </c>
      <c r="D6655" s="100">
        <v>20000</v>
      </c>
      <c r="E6655" s="102" t="s">
        <v>127</v>
      </c>
      <c r="F6655" s="103"/>
    </row>
    <row r="6656" spans="1:7" s="53" customFormat="1" x14ac:dyDescent="0.35">
      <c r="A6656" s="223"/>
      <c r="B6656" s="101"/>
      <c r="C6656" s="89"/>
      <c r="D6656" s="104"/>
      <c r="E6656" s="53" t="s">
        <v>1589</v>
      </c>
      <c r="F6656" s="103"/>
    </row>
    <row r="6657" spans="1:6" s="53" customFormat="1" ht="15" thickBot="1" x14ac:dyDescent="0.4">
      <c r="A6657" s="223"/>
      <c r="B6657" s="105"/>
      <c r="C6657" s="106"/>
      <c r="D6657" s="107"/>
      <c r="E6657" s="53" t="s">
        <v>1755</v>
      </c>
      <c r="F6657" s="94"/>
    </row>
    <row r="6658" spans="1:6" s="53" customFormat="1" ht="15" thickBot="1" x14ac:dyDescent="0.4">
      <c r="A6658" s="223"/>
      <c r="B6658" s="108"/>
      <c r="C6658" s="109" t="s">
        <v>129</v>
      </c>
      <c r="D6658" s="110">
        <f>SUM(D6645:D6657)</f>
        <v>7813600</v>
      </c>
      <c r="F6658" s="94"/>
    </row>
    <row r="6659" spans="1:6" s="53" customFormat="1" ht="15.5" thickTop="1" thickBot="1" x14ac:dyDescent="0.4">
      <c r="A6659" s="224"/>
      <c r="B6659" s="226"/>
      <c r="C6659" s="226"/>
      <c r="D6659" s="226"/>
      <c r="F6659" s="94"/>
    </row>
    <row r="6660" spans="1:6" s="53" customFormat="1" x14ac:dyDescent="0.35">
      <c r="B6660" s="87"/>
      <c r="C6660" s="53" t="s">
        <v>130</v>
      </c>
      <c r="D6660" s="111">
        <f>D6642-D6658</f>
        <v>3433400</v>
      </c>
      <c r="F6660" s="94"/>
    </row>
    <row r="6661" spans="1:6" s="53" customFormat="1" x14ac:dyDescent="0.35">
      <c r="B6661" s="87"/>
      <c r="D6661" s="111"/>
      <c r="F6661" s="94"/>
    </row>
    <row r="6662" spans="1:6" s="53" customFormat="1" x14ac:dyDescent="0.35">
      <c r="A6662" s="112"/>
      <c r="B6662" s="113"/>
      <c r="C6662" s="112"/>
      <c r="D6662" s="114"/>
      <c r="E6662" s="112"/>
      <c r="F6662" s="178"/>
    </row>
    <row r="6664" spans="1:6" s="53" customFormat="1" ht="23.5" x14ac:dyDescent="0.55000000000000004">
      <c r="B6664" s="227" t="s">
        <v>0</v>
      </c>
      <c r="C6664" s="227"/>
      <c r="D6664" s="227"/>
      <c r="E6664" s="70"/>
      <c r="F6664" s="176"/>
    </row>
    <row r="6665" spans="1:6" s="53" customFormat="1" ht="20.5" x14ac:dyDescent="0.45">
      <c r="B6665" s="71"/>
      <c r="C6665" s="72" t="s">
        <v>1593</v>
      </c>
      <c r="D6665" s="73"/>
      <c r="F6665" s="94"/>
    </row>
    <row r="6666" spans="1:6" s="53" customFormat="1" ht="21" thickBot="1" x14ac:dyDescent="0.5">
      <c r="B6666" s="71" t="s">
        <v>1089</v>
      </c>
      <c r="C6666" s="74" t="s">
        <v>103</v>
      </c>
      <c r="D6666" s="73"/>
      <c r="F6666" s="94"/>
    </row>
    <row r="6667" spans="1:6" s="53" customFormat="1" ht="15" thickBot="1" x14ac:dyDescent="0.4">
      <c r="A6667" s="75" t="s">
        <v>104</v>
      </c>
      <c r="B6667" s="76" t="s">
        <v>81</v>
      </c>
      <c r="C6667" s="76" t="s">
        <v>105</v>
      </c>
      <c r="D6667" s="77" t="s">
        <v>84</v>
      </c>
      <c r="F6667" s="94"/>
    </row>
    <row r="6668" spans="1:6" s="53" customFormat="1" ht="14.5" customHeight="1" x14ac:dyDescent="0.35">
      <c r="A6668" s="222" t="s">
        <v>96</v>
      </c>
      <c r="B6668" s="78" t="s">
        <v>1594</v>
      </c>
      <c r="C6668" s="79" t="s">
        <v>959</v>
      </c>
      <c r="D6668" s="80">
        <f>F6675</f>
        <v>11491500</v>
      </c>
      <c r="F6668" s="94"/>
    </row>
    <row r="6669" spans="1:6" s="53" customFormat="1" ht="21" thickBot="1" x14ac:dyDescent="0.5">
      <c r="A6669" s="223"/>
      <c r="B6669" s="71"/>
      <c r="C6669" s="71"/>
      <c r="D6669" s="73"/>
      <c r="F6669" s="94"/>
    </row>
    <row r="6670" spans="1:6" s="53" customFormat="1" ht="15" thickBot="1" x14ac:dyDescent="0.4">
      <c r="A6670" s="223"/>
      <c r="B6670" s="81" t="s">
        <v>81</v>
      </c>
      <c r="C6670" s="82" t="s">
        <v>107</v>
      </c>
      <c r="D6670" s="83" t="s">
        <v>108</v>
      </c>
      <c r="F6670" s="94"/>
    </row>
    <row r="6671" spans="1:6" s="87" customFormat="1" x14ac:dyDescent="0.35">
      <c r="A6671" s="223"/>
      <c r="B6671" s="84" t="str">
        <f>B6668</f>
        <v>11th December,2025</v>
      </c>
      <c r="C6671" s="85" t="s">
        <v>1708</v>
      </c>
      <c r="D6671" s="86">
        <f>1850*2799</f>
        <v>5178150</v>
      </c>
      <c r="F6671" s="177"/>
    </row>
    <row r="6672" spans="1:6" s="53" customFormat="1" x14ac:dyDescent="0.35">
      <c r="A6672" s="223"/>
      <c r="B6672" s="88"/>
      <c r="C6672" s="89" t="s">
        <v>188</v>
      </c>
      <c r="D6672" s="90">
        <f>325*2650</f>
        <v>861250</v>
      </c>
      <c r="F6672" s="94"/>
    </row>
    <row r="6673" spans="1:7" s="53" customFormat="1" x14ac:dyDescent="0.35">
      <c r="A6673" s="223"/>
      <c r="B6673" s="88" t="s">
        <v>109</v>
      </c>
      <c r="C6673" s="89" t="s">
        <v>110</v>
      </c>
      <c r="D6673" s="90">
        <v>1000000</v>
      </c>
      <c r="F6673" s="94"/>
    </row>
    <row r="6674" spans="1:7" s="53" customFormat="1" x14ac:dyDescent="0.35">
      <c r="A6674" s="223"/>
      <c r="B6674" s="88" t="s">
        <v>111</v>
      </c>
      <c r="C6674" s="89" t="s">
        <v>112</v>
      </c>
      <c r="D6674" s="90">
        <v>40000</v>
      </c>
      <c r="E6674" s="225" t="s">
        <v>113</v>
      </c>
      <c r="F6674" s="225"/>
    </row>
    <row r="6675" spans="1:7" s="53" customFormat="1" x14ac:dyDescent="0.35">
      <c r="A6675" s="223"/>
      <c r="B6675" s="88" t="s">
        <v>182</v>
      </c>
      <c r="C6675" s="89" t="s">
        <v>115</v>
      </c>
      <c r="D6675" s="90">
        <f>950*123</f>
        <v>116850</v>
      </c>
      <c r="E6675" s="91" t="s">
        <v>116</v>
      </c>
      <c r="F6675" s="92">
        <f>4700*2445</f>
        <v>11491500</v>
      </c>
    </row>
    <row r="6676" spans="1:7" s="53" customFormat="1" x14ac:dyDescent="0.35">
      <c r="A6676" s="223"/>
      <c r="B6676" s="88"/>
      <c r="C6676" s="89" t="s">
        <v>117</v>
      </c>
      <c r="D6676" s="90">
        <f>3000*123</f>
        <v>369000</v>
      </c>
      <c r="E6676" s="93" t="s">
        <v>118</v>
      </c>
      <c r="F6676" s="94">
        <f>(2820*2445)+(1840*2445)</f>
        <v>11393700</v>
      </c>
    </row>
    <row r="6677" spans="1:7" s="53" customFormat="1" ht="15" thickBot="1" x14ac:dyDescent="0.4">
      <c r="A6677" s="223"/>
      <c r="B6677" s="88" t="s">
        <v>119</v>
      </c>
      <c r="C6677" s="89" t="s">
        <v>120</v>
      </c>
      <c r="D6677" s="95">
        <v>30000</v>
      </c>
      <c r="E6677" s="96" t="s">
        <v>121</v>
      </c>
      <c r="F6677" s="97">
        <f>F6675-F6676</f>
        <v>97800</v>
      </c>
      <c r="G6677" s="98">
        <f>F6677/2445</f>
        <v>40</v>
      </c>
    </row>
    <row r="6678" spans="1:7" s="53" customFormat="1" ht="15" thickTop="1" x14ac:dyDescent="0.35">
      <c r="A6678" s="223"/>
      <c r="B6678" s="88"/>
      <c r="C6678" s="89" t="s">
        <v>122</v>
      </c>
      <c r="D6678" s="90">
        <v>150000</v>
      </c>
      <c r="F6678" s="94"/>
    </row>
    <row r="6679" spans="1:7" s="53" customFormat="1" x14ac:dyDescent="0.35">
      <c r="A6679" s="223"/>
      <c r="B6679" s="88" t="s">
        <v>1592</v>
      </c>
      <c r="C6679" s="99" t="s">
        <v>123</v>
      </c>
      <c r="D6679" s="90">
        <v>15000</v>
      </c>
      <c r="E6679" s="91" t="s">
        <v>124</v>
      </c>
      <c r="F6679" s="92"/>
    </row>
    <row r="6680" spans="1:7" s="53" customFormat="1" x14ac:dyDescent="0.35">
      <c r="A6680" s="223"/>
      <c r="B6680" s="101"/>
      <c r="C6680" s="99" t="s">
        <v>125</v>
      </c>
      <c r="D6680" s="100">
        <v>10000</v>
      </c>
      <c r="E6680" s="102"/>
      <c r="F6680" s="103"/>
    </row>
    <row r="6681" spans="1:7" s="53" customFormat="1" x14ac:dyDescent="0.35">
      <c r="A6681" s="223"/>
      <c r="B6681" s="101"/>
      <c r="C6681" s="99" t="s">
        <v>126</v>
      </c>
      <c r="D6681" s="100">
        <v>30000</v>
      </c>
      <c r="E6681" s="102" t="s">
        <v>127</v>
      </c>
      <c r="F6681" s="103"/>
    </row>
    <row r="6682" spans="1:7" s="53" customFormat="1" x14ac:dyDescent="0.35">
      <c r="A6682" s="223"/>
      <c r="B6682" s="101"/>
      <c r="C6682" s="89"/>
      <c r="D6682" s="104"/>
      <c r="E6682" s="53" t="s">
        <v>1610</v>
      </c>
      <c r="F6682" s="103"/>
    </row>
    <row r="6683" spans="1:7" s="53" customFormat="1" ht="15" thickBot="1" x14ac:dyDescent="0.4">
      <c r="A6683" s="223"/>
      <c r="B6683" s="105"/>
      <c r="C6683" s="106"/>
      <c r="D6683" s="107"/>
      <c r="E6683" s="53" t="s">
        <v>1753</v>
      </c>
      <c r="F6683" s="94"/>
    </row>
    <row r="6684" spans="1:7" s="53" customFormat="1" ht="15" thickBot="1" x14ac:dyDescent="0.4">
      <c r="A6684" s="223"/>
      <c r="B6684" s="108"/>
      <c r="C6684" s="109" t="s">
        <v>129</v>
      </c>
      <c r="D6684" s="110">
        <f>SUM(D6671:D6683)</f>
        <v>7800250</v>
      </c>
      <c r="F6684" s="94"/>
    </row>
    <row r="6685" spans="1:7" s="53" customFormat="1" ht="15.5" thickTop="1" thickBot="1" x14ac:dyDescent="0.4">
      <c r="A6685" s="224"/>
      <c r="B6685" s="226"/>
      <c r="C6685" s="226"/>
      <c r="D6685" s="226"/>
      <c r="F6685" s="94"/>
    </row>
    <row r="6686" spans="1:7" s="53" customFormat="1" x14ac:dyDescent="0.35">
      <c r="B6686" s="87"/>
      <c r="C6686" s="53" t="s">
        <v>130</v>
      </c>
      <c r="D6686" s="111">
        <f>D6668-D6684</f>
        <v>3691250</v>
      </c>
      <c r="F6686" s="94"/>
    </row>
    <row r="6687" spans="1:7" s="53" customFormat="1" x14ac:dyDescent="0.35">
      <c r="B6687" s="87"/>
      <c r="D6687" s="111"/>
      <c r="F6687" s="94"/>
    </row>
    <row r="6688" spans="1:7" s="53" customFormat="1" x14ac:dyDescent="0.35">
      <c r="A6688" s="112"/>
      <c r="B6688" s="113"/>
      <c r="C6688" s="112"/>
      <c r="D6688" s="114"/>
      <c r="E6688" s="112"/>
      <c r="F6688" s="178"/>
    </row>
    <row r="6690" spans="1:7" s="53" customFormat="1" ht="23.5" x14ac:dyDescent="0.55000000000000004">
      <c r="B6690" s="227" t="s">
        <v>0</v>
      </c>
      <c r="C6690" s="227"/>
      <c r="D6690" s="227"/>
      <c r="E6690" s="70"/>
      <c r="F6690" s="176"/>
    </row>
    <row r="6691" spans="1:7" s="53" customFormat="1" ht="20.5" x14ac:dyDescent="0.45">
      <c r="B6691" s="71"/>
      <c r="C6691" s="72" t="s">
        <v>1597</v>
      </c>
      <c r="D6691" s="73"/>
      <c r="F6691" s="94"/>
    </row>
    <row r="6692" spans="1:7" s="53" customFormat="1" ht="21" thickBot="1" x14ac:dyDescent="0.5">
      <c r="B6692" s="71" t="s">
        <v>239</v>
      </c>
      <c r="C6692" s="74" t="s">
        <v>103</v>
      </c>
      <c r="D6692" s="73"/>
      <c r="F6692" s="94"/>
    </row>
    <row r="6693" spans="1:7" s="53" customFormat="1" ht="15" thickBot="1" x14ac:dyDescent="0.4">
      <c r="A6693" s="75" t="s">
        <v>104</v>
      </c>
      <c r="B6693" s="76" t="s">
        <v>81</v>
      </c>
      <c r="C6693" s="76" t="s">
        <v>105</v>
      </c>
      <c r="D6693" s="77" t="s">
        <v>84</v>
      </c>
      <c r="F6693" s="94"/>
    </row>
    <row r="6694" spans="1:7" s="53" customFormat="1" ht="14.5" customHeight="1" x14ac:dyDescent="0.35">
      <c r="A6694" s="222" t="s">
        <v>96</v>
      </c>
      <c r="B6694" s="78" t="s">
        <v>1594</v>
      </c>
      <c r="C6694" s="79" t="s">
        <v>959</v>
      </c>
      <c r="D6694" s="80">
        <f>F6701</f>
        <v>11491500</v>
      </c>
      <c r="F6694" s="94"/>
    </row>
    <row r="6695" spans="1:7" s="53" customFormat="1" ht="21" thickBot="1" x14ac:dyDescent="0.5">
      <c r="A6695" s="223"/>
      <c r="B6695" s="71"/>
      <c r="C6695" s="71"/>
      <c r="D6695" s="73"/>
      <c r="F6695" s="94"/>
    </row>
    <row r="6696" spans="1:7" s="53" customFormat="1" ht="15" thickBot="1" x14ac:dyDescent="0.4">
      <c r="A6696" s="223"/>
      <c r="B6696" s="81" t="s">
        <v>81</v>
      </c>
      <c r="C6696" s="82" t="s">
        <v>107</v>
      </c>
      <c r="D6696" s="83" t="s">
        <v>108</v>
      </c>
      <c r="F6696" s="94"/>
    </row>
    <row r="6697" spans="1:7" s="87" customFormat="1" x14ac:dyDescent="0.35">
      <c r="A6697" s="223"/>
      <c r="B6697" s="84" t="str">
        <f>B6694</f>
        <v>11th December,2025</v>
      </c>
      <c r="C6697" s="85" t="s">
        <v>1708</v>
      </c>
      <c r="D6697" s="86">
        <f>1850*2799</f>
        <v>5178150</v>
      </c>
      <c r="F6697" s="177"/>
    </row>
    <row r="6698" spans="1:7" s="53" customFormat="1" x14ac:dyDescent="0.35">
      <c r="A6698" s="223"/>
      <c r="B6698" s="88"/>
      <c r="C6698" s="89" t="s">
        <v>188</v>
      </c>
      <c r="D6698" s="90">
        <f>325*2650</f>
        <v>861250</v>
      </c>
      <c r="F6698" s="94"/>
    </row>
    <row r="6699" spans="1:7" s="53" customFormat="1" x14ac:dyDescent="0.35">
      <c r="A6699" s="223"/>
      <c r="B6699" s="88" t="s">
        <v>109</v>
      </c>
      <c r="C6699" s="89" t="s">
        <v>110</v>
      </c>
      <c r="D6699" s="90">
        <v>1000000</v>
      </c>
      <c r="F6699" s="94"/>
    </row>
    <row r="6700" spans="1:7" s="53" customFormat="1" x14ac:dyDescent="0.35">
      <c r="A6700" s="223"/>
      <c r="B6700" s="88" t="s">
        <v>111</v>
      </c>
      <c r="C6700" s="89" t="s">
        <v>112</v>
      </c>
      <c r="D6700" s="90">
        <v>40000</v>
      </c>
      <c r="E6700" s="225" t="s">
        <v>113</v>
      </c>
      <c r="F6700" s="225"/>
    </row>
    <row r="6701" spans="1:7" s="53" customFormat="1" x14ac:dyDescent="0.35">
      <c r="A6701" s="223"/>
      <c r="B6701" s="88" t="s">
        <v>182</v>
      </c>
      <c r="C6701" s="89" t="s">
        <v>115</v>
      </c>
      <c r="D6701" s="90">
        <f>950*123</f>
        <v>116850</v>
      </c>
      <c r="E6701" s="91" t="s">
        <v>116</v>
      </c>
      <c r="F6701" s="92">
        <f>4700*2445</f>
        <v>11491500</v>
      </c>
    </row>
    <row r="6702" spans="1:7" s="53" customFormat="1" x14ac:dyDescent="0.35">
      <c r="A6702" s="223"/>
      <c r="B6702" s="88"/>
      <c r="C6702" s="89" t="s">
        <v>117</v>
      </c>
      <c r="D6702" s="90">
        <f>3000*123</f>
        <v>369000</v>
      </c>
      <c r="E6702" s="93" t="s">
        <v>118</v>
      </c>
      <c r="F6702" s="94">
        <f>(2820*2445)+(1840*2445)</f>
        <v>11393700</v>
      </c>
    </row>
    <row r="6703" spans="1:7" s="53" customFormat="1" ht="15" thickBot="1" x14ac:dyDescent="0.4">
      <c r="A6703" s="223"/>
      <c r="B6703" s="88" t="s">
        <v>119</v>
      </c>
      <c r="C6703" s="89" t="s">
        <v>120</v>
      </c>
      <c r="D6703" s="95">
        <v>30000</v>
      </c>
      <c r="E6703" s="96" t="s">
        <v>121</v>
      </c>
      <c r="F6703" s="97">
        <f>F6701-F6702</f>
        <v>97800</v>
      </c>
      <c r="G6703" s="98">
        <f>F6703/2445</f>
        <v>40</v>
      </c>
    </row>
    <row r="6704" spans="1:7" s="53" customFormat="1" ht="15" thickTop="1" x14ac:dyDescent="0.35">
      <c r="A6704" s="223"/>
      <c r="B6704" s="88"/>
      <c r="C6704" s="89" t="s">
        <v>122</v>
      </c>
      <c r="D6704" s="90">
        <v>150000</v>
      </c>
      <c r="F6704" s="94"/>
    </row>
    <row r="6705" spans="1:6" s="53" customFormat="1" x14ac:dyDescent="0.35">
      <c r="A6705" s="223"/>
      <c r="B6705" s="88" t="s">
        <v>1596</v>
      </c>
      <c r="C6705" s="99" t="s">
        <v>123</v>
      </c>
      <c r="D6705" s="90">
        <v>15000</v>
      </c>
      <c r="E6705" s="91" t="s">
        <v>124</v>
      </c>
      <c r="F6705" s="92"/>
    </row>
    <row r="6706" spans="1:6" s="53" customFormat="1" x14ac:dyDescent="0.35">
      <c r="A6706" s="223"/>
      <c r="B6706" s="101"/>
      <c r="C6706" s="99" t="s">
        <v>125</v>
      </c>
      <c r="D6706" s="100">
        <v>10000</v>
      </c>
      <c r="E6706" s="102"/>
      <c r="F6706" s="103"/>
    </row>
    <row r="6707" spans="1:6" s="53" customFormat="1" x14ac:dyDescent="0.35">
      <c r="A6707" s="223"/>
      <c r="B6707" s="101"/>
      <c r="C6707" s="99" t="s">
        <v>126</v>
      </c>
      <c r="D6707" s="100">
        <v>30000</v>
      </c>
      <c r="E6707" s="102" t="s">
        <v>127</v>
      </c>
      <c r="F6707" s="103"/>
    </row>
    <row r="6708" spans="1:6" s="53" customFormat="1" x14ac:dyDescent="0.35">
      <c r="A6708" s="223"/>
      <c r="B6708" s="101"/>
      <c r="C6708" s="89"/>
      <c r="D6708" s="104"/>
      <c r="E6708" s="53" t="s">
        <v>1610</v>
      </c>
      <c r="F6708" s="103"/>
    </row>
    <row r="6709" spans="1:6" s="53" customFormat="1" ht="15" thickBot="1" x14ac:dyDescent="0.4">
      <c r="A6709" s="223"/>
      <c r="B6709" s="105"/>
      <c r="C6709" s="106"/>
      <c r="D6709" s="107"/>
      <c r="E6709" s="53" t="s">
        <v>1753</v>
      </c>
      <c r="F6709" s="94"/>
    </row>
    <row r="6710" spans="1:6" s="53" customFormat="1" ht="15" thickBot="1" x14ac:dyDescent="0.4">
      <c r="A6710" s="223"/>
      <c r="B6710" s="108"/>
      <c r="C6710" s="109" t="s">
        <v>129</v>
      </c>
      <c r="D6710" s="110">
        <f>SUM(D6697:D6709)</f>
        <v>7800250</v>
      </c>
      <c r="F6710" s="94"/>
    </row>
    <row r="6711" spans="1:6" s="53" customFormat="1" ht="15.5" thickTop="1" thickBot="1" x14ac:dyDescent="0.4">
      <c r="A6711" s="224"/>
      <c r="B6711" s="226"/>
      <c r="C6711" s="226"/>
      <c r="D6711" s="226"/>
      <c r="F6711" s="94"/>
    </row>
    <row r="6712" spans="1:6" s="53" customFormat="1" x14ac:dyDescent="0.35">
      <c r="B6712" s="87"/>
      <c r="C6712" s="53" t="s">
        <v>130</v>
      </c>
      <c r="D6712" s="111">
        <f>D6694-D6710</f>
        <v>3691250</v>
      </c>
      <c r="F6712" s="94"/>
    </row>
    <row r="6713" spans="1:6" s="53" customFormat="1" x14ac:dyDescent="0.35">
      <c r="B6713" s="87"/>
      <c r="D6713" s="111"/>
      <c r="F6713" s="94"/>
    </row>
    <row r="6714" spans="1:6" s="53" customFormat="1" x14ac:dyDescent="0.35">
      <c r="A6714" s="112"/>
      <c r="B6714" s="113"/>
      <c r="C6714" s="112"/>
      <c r="D6714" s="114"/>
      <c r="E6714" s="112"/>
      <c r="F6714" s="178"/>
    </row>
    <row r="6716" spans="1:6" s="53" customFormat="1" ht="23.5" x14ac:dyDescent="0.55000000000000004">
      <c r="B6716" s="227" t="s">
        <v>0</v>
      </c>
      <c r="C6716" s="227"/>
      <c r="D6716" s="227"/>
      <c r="E6716" s="70"/>
      <c r="F6716" s="176"/>
    </row>
    <row r="6717" spans="1:6" s="53" customFormat="1" ht="20.5" x14ac:dyDescent="0.45">
      <c r="B6717" s="71"/>
      <c r="C6717" s="72" t="s">
        <v>1600</v>
      </c>
      <c r="D6717" s="73"/>
      <c r="F6717" s="94"/>
    </row>
    <row r="6718" spans="1:6" s="53" customFormat="1" ht="21" thickBot="1" x14ac:dyDescent="0.5">
      <c r="B6718" s="71" t="s">
        <v>984</v>
      </c>
      <c r="C6718" s="74" t="s">
        <v>103</v>
      </c>
      <c r="D6718" s="73"/>
      <c r="F6718" s="94"/>
    </row>
    <row r="6719" spans="1:6" s="53" customFormat="1" ht="15" thickBot="1" x14ac:dyDescent="0.4">
      <c r="A6719" s="75" t="s">
        <v>104</v>
      </c>
      <c r="B6719" s="76" t="s">
        <v>81</v>
      </c>
      <c r="C6719" s="76" t="s">
        <v>105</v>
      </c>
      <c r="D6719" s="77" t="s">
        <v>84</v>
      </c>
      <c r="F6719" s="94"/>
    </row>
    <row r="6720" spans="1:6" s="53" customFormat="1" ht="14.5" customHeight="1" x14ac:dyDescent="0.35">
      <c r="A6720" s="222" t="s">
        <v>96</v>
      </c>
      <c r="B6720" s="78" t="s">
        <v>1594</v>
      </c>
      <c r="C6720" s="79" t="s">
        <v>959</v>
      </c>
      <c r="D6720" s="80">
        <f>F6727</f>
        <v>11491500</v>
      </c>
      <c r="F6720" s="94"/>
    </row>
    <row r="6721" spans="1:7" s="53" customFormat="1" ht="21" thickBot="1" x14ac:dyDescent="0.5">
      <c r="A6721" s="223"/>
      <c r="B6721" s="71"/>
      <c r="C6721" s="71"/>
      <c r="D6721" s="73"/>
      <c r="F6721" s="94"/>
    </row>
    <row r="6722" spans="1:7" s="53" customFormat="1" ht="15" thickBot="1" x14ac:dyDescent="0.4">
      <c r="A6722" s="223"/>
      <c r="B6722" s="81" t="s">
        <v>81</v>
      </c>
      <c r="C6722" s="82" t="s">
        <v>107</v>
      </c>
      <c r="D6722" s="83" t="s">
        <v>108</v>
      </c>
      <c r="F6722" s="94"/>
    </row>
    <row r="6723" spans="1:7" s="87" customFormat="1" x14ac:dyDescent="0.35">
      <c r="A6723" s="223"/>
      <c r="B6723" s="84" t="str">
        <f>B6720</f>
        <v>11th December,2025</v>
      </c>
      <c r="C6723" s="85" t="s">
        <v>1708</v>
      </c>
      <c r="D6723" s="86">
        <f>1850*2799</f>
        <v>5178150</v>
      </c>
      <c r="F6723" s="177"/>
    </row>
    <row r="6724" spans="1:7" s="53" customFormat="1" x14ac:dyDescent="0.35">
      <c r="A6724" s="223"/>
      <c r="B6724" s="88"/>
      <c r="C6724" s="89" t="s">
        <v>188</v>
      </c>
      <c r="D6724" s="90">
        <f>325*2650</f>
        <v>861250</v>
      </c>
      <c r="F6724" s="94"/>
    </row>
    <row r="6725" spans="1:7" s="53" customFormat="1" x14ac:dyDescent="0.35">
      <c r="A6725" s="223"/>
      <c r="B6725" s="88" t="s">
        <v>109</v>
      </c>
      <c r="C6725" s="89" t="s">
        <v>110</v>
      </c>
      <c r="D6725" s="90">
        <v>1000000</v>
      </c>
      <c r="F6725" s="94"/>
    </row>
    <row r="6726" spans="1:7" s="53" customFormat="1" x14ac:dyDescent="0.35">
      <c r="A6726" s="223"/>
      <c r="B6726" s="88" t="s">
        <v>111</v>
      </c>
      <c r="C6726" s="89" t="s">
        <v>112</v>
      </c>
      <c r="D6726" s="90">
        <v>40000</v>
      </c>
      <c r="E6726" s="225" t="s">
        <v>113</v>
      </c>
      <c r="F6726" s="225"/>
    </row>
    <row r="6727" spans="1:7" s="53" customFormat="1" x14ac:dyDescent="0.35">
      <c r="A6727" s="223"/>
      <c r="B6727" s="88" t="s">
        <v>182</v>
      </c>
      <c r="C6727" s="89" t="s">
        <v>115</v>
      </c>
      <c r="D6727" s="90">
        <f>950*123</f>
        <v>116850</v>
      </c>
      <c r="E6727" s="91" t="s">
        <v>116</v>
      </c>
      <c r="F6727" s="92">
        <f>4700*2445</f>
        <v>11491500</v>
      </c>
    </row>
    <row r="6728" spans="1:7" s="53" customFormat="1" x14ac:dyDescent="0.35">
      <c r="A6728" s="223"/>
      <c r="B6728" s="88"/>
      <c r="C6728" s="89" t="s">
        <v>117</v>
      </c>
      <c r="D6728" s="90">
        <f>3000*123</f>
        <v>369000</v>
      </c>
      <c r="E6728" s="93" t="s">
        <v>118</v>
      </c>
      <c r="F6728" s="94">
        <f>(2820*2445)+(1840*2445)</f>
        <v>11393700</v>
      </c>
    </row>
    <row r="6729" spans="1:7" s="53" customFormat="1" ht="15" thickBot="1" x14ac:dyDescent="0.4">
      <c r="A6729" s="223"/>
      <c r="B6729" s="88" t="s">
        <v>119</v>
      </c>
      <c r="C6729" s="89" t="s">
        <v>120</v>
      </c>
      <c r="D6729" s="95">
        <v>30000</v>
      </c>
      <c r="E6729" s="96" t="s">
        <v>121</v>
      </c>
      <c r="F6729" s="97">
        <f>F6727-F6728</f>
        <v>97800</v>
      </c>
      <c r="G6729" s="98">
        <f>F6729/2445</f>
        <v>40</v>
      </c>
    </row>
    <row r="6730" spans="1:7" s="53" customFormat="1" ht="15" thickTop="1" x14ac:dyDescent="0.35">
      <c r="A6730" s="223"/>
      <c r="B6730" s="88"/>
      <c r="C6730" s="89" t="s">
        <v>122</v>
      </c>
      <c r="D6730" s="90">
        <v>150000</v>
      </c>
      <c r="F6730" s="94"/>
    </row>
    <row r="6731" spans="1:7" s="53" customFormat="1" x14ac:dyDescent="0.35">
      <c r="A6731" s="223"/>
      <c r="B6731" s="88" t="s">
        <v>1599</v>
      </c>
      <c r="C6731" s="99" t="s">
        <v>123</v>
      </c>
      <c r="D6731" s="90">
        <v>15000</v>
      </c>
      <c r="E6731" s="91" t="s">
        <v>124</v>
      </c>
      <c r="F6731" s="92"/>
    </row>
    <row r="6732" spans="1:7" s="53" customFormat="1" x14ac:dyDescent="0.35">
      <c r="A6732" s="223"/>
      <c r="B6732" s="101"/>
      <c r="C6732" s="99" t="s">
        <v>125</v>
      </c>
      <c r="D6732" s="100">
        <v>10000</v>
      </c>
      <c r="E6732" s="102"/>
      <c r="F6732" s="103"/>
    </row>
    <row r="6733" spans="1:7" s="53" customFormat="1" x14ac:dyDescent="0.35">
      <c r="A6733" s="223"/>
      <c r="B6733" s="101"/>
      <c r="C6733" s="99" t="s">
        <v>126</v>
      </c>
      <c r="D6733" s="100">
        <v>30000</v>
      </c>
      <c r="E6733" s="102" t="s">
        <v>127</v>
      </c>
      <c r="F6733" s="103"/>
    </row>
    <row r="6734" spans="1:7" s="53" customFormat="1" x14ac:dyDescent="0.35">
      <c r="A6734" s="223"/>
      <c r="B6734" s="101"/>
      <c r="C6734" s="89"/>
      <c r="D6734" s="104"/>
      <c r="E6734" s="53" t="s">
        <v>1610</v>
      </c>
      <c r="F6734" s="103"/>
    </row>
    <row r="6735" spans="1:7" s="53" customFormat="1" ht="15" thickBot="1" x14ac:dyDescent="0.4">
      <c r="A6735" s="223"/>
      <c r="B6735" s="105"/>
      <c r="C6735" s="106"/>
      <c r="D6735" s="107"/>
      <c r="E6735" s="53" t="s">
        <v>1753</v>
      </c>
      <c r="F6735" s="94"/>
    </row>
    <row r="6736" spans="1:7" s="53" customFormat="1" ht="15" thickBot="1" x14ac:dyDescent="0.4">
      <c r="A6736" s="223"/>
      <c r="B6736" s="108"/>
      <c r="C6736" s="109" t="s">
        <v>129</v>
      </c>
      <c r="D6736" s="110">
        <f>SUM(D6723:D6735)</f>
        <v>7800250</v>
      </c>
      <c r="F6736" s="94"/>
    </row>
    <row r="6737" spans="1:6" s="53" customFormat="1" ht="15.5" thickTop="1" thickBot="1" x14ac:dyDescent="0.4">
      <c r="A6737" s="224"/>
      <c r="B6737" s="226"/>
      <c r="C6737" s="226"/>
      <c r="D6737" s="226"/>
      <c r="F6737" s="94"/>
    </row>
    <row r="6738" spans="1:6" s="53" customFormat="1" x14ac:dyDescent="0.35">
      <c r="B6738" s="87"/>
      <c r="C6738" s="53" t="s">
        <v>130</v>
      </c>
      <c r="D6738" s="111">
        <f>D6720-D6736</f>
        <v>3691250</v>
      </c>
      <c r="F6738" s="94"/>
    </row>
    <row r="6739" spans="1:6" s="53" customFormat="1" x14ac:dyDescent="0.35">
      <c r="B6739" s="87"/>
      <c r="D6739" s="111"/>
      <c r="F6739" s="94"/>
    </row>
    <row r="6740" spans="1:6" s="53" customFormat="1" x14ac:dyDescent="0.35">
      <c r="A6740" s="112"/>
      <c r="B6740" s="113"/>
      <c r="C6740" s="112"/>
      <c r="D6740" s="114"/>
      <c r="E6740" s="112"/>
      <c r="F6740" s="178"/>
    </row>
    <row r="6742" spans="1:6" s="53" customFormat="1" ht="23.5" x14ac:dyDescent="0.55000000000000004">
      <c r="B6742" s="227" t="s">
        <v>0</v>
      </c>
      <c r="C6742" s="227"/>
      <c r="D6742" s="227"/>
      <c r="E6742" s="70"/>
      <c r="F6742" s="176"/>
    </row>
    <row r="6743" spans="1:6" s="53" customFormat="1" ht="20.5" x14ac:dyDescent="0.45">
      <c r="B6743" s="71"/>
      <c r="C6743" s="72" t="s">
        <v>1608</v>
      </c>
      <c r="D6743" s="73"/>
      <c r="F6743" s="94"/>
    </row>
    <row r="6744" spans="1:6" s="53" customFormat="1" ht="21" thickBot="1" x14ac:dyDescent="0.5">
      <c r="B6744" s="71" t="s">
        <v>812</v>
      </c>
      <c r="C6744" s="74" t="s">
        <v>103</v>
      </c>
      <c r="D6744" s="73"/>
      <c r="F6744" s="94"/>
    </row>
    <row r="6745" spans="1:6" s="53" customFormat="1" ht="15" thickBot="1" x14ac:dyDescent="0.4">
      <c r="A6745" s="75" t="s">
        <v>104</v>
      </c>
      <c r="B6745" s="76" t="s">
        <v>81</v>
      </c>
      <c r="C6745" s="76" t="s">
        <v>105</v>
      </c>
      <c r="D6745" s="77" t="s">
        <v>84</v>
      </c>
      <c r="F6745" s="94"/>
    </row>
    <row r="6746" spans="1:6" s="53" customFormat="1" ht="14.5" customHeight="1" x14ac:dyDescent="0.35">
      <c r="A6746" s="222" t="s">
        <v>96</v>
      </c>
      <c r="B6746" s="78" t="s">
        <v>1609</v>
      </c>
      <c r="C6746" s="79" t="s">
        <v>959</v>
      </c>
      <c r="D6746" s="80">
        <f>F6753</f>
        <v>11491500</v>
      </c>
      <c r="F6746" s="94"/>
    </row>
    <row r="6747" spans="1:6" s="53" customFormat="1" ht="21" thickBot="1" x14ac:dyDescent="0.5">
      <c r="A6747" s="223"/>
      <c r="B6747" s="71"/>
      <c r="C6747" s="71"/>
      <c r="D6747" s="73"/>
      <c r="F6747" s="94"/>
    </row>
    <row r="6748" spans="1:6" s="53" customFormat="1" ht="15" thickBot="1" x14ac:dyDescent="0.4">
      <c r="A6748" s="223"/>
      <c r="B6748" s="81" t="s">
        <v>81</v>
      </c>
      <c r="C6748" s="82" t="s">
        <v>107</v>
      </c>
      <c r="D6748" s="83" t="s">
        <v>108</v>
      </c>
      <c r="F6748" s="94"/>
    </row>
    <row r="6749" spans="1:6" s="87" customFormat="1" x14ac:dyDescent="0.35">
      <c r="A6749" s="223"/>
      <c r="B6749" s="84" t="str">
        <f>B6746</f>
        <v>13th December,2025</v>
      </c>
      <c r="C6749" s="85" t="s">
        <v>1708</v>
      </c>
      <c r="D6749" s="86">
        <f>1850*2799</f>
        <v>5178150</v>
      </c>
      <c r="F6749" s="177"/>
    </row>
    <row r="6750" spans="1:6" s="53" customFormat="1" x14ac:dyDescent="0.35">
      <c r="A6750" s="223"/>
      <c r="B6750" s="88"/>
      <c r="C6750" s="89" t="s">
        <v>188</v>
      </c>
      <c r="D6750" s="90">
        <f>325*2650</f>
        <v>861250</v>
      </c>
      <c r="F6750" s="94"/>
    </row>
    <row r="6751" spans="1:6" s="53" customFormat="1" x14ac:dyDescent="0.35">
      <c r="A6751" s="223"/>
      <c r="B6751" s="88" t="s">
        <v>109</v>
      </c>
      <c r="C6751" s="89" t="s">
        <v>110</v>
      </c>
      <c r="D6751" s="90">
        <v>1000000</v>
      </c>
      <c r="F6751" s="94"/>
    </row>
    <row r="6752" spans="1:6" s="53" customFormat="1" x14ac:dyDescent="0.35">
      <c r="A6752" s="223"/>
      <c r="B6752" s="88" t="s">
        <v>111</v>
      </c>
      <c r="C6752" s="89" t="s">
        <v>112</v>
      </c>
      <c r="D6752" s="90">
        <v>40000</v>
      </c>
      <c r="E6752" s="225" t="s">
        <v>113</v>
      </c>
      <c r="F6752" s="225"/>
    </row>
    <row r="6753" spans="1:7" s="53" customFormat="1" x14ac:dyDescent="0.35">
      <c r="A6753" s="223"/>
      <c r="B6753" s="88" t="s">
        <v>182</v>
      </c>
      <c r="C6753" s="89" t="s">
        <v>115</v>
      </c>
      <c r="D6753" s="90">
        <f>950*123</f>
        <v>116850</v>
      </c>
      <c r="E6753" s="91" t="s">
        <v>116</v>
      </c>
      <c r="F6753" s="92">
        <f>4700*2445</f>
        <v>11491500</v>
      </c>
    </row>
    <row r="6754" spans="1:7" s="53" customFormat="1" x14ac:dyDescent="0.35">
      <c r="A6754" s="223"/>
      <c r="B6754" s="88"/>
      <c r="C6754" s="89" t="s">
        <v>117</v>
      </c>
      <c r="D6754" s="90">
        <f>3000*123</f>
        <v>369000</v>
      </c>
      <c r="E6754" s="93" t="s">
        <v>118</v>
      </c>
      <c r="F6754" s="94">
        <f>(2820*2445)+(1880*2445)</f>
        <v>11491500</v>
      </c>
    </row>
    <row r="6755" spans="1:7" s="53" customFormat="1" ht="15" thickBot="1" x14ac:dyDescent="0.4">
      <c r="A6755" s="223"/>
      <c r="B6755" s="88" t="s">
        <v>119</v>
      </c>
      <c r="C6755" s="89" t="s">
        <v>120</v>
      </c>
      <c r="D6755" s="95">
        <v>30000</v>
      </c>
      <c r="E6755" s="96" t="s">
        <v>121</v>
      </c>
      <c r="F6755" s="97">
        <f>F6753-F6754</f>
        <v>0</v>
      </c>
      <c r="G6755" s="98">
        <f>F6755/2445</f>
        <v>0</v>
      </c>
    </row>
    <row r="6756" spans="1:7" s="53" customFormat="1" ht="15" thickTop="1" x14ac:dyDescent="0.35">
      <c r="A6756" s="223"/>
      <c r="B6756" s="88"/>
      <c r="C6756" s="89" t="s">
        <v>122</v>
      </c>
      <c r="D6756" s="90">
        <v>150000</v>
      </c>
      <c r="F6756" s="94"/>
    </row>
    <row r="6757" spans="1:7" s="53" customFormat="1" x14ac:dyDescent="0.35">
      <c r="A6757" s="223"/>
      <c r="B6757" s="88" t="s">
        <v>1607</v>
      </c>
      <c r="C6757" s="99" t="s">
        <v>123</v>
      </c>
      <c r="D6757" s="90">
        <v>15000</v>
      </c>
      <c r="E6757" s="91" t="s">
        <v>124</v>
      </c>
      <c r="F6757" s="92"/>
    </row>
    <row r="6758" spans="1:7" s="53" customFormat="1" x14ac:dyDescent="0.35">
      <c r="A6758" s="223"/>
      <c r="B6758" s="101"/>
      <c r="C6758" s="99" t="s">
        <v>125</v>
      </c>
      <c r="D6758" s="100">
        <v>10000</v>
      </c>
      <c r="E6758" s="102"/>
      <c r="F6758" s="103"/>
    </row>
    <row r="6759" spans="1:7" s="53" customFormat="1" x14ac:dyDescent="0.35">
      <c r="A6759" s="223"/>
      <c r="B6759" s="101"/>
      <c r="C6759" s="99" t="s">
        <v>126</v>
      </c>
      <c r="D6759" s="100">
        <v>30000</v>
      </c>
      <c r="E6759" s="102" t="s">
        <v>127</v>
      </c>
      <c r="F6759" s="103"/>
    </row>
    <row r="6760" spans="1:7" s="53" customFormat="1" x14ac:dyDescent="0.35">
      <c r="A6760" s="223"/>
      <c r="B6760" s="101"/>
      <c r="C6760" s="89"/>
      <c r="D6760" s="104"/>
      <c r="E6760" s="53" t="s">
        <v>1703</v>
      </c>
      <c r="F6760" s="103"/>
    </row>
    <row r="6761" spans="1:7" s="53" customFormat="1" ht="15" thickBot="1" x14ac:dyDescent="0.4">
      <c r="A6761" s="223"/>
      <c r="B6761" s="105"/>
      <c r="C6761" s="106"/>
      <c r="D6761" s="107"/>
      <c r="E6761" s="53" t="s">
        <v>1753</v>
      </c>
      <c r="F6761" s="94"/>
    </row>
    <row r="6762" spans="1:7" s="53" customFormat="1" ht="15" thickBot="1" x14ac:dyDescent="0.4">
      <c r="A6762" s="223"/>
      <c r="B6762" s="108"/>
      <c r="C6762" s="109" t="s">
        <v>129</v>
      </c>
      <c r="D6762" s="110">
        <f>SUM(D6749:D6761)</f>
        <v>7800250</v>
      </c>
      <c r="F6762" s="94"/>
    </row>
    <row r="6763" spans="1:7" s="53" customFormat="1" ht="15.5" thickTop="1" thickBot="1" x14ac:dyDescent="0.4">
      <c r="A6763" s="224"/>
      <c r="B6763" s="226"/>
      <c r="C6763" s="226"/>
      <c r="D6763" s="226"/>
      <c r="F6763" s="94"/>
    </row>
    <row r="6764" spans="1:7" s="53" customFormat="1" x14ac:dyDescent="0.35">
      <c r="B6764" s="87"/>
      <c r="C6764" s="53" t="s">
        <v>130</v>
      </c>
      <c r="D6764" s="111">
        <f>D6746-D6762</f>
        <v>3691250</v>
      </c>
      <c r="F6764" s="94"/>
    </row>
    <row r="6765" spans="1:7" s="53" customFormat="1" x14ac:dyDescent="0.35">
      <c r="B6765" s="87"/>
      <c r="D6765" s="111"/>
      <c r="F6765" s="94"/>
    </row>
    <row r="6766" spans="1:7" s="53" customFormat="1" x14ac:dyDescent="0.35">
      <c r="A6766" s="112"/>
      <c r="B6766" s="113"/>
      <c r="C6766" s="112"/>
      <c r="D6766" s="114"/>
      <c r="E6766" s="112"/>
      <c r="F6766" s="178"/>
    </row>
    <row r="6768" spans="1:7" s="53" customFormat="1" ht="23.5" x14ac:dyDescent="0.55000000000000004">
      <c r="B6768" s="227" t="s">
        <v>0</v>
      </c>
      <c r="C6768" s="227"/>
      <c r="D6768" s="227"/>
      <c r="E6768" s="70"/>
      <c r="F6768" s="176"/>
    </row>
    <row r="6769" spans="1:7" s="53" customFormat="1" ht="20.5" x14ac:dyDescent="0.45">
      <c r="B6769" s="71"/>
      <c r="C6769" s="72" t="s">
        <v>1622</v>
      </c>
      <c r="D6769" s="73"/>
      <c r="F6769" s="94"/>
    </row>
    <row r="6770" spans="1:7" s="53" customFormat="1" ht="21" thickBot="1" x14ac:dyDescent="0.5">
      <c r="B6770" s="71" t="s">
        <v>1002</v>
      </c>
      <c r="C6770" s="74" t="s">
        <v>103</v>
      </c>
      <c r="D6770" s="73"/>
      <c r="F6770" s="94"/>
    </row>
    <row r="6771" spans="1:7" s="53" customFormat="1" ht="15" thickBot="1" x14ac:dyDescent="0.4">
      <c r="A6771" s="75" t="s">
        <v>104</v>
      </c>
      <c r="B6771" s="76" t="s">
        <v>81</v>
      </c>
      <c r="C6771" s="76" t="s">
        <v>105</v>
      </c>
      <c r="D6771" s="77" t="s">
        <v>84</v>
      </c>
      <c r="F6771" s="94"/>
    </row>
    <row r="6772" spans="1:7" s="53" customFormat="1" ht="14.5" customHeight="1" x14ac:dyDescent="0.35">
      <c r="A6772" s="222" t="s">
        <v>96</v>
      </c>
      <c r="B6772" s="78" t="s">
        <v>1623</v>
      </c>
      <c r="C6772" s="79" t="s">
        <v>319</v>
      </c>
      <c r="D6772" s="80">
        <f>F6779</f>
        <v>11760000</v>
      </c>
      <c r="F6772" s="94"/>
    </row>
    <row r="6773" spans="1:7" s="53" customFormat="1" ht="21" thickBot="1" x14ac:dyDescent="0.5">
      <c r="A6773" s="223"/>
      <c r="B6773" s="71"/>
      <c r="C6773" s="71"/>
      <c r="D6773" s="73"/>
      <c r="F6773" s="94"/>
    </row>
    <row r="6774" spans="1:7" s="53" customFormat="1" ht="15" thickBot="1" x14ac:dyDescent="0.4">
      <c r="A6774" s="223"/>
      <c r="B6774" s="81" t="s">
        <v>81</v>
      </c>
      <c r="C6774" s="82" t="s">
        <v>107</v>
      </c>
      <c r="D6774" s="83" t="s">
        <v>108</v>
      </c>
      <c r="F6774" s="94"/>
    </row>
    <row r="6775" spans="1:7" s="87" customFormat="1" x14ac:dyDescent="0.35">
      <c r="A6775" s="223"/>
      <c r="B6775" s="84" t="str">
        <f>B6772</f>
        <v>17th December,2025</v>
      </c>
      <c r="C6775" s="85" t="s">
        <v>1708</v>
      </c>
      <c r="D6775" s="86">
        <f>1850*2799</f>
        <v>5178150</v>
      </c>
      <c r="F6775" s="177"/>
    </row>
    <row r="6776" spans="1:7" s="53" customFormat="1" x14ac:dyDescent="0.35">
      <c r="A6776" s="223"/>
      <c r="B6776" s="88"/>
      <c r="C6776" s="89" t="s">
        <v>1624</v>
      </c>
      <c r="D6776" s="90">
        <f>348*2500</f>
        <v>870000</v>
      </c>
      <c r="F6776" s="94"/>
    </row>
    <row r="6777" spans="1:7" s="53" customFormat="1" x14ac:dyDescent="0.35">
      <c r="A6777" s="223"/>
      <c r="B6777" s="88" t="s">
        <v>109</v>
      </c>
      <c r="C6777" s="89" t="s">
        <v>110</v>
      </c>
      <c r="D6777" s="90">
        <v>1000000</v>
      </c>
      <c r="F6777" s="94"/>
    </row>
    <row r="6778" spans="1:7" s="53" customFormat="1" x14ac:dyDescent="0.35">
      <c r="A6778" s="223"/>
      <c r="B6778" s="88" t="s">
        <v>111</v>
      </c>
      <c r="C6778" s="89" t="s">
        <v>112</v>
      </c>
      <c r="D6778" s="90">
        <v>40000</v>
      </c>
      <c r="E6778" s="228" t="s">
        <v>113</v>
      </c>
      <c r="F6778" s="225"/>
    </row>
    <row r="6779" spans="1:7" s="53" customFormat="1" x14ac:dyDescent="0.35">
      <c r="A6779" s="223"/>
      <c r="B6779" s="88" t="s">
        <v>1621</v>
      </c>
      <c r="C6779" s="89" t="s">
        <v>115</v>
      </c>
      <c r="D6779" s="90">
        <f>1050*123</f>
        <v>129150</v>
      </c>
      <c r="E6779" s="91" t="s">
        <v>116</v>
      </c>
      <c r="F6779" s="92">
        <f>4800*2450</f>
        <v>11760000</v>
      </c>
    </row>
    <row r="6780" spans="1:7" s="53" customFormat="1" x14ac:dyDescent="0.35">
      <c r="A6780" s="223"/>
      <c r="B6780" s="88"/>
      <c r="C6780" s="89" t="s">
        <v>117</v>
      </c>
      <c r="D6780" s="90">
        <f>4380*123</f>
        <v>538740</v>
      </c>
      <c r="E6780" s="93" t="s">
        <v>118</v>
      </c>
      <c r="F6780" s="94">
        <f>(4800*2450)</f>
        <v>11760000</v>
      </c>
    </row>
    <row r="6781" spans="1:7" s="53" customFormat="1" ht="15" thickBot="1" x14ac:dyDescent="0.4">
      <c r="A6781" s="223"/>
      <c r="B6781" s="88" t="s">
        <v>119</v>
      </c>
      <c r="C6781" s="89" t="s">
        <v>120</v>
      </c>
      <c r="D6781" s="95">
        <v>30000</v>
      </c>
      <c r="E6781" s="96" t="s">
        <v>121</v>
      </c>
      <c r="F6781" s="97">
        <f>F6779-F6780</f>
        <v>0</v>
      </c>
      <c r="G6781" s="98">
        <f>F6781/2450</f>
        <v>0</v>
      </c>
    </row>
    <row r="6782" spans="1:7" s="53" customFormat="1" ht="15" thickTop="1" x14ac:dyDescent="0.35">
      <c r="A6782" s="223"/>
      <c r="B6782" s="88"/>
      <c r="C6782" s="89" t="s">
        <v>126</v>
      </c>
      <c r="D6782" s="90">
        <v>30000</v>
      </c>
      <c r="F6782" s="94"/>
    </row>
    <row r="6783" spans="1:7" s="53" customFormat="1" x14ac:dyDescent="0.35">
      <c r="A6783" s="223"/>
      <c r="B6783" s="88" t="s">
        <v>213</v>
      </c>
      <c r="C6783" s="99" t="s">
        <v>123</v>
      </c>
      <c r="D6783" s="90">
        <v>15000</v>
      </c>
      <c r="E6783" s="91" t="s">
        <v>124</v>
      </c>
      <c r="F6783" s="92"/>
    </row>
    <row r="6784" spans="1:7" s="53" customFormat="1" x14ac:dyDescent="0.35">
      <c r="A6784" s="223"/>
      <c r="B6784" s="101"/>
      <c r="C6784" s="99" t="s">
        <v>125</v>
      </c>
      <c r="D6784" s="100">
        <v>0</v>
      </c>
      <c r="E6784" s="102"/>
      <c r="F6784" s="103"/>
    </row>
    <row r="6785" spans="1:6" s="53" customFormat="1" x14ac:dyDescent="0.35">
      <c r="A6785" s="223"/>
      <c r="B6785" s="101"/>
      <c r="C6785" s="99"/>
      <c r="D6785" s="100"/>
      <c r="E6785" s="102" t="s">
        <v>127</v>
      </c>
      <c r="F6785" s="103"/>
    </row>
    <row r="6786" spans="1:6" s="53" customFormat="1" x14ac:dyDescent="0.35">
      <c r="A6786" s="223"/>
      <c r="B6786" s="101"/>
      <c r="C6786" s="89"/>
      <c r="D6786" s="104"/>
      <c r="E6786" s="102" t="s">
        <v>1732</v>
      </c>
      <c r="F6786" s="103"/>
    </row>
    <row r="6787" spans="1:6" s="53" customFormat="1" ht="15" thickBot="1" x14ac:dyDescent="0.4">
      <c r="A6787" s="223"/>
      <c r="B6787" s="105"/>
      <c r="C6787" s="106"/>
      <c r="D6787" s="107"/>
      <c r="F6787" s="94"/>
    </row>
    <row r="6788" spans="1:6" s="53" customFormat="1" ht="15" thickBot="1" x14ac:dyDescent="0.4">
      <c r="A6788" s="223"/>
      <c r="B6788" s="108"/>
      <c r="C6788" s="109" t="s">
        <v>129</v>
      </c>
      <c r="D6788" s="110">
        <f>SUM(D6775:D6787)</f>
        <v>7831040</v>
      </c>
      <c r="F6788" s="94"/>
    </row>
    <row r="6789" spans="1:6" s="53" customFormat="1" ht="15.5" thickTop="1" thickBot="1" x14ac:dyDescent="0.4">
      <c r="A6789" s="224"/>
      <c r="B6789" s="226"/>
      <c r="C6789" s="226"/>
      <c r="D6789" s="226"/>
      <c r="F6789" s="94"/>
    </row>
    <row r="6790" spans="1:6" s="53" customFormat="1" x14ac:dyDescent="0.35">
      <c r="B6790" s="87"/>
      <c r="C6790" s="53" t="s">
        <v>130</v>
      </c>
      <c r="D6790" s="111">
        <f>D6772-D6788</f>
        <v>3928960</v>
      </c>
      <c r="F6790" s="94"/>
    </row>
    <row r="6791" spans="1:6" s="53" customFormat="1" x14ac:dyDescent="0.35">
      <c r="B6791" s="87"/>
      <c r="D6791" s="111"/>
      <c r="F6791" s="94"/>
    </row>
    <row r="6792" spans="1:6" s="53" customFormat="1" x14ac:dyDescent="0.35">
      <c r="A6792" s="112"/>
      <c r="B6792" s="113"/>
      <c r="C6792" s="112"/>
      <c r="D6792" s="114"/>
      <c r="E6792" s="112"/>
      <c r="F6792" s="178"/>
    </row>
    <row r="6794" spans="1:6" s="53" customFormat="1" ht="23.5" x14ac:dyDescent="0.55000000000000004">
      <c r="B6794" s="227" t="s">
        <v>0</v>
      </c>
      <c r="C6794" s="227"/>
      <c r="D6794" s="227"/>
      <c r="E6794" s="70"/>
      <c r="F6794" s="176"/>
    </row>
    <row r="6795" spans="1:6" s="53" customFormat="1" ht="20.5" x14ac:dyDescent="0.45">
      <c r="B6795" s="71"/>
      <c r="C6795" s="72" t="s">
        <v>1627</v>
      </c>
      <c r="D6795" s="73"/>
      <c r="F6795" s="94"/>
    </row>
    <row r="6796" spans="1:6" s="53" customFormat="1" ht="21" thickBot="1" x14ac:dyDescent="0.5">
      <c r="B6796" s="71" t="s">
        <v>1220</v>
      </c>
      <c r="C6796" s="74" t="s">
        <v>103</v>
      </c>
      <c r="D6796" s="73"/>
      <c r="F6796" s="94"/>
    </row>
    <row r="6797" spans="1:6" s="53" customFormat="1" ht="15" thickBot="1" x14ac:dyDescent="0.4">
      <c r="A6797" s="75" t="s">
        <v>104</v>
      </c>
      <c r="B6797" s="76" t="s">
        <v>81</v>
      </c>
      <c r="C6797" s="76" t="s">
        <v>105</v>
      </c>
      <c r="D6797" s="77" t="s">
        <v>84</v>
      </c>
      <c r="F6797" s="94"/>
    </row>
    <row r="6798" spans="1:6" s="53" customFormat="1" ht="14.5" customHeight="1" x14ac:dyDescent="0.35">
      <c r="A6798" s="222" t="s">
        <v>96</v>
      </c>
      <c r="B6798" s="78" t="s">
        <v>1623</v>
      </c>
      <c r="C6798" s="79" t="s">
        <v>319</v>
      </c>
      <c r="D6798" s="80">
        <f>F6805</f>
        <v>11270000</v>
      </c>
      <c r="F6798" s="94"/>
    </row>
    <row r="6799" spans="1:6" s="53" customFormat="1" ht="21" thickBot="1" x14ac:dyDescent="0.5">
      <c r="A6799" s="223"/>
      <c r="B6799" s="71"/>
      <c r="C6799" s="71"/>
      <c r="D6799" s="73"/>
      <c r="F6799" s="94"/>
    </row>
    <row r="6800" spans="1:6" s="53" customFormat="1" ht="15" thickBot="1" x14ac:dyDescent="0.4">
      <c r="A6800" s="223"/>
      <c r="B6800" s="81" t="s">
        <v>81</v>
      </c>
      <c r="C6800" s="82" t="s">
        <v>107</v>
      </c>
      <c r="D6800" s="83" t="s">
        <v>108</v>
      </c>
      <c r="F6800" s="94"/>
    </row>
    <row r="6801" spans="1:7" s="87" customFormat="1" x14ac:dyDescent="0.35">
      <c r="A6801" s="223"/>
      <c r="B6801" s="84" t="str">
        <f>B6798</f>
        <v>17th December,2025</v>
      </c>
      <c r="C6801" s="85" t="s">
        <v>1331</v>
      </c>
      <c r="D6801" s="86"/>
      <c r="F6801" s="177"/>
    </row>
    <row r="6802" spans="1:7" s="53" customFormat="1" x14ac:dyDescent="0.35">
      <c r="A6802" s="223"/>
      <c r="B6802" s="88"/>
      <c r="C6802" s="89" t="s">
        <v>1615</v>
      </c>
      <c r="D6802" s="90">
        <f>299*2500</f>
        <v>747500</v>
      </c>
      <c r="F6802" s="94"/>
    </row>
    <row r="6803" spans="1:7" s="53" customFormat="1" x14ac:dyDescent="0.35">
      <c r="A6803" s="223"/>
      <c r="B6803" s="88" t="s">
        <v>109</v>
      </c>
      <c r="C6803" s="89" t="s">
        <v>110</v>
      </c>
      <c r="D6803" s="90">
        <v>1000000</v>
      </c>
      <c r="F6803" s="94"/>
    </row>
    <row r="6804" spans="1:7" s="53" customFormat="1" x14ac:dyDescent="0.35">
      <c r="A6804" s="223"/>
      <c r="B6804" s="88" t="s">
        <v>111</v>
      </c>
      <c r="C6804" s="89" t="s">
        <v>112</v>
      </c>
      <c r="D6804" s="90">
        <v>40000</v>
      </c>
      <c r="E6804" s="228" t="s">
        <v>113</v>
      </c>
      <c r="F6804" s="225"/>
    </row>
    <row r="6805" spans="1:7" s="53" customFormat="1" x14ac:dyDescent="0.35">
      <c r="A6805" s="223"/>
      <c r="B6805" s="88" t="s">
        <v>114</v>
      </c>
      <c r="C6805" s="89" t="s">
        <v>115</v>
      </c>
      <c r="D6805" s="90">
        <f>400*123</f>
        <v>49200</v>
      </c>
      <c r="E6805" s="91" t="s">
        <v>116</v>
      </c>
      <c r="F6805" s="92">
        <f>4600*2450</f>
        <v>11270000</v>
      </c>
    </row>
    <row r="6806" spans="1:7" s="53" customFormat="1" x14ac:dyDescent="0.35">
      <c r="A6806" s="223"/>
      <c r="B6806" s="88"/>
      <c r="C6806" s="89" t="s">
        <v>117</v>
      </c>
      <c r="D6806" s="90">
        <f>1500*123</f>
        <v>184500</v>
      </c>
      <c r="E6806" s="93" t="s">
        <v>118</v>
      </c>
      <c r="F6806" s="94">
        <f>(4600*2450)</f>
        <v>11270000</v>
      </c>
    </row>
    <row r="6807" spans="1:7" s="53" customFormat="1" ht="15" thickBot="1" x14ac:dyDescent="0.4">
      <c r="A6807" s="223"/>
      <c r="B6807" s="88" t="s">
        <v>119</v>
      </c>
      <c r="C6807" s="89" t="s">
        <v>120</v>
      </c>
      <c r="D6807" s="95">
        <v>30000</v>
      </c>
      <c r="E6807" s="96" t="s">
        <v>121</v>
      </c>
      <c r="F6807" s="97">
        <f>F6805-F6806</f>
        <v>0</v>
      </c>
      <c r="G6807" s="98">
        <f>F6807/2450</f>
        <v>0</v>
      </c>
    </row>
    <row r="6808" spans="1:7" s="53" customFormat="1" ht="15" thickTop="1" x14ac:dyDescent="0.35">
      <c r="A6808" s="223"/>
      <c r="B6808" s="88"/>
      <c r="C6808" s="89" t="s">
        <v>122</v>
      </c>
      <c r="D6808" s="90">
        <v>0</v>
      </c>
      <c r="F6808" s="94"/>
    </row>
    <row r="6809" spans="1:7" s="53" customFormat="1" x14ac:dyDescent="0.35">
      <c r="A6809" s="223"/>
      <c r="B6809" s="88" t="s">
        <v>1626</v>
      </c>
      <c r="C6809" s="99" t="s">
        <v>123</v>
      </c>
      <c r="D6809" s="90">
        <v>15000</v>
      </c>
      <c r="E6809" s="91" t="s">
        <v>124</v>
      </c>
      <c r="F6809" s="92"/>
    </row>
    <row r="6810" spans="1:7" s="53" customFormat="1" x14ac:dyDescent="0.35">
      <c r="A6810" s="223"/>
      <c r="B6810" s="101"/>
      <c r="C6810" s="99" t="s">
        <v>125</v>
      </c>
      <c r="D6810" s="100">
        <v>0</v>
      </c>
      <c r="E6810" s="102"/>
      <c r="F6810" s="103"/>
    </row>
    <row r="6811" spans="1:7" s="53" customFormat="1" x14ac:dyDescent="0.35">
      <c r="A6811" s="223"/>
      <c r="B6811" s="101"/>
      <c r="C6811" s="99" t="s">
        <v>126</v>
      </c>
      <c r="D6811" s="100">
        <v>0</v>
      </c>
      <c r="E6811" s="102" t="s">
        <v>127</v>
      </c>
      <c r="F6811" s="103"/>
    </row>
    <row r="6812" spans="1:7" s="53" customFormat="1" x14ac:dyDescent="0.35">
      <c r="A6812" s="223"/>
      <c r="B6812" s="101"/>
      <c r="C6812" s="89" t="s">
        <v>265</v>
      </c>
      <c r="D6812" s="104">
        <v>0</v>
      </c>
      <c r="E6812" s="102" t="s">
        <v>1732</v>
      </c>
      <c r="F6812" s="103"/>
    </row>
    <row r="6813" spans="1:7" s="53" customFormat="1" ht="15" thickBot="1" x14ac:dyDescent="0.4">
      <c r="A6813" s="223"/>
      <c r="B6813" s="105"/>
      <c r="C6813" s="106"/>
      <c r="D6813" s="107"/>
      <c r="F6813" s="94"/>
    </row>
    <row r="6814" spans="1:7" s="53" customFormat="1" ht="15" thickBot="1" x14ac:dyDescent="0.4">
      <c r="A6814" s="223"/>
      <c r="B6814" s="108"/>
      <c r="C6814" s="109" t="s">
        <v>129</v>
      </c>
      <c r="D6814" s="110">
        <f>SUM(D6801:D6813)</f>
        <v>2066200</v>
      </c>
      <c r="F6814" s="94"/>
    </row>
    <row r="6815" spans="1:7" s="53" customFormat="1" ht="15.5" thickTop="1" thickBot="1" x14ac:dyDescent="0.4">
      <c r="A6815" s="224"/>
      <c r="B6815" s="226"/>
      <c r="C6815" s="226"/>
      <c r="D6815" s="226"/>
      <c r="F6815" s="94"/>
    </row>
    <row r="6816" spans="1:7" s="53" customFormat="1" x14ac:dyDescent="0.35">
      <c r="B6816" s="87"/>
      <c r="C6816" s="53" t="s">
        <v>130</v>
      </c>
      <c r="D6816" s="111">
        <f>D6798-D6814</f>
        <v>9203800</v>
      </c>
      <c r="F6816" s="94"/>
    </row>
    <row r="6817" spans="1:6" s="53" customFormat="1" x14ac:dyDescent="0.35">
      <c r="B6817" s="87"/>
      <c r="D6817" s="111"/>
      <c r="F6817" s="94"/>
    </row>
    <row r="6818" spans="1:6" s="53" customFormat="1" x14ac:dyDescent="0.35">
      <c r="A6818" s="112"/>
      <c r="B6818" s="113"/>
      <c r="C6818" s="112"/>
      <c r="D6818" s="114"/>
      <c r="E6818" s="112"/>
      <c r="F6818" s="178"/>
    </row>
    <row r="6820" spans="1:6" s="53" customFormat="1" ht="23.5" x14ac:dyDescent="0.55000000000000004">
      <c r="B6820" s="227" t="s">
        <v>0</v>
      </c>
      <c r="C6820" s="227"/>
      <c r="D6820" s="227"/>
      <c r="E6820" s="70"/>
      <c r="F6820" s="176"/>
    </row>
    <row r="6821" spans="1:6" s="53" customFormat="1" ht="20.5" x14ac:dyDescent="0.45">
      <c r="B6821" s="71"/>
      <c r="C6821" s="72" t="s">
        <v>1651</v>
      </c>
      <c r="D6821" s="73"/>
      <c r="F6821" s="94"/>
    </row>
    <row r="6822" spans="1:6" s="53" customFormat="1" ht="21" thickBot="1" x14ac:dyDescent="0.5">
      <c r="B6822" s="71" t="s">
        <v>996</v>
      </c>
      <c r="C6822" s="74" t="s">
        <v>103</v>
      </c>
      <c r="D6822" s="73"/>
      <c r="F6822" s="94"/>
    </row>
    <row r="6823" spans="1:6" s="53" customFormat="1" ht="15" thickBot="1" x14ac:dyDescent="0.4">
      <c r="A6823" s="75" t="s">
        <v>104</v>
      </c>
      <c r="B6823" s="76" t="s">
        <v>81</v>
      </c>
      <c r="C6823" s="76" t="s">
        <v>105</v>
      </c>
      <c r="D6823" s="77" t="s">
        <v>84</v>
      </c>
      <c r="F6823" s="94"/>
    </row>
    <row r="6824" spans="1:6" s="53" customFormat="1" ht="14.5" customHeight="1" x14ac:dyDescent="0.35">
      <c r="A6824" s="222" t="s">
        <v>96</v>
      </c>
      <c r="B6824" s="78" t="s">
        <v>1648</v>
      </c>
      <c r="C6824" s="79" t="s">
        <v>959</v>
      </c>
      <c r="D6824" s="80">
        <f>F6831</f>
        <v>11736000</v>
      </c>
      <c r="F6824" s="94"/>
    </row>
    <row r="6825" spans="1:6" s="53" customFormat="1" ht="21" thickBot="1" x14ac:dyDescent="0.5">
      <c r="A6825" s="223"/>
      <c r="B6825" s="71"/>
      <c r="C6825" s="71"/>
      <c r="D6825" s="73"/>
      <c r="F6825" s="94"/>
    </row>
    <row r="6826" spans="1:6" s="53" customFormat="1" ht="15" thickBot="1" x14ac:dyDescent="0.4">
      <c r="A6826" s="223"/>
      <c r="B6826" s="81" t="s">
        <v>81</v>
      </c>
      <c r="C6826" s="82" t="s">
        <v>107</v>
      </c>
      <c r="D6826" s="83" t="s">
        <v>108</v>
      </c>
      <c r="F6826" s="94"/>
    </row>
    <row r="6827" spans="1:6" s="87" customFormat="1" x14ac:dyDescent="0.35">
      <c r="A6827" s="223"/>
      <c r="B6827" s="84" t="str">
        <f>B6824</f>
        <v>18th December,2025</v>
      </c>
      <c r="C6827" s="85" t="s">
        <v>1708</v>
      </c>
      <c r="D6827" s="86">
        <f>1850*2799</f>
        <v>5178150</v>
      </c>
      <c r="F6827" s="177"/>
    </row>
    <row r="6828" spans="1:6" s="53" customFormat="1" x14ac:dyDescent="0.35">
      <c r="A6828" s="223"/>
      <c r="B6828" s="88"/>
      <c r="C6828" s="89" t="s">
        <v>188</v>
      </c>
      <c r="D6828" s="90">
        <f>325*2650</f>
        <v>861250</v>
      </c>
      <c r="F6828" s="94"/>
    </row>
    <row r="6829" spans="1:6" s="53" customFormat="1" x14ac:dyDescent="0.35">
      <c r="A6829" s="223"/>
      <c r="B6829" s="88" t="s">
        <v>109</v>
      </c>
      <c r="C6829" s="89" t="s">
        <v>110</v>
      </c>
      <c r="D6829" s="90">
        <v>1000000</v>
      </c>
      <c r="F6829" s="94"/>
    </row>
    <row r="6830" spans="1:6" s="53" customFormat="1" x14ac:dyDescent="0.35">
      <c r="A6830" s="223"/>
      <c r="B6830" s="88" t="s">
        <v>111</v>
      </c>
      <c r="C6830" s="89" t="s">
        <v>112</v>
      </c>
      <c r="D6830" s="90">
        <v>40000</v>
      </c>
      <c r="E6830" s="225" t="s">
        <v>113</v>
      </c>
      <c r="F6830" s="225"/>
    </row>
    <row r="6831" spans="1:6" s="53" customFormat="1" x14ac:dyDescent="0.35">
      <c r="A6831" s="223"/>
      <c r="B6831" s="88" t="s">
        <v>182</v>
      </c>
      <c r="C6831" s="89" t="s">
        <v>115</v>
      </c>
      <c r="D6831" s="90">
        <f>950*123</f>
        <v>116850</v>
      </c>
      <c r="E6831" s="91" t="s">
        <v>116</v>
      </c>
      <c r="F6831" s="92">
        <f>4800*2445</f>
        <v>11736000</v>
      </c>
    </row>
    <row r="6832" spans="1:6" s="53" customFormat="1" x14ac:dyDescent="0.35">
      <c r="A6832" s="223"/>
      <c r="B6832" s="88"/>
      <c r="C6832" s="89" t="s">
        <v>117</v>
      </c>
      <c r="D6832" s="90">
        <f>3000*123</f>
        <v>369000</v>
      </c>
      <c r="E6832" s="93" t="s">
        <v>118</v>
      </c>
      <c r="F6832" s="94">
        <f>(2880*2445)+(1920*2445)</f>
        <v>11736000</v>
      </c>
    </row>
    <row r="6833" spans="1:7" s="53" customFormat="1" ht="15" thickBot="1" x14ac:dyDescent="0.4">
      <c r="A6833" s="223"/>
      <c r="B6833" s="88" t="s">
        <v>119</v>
      </c>
      <c r="C6833" s="89" t="s">
        <v>120</v>
      </c>
      <c r="D6833" s="95">
        <v>30000</v>
      </c>
      <c r="E6833" s="96" t="s">
        <v>121</v>
      </c>
      <c r="F6833" s="97">
        <f>F6831-F6832</f>
        <v>0</v>
      </c>
      <c r="G6833" s="98">
        <f>F6833/2445</f>
        <v>0</v>
      </c>
    </row>
    <row r="6834" spans="1:7" s="53" customFormat="1" ht="15" thickTop="1" x14ac:dyDescent="0.35">
      <c r="A6834" s="223"/>
      <c r="B6834" s="88"/>
      <c r="C6834" s="89" t="s">
        <v>122</v>
      </c>
      <c r="D6834" s="90">
        <v>150000</v>
      </c>
      <c r="F6834" s="94"/>
    </row>
    <row r="6835" spans="1:7" s="53" customFormat="1" x14ac:dyDescent="0.35">
      <c r="A6835" s="223"/>
      <c r="B6835" s="88" t="s">
        <v>1645</v>
      </c>
      <c r="C6835" s="99" t="s">
        <v>123</v>
      </c>
      <c r="D6835" s="90">
        <v>15000</v>
      </c>
      <c r="E6835" s="91" t="s">
        <v>124</v>
      </c>
      <c r="F6835" s="92"/>
    </row>
    <row r="6836" spans="1:7" s="53" customFormat="1" x14ac:dyDescent="0.35">
      <c r="A6836" s="223"/>
      <c r="B6836" s="101"/>
      <c r="C6836" s="99" t="s">
        <v>125</v>
      </c>
      <c r="D6836" s="100">
        <v>10000</v>
      </c>
      <c r="E6836" s="102"/>
      <c r="F6836" s="103"/>
    </row>
    <row r="6837" spans="1:7" s="53" customFormat="1" x14ac:dyDescent="0.35">
      <c r="A6837" s="223"/>
      <c r="B6837" s="101"/>
      <c r="C6837" s="99" t="s">
        <v>126</v>
      </c>
      <c r="D6837" s="100">
        <v>30000</v>
      </c>
      <c r="E6837" s="102" t="s">
        <v>127</v>
      </c>
      <c r="F6837" s="103"/>
    </row>
    <row r="6838" spans="1:7" s="53" customFormat="1" x14ac:dyDescent="0.35">
      <c r="A6838" s="223"/>
      <c r="B6838" s="101"/>
      <c r="C6838" s="89"/>
      <c r="D6838" s="104"/>
      <c r="E6838" s="53" t="s">
        <v>1696</v>
      </c>
      <c r="F6838" s="103"/>
    </row>
    <row r="6839" spans="1:7" s="53" customFormat="1" ht="15" thickBot="1" x14ac:dyDescent="0.4">
      <c r="A6839" s="223"/>
      <c r="B6839" s="105"/>
      <c r="C6839" s="106"/>
      <c r="D6839" s="107"/>
      <c r="E6839" s="53" t="s">
        <v>1753</v>
      </c>
      <c r="F6839" s="94"/>
    </row>
    <row r="6840" spans="1:7" s="53" customFormat="1" ht="15" thickBot="1" x14ac:dyDescent="0.4">
      <c r="A6840" s="223"/>
      <c r="B6840" s="108"/>
      <c r="C6840" s="109" t="s">
        <v>129</v>
      </c>
      <c r="D6840" s="110">
        <f>SUM(D6827:D6839)</f>
        <v>7800250</v>
      </c>
      <c r="F6840" s="94"/>
    </row>
    <row r="6841" spans="1:7" s="53" customFormat="1" ht="15.5" thickTop="1" thickBot="1" x14ac:dyDescent="0.4">
      <c r="A6841" s="224"/>
      <c r="B6841" s="226"/>
      <c r="C6841" s="226"/>
      <c r="D6841" s="226"/>
      <c r="F6841" s="94"/>
    </row>
    <row r="6842" spans="1:7" s="53" customFormat="1" x14ac:dyDescent="0.35">
      <c r="B6842" s="87"/>
      <c r="C6842" s="53" t="s">
        <v>130</v>
      </c>
      <c r="D6842" s="111">
        <f>D6824-D6840</f>
        <v>3935750</v>
      </c>
      <c r="F6842" s="94"/>
    </row>
    <row r="6843" spans="1:7" s="53" customFormat="1" x14ac:dyDescent="0.35">
      <c r="B6843" s="87"/>
      <c r="D6843" s="111"/>
      <c r="F6843" s="94"/>
    </row>
    <row r="6844" spans="1:7" s="53" customFormat="1" x14ac:dyDescent="0.35">
      <c r="A6844" s="112"/>
      <c r="B6844" s="113"/>
      <c r="C6844" s="112"/>
      <c r="D6844" s="114"/>
      <c r="E6844" s="112"/>
      <c r="F6844" s="178"/>
    </row>
    <row r="6846" spans="1:7" s="53" customFormat="1" ht="23.5" x14ac:dyDescent="0.55000000000000004">
      <c r="B6846" s="227" t="s">
        <v>0</v>
      </c>
      <c r="C6846" s="227"/>
      <c r="D6846" s="227"/>
      <c r="E6846" s="70"/>
      <c r="F6846" s="176"/>
    </row>
    <row r="6847" spans="1:7" s="53" customFormat="1" ht="20.5" x14ac:dyDescent="0.45">
      <c r="B6847" s="71"/>
      <c r="C6847" s="72" t="s">
        <v>1652</v>
      </c>
      <c r="D6847" s="73"/>
      <c r="F6847" s="94"/>
    </row>
    <row r="6848" spans="1:7" s="53" customFormat="1" ht="21" thickBot="1" x14ac:dyDescent="0.5">
      <c r="B6848" s="71" t="s">
        <v>844</v>
      </c>
      <c r="C6848" s="74" t="s">
        <v>103</v>
      </c>
      <c r="D6848" s="73"/>
      <c r="F6848" s="94"/>
    </row>
    <row r="6849" spans="1:7" s="53" customFormat="1" ht="15" thickBot="1" x14ac:dyDescent="0.4">
      <c r="A6849" s="75" t="s">
        <v>104</v>
      </c>
      <c r="B6849" s="76" t="s">
        <v>81</v>
      </c>
      <c r="C6849" s="76" t="s">
        <v>105</v>
      </c>
      <c r="D6849" s="77" t="s">
        <v>84</v>
      </c>
      <c r="F6849" s="94"/>
    </row>
    <row r="6850" spans="1:7" s="53" customFormat="1" ht="14.5" customHeight="1" x14ac:dyDescent="0.35">
      <c r="A6850" s="222" t="s">
        <v>96</v>
      </c>
      <c r="B6850" s="78" t="s">
        <v>1648</v>
      </c>
      <c r="C6850" s="79" t="s">
        <v>959</v>
      </c>
      <c r="D6850" s="80">
        <f>F6857</f>
        <v>11491500</v>
      </c>
      <c r="F6850" s="94"/>
    </row>
    <row r="6851" spans="1:7" s="53" customFormat="1" ht="21" thickBot="1" x14ac:dyDescent="0.5">
      <c r="A6851" s="223"/>
      <c r="B6851" s="71"/>
      <c r="C6851" s="71"/>
      <c r="D6851" s="73"/>
      <c r="F6851" s="94"/>
    </row>
    <row r="6852" spans="1:7" s="53" customFormat="1" ht="15" thickBot="1" x14ac:dyDescent="0.4">
      <c r="A6852" s="223"/>
      <c r="B6852" s="81" t="s">
        <v>81</v>
      </c>
      <c r="C6852" s="82" t="s">
        <v>107</v>
      </c>
      <c r="D6852" s="83" t="s">
        <v>108</v>
      </c>
      <c r="F6852" s="94"/>
    </row>
    <row r="6853" spans="1:7" s="87" customFormat="1" x14ac:dyDescent="0.35">
      <c r="A6853" s="223"/>
      <c r="B6853" s="84" t="str">
        <f>B6850</f>
        <v>18th December,2025</v>
      </c>
      <c r="C6853" s="85" t="s">
        <v>1708</v>
      </c>
      <c r="D6853" s="86">
        <f>1850*2799</f>
        <v>5178150</v>
      </c>
      <c r="F6853" s="177"/>
    </row>
    <row r="6854" spans="1:7" s="53" customFormat="1" x14ac:dyDescent="0.35">
      <c r="A6854" s="223"/>
      <c r="B6854" s="88"/>
      <c r="C6854" s="89" t="s">
        <v>1646</v>
      </c>
      <c r="D6854" s="90">
        <f>325*2450</f>
        <v>796250</v>
      </c>
      <c r="F6854" s="94"/>
    </row>
    <row r="6855" spans="1:7" s="53" customFormat="1" x14ac:dyDescent="0.35">
      <c r="A6855" s="223"/>
      <c r="B6855" s="88" t="s">
        <v>109</v>
      </c>
      <c r="C6855" s="89" t="s">
        <v>110</v>
      </c>
      <c r="D6855" s="90">
        <v>1000000</v>
      </c>
      <c r="F6855" s="94"/>
    </row>
    <row r="6856" spans="1:7" s="53" customFormat="1" x14ac:dyDescent="0.35">
      <c r="A6856" s="223"/>
      <c r="B6856" s="88" t="s">
        <v>111</v>
      </c>
      <c r="C6856" s="89" t="s">
        <v>112</v>
      </c>
      <c r="D6856" s="90">
        <v>40000</v>
      </c>
      <c r="E6856" s="225" t="s">
        <v>113</v>
      </c>
      <c r="F6856" s="225"/>
    </row>
    <row r="6857" spans="1:7" s="53" customFormat="1" x14ac:dyDescent="0.35">
      <c r="A6857" s="223"/>
      <c r="B6857" s="88" t="s">
        <v>182</v>
      </c>
      <c r="C6857" s="89" t="s">
        <v>115</v>
      </c>
      <c r="D6857" s="90">
        <f>1050*123</f>
        <v>129150</v>
      </c>
      <c r="E6857" s="91" t="s">
        <v>116</v>
      </c>
      <c r="F6857" s="92">
        <f>4700*2445</f>
        <v>11491500</v>
      </c>
    </row>
    <row r="6858" spans="1:7" s="53" customFormat="1" x14ac:dyDescent="0.35">
      <c r="A6858" s="223"/>
      <c r="B6858" s="88"/>
      <c r="C6858" s="89" t="s">
        <v>117</v>
      </c>
      <c r="D6858" s="90">
        <f>3900*123</f>
        <v>479700</v>
      </c>
      <c r="E6858" s="93" t="s">
        <v>118</v>
      </c>
      <c r="F6858" s="94">
        <f>(2820*2445)</f>
        <v>6894900</v>
      </c>
    </row>
    <row r="6859" spans="1:7" s="53" customFormat="1" ht="15" thickBot="1" x14ac:dyDescent="0.4">
      <c r="A6859" s="223"/>
      <c r="B6859" s="88" t="s">
        <v>119</v>
      </c>
      <c r="C6859" s="89" t="s">
        <v>120</v>
      </c>
      <c r="D6859" s="95">
        <v>30000</v>
      </c>
      <c r="E6859" s="96" t="s">
        <v>121</v>
      </c>
      <c r="F6859" s="97">
        <f>F6857-F6858</f>
        <v>4596600</v>
      </c>
      <c r="G6859" s="98">
        <f>F6859/2445</f>
        <v>1880</v>
      </c>
    </row>
    <row r="6860" spans="1:7" s="53" customFormat="1" ht="15" thickTop="1" x14ac:dyDescent="0.35">
      <c r="A6860" s="223"/>
      <c r="B6860" s="88"/>
      <c r="C6860" s="89" t="s">
        <v>122</v>
      </c>
      <c r="D6860" s="90">
        <v>150000</v>
      </c>
      <c r="F6860" s="94"/>
    </row>
    <row r="6861" spans="1:7" s="53" customFormat="1" x14ac:dyDescent="0.35">
      <c r="A6861" s="223"/>
      <c r="B6861" s="88" t="s">
        <v>1647</v>
      </c>
      <c r="C6861" s="99" t="s">
        <v>123</v>
      </c>
      <c r="D6861" s="90">
        <v>15000</v>
      </c>
      <c r="E6861" s="91" t="s">
        <v>124</v>
      </c>
      <c r="F6861" s="92"/>
    </row>
    <row r="6862" spans="1:7" s="53" customFormat="1" x14ac:dyDescent="0.35">
      <c r="A6862" s="223"/>
      <c r="B6862" s="101"/>
      <c r="C6862" s="99" t="s">
        <v>125</v>
      </c>
      <c r="D6862" s="100">
        <v>10000</v>
      </c>
      <c r="E6862" s="102"/>
      <c r="F6862" s="103"/>
    </row>
    <row r="6863" spans="1:7" s="53" customFormat="1" x14ac:dyDescent="0.35">
      <c r="A6863" s="223"/>
      <c r="B6863" s="101"/>
      <c r="C6863" s="99" t="s">
        <v>126</v>
      </c>
      <c r="D6863" s="100">
        <v>30000</v>
      </c>
      <c r="E6863" s="102" t="s">
        <v>127</v>
      </c>
      <c r="F6863" s="103"/>
    </row>
    <row r="6864" spans="1:7" s="53" customFormat="1" x14ac:dyDescent="0.35">
      <c r="A6864" s="223"/>
      <c r="B6864" s="101"/>
      <c r="C6864" s="89"/>
      <c r="D6864" s="104"/>
      <c r="E6864" s="53" t="s">
        <v>1696</v>
      </c>
      <c r="F6864" s="103"/>
    </row>
    <row r="6865" spans="1:6" s="53" customFormat="1" ht="15" thickBot="1" x14ac:dyDescent="0.4">
      <c r="A6865" s="223"/>
      <c r="B6865" s="105"/>
      <c r="C6865" s="106"/>
      <c r="D6865" s="107"/>
      <c r="F6865" s="94"/>
    </row>
    <row r="6866" spans="1:6" s="53" customFormat="1" ht="15" thickBot="1" x14ac:dyDescent="0.4">
      <c r="A6866" s="223"/>
      <c r="B6866" s="108"/>
      <c r="C6866" s="109" t="s">
        <v>129</v>
      </c>
      <c r="D6866" s="110">
        <f>SUM(D6853:D6865)</f>
        <v>7858250</v>
      </c>
      <c r="F6866" s="94"/>
    </row>
    <row r="6867" spans="1:6" s="53" customFormat="1" ht="15.5" thickTop="1" thickBot="1" x14ac:dyDescent="0.4">
      <c r="A6867" s="224"/>
      <c r="B6867" s="226"/>
      <c r="C6867" s="226"/>
      <c r="D6867" s="226"/>
      <c r="F6867" s="94"/>
    </row>
    <row r="6868" spans="1:6" s="53" customFormat="1" x14ac:dyDescent="0.35">
      <c r="B6868" s="87"/>
      <c r="C6868" s="53" t="s">
        <v>130</v>
      </c>
      <c r="D6868" s="111">
        <f>D6850-D6866</f>
        <v>3633250</v>
      </c>
      <c r="F6868" s="94"/>
    </row>
    <row r="6869" spans="1:6" s="53" customFormat="1" x14ac:dyDescent="0.35">
      <c r="B6869" s="87"/>
      <c r="D6869" s="111"/>
      <c r="F6869" s="94"/>
    </row>
    <row r="6870" spans="1:6" s="53" customFormat="1" x14ac:dyDescent="0.35">
      <c r="A6870" s="112"/>
      <c r="B6870" s="113"/>
      <c r="C6870" s="112"/>
      <c r="D6870" s="114"/>
      <c r="E6870" s="112"/>
      <c r="F6870" s="178"/>
    </row>
    <row r="6873" spans="1:6" s="53" customFormat="1" ht="23.5" x14ac:dyDescent="0.55000000000000004">
      <c r="B6873" s="227" t="s">
        <v>0</v>
      </c>
      <c r="C6873" s="227"/>
      <c r="D6873" s="227"/>
      <c r="E6873" s="70"/>
      <c r="F6873" s="176"/>
    </row>
    <row r="6874" spans="1:6" s="53" customFormat="1" ht="20.5" x14ac:dyDescent="0.45">
      <c r="B6874" s="71"/>
      <c r="C6874" s="72" t="s">
        <v>1654</v>
      </c>
      <c r="D6874" s="73"/>
      <c r="F6874" s="94"/>
    </row>
    <row r="6875" spans="1:6" s="53" customFormat="1" ht="21" thickBot="1" x14ac:dyDescent="0.5">
      <c r="B6875" s="71" t="s">
        <v>518</v>
      </c>
      <c r="C6875" s="74" t="s">
        <v>103</v>
      </c>
      <c r="D6875" s="73"/>
      <c r="F6875" s="94"/>
    </row>
    <row r="6876" spans="1:6" s="53" customFormat="1" ht="15" thickBot="1" x14ac:dyDescent="0.4">
      <c r="A6876" s="75" t="s">
        <v>104</v>
      </c>
      <c r="B6876" s="76" t="s">
        <v>81</v>
      </c>
      <c r="C6876" s="76" t="s">
        <v>105</v>
      </c>
      <c r="D6876" s="77" t="s">
        <v>84</v>
      </c>
      <c r="F6876" s="94"/>
    </row>
    <row r="6877" spans="1:6" s="53" customFormat="1" ht="14.5" customHeight="1" x14ac:dyDescent="0.35">
      <c r="A6877" s="222" t="s">
        <v>96</v>
      </c>
      <c r="B6877" s="78" t="s">
        <v>1648</v>
      </c>
      <c r="C6877" s="79" t="s">
        <v>959</v>
      </c>
      <c r="D6877" s="80">
        <f>F6884</f>
        <v>11491500</v>
      </c>
      <c r="F6877" s="94"/>
    </row>
    <row r="6878" spans="1:6" s="53" customFormat="1" ht="21" thickBot="1" x14ac:dyDescent="0.5">
      <c r="A6878" s="223"/>
      <c r="B6878" s="71"/>
      <c r="C6878" s="71"/>
      <c r="D6878" s="73"/>
      <c r="F6878" s="94"/>
    </row>
    <row r="6879" spans="1:6" s="53" customFormat="1" ht="15" thickBot="1" x14ac:dyDescent="0.4">
      <c r="A6879" s="223"/>
      <c r="B6879" s="81" t="s">
        <v>81</v>
      </c>
      <c r="C6879" s="82" t="s">
        <v>107</v>
      </c>
      <c r="D6879" s="83" t="s">
        <v>108</v>
      </c>
      <c r="F6879" s="94"/>
    </row>
    <row r="6880" spans="1:6" s="87" customFormat="1" x14ac:dyDescent="0.35">
      <c r="A6880" s="223"/>
      <c r="B6880" s="84" t="str">
        <f>B6877</f>
        <v>18th December,2025</v>
      </c>
      <c r="C6880" s="85" t="s">
        <v>1738</v>
      </c>
      <c r="D6880" s="86">
        <f>1900*2779</f>
        <v>5280100</v>
      </c>
      <c r="F6880" s="177"/>
    </row>
    <row r="6881" spans="1:7" s="53" customFormat="1" x14ac:dyDescent="0.35">
      <c r="A6881" s="223"/>
      <c r="B6881" s="88"/>
      <c r="C6881" s="89" t="s">
        <v>1649</v>
      </c>
      <c r="D6881" s="90">
        <f>319*2450</f>
        <v>781550</v>
      </c>
      <c r="F6881" s="94"/>
    </row>
    <row r="6882" spans="1:7" s="53" customFormat="1" x14ac:dyDescent="0.35">
      <c r="A6882" s="223"/>
      <c r="B6882" s="88" t="s">
        <v>109</v>
      </c>
      <c r="C6882" s="89" t="s">
        <v>110</v>
      </c>
      <c r="D6882" s="90">
        <v>1000000</v>
      </c>
      <c r="F6882" s="94"/>
    </row>
    <row r="6883" spans="1:7" s="53" customFormat="1" x14ac:dyDescent="0.35">
      <c r="A6883" s="223"/>
      <c r="B6883" s="88" t="s">
        <v>111</v>
      </c>
      <c r="C6883" s="89" t="s">
        <v>112</v>
      </c>
      <c r="D6883" s="90">
        <v>40000</v>
      </c>
      <c r="E6883" s="225" t="s">
        <v>113</v>
      </c>
      <c r="F6883" s="225"/>
    </row>
    <row r="6884" spans="1:7" s="53" customFormat="1" x14ac:dyDescent="0.35">
      <c r="A6884" s="223"/>
      <c r="B6884" s="88" t="s">
        <v>206</v>
      </c>
      <c r="C6884" s="89" t="s">
        <v>115</v>
      </c>
      <c r="D6884" s="90">
        <f>1250*123</f>
        <v>153750</v>
      </c>
      <c r="E6884" s="91" t="s">
        <v>116</v>
      </c>
      <c r="F6884" s="92">
        <f>4700*2445</f>
        <v>11491500</v>
      </c>
    </row>
    <row r="6885" spans="1:7" s="53" customFormat="1" x14ac:dyDescent="0.35">
      <c r="A6885" s="223"/>
      <c r="B6885" s="88"/>
      <c r="C6885" s="89" t="s">
        <v>117</v>
      </c>
      <c r="D6885" s="90">
        <f>4290*123</f>
        <v>527670</v>
      </c>
      <c r="E6885" s="93" t="s">
        <v>118</v>
      </c>
      <c r="F6885" s="94">
        <f>(2820*2445)+(1880*2445)</f>
        <v>11491500</v>
      </c>
    </row>
    <row r="6886" spans="1:7" s="53" customFormat="1" ht="15" thickBot="1" x14ac:dyDescent="0.4">
      <c r="A6886" s="223"/>
      <c r="B6886" s="88" t="s">
        <v>119</v>
      </c>
      <c r="C6886" s="89" t="s">
        <v>120</v>
      </c>
      <c r="D6886" s="95">
        <v>30000</v>
      </c>
      <c r="E6886" s="96" t="s">
        <v>121</v>
      </c>
      <c r="F6886" s="97">
        <f>F6884-F6885</f>
        <v>0</v>
      </c>
      <c r="G6886" s="98">
        <f>F6886/2445</f>
        <v>0</v>
      </c>
    </row>
    <row r="6887" spans="1:7" s="53" customFormat="1" ht="15" thickTop="1" x14ac:dyDescent="0.35">
      <c r="A6887" s="223"/>
      <c r="B6887" s="88"/>
      <c r="C6887" s="99" t="s">
        <v>123</v>
      </c>
      <c r="D6887" s="90">
        <v>15000</v>
      </c>
      <c r="F6887" s="94"/>
    </row>
    <row r="6888" spans="1:7" s="53" customFormat="1" x14ac:dyDescent="0.35">
      <c r="A6888" s="223"/>
      <c r="B6888" s="88" t="s">
        <v>213</v>
      </c>
      <c r="C6888" s="99" t="s">
        <v>126</v>
      </c>
      <c r="D6888" s="100">
        <v>30000</v>
      </c>
      <c r="E6888" s="91" t="s">
        <v>124</v>
      </c>
      <c r="F6888" s="92"/>
    </row>
    <row r="6889" spans="1:7" s="53" customFormat="1" x14ac:dyDescent="0.35">
      <c r="A6889" s="223"/>
      <c r="B6889" s="101"/>
      <c r="C6889" s="99"/>
      <c r="D6889" s="100"/>
      <c r="E6889" s="102"/>
      <c r="F6889" s="103"/>
    </row>
    <row r="6890" spans="1:7" s="53" customFormat="1" x14ac:dyDescent="0.35">
      <c r="A6890" s="223"/>
      <c r="B6890" s="101"/>
      <c r="C6890" s="89"/>
      <c r="D6890" s="104"/>
      <c r="E6890" s="102" t="s">
        <v>127</v>
      </c>
      <c r="F6890" s="103"/>
    </row>
    <row r="6891" spans="1:7" s="53" customFormat="1" x14ac:dyDescent="0.35">
      <c r="A6891" s="223"/>
      <c r="B6891" s="101"/>
      <c r="C6891" s="89"/>
      <c r="D6891" s="104"/>
      <c r="E6891" s="53" t="s">
        <v>1696</v>
      </c>
      <c r="F6891" s="103"/>
    </row>
    <row r="6892" spans="1:7" s="53" customFormat="1" ht="15" thickBot="1" x14ac:dyDescent="0.4">
      <c r="A6892" s="223"/>
      <c r="B6892" s="105"/>
      <c r="C6892" s="106"/>
      <c r="D6892" s="107"/>
      <c r="E6892" s="53" t="s">
        <v>1755</v>
      </c>
      <c r="F6892" s="94"/>
    </row>
    <row r="6893" spans="1:7" s="53" customFormat="1" ht="15" thickBot="1" x14ac:dyDescent="0.4">
      <c r="A6893" s="223"/>
      <c r="B6893" s="108"/>
      <c r="C6893" s="109" t="s">
        <v>129</v>
      </c>
      <c r="D6893" s="110">
        <f>SUM(D6880:D6892)</f>
        <v>7858070</v>
      </c>
      <c r="F6893" s="94"/>
    </row>
    <row r="6894" spans="1:7" s="53" customFormat="1" ht="15.5" thickTop="1" thickBot="1" x14ac:dyDescent="0.4">
      <c r="A6894" s="224"/>
      <c r="B6894" s="226"/>
      <c r="C6894" s="226"/>
      <c r="D6894" s="226"/>
      <c r="F6894" s="94"/>
    </row>
    <row r="6895" spans="1:7" s="53" customFormat="1" x14ac:dyDescent="0.35">
      <c r="B6895" s="87"/>
      <c r="C6895" s="53" t="s">
        <v>130</v>
      </c>
      <c r="D6895" s="111">
        <f>D6877-D6893</f>
        <v>3633430</v>
      </c>
      <c r="F6895" s="94"/>
    </row>
    <row r="6896" spans="1:7" s="53" customFormat="1" x14ac:dyDescent="0.35">
      <c r="B6896" s="87"/>
      <c r="D6896" s="111"/>
      <c r="F6896" s="94"/>
    </row>
    <row r="6897" spans="1:7" s="53" customFormat="1" x14ac:dyDescent="0.35">
      <c r="A6897" s="112"/>
      <c r="B6897" s="113"/>
      <c r="C6897" s="112"/>
      <c r="D6897" s="114"/>
      <c r="E6897" s="112"/>
      <c r="F6897" s="178"/>
    </row>
    <row r="6899" spans="1:7" s="53" customFormat="1" ht="23.5" x14ac:dyDescent="0.55000000000000004">
      <c r="B6899" s="227" t="s">
        <v>0</v>
      </c>
      <c r="C6899" s="227"/>
      <c r="D6899" s="227"/>
      <c r="E6899" s="70"/>
      <c r="F6899" s="176"/>
    </row>
    <row r="6900" spans="1:7" s="53" customFormat="1" ht="20.5" x14ac:dyDescent="0.45">
      <c r="B6900" s="71"/>
      <c r="C6900" s="72" t="s">
        <v>1653</v>
      </c>
      <c r="D6900" s="73"/>
      <c r="F6900" s="94"/>
    </row>
    <row r="6901" spans="1:7" s="53" customFormat="1" ht="21" thickBot="1" x14ac:dyDescent="0.5">
      <c r="B6901" s="71" t="s">
        <v>1655</v>
      </c>
      <c r="C6901" s="74" t="s">
        <v>103</v>
      </c>
      <c r="D6901" s="73"/>
      <c r="F6901" s="94"/>
    </row>
    <row r="6902" spans="1:7" s="53" customFormat="1" ht="15" thickBot="1" x14ac:dyDescent="0.4">
      <c r="A6902" s="75" t="s">
        <v>104</v>
      </c>
      <c r="B6902" s="76" t="s">
        <v>81</v>
      </c>
      <c r="C6902" s="76" t="s">
        <v>105</v>
      </c>
      <c r="D6902" s="77" t="s">
        <v>84</v>
      </c>
      <c r="F6902" s="94"/>
    </row>
    <row r="6903" spans="1:7" s="53" customFormat="1" ht="14.5" customHeight="1" x14ac:dyDescent="0.35">
      <c r="A6903" s="222" t="s">
        <v>96</v>
      </c>
      <c r="B6903" s="78" t="s">
        <v>1648</v>
      </c>
      <c r="C6903" s="79" t="s">
        <v>959</v>
      </c>
      <c r="D6903" s="80">
        <f>F6910</f>
        <v>11736000</v>
      </c>
      <c r="F6903" s="94"/>
    </row>
    <row r="6904" spans="1:7" s="53" customFormat="1" ht="21" thickBot="1" x14ac:dyDescent="0.5">
      <c r="A6904" s="223"/>
      <c r="B6904" s="71"/>
      <c r="C6904" s="71"/>
      <c r="D6904" s="73"/>
      <c r="F6904" s="94"/>
    </row>
    <row r="6905" spans="1:7" s="53" customFormat="1" ht="15" thickBot="1" x14ac:dyDescent="0.4">
      <c r="A6905" s="223"/>
      <c r="B6905" s="81" t="s">
        <v>81</v>
      </c>
      <c r="C6905" s="82" t="s">
        <v>107</v>
      </c>
      <c r="D6905" s="83" t="s">
        <v>108</v>
      </c>
      <c r="F6905" s="94"/>
    </row>
    <row r="6906" spans="1:7" s="87" customFormat="1" x14ac:dyDescent="0.35">
      <c r="A6906" s="223"/>
      <c r="B6906" s="84" t="str">
        <f>B6903</f>
        <v>18th December,2025</v>
      </c>
      <c r="C6906" s="85" t="s">
        <v>1708</v>
      </c>
      <c r="D6906" s="86">
        <f>1850*2799</f>
        <v>5178150</v>
      </c>
      <c r="F6906" s="177"/>
    </row>
    <row r="6907" spans="1:7" s="53" customFormat="1" x14ac:dyDescent="0.35">
      <c r="A6907" s="223"/>
      <c r="B6907" s="88"/>
      <c r="C6907" s="89" t="s">
        <v>1646</v>
      </c>
      <c r="D6907" s="90">
        <f>325*2450</f>
        <v>796250</v>
      </c>
      <c r="F6907" s="94"/>
    </row>
    <row r="6908" spans="1:7" s="53" customFormat="1" x14ac:dyDescent="0.35">
      <c r="A6908" s="223"/>
      <c r="B6908" s="88" t="s">
        <v>109</v>
      </c>
      <c r="C6908" s="89" t="s">
        <v>110</v>
      </c>
      <c r="D6908" s="90">
        <v>1000000</v>
      </c>
      <c r="F6908" s="94"/>
    </row>
    <row r="6909" spans="1:7" s="53" customFormat="1" x14ac:dyDescent="0.35">
      <c r="A6909" s="223"/>
      <c r="B6909" s="88" t="s">
        <v>111</v>
      </c>
      <c r="C6909" s="89" t="s">
        <v>112</v>
      </c>
      <c r="D6909" s="90">
        <v>40000</v>
      </c>
      <c r="E6909" s="225" t="s">
        <v>113</v>
      </c>
      <c r="F6909" s="225"/>
    </row>
    <row r="6910" spans="1:7" s="53" customFormat="1" x14ac:dyDescent="0.35">
      <c r="A6910" s="223"/>
      <c r="B6910" s="88" t="s">
        <v>182</v>
      </c>
      <c r="C6910" s="89" t="s">
        <v>115</v>
      </c>
      <c r="D6910" s="90">
        <f>900*123</f>
        <v>110700</v>
      </c>
      <c r="E6910" s="91" t="s">
        <v>116</v>
      </c>
      <c r="F6910" s="92">
        <f>4800*2445</f>
        <v>11736000</v>
      </c>
    </row>
    <row r="6911" spans="1:7" s="53" customFormat="1" x14ac:dyDescent="0.35">
      <c r="A6911" s="223"/>
      <c r="B6911" s="88"/>
      <c r="C6911" s="89" t="s">
        <v>117</v>
      </c>
      <c r="D6911" s="90">
        <f>3600*123</f>
        <v>442800</v>
      </c>
      <c r="E6911" s="93" t="s">
        <v>118</v>
      </c>
      <c r="F6911" s="94">
        <f>(2880*2445)</f>
        <v>7041600</v>
      </c>
    </row>
    <row r="6912" spans="1:7" s="53" customFormat="1" ht="15" thickBot="1" x14ac:dyDescent="0.4">
      <c r="A6912" s="223"/>
      <c r="B6912" s="88" t="s">
        <v>119</v>
      </c>
      <c r="C6912" s="89" t="s">
        <v>120</v>
      </c>
      <c r="D6912" s="95">
        <v>30000</v>
      </c>
      <c r="E6912" s="96" t="s">
        <v>121</v>
      </c>
      <c r="F6912" s="97">
        <f>F6910-F6911</f>
        <v>4694400</v>
      </c>
      <c r="G6912" s="98">
        <f>F6912/2445</f>
        <v>1920</v>
      </c>
    </row>
    <row r="6913" spans="1:6" s="53" customFormat="1" ht="15" thickTop="1" x14ac:dyDescent="0.35">
      <c r="A6913" s="223"/>
      <c r="B6913" s="88"/>
      <c r="C6913" s="89" t="s">
        <v>122</v>
      </c>
      <c r="D6913" s="90">
        <v>150000</v>
      </c>
      <c r="F6913" s="94"/>
    </row>
    <row r="6914" spans="1:6" s="53" customFormat="1" x14ac:dyDescent="0.35">
      <c r="A6914" s="223"/>
      <c r="B6914" s="88" t="s">
        <v>1650</v>
      </c>
      <c r="C6914" s="99" t="s">
        <v>123</v>
      </c>
      <c r="D6914" s="90">
        <v>15000</v>
      </c>
      <c r="E6914" s="91" t="s">
        <v>124</v>
      </c>
      <c r="F6914" s="92"/>
    </row>
    <row r="6915" spans="1:6" s="53" customFormat="1" x14ac:dyDescent="0.35">
      <c r="A6915" s="223"/>
      <c r="B6915" s="101"/>
      <c r="C6915" s="99" t="s">
        <v>125</v>
      </c>
      <c r="D6915" s="100">
        <v>10000</v>
      </c>
      <c r="E6915" s="102"/>
      <c r="F6915" s="103"/>
    </row>
    <row r="6916" spans="1:6" s="53" customFormat="1" x14ac:dyDescent="0.35">
      <c r="A6916" s="223"/>
      <c r="B6916" s="101"/>
      <c r="C6916" s="99" t="s">
        <v>126</v>
      </c>
      <c r="D6916" s="100">
        <v>30000</v>
      </c>
      <c r="E6916" s="102" t="s">
        <v>127</v>
      </c>
      <c r="F6916" s="103"/>
    </row>
    <row r="6917" spans="1:6" s="53" customFormat="1" x14ac:dyDescent="0.35">
      <c r="A6917" s="223"/>
      <c r="B6917" s="101"/>
      <c r="C6917" s="89"/>
      <c r="D6917" s="104"/>
      <c r="E6917" s="53" t="s">
        <v>1698</v>
      </c>
      <c r="F6917" s="103"/>
    </row>
    <row r="6918" spans="1:6" s="53" customFormat="1" ht="15" thickBot="1" x14ac:dyDescent="0.4">
      <c r="A6918" s="223"/>
      <c r="B6918" s="105"/>
      <c r="C6918" s="106"/>
      <c r="D6918" s="107"/>
      <c r="F6918" s="94"/>
    </row>
    <row r="6919" spans="1:6" s="53" customFormat="1" ht="15" thickBot="1" x14ac:dyDescent="0.4">
      <c r="A6919" s="223"/>
      <c r="B6919" s="108"/>
      <c r="C6919" s="109" t="s">
        <v>129</v>
      </c>
      <c r="D6919" s="110">
        <f>SUM(D6906:D6918)</f>
        <v>7802900</v>
      </c>
      <c r="F6919" s="94"/>
    </row>
    <row r="6920" spans="1:6" s="53" customFormat="1" ht="15.5" thickTop="1" thickBot="1" x14ac:dyDescent="0.4">
      <c r="A6920" s="224"/>
      <c r="B6920" s="226"/>
      <c r="C6920" s="226"/>
      <c r="D6920" s="226"/>
      <c r="F6920" s="94"/>
    </row>
    <row r="6921" spans="1:6" s="53" customFormat="1" x14ac:dyDescent="0.35">
      <c r="B6921" s="87"/>
      <c r="C6921" s="53" t="s">
        <v>130</v>
      </c>
      <c r="D6921" s="111">
        <f>D6903-D6919</f>
        <v>3933100</v>
      </c>
      <c r="F6921" s="94"/>
    </row>
    <row r="6922" spans="1:6" s="53" customFormat="1" x14ac:dyDescent="0.35">
      <c r="B6922" s="87"/>
      <c r="D6922" s="111"/>
      <c r="F6922" s="94"/>
    </row>
    <row r="6923" spans="1:6" s="53" customFormat="1" x14ac:dyDescent="0.35">
      <c r="A6923" s="112"/>
      <c r="B6923" s="113"/>
      <c r="C6923" s="112"/>
      <c r="D6923" s="114"/>
      <c r="E6923" s="112"/>
      <c r="F6923" s="178"/>
    </row>
    <row r="6925" spans="1:6" s="53" customFormat="1" ht="23.5" x14ac:dyDescent="0.55000000000000004">
      <c r="B6925" s="227" t="s">
        <v>0</v>
      </c>
      <c r="C6925" s="227"/>
      <c r="D6925" s="227"/>
      <c r="E6925" s="70"/>
      <c r="F6925" s="176"/>
    </row>
    <row r="6926" spans="1:6" s="53" customFormat="1" ht="20.5" x14ac:dyDescent="0.45">
      <c r="B6926" s="71"/>
      <c r="C6926" s="72" t="s">
        <v>1657</v>
      </c>
      <c r="D6926" s="73"/>
      <c r="F6926" s="94"/>
    </row>
    <row r="6927" spans="1:6" s="53" customFormat="1" ht="21" thickBot="1" x14ac:dyDescent="0.5">
      <c r="B6927" s="71" t="s">
        <v>208</v>
      </c>
      <c r="C6927" s="74" t="s">
        <v>103</v>
      </c>
      <c r="D6927" s="73"/>
      <c r="F6927" s="94"/>
    </row>
    <row r="6928" spans="1:6" s="53" customFormat="1" ht="15" thickBot="1" x14ac:dyDescent="0.4">
      <c r="A6928" s="75" t="s">
        <v>104</v>
      </c>
      <c r="B6928" s="76" t="s">
        <v>81</v>
      </c>
      <c r="C6928" s="76" t="s">
        <v>105</v>
      </c>
      <c r="D6928" s="77" t="s">
        <v>84</v>
      </c>
      <c r="F6928" s="94"/>
    </row>
    <row r="6929" spans="1:7" s="53" customFormat="1" ht="14.5" customHeight="1" x14ac:dyDescent="0.35">
      <c r="A6929" s="222" t="s">
        <v>96</v>
      </c>
      <c r="B6929" s="78" t="s">
        <v>1648</v>
      </c>
      <c r="C6929" s="79" t="s">
        <v>959</v>
      </c>
      <c r="D6929" s="80">
        <f>F6936</f>
        <v>11736000</v>
      </c>
      <c r="F6929" s="94"/>
    </row>
    <row r="6930" spans="1:7" s="53" customFormat="1" ht="21" thickBot="1" x14ac:dyDescent="0.5">
      <c r="A6930" s="223"/>
      <c r="B6930" s="71"/>
      <c r="C6930" s="71"/>
      <c r="D6930" s="73"/>
      <c r="F6930" s="94"/>
    </row>
    <row r="6931" spans="1:7" s="53" customFormat="1" ht="15" thickBot="1" x14ac:dyDescent="0.4">
      <c r="A6931" s="223"/>
      <c r="B6931" s="81" t="s">
        <v>81</v>
      </c>
      <c r="C6931" s="82" t="s">
        <v>107</v>
      </c>
      <c r="D6931" s="83" t="s">
        <v>108</v>
      </c>
      <c r="F6931" s="94"/>
    </row>
    <row r="6932" spans="1:7" s="87" customFormat="1" x14ac:dyDescent="0.35">
      <c r="A6932" s="223"/>
      <c r="B6932" s="84" t="str">
        <f>B6929</f>
        <v>18th December,2025</v>
      </c>
      <c r="C6932" s="85" t="s">
        <v>1738</v>
      </c>
      <c r="D6932" s="86">
        <f>1900*2779</f>
        <v>5280100</v>
      </c>
      <c r="F6932" s="177"/>
    </row>
    <row r="6933" spans="1:7" s="53" customFormat="1" x14ac:dyDescent="0.35">
      <c r="A6933" s="223"/>
      <c r="B6933" s="88"/>
      <c r="C6933" s="89" t="s">
        <v>1646</v>
      </c>
      <c r="D6933" s="90">
        <f>325*2450</f>
        <v>796250</v>
      </c>
      <c r="F6933" s="94"/>
    </row>
    <row r="6934" spans="1:7" s="53" customFormat="1" x14ac:dyDescent="0.35">
      <c r="A6934" s="223"/>
      <c r="B6934" s="88" t="s">
        <v>109</v>
      </c>
      <c r="C6934" s="89" t="s">
        <v>110</v>
      </c>
      <c r="D6934" s="90">
        <v>1000000</v>
      </c>
      <c r="F6934" s="94"/>
    </row>
    <row r="6935" spans="1:7" s="53" customFormat="1" x14ac:dyDescent="0.35">
      <c r="A6935" s="223"/>
      <c r="B6935" s="88" t="s">
        <v>111</v>
      </c>
      <c r="C6935" s="89" t="s">
        <v>112</v>
      </c>
      <c r="D6935" s="90">
        <v>40000</v>
      </c>
      <c r="E6935" s="225" t="s">
        <v>113</v>
      </c>
      <c r="F6935" s="225"/>
    </row>
    <row r="6936" spans="1:7" s="53" customFormat="1" x14ac:dyDescent="0.35">
      <c r="A6936" s="223"/>
      <c r="B6936" s="88" t="s">
        <v>182</v>
      </c>
      <c r="C6936" s="89" t="s">
        <v>115</v>
      </c>
      <c r="D6936" s="90">
        <f>950*123</f>
        <v>116850</v>
      </c>
      <c r="E6936" s="91" t="s">
        <v>116</v>
      </c>
      <c r="F6936" s="92">
        <f>4800*2445</f>
        <v>11736000</v>
      </c>
    </row>
    <row r="6937" spans="1:7" s="53" customFormat="1" x14ac:dyDescent="0.35">
      <c r="A6937" s="223"/>
      <c r="B6937" s="88"/>
      <c r="C6937" s="89" t="s">
        <v>117</v>
      </c>
      <c r="D6937" s="90">
        <f>3500*123</f>
        <v>430500</v>
      </c>
      <c r="E6937" s="93" t="s">
        <v>118</v>
      </c>
      <c r="F6937" s="94">
        <f>(2880*2445)+(1920*2445)</f>
        <v>11736000</v>
      </c>
    </row>
    <row r="6938" spans="1:7" s="53" customFormat="1" ht="15" thickBot="1" x14ac:dyDescent="0.4">
      <c r="A6938" s="223"/>
      <c r="B6938" s="88" t="s">
        <v>119</v>
      </c>
      <c r="C6938" s="89" t="s">
        <v>120</v>
      </c>
      <c r="D6938" s="95">
        <v>30000</v>
      </c>
      <c r="E6938" s="96" t="s">
        <v>121</v>
      </c>
      <c r="F6938" s="97">
        <f>F6936-F6937</f>
        <v>0</v>
      </c>
      <c r="G6938" s="98">
        <f>F6938/2445</f>
        <v>0</v>
      </c>
    </row>
    <row r="6939" spans="1:7" s="53" customFormat="1" ht="15" thickTop="1" x14ac:dyDescent="0.35">
      <c r="A6939" s="223"/>
      <c r="B6939" s="88"/>
      <c r="C6939" s="89" t="s">
        <v>122</v>
      </c>
      <c r="D6939" s="90">
        <v>150000</v>
      </c>
      <c r="F6939" s="94"/>
    </row>
    <row r="6940" spans="1:7" s="53" customFormat="1" x14ac:dyDescent="0.35">
      <c r="A6940" s="223"/>
      <c r="B6940" s="88" t="s">
        <v>1656</v>
      </c>
      <c r="C6940" s="99" t="s">
        <v>123</v>
      </c>
      <c r="D6940" s="90">
        <v>15000</v>
      </c>
      <c r="E6940" s="91" t="s">
        <v>124</v>
      </c>
      <c r="F6940" s="92"/>
    </row>
    <row r="6941" spans="1:7" s="53" customFormat="1" x14ac:dyDescent="0.35">
      <c r="A6941" s="223"/>
      <c r="B6941" s="101"/>
      <c r="C6941" s="99" t="s">
        <v>125</v>
      </c>
      <c r="D6941" s="100">
        <v>10000</v>
      </c>
      <c r="E6941" s="102"/>
      <c r="F6941" s="103"/>
    </row>
    <row r="6942" spans="1:7" s="53" customFormat="1" x14ac:dyDescent="0.35">
      <c r="A6942" s="223"/>
      <c r="B6942" s="101"/>
      <c r="C6942" s="99" t="s">
        <v>126</v>
      </c>
      <c r="D6942" s="100">
        <v>30000</v>
      </c>
      <c r="E6942" s="102" t="s">
        <v>127</v>
      </c>
      <c r="F6942" s="103"/>
    </row>
    <row r="6943" spans="1:7" s="53" customFormat="1" x14ac:dyDescent="0.35">
      <c r="A6943" s="223"/>
      <c r="B6943" s="101"/>
      <c r="C6943" s="89"/>
      <c r="D6943" s="104"/>
      <c r="E6943" s="53" t="s">
        <v>1698</v>
      </c>
      <c r="F6943" s="103"/>
    </row>
    <row r="6944" spans="1:7" s="53" customFormat="1" ht="15" thickBot="1" x14ac:dyDescent="0.4">
      <c r="A6944" s="223"/>
      <c r="B6944" s="105"/>
      <c r="C6944" s="106"/>
      <c r="D6944" s="107"/>
      <c r="E6944" s="53" t="s">
        <v>1754</v>
      </c>
      <c r="F6944" s="94"/>
    </row>
    <row r="6945" spans="1:6" s="53" customFormat="1" ht="15" thickBot="1" x14ac:dyDescent="0.4">
      <c r="A6945" s="223"/>
      <c r="B6945" s="108"/>
      <c r="C6945" s="109" t="s">
        <v>129</v>
      </c>
      <c r="D6945" s="110">
        <f>SUM(D6932:D6944)</f>
        <v>7898700</v>
      </c>
      <c r="F6945" s="94"/>
    </row>
    <row r="6946" spans="1:6" s="53" customFormat="1" ht="15.5" thickTop="1" thickBot="1" x14ac:dyDescent="0.4">
      <c r="A6946" s="224"/>
      <c r="B6946" s="226"/>
      <c r="C6946" s="226"/>
      <c r="D6946" s="226"/>
      <c r="F6946" s="94"/>
    </row>
    <row r="6947" spans="1:6" s="53" customFormat="1" x14ac:dyDescent="0.35">
      <c r="B6947" s="87"/>
      <c r="C6947" s="53" t="s">
        <v>130</v>
      </c>
      <c r="D6947" s="111">
        <f>D6929-D6945</f>
        <v>3837300</v>
      </c>
      <c r="F6947" s="94"/>
    </row>
    <row r="6948" spans="1:6" s="53" customFormat="1" x14ac:dyDescent="0.35">
      <c r="B6948" s="87"/>
      <c r="D6948" s="111"/>
      <c r="F6948" s="94"/>
    </row>
    <row r="6949" spans="1:6" s="53" customFormat="1" x14ac:dyDescent="0.35">
      <c r="A6949" s="112"/>
      <c r="B6949" s="113"/>
      <c r="C6949" s="112"/>
      <c r="D6949" s="114"/>
      <c r="E6949" s="112"/>
      <c r="F6949" s="178"/>
    </row>
    <row r="6951" spans="1:6" s="53" customFormat="1" ht="23.5" x14ac:dyDescent="0.55000000000000004">
      <c r="B6951" s="227" t="s">
        <v>0</v>
      </c>
      <c r="C6951" s="227"/>
      <c r="D6951" s="227"/>
      <c r="E6951" s="70"/>
      <c r="F6951" s="176"/>
    </row>
    <row r="6952" spans="1:6" s="53" customFormat="1" ht="20.5" x14ac:dyDescent="0.45">
      <c r="B6952" s="71"/>
      <c r="C6952" s="72" t="s">
        <v>1659</v>
      </c>
      <c r="D6952" s="73"/>
      <c r="F6952" s="94"/>
    </row>
    <row r="6953" spans="1:6" s="53" customFormat="1" ht="21" thickBot="1" x14ac:dyDescent="0.5">
      <c r="B6953" s="71" t="s">
        <v>401</v>
      </c>
      <c r="C6953" s="74" t="s">
        <v>103</v>
      </c>
      <c r="D6953" s="73"/>
      <c r="F6953" s="94"/>
    </row>
    <row r="6954" spans="1:6" s="53" customFormat="1" ht="15" thickBot="1" x14ac:dyDescent="0.4">
      <c r="A6954" s="75" t="s">
        <v>104</v>
      </c>
      <c r="B6954" s="76" t="s">
        <v>81</v>
      </c>
      <c r="C6954" s="76" t="s">
        <v>105</v>
      </c>
      <c r="D6954" s="77" t="s">
        <v>84</v>
      </c>
      <c r="F6954" s="94"/>
    </row>
    <row r="6955" spans="1:6" s="53" customFormat="1" ht="14.5" customHeight="1" x14ac:dyDescent="0.35">
      <c r="A6955" s="222" t="s">
        <v>96</v>
      </c>
      <c r="B6955" s="78" t="s">
        <v>1648</v>
      </c>
      <c r="C6955" s="79" t="s">
        <v>959</v>
      </c>
      <c r="D6955" s="80">
        <f>F6962</f>
        <v>11736000</v>
      </c>
      <c r="F6955" s="94"/>
    </row>
    <row r="6956" spans="1:6" s="53" customFormat="1" ht="21" thickBot="1" x14ac:dyDescent="0.5">
      <c r="A6956" s="223"/>
      <c r="B6956" s="71"/>
      <c r="C6956" s="71"/>
      <c r="D6956" s="73"/>
      <c r="F6956" s="94"/>
    </row>
    <row r="6957" spans="1:6" s="53" customFormat="1" ht="15" thickBot="1" x14ac:dyDescent="0.4">
      <c r="A6957" s="223"/>
      <c r="B6957" s="81" t="s">
        <v>81</v>
      </c>
      <c r="C6957" s="82" t="s">
        <v>107</v>
      </c>
      <c r="D6957" s="83" t="s">
        <v>108</v>
      </c>
      <c r="F6957" s="94"/>
    </row>
    <row r="6958" spans="1:6" s="87" customFormat="1" x14ac:dyDescent="0.35">
      <c r="A6958" s="223"/>
      <c r="B6958" s="84" t="str">
        <f>B6955</f>
        <v>18th December,2025</v>
      </c>
      <c r="C6958" s="85" t="s">
        <v>1738</v>
      </c>
      <c r="D6958" s="86">
        <f>1900*2779</f>
        <v>5280100</v>
      </c>
      <c r="F6958" s="177"/>
    </row>
    <row r="6959" spans="1:6" s="53" customFormat="1" x14ac:dyDescent="0.35">
      <c r="A6959" s="223"/>
      <c r="B6959" s="88"/>
      <c r="C6959" s="89" t="s">
        <v>1646</v>
      </c>
      <c r="D6959" s="90">
        <f>325*2450</f>
        <v>796250</v>
      </c>
      <c r="F6959" s="94"/>
    </row>
    <row r="6960" spans="1:6" s="53" customFormat="1" x14ac:dyDescent="0.35">
      <c r="A6960" s="223"/>
      <c r="B6960" s="88" t="s">
        <v>109</v>
      </c>
      <c r="C6960" s="89" t="s">
        <v>110</v>
      </c>
      <c r="D6960" s="90">
        <v>1000000</v>
      </c>
      <c r="F6960" s="94"/>
    </row>
    <row r="6961" spans="1:7" s="53" customFormat="1" x14ac:dyDescent="0.35">
      <c r="A6961" s="223"/>
      <c r="B6961" s="88" t="s">
        <v>111</v>
      </c>
      <c r="C6961" s="89" t="s">
        <v>112</v>
      </c>
      <c r="D6961" s="90">
        <v>40000</v>
      </c>
      <c r="E6961" s="225" t="s">
        <v>113</v>
      </c>
      <c r="F6961" s="225"/>
    </row>
    <row r="6962" spans="1:7" s="53" customFormat="1" x14ac:dyDescent="0.35">
      <c r="A6962" s="223"/>
      <c r="B6962" s="88" t="s">
        <v>182</v>
      </c>
      <c r="C6962" s="89" t="s">
        <v>115</v>
      </c>
      <c r="D6962" s="90">
        <f>950*123</f>
        <v>116850</v>
      </c>
      <c r="E6962" s="91" t="s">
        <v>116</v>
      </c>
      <c r="F6962" s="92">
        <f>4800*2445</f>
        <v>11736000</v>
      </c>
    </row>
    <row r="6963" spans="1:7" s="53" customFormat="1" x14ac:dyDescent="0.35">
      <c r="A6963" s="223"/>
      <c r="B6963" s="88"/>
      <c r="C6963" s="89" t="s">
        <v>117</v>
      </c>
      <c r="D6963" s="90">
        <f>3800*123</f>
        <v>467400</v>
      </c>
      <c r="E6963" s="93" t="s">
        <v>118</v>
      </c>
      <c r="F6963" s="94">
        <f>(2880*2445)+(1920*2445)</f>
        <v>11736000</v>
      </c>
    </row>
    <row r="6964" spans="1:7" s="53" customFormat="1" ht="15" thickBot="1" x14ac:dyDescent="0.4">
      <c r="A6964" s="223"/>
      <c r="B6964" s="88" t="s">
        <v>119</v>
      </c>
      <c r="C6964" s="89" t="s">
        <v>120</v>
      </c>
      <c r="D6964" s="95">
        <v>30000</v>
      </c>
      <c r="E6964" s="96" t="s">
        <v>121</v>
      </c>
      <c r="F6964" s="97">
        <f>F6962-F6963</f>
        <v>0</v>
      </c>
      <c r="G6964" s="98">
        <f>F6964/2445</f>
        <v>0</v>
      </c>
    </row>
    <row r="6965" spans="1:7" s="53" customFormat="1" ht="15" thickTop="1" x14ac:dyDescent="0.35">
      <c r="A6965" s="223"/>
      <c r="B6965" s="88"/>
      <c r="C6965" s="89" t="s">
        <v>126</v>
      </c>
      <c r="D6965" s="95">
        <v>30000</v>
      </c>
      <c r="F6965" s="94"/>
    </row>
    <row r="6966" spans="1:7" s="53" customFormat="1" x14ac:dyDescent="0.35">
      <c r="A6966" s="223"/>
      <c r="B6966" s="88" t="s">
        <v>1658</v>
      </c>
      <c r="C6966" s="99" t="s">
        <v>123</v>
      </c>
      <c r="D6966" s="90">
        <v>15000</v>
      </c>
      <c r="E6966" s="91" t="s">
        <v>124</v>
      </c>
      <c r="F6966" s="92"/>
    </row>
    <row r="6967" spans="1:7" s="53" customFormat="1" x14ac:dyDescent="0.35">
      <c r="A6967" s="223"/>
      <c r="B6967" s="101"/>
      <c r="C6967" s="99" t="s">
        <v>265</v>
      </c>
      <c r="D6967" s="100">
        <f>834*123</f>
        <v>102582</v>
      </c>
      <c r="E6967" s="102"/>
      <c r="F6967" s="103"/>
    </row>
    <row r="6968" spans="1:7" s="53" customFormat="1" x14ac:dyDescent="0.35">
      <c r="A6968" s="223"/>
      <c r="B6968" s="101"/>
      <c r="C6968" s="99"/>
      <c r="D6968" s="100"/>
      <c r="E6968" s="102" t="s">
        <v>127</v>
      </c>
      <c r="F6968" s="103"/>
    </row>
    <row r="6969" spans="1:7" s="53" customFormat="1" x14ac:dyDescent="0.35">
      <c r="A6969" s="223"/>
      <c r="B6969" s="101"/>
      <c r="C6969" s="89"/>
      <c r="D6969" s="104"/>
      <c r="E6969" s="53" t="s">
        <v>1698</v>
      </c>
      <c r="F6969" s="103"/>
    </row>
    <row r="6970" spans="1:7" s="53" customFormat="1" ht="15" thickBot="1" x14ac:dyDescent="0.4">
      <c r="A6970" s="223"/>
      <c r="B6970" s="105"/>
      <c r="C6970" s="106"/>
      <c r="D6970" s="107"/>
      <c r="E6970" s="53" t="s">
        <v>1755</v>
      </c>
      <c r="F6970" s="94"/>
    </row>
    <row r="6971" spans="1:7" s="53" customFormat="1" ht="15" thickBot="1" x14ac:dyDescent="0.4">
      <c r="A6971" s="223"/>
      <c r="B6971" s="108"/>
      <c r="C6971" s="109" t="s">
        <v>129</v>
      </c>
      <c r="D6971" s="110">
        <f>SUM(D6958:D6970)</f>
        <v>7878182</v>
      </c>
      <c r="F6971" s="94"/>
    </row>
    <row r="6972" spans="1:7" s="53" customFormat="1" ht="15.5" thickTop="1" thickBot="1" x14ac:dyDescent="0.4">
      <c r="A6972" s="224"/>
      <c r="B6972" s="226"/>
      <c r="C6972" s="226"/>
      <c r="D6972" s="226"/>
      <c r="F6972" s="94"/>
    </row>
    <row r="6973" spans="1:7" s="53" customFormat="1" x14ac:dyDescent="0.35">
      <c r="B6973" s="87"/>
      <c r="C6973" s="53" t="s">
        <v>130</v>
      </c>
      <c r="D6973" s="111">
        <f>D6955-D6971</f>
        <v>3857818</v>
      </c>
      <c r="F6973" s="94"/>
    </row>
    <row r="6974" spans="1:7" s="53" customFormat="1" x14ac:dyDescent="0.35">
      <c r="B6974" s="87"/>
      <c r="D6974" s="111"/>
      <c r="F6974" s="94"/>
    </row>
    <row r="6975" spans="1:7" s="53" customFormat="1" x14ac:dyDescent="0.35">
      <c r="A6975" s="112"/>
      <c r="B6975" s="113"/>
      <c r="C6975" s="112"/>
      <c r="D6975" s="114"/>
      <c r="E6975" s="112"/>
      <c r="F6975" s="178"/>
    </row>
    <row r="6977" spans="1:7" s="53" customFormat="1" ht="23.5" x14ac:dyDescent="0.55000000000000004">
      <c r="B6977" s="227" t="s">
        <v>0</v>
      </c>
      <c r="C6977" s="227"/>
      <c r="D6977" s="227"/>
      <c r="E6977" s="70"/>
      <c r="F6977" s="176"/>
    </row>
    <row r="6978" spans="1:7" s="53" customFormat="1" ht="20.5" x14ac:dyDescent="0.45">
      <c r="B6978" s="71"/>
      <c r="C6978" s="72" t="s">
        <v>1660</v>
      </c>
      <c r="D6978" s="73"/>
      <c r="F6978" s="94"/>
    </row>
    <row r="6979" spans="1:7" s="53" customFormat="1" ht="21" thickBot="1" x14ac:dyDescent="0.5">
      <c r="B6979" s="71" t="s">
        <v>218</v>
      </c>
      <c r="C6979" s="74" t="s">
        <v>103</v>
      </c>
      <c r="D6979" s="73"/>
      <c r="F6979" s="94"/>
    </row>
    <row r="6980" spans="1:7" s="53" customFormat="1" ht="15" thickBot="1" x14ac:dyDescent="0.4">
      <c r="A6980" s="75" t="s">
        <v>104</v>
      </c>
      <c r="B6980" s="76" t="s">
        <v>81</v>
      </c>
      <c r="C6980" s="76" t="s">
        <v>105</v>
      </c>
      <c r="D6980" s="77" t="s">
        <v>84</v>
      </c>
      <c r="F6980" s="94"/>
    </row>
    <row r="6981" spans="1:7" s="53" customFormat="1" ht="14.5" customHeight="1" x14ac:dyDescent="0.35">
      <c r="A6981" s="222" t="s">
        <v>96</v>
      </c>
      <c r="B6981" s="78" t="s">
        <v>1648</v>
      </c>
      <c r="C6981" s="79" t="s">
        <v>959</v>
      </c>
      <c r="D6981" s="80">
        <f>F6988</f>
        <v>11491500</v>
      </c>
      <c r="F6981" s="94"/>
    </row>
    <row r="6982" spans="1:7" s="53" customFormat="1" ht="21" thickBot="1" x14ac:dyDescent="0.5">
      <c r="A6982" s="223"/>
      <c r="B6982" s="71"/>
      <c r="C6982" s="71"/>
      <c r="D6982" s="73"/>
      <c r="F6982" s="94"/>
    </row>
    <row r="6983" spans="1:7" s="53" customFormat="1" ht="15" thickBot="1" x14ac:dyDescent="0.4">
      <c r="A6983" s="223"/>
      <c r="B6983" s="81" t="s">
        <v>81</v>
      </c>
      <c r="C6983" s="82" t="s">
        <v>107</v>
      </c>
      <c r="D6983" s="83" t="s">
        <v>108</v>
      </c>
      <c r="F6983" s="94"/>
    </row>
    <row r="6984" spans="1:7" s="87" customFormat="1" x14ac:dyDescent="0.35">
      <c r="A6984" s="223"/>
      <c r="B6984" s="84" t="str">
        <f>B6981</f>
        <v>18th December,2025</v>
      </c>
      <c r="C6984" s="85" t="s">
        <v>1708</v>
      </c>
      <c r="D6984" s="86">
        <f>1850*2799</f>
        <v>5178150</v>
      </c>
      <c r="F6984" s="177"/>
    </row>
    <row r="6985" spans="1:7" s="53" customFormat="1" x14ac:dyDescent="0.35">
      <c r="A6985" s="223"/>
      <c r="B6985" s="88"/>
      <c r="C6985" s="89" t="s">
        <v>1649</v>
      </c>
      <c r="D6985" s="90">
        <f>319*2450</f>
        <v>781550</v>
      </c>
      <c r="F6985" s="94"/>
    </row>
    <row r="6986" spans="1:7" s="53" customFormat="1" x14ac:dyDescent="0.35">
      <c r="A6986" s="223"/>
      <c r="B6986" s="88" t="s">
        <v>109</v>
      </c>
      <c r="C6986" s="89" t="s">
        <v>110</v>
      </c>
      <c r="D6986" s="90">
        <v>1000000</v>
      </c>
      <c r="F6986" s="94"/>
    </row>
    <row r="6987" spans="1:7" s="53" customFormat="1" x14ac:dyDescent="0.35">
      <c r="A6987" s="223"/>
      <c r="B6987" s="88" t="s">
        <v>111</v>
      </c>
      <c r="C6987" s="89" t="s">
        <v>112</v>
      </c>
      <c r="D6987" s="90">
        <v>40000</v>
      </c>
      <c r="E6987" s="225" t="s">
        <v>113</v>
      </c>
      <c r="F6987" s="225"/>
    </row>
    <row r="6988" spans="1:7" s="53" customFormat="1" x14ac:dyDescent="0.35">
      <c r="A6988" s="223"/>
      <c r="B6988" s="88" t="s">
        <v>206</v>
      </c>
      <c r="C6988" s="89" t="s">
        <v>115</v>
      </c>
      <c r="D6988" s="90">
        <f>1200*123</f>
        <v>147600</v>
      </c>
      <c r="E6988" s="91" t="s">
        <v>116</v>
      </c>
      <c r="F6988" s="92">
        <f>4700*2445</f>
        <v>11491500</v>
      </c>
    </row>
    <row r="6989" spans="1:7" s="53" customFormat="1" x14ac:dyDescent="0.35">
      <c r="A6989" s="223"/>
      <c r="B6989" s="88"/>
      <c r="C6989" s="89" t="s">
        <v>117</v>
      </c>
      <c r="D6989" s="90">
        <f>4290*123</f>
        <v>527670</v>
      </c>
      <c r="E6989" s="93" t="s">
        <v>118</v>
      </c>
      <c r="F6989" s="94">
        <f>(2820*2445)+(1880*2445)</f>
        <v>11491500</v>
      </c>
    </row>
    <row r="6990" spans="1:7" s="53" customFormat="1" ht="15" thickBot="1" x14ac:dyDescent="0.4">
      <c r="A6990" s="223"/>
      <c r="B6990" s="88" t="s">
        <v>119</v>
      </c>
      <c r="C6990" s="89" t="s">
        <v>120</v>
      </c>
      <c r="D6990" s="95">
        <v>30000</v>
      </c>
      <c r="E6990" s="96" t="s">
        <v>121</v>
      </c>
      <c r="F6990" s="97">
        <f>F6988-F6989</f>
        <v>0</v>
      </c>
      <c r="G6990" s="98">
        <f>F6990/2445</f>
        <v>0</v>
      </c>
    </row>
    <row r="6991" spans="1:7" s="53" customFormat="1" ht="15" thickTop="1" x14ac:dyDescent="0.35">
      <c r="A6991" s="223"/>
      <c r="B6991" s="88"/>
      <c r="C6991" s="99" t="s">
        <v>123</v>
      </c>
      <c r="D6991" s="90">
        <v>15000</v>
      </c>
      <c r="F6991" s="94"/>
    </row>
    <row r="6992" spans="1:7" s="53" customFormat="1" x14ac:dyDescent="0.35">
      <c r="A6992" s="223"/>
      <c r="B6992" s="88" t="s">
        <v>213</v>
      </c>
      <c r="C6992" s="99" t="s">
        <v>126</v>
      </c>
      <c r="D6992" s="100">
        <v>30000</v>
      </c>
      <c r="E6992" s="91" t="s">
        <v>124</v>
      </c>
      <c r="F6992" s="92"/>
    </row>
    <row r="6993" spans="1:6" s="53" customFormat="1" x14ac:dyDescent="0.35">
      <c r="A6993" s="223"/>
      <c r="B6993" s="101"/>
      <c r="C6993" s="99"/>
      <c r="D6993" s="100"/>
      <c r="E6993" s="102" t="s">
        <v>127</v>
      </c>
      <c r="F6993" s="103"/>
    </row>
    <row r="6994" spans="1:6" s="53" customFormat="1" x14ac:dyDescent="0.35">
      <c r="A6994" s="223"/>
      <c r="B6994" s="101"/>
      <c r="C6994" s="89"/>
      <c r="D6994" s="104"/>
      <c r="E6994" s="53" t="s">
        <v>1700</v>
      </c>
      <c r="F6994" s="103"/>
    </row>
    <row r="6995" spans="1:6" s="53" customFormat="1" ht="15" thickBot="1" x14ac:dyDescent="0.4">
      <c r="A6995" s="223"/>
      <c r="B6995" s="105"/>
      <c r="C6995" s="106"/>
      <c r="D6995" s="107"/>
      <c r="E6995" s="53" t="s">
        <v>1766</v>
      </c>
      <c r="F6995" s="94"/>
    </row>
    <row r="6996" spans="1:6" s="53" customFormat="1" ht="15" thickBot="1" x14ac:dyDescent="0.4">
      <c r="A6996" s="223"/>
      <c r="B6996" s="108"/>
      <c r="C6996" s="109" t="s">
        <v>129</v>
      </c>
      <c r="D6996" s="110">
        <f>SUM(D6984:D6995)</f>
        <v>7749970</v>
      </c>
      <c r="F6996" s="94"/>
    </row>
    <row r="6997" spans="1:6" s="53" customFormat="1" ht="15.5" thickTop="1" thickBot="1" x14ac:dyDescent="0.4">
      <c r="A6997" s="224"/>
      <c r="B6997" s="226"/>
      <c r="C6997" s="226"/>
      <c r="D6997" s="226"/>
      <c r="F6997" s="94"/>
    </row>
    <row r="6998" spans="1:6" s="53" customFormat="1" x14ac:dyDescent="0.35">
      <c r="B6998" s="87"/>
      <c r="C6998" s="53" t="s">
        <v>130</v>
      </c>
      <c r="D6998" s="111">
        <f>D6981-D6996</f>
        <v>3741530</v>
      </c>
      <c r="F6998" s="94"/>
    </row>
    <row r="6999" spans="1:6" s="53" customFormat="1" x14ac:dyDescent="0.35">
      <c r="B6999" s="87"/>
      <c r="D6999" s="111"/>
      <c r="F6999" s="94"/>
    </row>
    <row r="7000" spans="1:6" s="53" customFormat="1" x14ac:dyDescent="0.35">
      <c r="A7000" s="112"/>
      <c r="B7000" s="113"/>
      <c r="C7000" s="112"/>
      <c r="D7000" s="114"/>
      <c r="E7000" s="112"/>
      <c r="F7000" s="178"/>
    </row>
    <row r="7002" spans="1:6" s="53" customFormat="1" ht="23.5" x14ac:dyDescent="0.55000000000000004">
      <c r="B7002" s="227" t="s">
        <v>0</v>
      </c>
      <c r="C7002" s="227"/>
      <c r="D7002" s="227"/>
      <c r="E7002" s="70"/>
      <c r="F7002" s="176"/>
    </row>
    <row r="7003" spans="1:6" s="53" customFormat="1" ht="20.5" x14ac:dyDescent="0.45">
      <c r="B7003" s="71"/>
      <c r="C7003" s="72" t="s">
        <v>1662</v>
      </c>
      <c r="D7003" s="73"/>
      <c r="F7003" s="94"/>
    </row>
    <row r="7004" spans="1:6" s="53" customFormat="1" ht="21" thickBot="1" x14ac:dyDescent="0.5">
      <c r="B7004" s="71" t="s">
        <v>1136</v>
      </c>
      <c r="C7004" s="74" t="s">
        <v>103</v>
      </c>
      <c r="D7004" s="73"/>
      <c r="F7004" s="94"/>
    </row>
    <row r="7005" spans="1:6" s="53" customFormat="1" ht="15" thickBot="1" x14ac:dyDescent="0.4">
      <c r="A7005" s="75" t="s">
        <v>104</v>
      </c>
      <c r="B7005" s="76" t="s">
        <v>81</v>
      </c>
      <c r="C7005" s="76" t="s">
        <v>105</v>
      </c>
      <c r="D7005" s="77" t="s">
        <v>84</v>
      </c>
      <c r="F7005" s="94"/>
    </row>
    <row r="7006" spans="1:6" s="53" customFormat="1" ht="14.5" customHeight="1" x14ac:dyDescent="0.35">
      <c r="A7006" s="222" t="s">
        <v>96</v>
      </c>
      <c r="B7006" s="78" t="s">
        <v>1648</v>
      </c>
      <c r="C7006" s="79" t="s">
        <v>959</v>
      </c>
      <c r="D7006" s="80">
        <f>F7013</f>
        <v>11736000</v>
      </c>
      <c r="F7006" s="94"/>
    </row>
    <row r="7007" spans="1:6" s="53" customFormat="1" ht="21" thickBot="1" x14ac:dyDescent="0.5">
      <c r="A7007" s="223"/>
      <c r="B7007" s="71"/>
      <c r="C7007" s="71"/>
      <c r="D7007" s="73"/>
      <c r="F7007" s="94"/>
    </row>
    <row r="7008" spans="1:6" s="53" customFormat="1" ht="15" thickBot="1" x14ac:dyDescent="0.4">
      <c r="A7008" s="223"/>
      <c r="B7008" s="81" t="s">
        <v>81</v>
      </c>
      <c r="C7008" s="82" t="s">
        <v>107</v>
      </c>
      <c r="D7008" s="83" t="s">
        <v>108</v>
      </c>
      <c r="F7008" s="94"/>
    </row>
    <row r="7009" spans="1:7" s="87" customFormat="1" x14ac:dyDescent="0.35">
      <c r="A7009" s="223"/>
      <c r="B7009" s="84" t="str">
        <f>B7006</f>
        <v>18th December,2025</v>
      </c>
      <c r="C7009" s="85" t="s">
        <v>1708</v>
      </c>
      <c r="D7009" s="86">
        <f>1850*2799</f>
        <v>5178150</v>
      </c>
      <c r="F7009" s="177"/>
    </row>
    <row r="7010" spans="1:7" s="53" customFormat="1" x14ac:dyDescent="0.35">
      <c r="A7010" s="223"/>
      <c r="B7010" s="88"/>
      <c r="C7010" s="89" t="s">
        <v>1646</v>
      </c>
      <c r="D7010" s="90">
        <f>325*2450</f>
        <v>796250</v>
      </c>
      <c r="F7010" s="94"/>
    </row>
    <row r="7011" spans="1:7" s="53" customFormat="1" x14ac:dyDescent="0.35">
      <c r="A7011" s="223"/>
      <c r="B7011" s="88" t="s">
        <v>109</v>
      </c>
      <c r="C7011" s="89" t="s">
        <v>110</v>
      </c>
      <c r="D7011" s="90">
        <v>1000000</v>
      </c>
      <c r="F7011" s="94"/>
    </row>
    <row r="7012" spans="1:7" s="53" customFormat="1" x14ac:dyDescent="0.35">
      <c r="A7012" s="223"/>
      <c r="B7012" s="88" t="s">
        <v>111</v>
      </c>
      <c r="C7012" s="89" t="s">
        <v>112</v>
      </c>
      <c r="D7012" s="90">
        <v>40000</v>
      </c>
      <c r="E7012" s="225" t="s">
        <v>113</v>
      </c>
      <c r="F7012" s="225"/>
    </row>
    <row r="7013" spans="1:7" s="53" customFormat="1" x14ac:dyDescent="0.35">
      <c r="A7013" s="223"/>
      <c r="B7013" s="88" t="s">
        <v>182</v>
      </c>
      <c r="C7013" s="89" t="s">
        <v>115</v>
      </c>
      <c r="D7013" s="90">
        <f>950*123</f>
        <v>116850</v>
      </c>
      <c r="E7013" s="91" t="s">
        <v>116</v>
      </c>
      <c r="F7013" s="92">
        <f>4800*2445</f>
        <v>11736000</v>
      </c>
    </row>
    <row r="7014" spans="1:7" s="53" customFormat="1" x14ac:dyDescent="0.35">
      <c r="A7014" s="223"/>
      <c r="B7014" s="88"/>
      <c r="C7014" s="89" t="s">
        <v>117</v>
      </c>
      <c r="D7014" s="90">
        <f>3600*123</f>
        <v>442800</v>
      </c>
      <c r="E7014" s="93" t="s">
        <v>118</v>
      </c>
      <c r="F7014" s="94">
        <f>(2880*2445)</f>
        <v>7041600</v>
      </c>
    </row>
    <row r="7015" spans="1:7" s="53" customFormat="1" ht="15" thickBot="1" x14ac:dyDescent="0.4">
      <c r="A7015" s="223"/>
      <c r="B7015" s="88" t="s">
        <v>119</v>
      </c>
      <c r="C7015" s="89" t="s">
        <v>120</v>
      </c>
      <c r="D7015" s="95">
        <v>30000</v>
      </c>
      <c r="E7015" s="96" t="s">
        <v>121</v>
      </c>
      <c r="F7015" s="97">
        <f>F7013-F7014</f>
        <v>4694400</v>
      </c>
      <c r="G7015" s="98">
        <f>F7015/2445</f>
        <v>1920</v>
      </c>
    </row>
    <row r="7016" spans="1:7" s="53" customFormat="1" ht="15" thickTop="1" x14ac:dyDescent="0.35">
      <c r="A7016" s="223"/>
      <c r="B7016" s="88"/>
      <c r="C7016" s="89" t="s">
        <v>122</v>
      </c>
      <c r="D7016" s="90">
        <v>150000</v>
      </c>
      <c r="F7016" s="94"/>
    </row>
    <row r="7017" spans="1:7" s="53" customFormat="1" x14ac:dyDescent="0.35">
      <c r="A7017" s="223"/>
      <c r="B7017" s="88" t="s">
        <v>1661</v>
      </c>
      <c r="C7017" s="99" t="s">
        <v>123</v>
      </c>
      <c r="D7017" s="90">
        <v>15000</v>
      </c>
      <c r="E7017" s="91" t="s">
        <v>124</v>
      </c>
      <c r="F7017" s="92"/>
    </row>
    <row r="7018" spans="1:7" s="53" customFormat="1" x14ac:dyDescent="0.35">
      <c r="A7018" s="223"/>
      <c r="B7018" s="101"/>
      <c r="C7018" s="99" t="s">
        <v>125</v>
      </c>
      <c r="D7018" s="100">
        <v>10000</v>
      </c>
      <c r="E7018" s="102"/>
      <c r="F7018" s="103"/>
    </row>
    <row r="7019" spans="1:7" s="53" customFormat="1" x14ac:dyDescent="0.35">
      <c r="A7019" s="223"/>
      <c r="B7019" s="101"/>
      <c r="C7019" s="99" t="s">
        <v>126</v>
      </c>
      <c r="D7019" s="100">
        <v>30000</v>
      </c>
      <c r="E7019" s="102" t="s">
        <v>127</v>
      </c>
      <c r="F7019" s="103"/>
    </row>
    <row r="7020" spans="1:7" s="53" customFormat="1" x14ac:dyDescent="0.35">
      <c r="A7020" s="223"/>
      <c r="B7020" s="101"/>
      <c r="C7020" s="89"/>
      <c r="D7020" s="104"/>
      <c r="E7020" s="53" t="s">
        <v>1700</v>
      </c>
      <c r="F7020" s="103"/>
    </row>
    <row r="7021" spans="1:7" s="53" customFormat="1" ht="15" thickBot="1" x14ac:dyDescent="0.4">
      <c r="A7021" s="223"/>
      <c r="B7021" s="105"/>
      <c r="C7021" s="106"/>
      <c r="D7021" s="107"/>
      <c r="F7021" s="94"/>
    </row>
    <row r="7022" spans="1:7" s="53" customFormat="1" ht="15" thickBot="1" x14ac:dyDescent="0.4">
      <c r="A7022" s="223"/>
      <c r="B7022" s="108"/>
      <c r="C7022" s="109" t="s">
        <v>129</v>
      </c>
      <c r="D7022" s="110">
        <f>SUM(D7009:D7021)</f>
        <v>7809050</v>
      </c>
      <c r="F7022" s="94"/>
    </row>
    <row r="7023" spans="1:7" s="53" customFormat="1" ht="15.5" thickTop="1" thickBot="1" x14ac:dyDescent="0.4">
      <c r="A7023" s="224"/>
      <c r="B7023" s="226"/>
      <c r="C7023" s="226"/>
      <c r="D7023" s="226"/>
      <c r="F7023" s="94"/>
    </row>
    <row r="7024" spans="1:7" s="53" customFormat="1" x14ac:dyDescent="0.35">
      <c r="B7024" s="87"/>
      <c r="C7024" s="53" t="s">
        <v>130</v>
      </c>
      <c r="D7024" s="111">
        <f>D7006-D7022</f>
        <v>3926950</v>
      </c>
      <c r="F7024" s="94"/>
    </row>
    <row r="7025" spans="1:6" s="53" customFormat="1" x14ac:dyDescent="0.35">
      <c r="B7025" s="87"/>
      <c r="D7025" s="111"/>
      <c r="F7025" s="94"/>
    </row>
    <row r="7026" spans="1:6" s="53" customFormat="1" x14ac:dyDescent="0.35">
      <c r="A7026" s="112"/>
      <c r="B7026" s="113"/>
      <c r="C7026" s="112"/>
      <c r="D7026" s="114"/>
      <c r="E7026" s="112"/>
      <c r="F7026" s="178"/>
    </row>
    <row r="7028" spans="1:6" s="53" customFormat="1" ht="23.5" x14ac:dyDescent="0.55000000000000004">
      <c r="B7028" s="227" t="s">
        <v>0</v>
      </c>
      <c r="C7028" s="227"/>
      <c r="D7028" s="227"/>
      <c r="E7028" s="70"/>
      <c r="F7028" s="176"/>
    </row>
    <row r="7029" spans="1:6" s="53" customFormat="1" ht="20.5" x14ac:dyDescent="0.45">
      <c r="B7029" s="71"/>
      <c r="C7029" s="72" t="s">
        <v>1664</v>
      </c>
      <c r="D7029" s="73"/>
      <c r="F7029" s="94"/>
    </row>
    <row r="7030" spans="1:6" s="53" customFormat="1" ht="20.5" x14ac:dyDescent="0.45">
      <c r="B7030" s="71" t="s">
        <v>334</v>
      </c>
      <c r="C7030" s="74" t="s">
        <v>103</v>
      </c>
      <c r="D7030" s="73"/>
      <c r="F7030" s="94"/>
    </row>
    <row r="7031" spans="1:6" s="53" customFormat="1" x14ac:dyDescent="0.35">
      <c r="A7031" s="75" t="s">
        <v>104</v>
      </c>
      <c r="B7031" s="76" t="s">
        <v>81</v>
      </c>
      <c r="C7031" s="76" t="s">
        <v>105</v>
      </c>
      <c r="D7031" s="77" t="s">
        <v>84</v>
      </c>
      <c r="F7031" s="94"/>
    </row>
    <row r="7032" spans="1:6" s="53" customFormat="1" ht="14.5" customHeight="1" x14ac:dyDescent="0.35">
      <c r="A7032" s="222" t="s">
        <v>96</v>
      </c>
      <c r="B7032" s="78" t="s">
        <v>1648</v>
      </c>
      <c r="C7032" s="79" t="s">
        <v>959</v>
      </c>
      <c r="D7032" s="80">
        <f>F7039</f>
        <v>11736000</v>
      </c>
      <c r="F7032" s="94"/>
    </row>
    <row r="7033" spans="1:6" s="53" customFormat="1" ht="20.5" x14ac:dyDescent="0.45">
      <c r="A7033" s="223"/>
      <c r="B7033" s="71"/>
      <c r="C7033" s="71"/>
      <c r="D7033" s="73"/>
      <c r="F7033" s="94"/>
    </row>
    <row r="7034" spans="1:6" s="53" customFormat="1" x14ac:dyDescent="0.35">
      <c r="A7034" s="223"/>
      <c r="B7034" s="81" t="s">
        <v>81</v>
      </c>
      <c r="C7034" s="82" t="s">
        <v>107</v>
      </c>
      <c r="D7034" s="83" t="s">
        <v>108</v>
      </c>
      <c r="F7034" s="94"/>
    </row>
    <row r="7035" spans="1:6" s="87" customFormat="1" x14ac:dyDescent="0.35">
      <c r="A7035" s="223"/>
      <c r="B7035" s="84" t="str">
        <f>B7032</f>
        <v>18th December,2025</v>
      </c>
      <c r="C7035" s="85" t="s">
        <v>1708</v>
      </c>
      <c r="D7035" s="86">
        <f>1850*2799</f>
        <v>5178150</v>
      </c>
      <c r="F7035" s="177"/>
    </row>
    <row r="7036" spans="1:6" s="53" customFormat="1" x14ac:dyDescent="0.35">
      <c r="A7036" s="223"/>
      <c r="B7036" s="88"/>
      <c r="C7036" s="89" t="s">
        <v>1646</v>
      </c>
      <c r="D7036" s="90">
        <f>325*2450</f>
        <v>796250</v>
      </c>
      <c r="F7036" s="94"/>
    </row>
    <row r="7037" spans="1:6" s="53" customFormat="1" x14ac:dyDescent="0.35">
      <c r="A7037" s="223"/>
      <c r="B7037" s="88" t="s">
        <v>109</v>
      </c>
      <c r="C7037" s="89" t="s">
        <v>110</v>
      </c>
      <c r="D7037" s="90">
        <v>1000000</v>
      </c>
      <c r="F7037" s="94"/>
    </row>
    <row r="7038" spans="1:6" s="53" customFormat="1" x14ac:dyDescent="0.35">
      <c r="A7038" s="223"/>
      <c r="B7038" s="88" t="s">
        <v>111</v>
      </c>
      <c r="C7038" s="89" t="s">
        <v>112</v>
      </c>
      <c r="D7038" s="90">
        <v>40000</v>
      </c>
      <c r="E7038" s="225" t="s">
        <v>113</v>
      </c>
      <c r="F7038" s="225"/>
    </row>
    <row r="7039" spans="1:6" s="53" customFormat="1" x14ac:dyDescent="0.35">
      <c r="A7039" s="223"/>
      <c r="B7039" s="88" t="s">
        <v>182</v>
      </c>
      <c r="C7039" s="89" t="s">
        <v>115</v>
      </c>
      <c r="D7039" s="90">
        <f>950*123</f>
        <v>116850</v>
      </c>
      <c r="E7039" s="91" t="s">
        <v>116</v>
      </c>
      <c r="F7039" s="92">
        <f>4800*2445</f>
        <v>11736000</v>
      </c>
    </row>
    <row r="7040" spans="1:6" s="53" customFormat="1" x14ac:dyDescent="0.35">
      <c r="A7040" s="223"/>
      <c r="B7040" s="88"/>
      <c r="C7040" s="89" t="s">
        <v>117</v>
      </c>
      <c r="D7040" s="90">
        <f>3600*123</f>
        <v>442800</v>
      </c>
      <c r="E7040" s="93" t="s">
        <v>118</v>
      </c>
      <c r="F7040" s="94">
        <f>(2880*2445)</f>
        <v>7041600</v>
      </c>
    </row>
    <row r="7041" spans="1:7" s="53" customFormat="1" x14ac:dyDescent="0.35">
      <c r="A7041" s="223"/>
      <c r="B7041" s="88" t="s">
        <v>119</v>
      </c>
      <c r="C7041" s="89" t="s">
        <v>120</v>
      </c>
      <c r="D7041" s="95">
        <v>30000</v>
      </c>
      <c r="E7041" s="96" t="s">
        <v>121</v>
      </c>
      <c r="F7041" s="97">
        <f>F7039-F7040</f>
        <v>4694400</v>
      </c>
      <c r="G7041" s="98">
        <f>F7041/2445</f>
        <v>1920</v>
      </c>
    </row>
    <row r="7042" spans="1:7" s="53" customFormat="1" x14ac:dyDescent="0.35">
      <c r="A7042" s="223"/>
      <c r="B7042" s="88"/>
      <c r="C7042" s="89" t="s">
        <v>122</v>
      </c>
      <c r="D7042" s="90">
        <v>150000</v>
      </c>
      <c r="F7042" s="94"/>
    </row>
    <row r="7043" spans="1:7" s="53" customFormat="1" x14ac:dyDescent="0.35">
      <c r="A7043" s="223"/>
      <c r="B7043" s="88" t="s">
        <v>1663</v>
      </c>
      <c r="C7043" s="99" t="s">
        <v>123</v>
      </c>
      <c r="D7043" s="90">
        <v>15000</v>
      </c>
      <c r="E7043" s="91" t="s">
        <v>124</v>
      </c>
      <c r="F7043" s="92"/>
    </row>
    <row r="7044" spans="1:7" s="53" customFormat="1" x14ac:dyDescent="0.35">
      <c r="A7044" s="223"/>
      <c r="B7044" s="101"/>
      <c r="C7044" s="99" t="s">
        <v>125</v>
      </c>
      <c r="D7044" s="100">
        <v>10000</v>
      </c>
      <c r="E7044" s="102"/>
      <c r="F7044" s="103"/>
    </row>
    <row r="7045" spans="1:7" s="53" customFormat="1" x14ac:dyDescent="0.35">
      <c r="A7045" s="223"/>
      <c r="B7045" s="101"/>
      <c r="C7045" s="99" t="s">
        <v>126</v>
      </c>
      <c r="D7045" s="100">
        <v>20000</v>
      </c>
      <c r="E7045" s="102" t="s">
        <v>127</v>
      </c>
      <c r="F7045" s="103"/>
    </row>
    <row r="7046" spans="1:7" s="53" customFormat="1" x14ac:dyDescent="0.35">
      <c r="A7046" s="223"/>
      <c r="B7046" s="101"/>
      <c r="C7046" s="89"/>
      <c r="D7046" s="104"/>
      <c r="E7046" s="53" t="s">
        <v>1700</v>
      </c>
      <c r="F7046" s="103"/>
    </row>
    <row r="7047" spans="1:7" s="53" customFormat="1" x14ac:dyDescent="0.35">
      <c r="A7047" s="223"/>
      <c r="B7047" s="105"/>
      <c r="C7047" s="106"/>
      <c r="D7047" s="107"/>
      <c r="F7047" s="94"/>
    </row>
    <row r="7048" spans="1:7" s="53" customFormat="1" x14ac:dyDescent="0.35">
      <c r="A7048" s="223"/>
      <c r="B7048" s="108"/>
      <c r="C7048" s="109" t="s">
        <v>129</v>
      </c>
      <c r="D7048" s="110">
        <f>SUM(D7035:D7047)</f>
        <v>7799050</v>
      </c>
      <c r="F7048" s="94"/>
    </row>
    <row r="7049" spans="1:7" s="53" customFormat="1" x14ac:dyDescent="0.35">
      <c r="A7049" s="224"/>
      <c r="B7049" s="226"/>
      <c r="C7049" s="226"/>
      <c r="D7049" s="226"/>
      <c r="F7049" s="94"/>
    </row>
    <row r="7050" spans="1:7" s="53" customFormat="1" x14ac:dyDescent="0.35">
      <c r="B7050" s="87"/>
      <c r="C7050" s="53" t="s">
        <v>130</v>
      </c>
      <c r="D7050" s="111">
        <f>D7032-D7048</f>
        <v>3936950</v>
      </c>
      <c r="F7050" s="94"/>
    </row>
    <row r="7051" spans="1:7" s="53" customFormat="1" x14ac:dyDescent="0.35">
      <c r="B7051" s="87"/>
      <c r="D7051" s="111"/>
      <c r="F7051" s="94"/>
    </row>
    <row r="7052" spans="1:7" s="53" customFormat="1" x14ac:dyDescent="0.35">
      <c r="A7052" s="112"/>
      <c r="B7052" s="113"/>
      <c r="C7052" s="112"/>
      <c r="D7052" s="114"/>
      <c r="E7052" s="112"/>
      <c r="F7052" s="178"/>
    </row>
    <row r="7054" spans="1:7" s="53" customFormat="1" ht="23.5" x14ac:dyDescent="0.55000000000000004">
      <c r="B7054" s="227" t="s">
        <v>0</v>
      </c>
      <c r="C7054" s="227"/>
      <c r="D7054" s="227"/>
      <c r="E7054" s="70"/>
      <c r="F7054" s="176"/>
    </row>
    <row r="7055" spans="1:7" s="53" customFormat="1" ht="20.5" x14ac:dyDescent="0.45">
      <c r="B7055" s="71"/>
      <c r="C7055" s="72" t="s">
        <v>1666</v>
      </c>
      <c r="D7055" s="73"/>
      <c r="F7055" s="94"/>
    </row>
    <row r="7056" spans="1:7" s="53" customFormat="1" ht="20.5" x14ac:dyDescent="0.45">
      <c r="B7056" s="71" t="s">
        <v>954</v>
      </c>
      <c r="C7056" s="74" t="s">
        <v>103</v>
      </c>
      <c r="D7056" s="73"/>
      <c r="F7056" s="94"/>
    </row>
    <row r="7057" spans="1:7" s="53" customFormat="1" x14ac:dyDescent="0.35">
      <c r="A7057" s="75" t="s">
        <v>104</v>
      </c>
      <c r="B7057" s="76" t="s">
        <v>81</v>
      </c>
      <c r="C7057" s="76" t="s">
        <v>105</v>
      </c>
      <c r="D7057" s="77" t="s">
        <v>84</v>
      </c>
      <c r="F7057" s="94"/>
    </row>
    <row r="7058" spans="1:7" s="53" customFormat="1" ht="14.5" customHeight="1" x14ac:dyDescent="0.35">
      <c r="A7058" s="222" t="s">
        <v>96</v>
      </c>
      <c r="B7058" s="78" t="s">
        <v>1648</v>
      </c>
      <c r="C7058" s="79" t="s">
        <v>959</v>
      </c>
      <c r="D7058" s="80">
        <f>F7065</f>
        <v>11736000</v>
      </c>
      <c r="F7058" s="94"/>
    </row>
    <row r="7059" spans="1:7" s="53" customFormat="1" ht="20.5" x14ac:dyDescent="0.45">
      <c r="A7059" s="223"/>
      <c r="B7059" s="71"/>
      <c r="C7059" s="71"/>
      <c r="D7059" s="73"/>
      <c r="F7059" s="94"/>
    </row>
    <row r="7060" spans="1:7" s="53" customFormat="1" x14ac:dyDescent="0.35">
      <c r="A7060" s="223"/>
      <c r="B7060" s="81" t="s">
        <v>81</v>
      </c>
      <c r="C7060" s="82" t="s">
        <v>107</v>
      </c>
      <c r="D7060" s="83" t="s">
        <v>108</v>
      </c>
      <c r="F7060" s="94"/>
    </row>
    <row r="7061" spans="1:7" s="87" customFormat="1" x14ac:dyDescent="0.35">
      <c r="A7061" s="223"/>
      <c r="B7061" s="84" t="str">
        <f>B7058</f>
        <v>18th December,2025</v>
      </c>
      <c r="C7061" s="85" t="s">
        <v>1738</v>
      </c>
      <c r="D7061" s="86">
        <f>1900*2779</f>
        <v>5280100</v>
      </c>
      <c r="F7061" s="177"/>
    </row>
    <row r="7062" spans="1:7" s="53" customFormat="1" x14ac:dyDescent="0.35">
      <c r="A7062" s="223"/>
      <c r="B7062" s="88"/>
      <c r="C7062" s="89" t="s">
        <v>1646</v>
      </c>
      <c r="D7062" s="90">
        <f>325*2450</f>
        <v>796250</v>
      </c>
      <c r="F7062" s="94"/>
    </row>
    <row r="7063" spans="1:7" s="53" customFormat="1" x14ac:dyDescent="0.35">
      <c r="A7063" s="223"/>
      <c r="B7063" s="88" t="s">
        <v>109</v>
      </c>
      <c r="C7063" s="89" t="s">
        <v>110</v>
      </c>
      <c r="D7063" s="90">
        <v>1000000</v>
      </c>
      <c r="F7063" s="94"/>
    </row>
    <row r="7064" spans="1:7" s="53" customFormat="1" x14ac:dyDescent="0.35">
      <c r="A7064" s="223"/>
      <c r="B7064" s="88" t="s">
        <v>111</v>
      </c>
      <c r="C7064" s="89" t="s">
        <v>112</v>
      </c>
      <c r="D7064" s="90">
        <v>40000</v>
      </c>
      <c r="E7064" s="225" t="s">
        <v>113</v>
      </c>
      <c r="F7064" s="225"/>
    </row>
    <row r="7065" spans="1:7" s="53" customFormat="1" x14ac:dyDescent="0.35">
      <c r="A7065" s="223"/>
      <c r="B7065" s="88" t="s">
        <v>182</v>
      </c>
      <c r="C7065" s="89" t="s">
        <v>115</v>
      </c>
      <c r="D7065" s="90">
        <f>1000*123</f>
        <v>123000</v>
      </c>
      <c r="E7065" s="91" t="s">
        <v>116</v>
      </c>
      <c r="F7065" s="92">
        <f>4800*2445</f>
        <v>11736000</v>
      </c>
    </row>
    <row r="7066" spans="1:7" s="53" customFormat="1" x14ac:dyDescent="0.35">
      <c r="A7066" s="223"/>
      <c r="B7066" s="88"/>
      <c r="C7066" s="89" t="s">
        <v>117</v>
      </c>
      <c r="D7066" s="90">
        <f>3300*123</f>
        <v>405900</v>
      </c>
      <c r="E7066" s="93" t="s">
        <v>118</v>
      </c>
      <c r="F7066" s="94">
        <f>(2880*2445)+(1920*2445)</f>
        <v>11736000</v>
      </c>
    </row>
    <row r="7067" spans="1:7" s="53" customFormat="1" x14ac:dyDescent="0.35">
      <c r="A7067" s="223"/>
      <c r="B7067" s="88" t="s">
        <v>119</v>
      </c>
      <c r="C7067" s="89" t="s">
        <v>120</v>
      </c>
      <c r="D7067" s="95">
        <v>30000</v>
      </c>
      <c r="E7067" s="96" t="s">
        <v>121</v>
      </c>
      <c r="F7067" s="97">
        <f>F7065-F7066</f>
        <v>0</v>
      </c>
      <c r="G7067" s="98">
        <f>F7067/2445</f>
        <v>0</v>
      </c>
    </row>
    <row r="7068" spans="1:7" s="53" customFormat="1" x14ac:dyDescent="0.35">
      <c r="A7068" s="223"/>
      <c r="B7068" s="88"/>
      <c r="C7068" s="89" t="s">
        <v>122</v>
      </c>
      <c r="D7068" s="90">
        <v>150000</v>
      </c>
      <c r="F7068" s="94"/>
    </row>
    <row r="7069" spans="1:7" s="53" customFormat="1" x14ac:dyDescent="0.35">
      <c r="A7069" s="223"/>
      <c r="B7069" s="88" t="s">
        <v>1665</v>
      </c>
      <c r="C7069" s="99" t="s">
        <v>123</v>
      </c>
      <c r="D7069" s="90">
        <v>15000</v>
      </c>
      <c r="E7069" s="91" t="s">
        <v>124</v>
      </c>
      <c r="F7069" s="92"/>
    </row>
    <row r="7070" spans="1:7" s="53" customFormat="1" x14ac:dyDescent="0.35">
      <c r="A7070" s="223"/>
      <c r="B7070" s="101"/>
      <c r="C7070" s="99" t="s">
        <v>125</v>
      </c>
      <c r="D7070" s="100">
        <v>10000</v>
      </c>
      <c r="E7070" s="102"/>
      <c r="F7070" s="103"/>
    </row>
    <row r="7071" spans="1:7" s="53" customFormat="1" x14ac:dyDescent="0.35">
      <c r="A7071" s="223"/>
      <c r="B7071" s="101"/>
      <c r="C7071" s="99" t="s">
        <v>126</v>
      </c>
      <c r="D7071" s="100">
        <v>30000</v>
      </c>
      <c r="E7071" s="102" t="s">
        <v>127</v>
      </c>
      <c r="F7071" s="103"/>
    </row>
    <row r="7072" spans="1:7" s="53" customFormat="1" x14ac:dyDescent="0.35">
      <c r="A7072" s="223"/>
      <c r="B7072" s="101"/>
      <c r="C7072" s="89"/>
      <c r="D7072" s="104"/>
      <c r="E7072" s="53" t="s">
        <v>1701</v>
      </c>
      <c r="F7072" s="103"/>
    </row>
    <row r="7073" spans="1:6" s="53" customFormat="1" x14ac:dyDescent="0.35">
      <c r="A7073" s="223"/>
      <c r="B7073" s="105"/>
      <c r="C7073" s="106"/>
      <c r="D7073" s="107"/>
      <c r="E7073" s="53" t="s">
        <v>1754</v>
      </c>
      <c r="F7073" s="94"/>
    </row>
    <row r="7074" spans="1:6" s="53" customFormat="1" x14ac:dyDescent="0.35">
      <c r="A7074" s="223"/>
      <c r="B7074" s="108"/>
      <c r="C7074" s="109" t="s">
        <v>129</v>
      </c>
      <c r="D7074" s="110">
        <f>SUM(D7061:D7073)</f>
        <v>7880250</v>
      </c>
      <c r="F7074" s="94"/>
    </row>
    <row r="7075" spans="1:6" s="53" customFormat="1" x14ac:dyDescent="0.35">
      <c r="A7075" s="224"/>
      <c r="B7075" s="226"/>
      <c r="C7075" s="226"/>
      <c r="D7075" s="226"/>
      <c r="F7075" s="94"/>
    </row>
    <row r="7076" spans="1:6" s="53" customFormat="1" x14ac:dyDescent="0.35">
      <c r="B7076" s="87"/>
      <c r="C7076" s="53" t="s">
        <v>130</v>
      </c>
      <c r="D7076" s="111">
        <f>D7058-D7074</f>
        <v>3855750</v>
      </c>
      <c r="F7076" s="94"/>
    </row>
    <row r="7077" spans="1:6" s="53" customFormat="1" x14ac:dyDescent="0.35">
      <c r="B7077" s="87"/>
      <c r="D7077" s="111"/>
      <c r="F7077" s="94"/>
    </row>
    <row r="7078" spans="1:6" s="53" customFormat="1" x14ac:dyDescent="0.35">
      <c r="A7078" s="112"/>
      <c r="B7078" s="113"/>
      <c r="C7078" s="112"/>
      <c r="D7078" s="114"/>
      <c r="E7078" s="112"/>
      <c r="F7078" s="178"/>
    </row>
    <row r="7080" spans="1:6" s="53" customFormat="1" ht="23.5" x14ac:dyDescent="0.55000000000000004">
      <c r="B7080" s="227" t="s">
        <v>0</v>
      </c>
      <c r="C7080" s="227"/>
      <c r="D7080" s="227"/>
      <c r="E7080" s="70"/>
      <c r="F7080" s="176"/>
    </row>
    <row r="7081" spans="1:6" s="53" customFormat="1" ht="20.5" x14ac:dyDescent="0.45">
      <c r="B7081" s="71"/>
      <c r="C7081" s="72" t="s">
        <v>1668</v>
      </c>
      <c r="D7081" s="73"/>
      <c r="F7081" s="94"/>
    </row>
    <row r="7082" spans="1:6" s="53" customFormat="1" ht="20.5" x14ac:dyDescent="0.45">
      <c r="B7082" s="71" t="s">
        <v>396</v>
      </c>
      <c r="C7082" s="74" t="s">
        <v>103</v>
      </c>
      <c r="D7082" s="73"/>
      <c r="F7082" s="94"/>
    </row>
    <row r="7083" spans="1:6" s="53" customFormat="1" x14ac:dyDescent="0.35">
      <c r="A7083" s="75" t="s">
        <v>104</v>
      </c>
      <c r="B7083" s="76" t="s">
        <v>81</v>
      </c>
      <c r="C7083" s="76" t="s">
        <v>105</v>
      </c>
      <c r="D7083" s="77" t="s">
        <v>84</v>
      </c>
      <c r="F7083" s="94"/>
    </row>
    <row r="7084" spans="1:6" s="53" customFormat="1" ht="14.5" customHeight="1" x14ac:dyDescent="0.35">
      <c r="A7084" s="222" t="s">
        <v>96</v>
      </c>
      <c r="B7084" s="78" t="s">
        <v>1648</v>
      </c>
      <c r="C7084" s="79" t="s">
        <v>959</v>
      </c>
      <c r="D7084" s="80">
        <f>F7091</f>
        <v>11736000</v>
      </c>
      <c r="F7084" s="94"/>
    </row>
    <row r="7085" spans="1:6" s="53" customFormat="1" ht="20.5" x14ac:dyDescent="0.45">
      <c r="A7085" s="223"/>
      <c r="B7085" s="71"/>
      <c r="C7085" s="71"/>
      <c r="D7085" s="73"/>
      <c r="F7085" s="94"/>
    </row>
    <row r="7086" spans="1:6" s="53" customFormat="1" x14ac:dyDescent="0.35">
      <c r="A7086" s="223"/>
      <c r="B7086" s="81" t="s">
        <v>81</v>
      </c>
      <c r="C7086" s="82" t="s">
        <v>107</v>
      </c>
      <c r="D7086" s="83" t="s">
        <v>108</v>
      </c>
      <c r="F7086" s="94"/>
    </row>
    <row r="7087" spans="1:6" s="87" customFormat="1" x14ac:dyDescent="0.35">
      <c r="A7087" s="223"/>
      <c r="B7087" s="84" t="str">
        <f>B7084</f>
        <v>18th December,2025</v>
      </c>
      <c r="C7087" s="85" t="s">
        <v>1708</v>
      </c>
      <c r="D7087" s="86">
        <f>1850*2799</f>
        <v>5178150</v>
      </c>
      <c r="F7087" s="177"/>
    </row>
    <row r="7088" spans="1:6" s="53" customFormat="1" x14ac:dyDescent="0.35">
      <c r="A7088" s="223"/>
      <c r="B7088" s="88"/>
      <c r="C7088" s="89" t="s">
        <v>1646</v>
      </c>
      <c r="D7088" s="90">
        <f>325*2450</f>
        <v>796250</v>
      </c>
      <c r="F7088" s="94"/>
    </row>
    <row r="7089" spans="1:7" s="53" customFormat="1" x14ac:dyDescent="0.35">
      <c r="A7089" s="223"/>
      <c r="B7089" s="88" t="s">
        <v>109</v>
      </c>
      <c r="C7089" s="89" t="s">
        <v>110</v>
      </c>
      <c r="D7089" s="90">
        <v>1000000</v>
      </c>
      <c r="F7089" s="94"/>
    </row>
    <row r="7090" spans="1:7" s="53" customFormat="1" x14ac:dyDescent="0.35">
      <c r="A7090" s="223"/>
      <c r="B7090" s="88" t="s">
        <v>111</v>
      </c>
      <c r="C7090" s="89" t="s">
        <v>112</v>
      </c>
      <c r="D7090" s="90">
        <v>40000</v>
      </c>
      <c r="E7090" s="225" t="s">
        <v>113</v>
      </c>
      <c r="F7090" s="225"/>
    </row>
    <row r="7091" spans="1:7" s="53" customFormat="1" x14ac:dyDescent="0.35">
      <c r="A7091" s="223"/>
      <c r="B7091" s="88" t="s">
        <v>182</v>
      </c>
      <c r="C7091" s="89" t="s">
        <v>115</v>
      </c>
      <c r="D7091" s="90">
        <f>1000*123</f>
        <v>123000</v>
      </c>
      <c r="E7091" s="91" t="s">
        <v>116</v>
      </c>
      <c r="F7091" s="92">
        <f>4800*2445</f>
        <v>11736000</v>
      </c>
    </row>
    <row r="7092" spans="1:7" s="53" customFormat="1" x14ac:dyDescent="0.35">
      <c r="A7092" s="223"/>
      <c r="B7092" s="88"/>
      <c r="C7092" s="89" t="s">
        <v>117</v>
      </c>
      <c r="D7092" s="90">
        <f>4200*123</f>
        <v>516600</v>
      </c>
      <c r="E7092" s="93" t="s">
        <v>118</v>
      </c>
      <c r="F7092" s="94">
        <f>(2880*2445)</f>
        <v>7041600</v>
      </c>
    </row>
    <row r="7093" spans="1:7" s="53" customFormat="1" x14ac:dyDescent="0.35">
      <c r="A7093" s="223"/>
      <c r="B7093" s="88" t="s">
        <v>119</v>
      </c>
      <c r="C7093" s="89" t="s">
        <v>120</v>
      </c>
      <c r="D7093" s="95">
        <v>30000</v>
      </c>
      <c r="E7093" s="96" t="s">
        <v>121</v>
      </c>
      <c r="F7093" s="97">
        <f>F7091-F7092</f>
        <v>4694400</v>
      </c>
      <c r="G7093" s="98">
        <f>F7093/2445</f>
        <v>1920</v>
      </c>
    </row>
    <row r="7094" spans="1:7" s="53" customFormat="1" x14ac:dyDescent="0.35">
      <c r="A7094" s="223"/>
      <c r="B7094" s="88"/>
      <c r="C7094" s="89" t="s">
        <v>122</v>
      </c>
      <c r="D7094" s="90">
        <v>150000</v>
      </c>
      <c r="F7094" s="94"/>
    </row>
    <row r="7095" spans="1:7" s="53" customFormat="1" x14ac:dyDescent="0.35">
      <c r="A7095" s="223"/>
      <c r="B7095" s="88" t="s">
        <v>1667</v>
      </c>
      <c r="C7095" s="99" t="s">
        <v>123</v>
      </c>
      <c r="D7095" s="90">
        <v>15000</v>
      </c>
      <c r="E7095" s="91" t="s">
        <v>124</v>
      </c>
      <c r="F7095" s="92"/>
    </row>
    <row r="7096" spans="1:7" s="53" customFormat="1" x14ac:dyDescent="0.35">
      <c r="A7096" s="223"/>
      <c r="B7096" s="101"/>
      <c r="C7096" s="99" t="s">
        <v>125</v>
      </c>
      <c r="D7096" s="100">
        <v>10000</v>
      </c>
      <c r="E7096" s="102"/>
      <c r="F7096" s="103"/>
    </row>
    <row r="7097" spans="1:7" s="53" customFormat="1" x14ac:dyDescent="0.35">
      <c r="A7097" s="223"/>
      <c r="B7097" s="101"/>
      <c r="C7097" s="99" t="s">
        <v>126</v>
      </c>
      <c r="D7097" s="100">
        <v>20000</v>
      </c>
      <c r="E7097" s="102" t="s">
        <v>127</v>
      </c>
      <c r="F7097" s="103"/>
    </row>
    <row r="7098" spans="1:7" s="53" customFormat="1" x14ac:dyDescent="0.35">
      <c r="A7098" s="223"/>
      <c r="B7098" s="101"/>
      <c r="C7098" s="89" t="s">
        <v>265</v>
      </c>
      <c r="D7098" s="104">
        <f>324*123</f>
        <v>39852</v>
      </c>
      <c r="E7098" s="53" t="s">
        <v>1701</v>
      </c>
      <c r="F7098" s="103"/>
    </row>
    <row r="7099" spans="1:7" s="53" customFormat="1" x14ac:dyDescent="0.35">
      <c r="A7099" s="223"/>
      <c r="B7099" s="105"/>
      <c r="C7099" s="106"/>
      <c r="D7099" s="107"/>
      <c r="F7099" s="94"/>
    </row>
    <row r="7100" spans="1:7" s="53" customFormat="1" x14ac:dyDescent="0.35">
      <c r="A7100" s="223"/>
      <c r="B7100" s="108"/>
      <c r="C7100" s="109" t="s">
        <v>129</v>
      </c>
      <c r="D7100" s="110">
        <f>SUM(D7087:D7099)</f>
        <v>7918852</v>
      </c>
      <c r="F7100" s="94"/>
    </row>
    <row r="7101" spans="1:7" s="53" customFormat="1" x14ac:dyDescent="0.35">
      <c r="A7101" s="224"/>
      <c r="B7101" s="226"/>
      <c r="C7101" s="226"/>
      <c r="D7101" s="226"/>
      <c r="F7101" s="94"/>
    </row>
    <row r="7102" spans="1:7" s="53" customFormat="1" x14ac:dyDescent="0.35">
      <c r="B7102" s="87"/>
      <c r="C7102" s="53" t="s">
        <v>130</v>
      </c>
      <c r="D7102" s="111">
        <f>D7084-D7100</f>
        <v>3817148</v>
      </c>
      <c r="F7102" s="94"/>
    </row>
    <row r="7103" spans="1:7" s="53" customFormat="1" x14ac:dyDescent="0.35">
      <c r="B7103" s="87"/>
      <c r="D7103" s="111"/>
      <c r="F7103" s="94"/>
    </row>
    <row r="7104" spans="1:7" s="53" customFormat="1" x14ac:dyDescent="0.35">
      <c r="A7104" s="112"/>
      <c r="B7104" s="113"/>
      <c r="C7104" s="112"/>
      <c r="D7104" s="114"/>
      <c r="E7104" s="112"/>
      <c r="F7104" s="178"/>
    </row>
    <row r="7106" spans="1:7" s="53" customFormat="1" ht="23.5" x14ac:dyDescent="0.55000000000000004">
      <c r="B7106" s="227" t="s">
        <v>0</v>
      </c>
      <c r="C7106" s="227"/>
      <c r="D7106" s="227"/>
      <c r="E7106" s="70"/>
      <c r="F7106" s="176"/>
    </row>
    <row r="7107" spans="1:7" s="53" customFormat="1" ht="20.5" x14ac:dyDescent="0.45">
      <c r="B7107" s="71"/>
      <c r="C7107" s="72" t="s">
        <v>1670</v>
      </c>
      <c r="D7107" s="73"/>
      <c r="F7107" s="94"/>
    </row>
    <row r="7108" spans="1:7" s="53" customFormat="1" ht="20.5" x14ac:dyDescent="0.45">
      <c r="B7108" s="71" t="s">
        <v>167</v>
      </c>
      <c r="C7108" s="74" t="s">
        <v>103</v>
      </c>
      <c r="D7108" s="73"/>
      <c r="F7108" s="94"/>
    </row>
    <row r="7109" spans="1:7" s="53" customFormat="1" x14ac:dyDescent="0.35">
      <c r="A7109" s="75" t="s">
        <v>104</v>
      </c>
      <c r="B7109" s="76" t="s">
        <v>81</v>
      </c>
      <c r="C7109" s="76" t="s">
        <v>105</v>
      </c>
      <c r="D7109" s="77" t="s">
        <v>84</v>
      </c>
      <c r="F7109" s="94"/>
    </row>
    <row r="7110" spans="1:7" s="53" customFormat="1" ht="14.5" customHeight="1" x14ac:dyDescent="0.35">
      <c r="A7110" s="222" t="s">
        <v>96</v>
      </c>
      <c r="B7110" s="78" t="s">
        <v>1648</v>
      </c>
      <c r="C7110" s="79" t="s">
        <v>959</v>
      </c>
      <c r="D7110" s="80">
        <f>F7117</f>
        <v>11736000</v>
      </c>
      <c r="F7110" s="94"/>
    </row>
    <row r="7111" spans="1:7" s="53" customFormat="1" ht="20.5" x14ac:dyDescent="0.45">
      <c r="A7111" s="223"/>
      <c r="B7111" s="71"/>
      <c r="C7111" s="71"/>
      <c r="D7111" s="73"/>
      <c r="F7111" s="94"/>
    </row>
    <row r="7112" spans="1:7" s="53" customFormat="1" x14ac:dyDescent="0.35">
      <c r="A7112" s="223"/>
      <c r="B7112" s="81" t="s">
        <v>81</v>
      </c>
      <c r="C7112" s="82" t="s">
        <v>107</v>
      </c>
      <c r="D7112" s="83" t="s">
        <v>108</v>
      </c>
      <c r="F7112" s="94"/>
    </row>
    <row r="7113" spans="1:7" s="87" customFormat="1" x14ac:dyDescent="0.35">
      <c r="A7113" s="223"/>
      <c r="B7113" s="84" t="str">
        <f>B7110</f>
        <v>18th December,2025</v>
      </c>
      <c r="C7113" s="85" t="s">
        <v>1738</v>
      </c>
      <c r="D7113" s="86">
        <f>1900*2779</f>
        <v>5280100</v>
      </c>
      <c r="F7113" s="177"/>
    </row>
    <row r="7114" spans="1:7" s="53" customFormat="1" x14ac:dyDescent="0.35">
      <c r="A7114" s="223"/>
      <c r="B7114" s="88"/>
      <c r="C7114" s="89" t="s">
        <v>1646</v>
      </c>
      <c r="D7114" s="90">
        <f>325*2450</f>
        <v>796250</v>
      </c>
      <c r="F7114" s="94"/>
    </row>
    <row r="7115" spans="1:7" s="53" customFormat="1" x14ac:dyDescent="0.35">
      <c r="A7115" s="223"/>
      <c r="B7115" s="88" t="s">
        <v>109</v>
      </c>
      <c r="C7115" s="89" t="s">
        <v>110</v>
      </c>
      <c r="D7115" s="90">
        <v>1000000</v>
      </c>
      <c r="F7115" s="94"/>
    </row>
    <row r="7116" spans="1:7" s="53" customFormat="1" x14ac:dyDescent="0.35">
      <c r="A7116" s="223"/>
      <c r="B7116" s="88" t="s">
        <v>111</v>
      </c>
      <c r="C7116" s="89" t="s">
        <v>112</v>
      </c>
      <c r="D7116" s="90">
        <v>40000</v>
      </c>
      <c r="E7116" s="225" t="s">
        <v>113</v>
      </c>
      <c r="F7116" s="225"/>
    </row>
    <row r="7117" spans="1:7" s="53" customFormat="1" x14ac:dyDescent="0.35">
      <c r="A7117" s="223"/>
      <c r="B7117" s="88" t="s">
        <v>182</v>
      </c>
      <c r="C7117" s="89" t="s">
        <v>115</v>
      </c>
      <c r="D7117" s="90">
        <f>950*123</f>
        <v>116850</v>
      </c>
      <c r="E7117" s="91" t="s">
        <v>116</v>
      </c>
      <c r="F7117" s="92">
        <f>4800*2445</f>
        <v>11736000</v>
      </c>
    </row>
    <row r="7118" spans="1:7" s="53" customFormat="1" x14ac:dyDescent="0.35">
      <c r="A7118" s="223"/>
      <c r="B7118" s="88"/>
      <c r="C7118" s="89" t="s">
        <v>117</v>
      </c>
      <c r="D7118" s="90">
        <f>3600*123</f>
        <v>442800</v>
      </c>
      <c r="E7118" s="93" t="s">
        <v>118</v>
      </c>
      <c r="F7118" s="94">
        <f>(2880*2445)</f>
        <v>7041600</v>
      </c>
    </row>
    <row r="7119" spans="1:7" s="53" customFormat="1" x14ac:dyDescent="0.35">
      <c r="A7119" s="223"/>
      <c r="B7119" s="88" t="s">
        <v>119</v>
      </c>
      <c r="C7119" s="89" t="s">
        <v>120</v>
      </c>
      <c r="D7119" s="95">
        <v>30000</v>
      </c>
      <c r="E7119" s="96" t="s">
        <v>121</v>
      </c>
      <c r="F7119" s="97">
        <f>F7117-F7118</f>
        <v>4694400</v>
      </c>
      <c r="G7119" s="98">
        <f>F7119/2445</f>
        <v>1920</v>
      </c>
    </row>
    <row r="7120" spans="1:7" s="53" customFormat="1" x14ac:dyDescent="0.35">
      <c r="A7120" s="223"/>
      <c r="B7120" s="88"/>
      <c r="C7120" s="89" t="s">
        <v>122</v>
      </c>
      <c r="D7120" s="90">
        <v>150000</v>
      </c>
      <c r="F7120" s="94"/>
    </row>
    <row r="7121" spans="1:6" s="53" customFormat="1" x14ac:dyDescent="0.35">
      <c r="A7121" s="223"/>
      <c r="B7121" s="88" t="s">
        <v>1669</v>
      </c>
      <c r="C7121" s="99" t="s">
        <v>123</v>
      </c>
      <c r="D7121" s="90">
        <v>15000</v>
      </c>
      <c r="E7121" s="91" t="s">
        <v>124</v>
      </c>
      <c r="F7121" s="92"/>
    </row>
    <row r="7122" spans="1:6" s="53" customFormat="1" x14ac:dyDescent="0.35">
      <c r="A7122" s="223"/>
      <c r="B7122" s="101"/>
      <c r="C7122" s="99" t="s">
        <v>125</v>
      </c>
      <c r="D7122" s="100">
        <v>10000</v>
      </c>
      <c r="E7122" s="102"/>
      <c r="F7122" s="103"/>
    </row>
    <row r="7123" spans="1:6" s="53" customFormat="1" x14ac:dyDescent="0.35">
      <c r="A7123" s="223"/>
      <c r="B7123" s="101"/>
      <c r="C7123" s="99" t="s">
        <v>126</v>
      </c>
      <c r="D7123" s="100">
        <v>40000</v>
      </c>
      <c r="E7123" s="102" t="s">
        <v>127</v>
      </c>
      <c r="F7123" s="103"/>
    </row>
    <row r="7124" spans="1:6" s="53" customFormat="1" x14ac:dyDescent="0.35">
      <c r="A7124" s="223"/>
      <c r="B7124" s="101"/>
      <c r="C7124" s="89"/>
      <c r="D7124" s="104"/>
      <c r="E7124" s="53" t="s">
        <v>1703</v>
      </c>
      <c r="F7124" s="103"/>
    </row>
    <row r="7125" spans="1:6" s="53" customFormat="1" x14ac:dyDescent="0.35">
      <c r="A7125" s="223"/>
      <c r="B7125" s="105"/>
      <c r="C7125" s="106"/>
      <c r="D7125" s="107"/>
      <c r="F7125" s="94"/>
    </row>
    <row r="7126" spans="1:6" s="53" customFormat="1" x14ac:dyDescent="0.35">
      <c r="A7126" s="223"/>
      <c r="B7126" s="108"/>
      <c r="C7126" s="109" t="s">
        <v>129</v>
      </c>
      <c r="D7126" s="110">
        <f>SUM(D7113:D7125)</f>
        <v>7921000</v>
      </c>
      <c r="F7126" s="94"/>
    </row>
    <row r="7127" spans="1:6" s="53" customFormat="1" x14ac:dyDescent="0.35">
      <c r="A7127" s="224"/>
      <c r="B7127" s="226"/>
      <c r="C7127" s="226"/>
      <c r="D7127" s="226"/>
      <c r="F7127" s="94"/>
    </row>
    <row r="7128" spans="1:6" s="53" customFormat="1" x14ac:dyDescent="0.35">
      <c r="B7128" s="87"/>
      <c r="C7128" s="53" t="s">
        <v>130</v>
      </c>
      <c r="D7128" s="111">
        <f>D7110-D7126</f>
        <v>3815000</v>
      </c>
      <c r="F7128" s="94"/>
    </row>
    <row r="7129" spans="1:6" s="53" customFormat="1" x14ac:dyDescent="0.35">
      <c r="B7129" s="87"/>
      <c r="D7129" s="111"/>
      <c r="F7129" s="94"/>
    </row>
    <row r="7130" spans="1:6" s="53" customFormat="1" x14ac:dyDescent="0.35">
      <c r="A7130" s="112"/>
      <c r="B7130" s="113"/>
      <c r="C7130" s="112"/>
      <c r="D7130" s="114"/>
      <c r="E7130" s="112"/>
      <c r="F7130" s="178"/>
    </row>
    <row r="7132" spans="1:6" s="53" customFormat="1" ht="23.5" x14ac:dyDescent="0.55000000000000004">
      <c r="B7132" s="227" t="s">
        <v>0</v>
      </c>
      <c r="C7132" s="227"/>
      <c r="D7132" s="227"/>
      <c r="E7132" s="70"/>
      <c r="F7132" s="176"/>
    </row>
    <row r="7133" spans="1:6" s="53" customFormat="1" ht="20.5" x14ac:dyDescent="0.45">
      <c r="B7133" s="71"/>
      <c r="C7133" s="72" t="s">
        <v>1672</v>
      </c>
      <c r="D7133" s="73"/>
      <c r="F7133" s="94"/>
    </row>
    <row r="7134" spans="1:6" s="53" customFormat="1" ht="20.5" x14ac:dyDescent="0.45">
      <c r="B7134" s="71" t="s">
        <v>163</v>
      </c>
      <c r="C7134" s="74" t="s">
        <v>103</v>
      </c>
      <c r="D7134" s="73"/>
      <c r="F7134" s="94"/>
    </row>
    <row r="7135" spans="1:6" s="53" customFormat="1" x14ac:dyDescent="0.35">
      <c r="A7135" s="75" t="s">
        <v>104</v>
      </c>
      <c r="B7135" s="76" t="s">
        <v>81</v>
      </c>
      <c r="C7135" s="76" t="s">
        <v>105</v>
      </c>
      <c r="D7135" s="77" t="s">
        <v>84</v>
      </c>
      <c r="F7135" s="94"/>
    </row>
    <row r="7136" spans="1:6" s="53" customFormat="1" ht="14.5" customHeight="1" x14ac:dyDescent="0.35">
      <c r="A7136" s="222" t="s">
        <v>96</v>
      </c>
      <c r="B7136" s="78" t="s">
        <v>1648</v>
      </c>
      <c r="C7136" s="79" t="s">
        <v>959</v>
      </c>
      <c r="D7136" s="80">
        <f>F7143</f>
        <v>11736000</v>
      </c>
      <c r="F7136" s="94"/>
    </row>
    <row r="7137" spans="1:7" s="53" customFormat="1" ht="20.5" x14ac:dyDescent="0.45">
      <c r="A7137" s="223"/>
      <c r="B7137" s="71"/>
      <c r="C7137" s="71"/>
      <c r="D7137" s="73"/>
      <c r="F7137" s="94"/>
    </row>
    <row r="7138" spans="1:7" s="53" customFormat="1" x14ac:dyDescent="0.35">
      <c r="A7138" s="223"/>
      <c r="B7138" s="81" t="s">
        <v>81</v>
      </c>
      <c r="C7138" s="82" t="s">
        <v>107</v>
      </c>
      <c r="D7138" s="83" t="s">
        <v>108</v>
      </c>
      <c r="F7138" s="94"/>
    </row>
    <row r="7139" spans="1:7" s="87" customFormat="1" x14ac:dyDescent="0.35">
      <c r="A7139" s="223"/>
      <c r="B7139" s="84" t="str">
        <f>B7136</f>
        <v>18th December,2025</v>
      </c>
      <c r="C7139" s="85" t="s">
        <v>1738</v>
      </c>
      <c r="D7139" s="86">
        <f>1900*2779</f>
        <v>5280100</v>
      </c>
      <c r="F7139" s="177"/>
    </row>
    <row r="7140" spans="1:7" s="53" customFormat="1" x14ac:dyDescent="0.35">
      <c r="A7140" s="223"/>
      <c r="B7140" s="88"/>
      <c r="C7140" s="89" t="s">
        <v>1646</v>
      </c>
      <c r="D7140" s="90">
        <f>325*2450</f>
        <v>796250</v>
      </c>
      <c r="F7140" s="94"/>
    </row>
    <row r="7141" spans="1:7" s="53" customFormat="1" x14ac:dyDescent="0.35">
      <c r="A7141" s="223"/>
      <c r="B7141" s="88" t="s">
        <v>109</v>
      </c>
      <c r="C7141" s="89" t="s">
        <v>110</v>
      </c>
      <c r="D7141" s="90">
        <v>1000000</v>
      </c>
      <c r="F7141" s="94"/>
    </row>
    <row r="7142" spans="1:7" s="53" customFormat="1" x14ac:dyDescent="0.35">
      <c r="A7142" s="223"/>
      <c r="B7142" s="88" t="s">
        <v>111</v>
      </c>
      <c r="C7142" s="89" t="s">
        <v>112</v>
      </c>
      <c r="D7142" s="90">
        <v>40000</v>
      </c>
      <c r="E7142" s="225" t="s">
        <v>113</v>
      </c>
      <c r="F7142" s="225"/>
    </row>
    <row r="7143" spans="1:7" s="53" customFormat="1" x14ac:dyDescent="0.35">
      <c r="A7143" s="223"/>
      <c r="B7143" s="88" t="s">
        <v>182</v>
      </c>
      <c r="C7143" s="89" t="s">
        <v>115</v>
      </c>
      <c r="D7143" s="90">
        <f>950*123</f>
        <v>116850</v>
      </c>
      <c r="E7143" s="91" t="s">
        <v>116</v>
      </c>
      <c r="F7143" s="92">
        <f>4800*2445</f>
        <v>11736000</v>
      </c>
    </row>
    <row r="7144" spans="1:7" s="53" customFormat="1" x14ac:dyDescent="0.35">
      <c r="A7144" s="223"/>
      <c r="B7144" s="88"/>
      <c r="C7144" s="89" t="s">
        <v>117</v>
      </c>
      <c r="D7144" s="90">
        <f>3600*123</f>
        <v>442800</v>
      </c>
      <c r="E7144" s="93" t="s">
        <v>118</v>
      </c>
      <c r="F7144" s="94">
        <f>(2880*2445)</f>
        <v>7041600</v>
      </c>
    </row>
    <row r="7145" spans="1:7" s="53" customFormat="1" x14ac:dyDescent="0.35">
      <c r="A7145" s="223"/>
      <c r="B7145" s="88" t="s">
        <v>119</v>
      </c>
      <c r="C7145" s="89" t="s">
        <v>120</v>
      </c>
      <c r="D7145" s="95">
        <v>30000</v>
      </c>
      <c r="E7145" s="96" t="s">
        <v>121</v>
      </c>
      <c r="F7145" s="97">
        <f>F7143-F7144</f>
        <v>4694400</v>
      </c>
      <c r="G7145" s="98">
        <f>F7145/2445</f>
        <v>1920</v>
      </c>
    </row>
    <row r="7146" spans="1:7" s="53" customFormat="1" x14ac:dyDescent="0.35">
      <c r="A7146" s="223"/>
      <c r="B7146" s="88"/>
      <c r="C7146" s="89" t="s">
        <v>122</v>
      </c>
      <c r="D7146" s="90">
        <v>150000</v>
      </c>
      <c r="F7146" s="94"/>
    </row>
    <row r="7147" spans="1:7" s="53" customFormat="1" x14ac:dyDescent="0.35">
      <c r="A7147" s="223"/>
      <c r="B7147" s="88" t="s">
        <v>1671</v>
      </c>
      <c r="C7147" s="99" t="s">
        <v>123</v>
      </c>
      <c r="D7147" s="90">
        <v>15000</v>
      </c>
      <c r="E7147" s="91" t="s">
        <v>124</v>
      </c>
      <c r="F7147" s="92"/>
    </row>
    <row r="7148" spans="1:7" s="53" customFormat="1" x14ac:dyDescent="0.35">
      <c r="A7148" s="223"/>
      <c r="B7148" s="101"/>
      <c r="C7148" s="99" t="s">
        <v>125</v>
      </c>
      <c r="D7148" s="100">
        <v>10000</v>
      </c>
      <c r="E7148" s="102"/>
      <c r="F7148" s="103"/>
    </row>
    <row r="7149" spans="1:7" s="53" customFormat="1" x14ac:dyDescent="0.35">
      <c r="A7149" s="223"/>
      <c r="B7149" s="101"/>
      <c r="C7149" s="99" t="s">
        <v>126</v>
      </c>
      <c r="D7149" s="100">
        <v>40000</v>
      </c>
      <c r="E7149" s="102" t="s">
        <v>127</v>
      </c>
      <c r="F7149" s="103"/>
    </row>
    <row r="7150" spans="1:7" s="53" customFormat="1" x14ac:dyDescent="0.35">
      <c r="A7150" s="223"/>
      <c r="B7150" s="101"/>
      <c r="C7150" s="89"/>
      <c r="D7150" s="104"/>
      <c r="E7150" s="53" t="s">
        <v>1703</v>
      </c>
      <c r="F7150" s="103"/>
    </row>
    <row r="7151" spans="1:7" s="53" customFormat="1" x14ac:dyDescent="0.35">
      <c r="A7151" s="223"/>
      <c r="B7151" s="105"/>
      <c r="C7151" s="106"/>
      <c r="D7151" s="107"/>
      <c r="F7151" s="94"/>
    </row>
    <row r="7152" spans="1:7" s="53" customFormat="1" x14ac:dyDescent="0.35">
      <c r="A7152" s="223"/>
      <c r="B7152" s="108"/>
      <c r="C7152" s="109" t="s">
        <v>129</v>
      </c>
      <c r="D7152" s="110">
        <f>SUM(D7139:D7151)</f>
        <v>7921000</v>
      </c>
      <c r="F7152" s="94"/>
    </row>
    <row r="7153" spans="1:6" s="53" customFormat="1" x14ac:dyDescent="0.35">
      <c r="A7153" s="224"/>
      <c r="B7153" s="226"/>
      <c r="C7153" s="226"/>
      <c r="D7153" s="226"/>
      <c r="F7153" s="94"/>
    </row>
    <row r="7154" spans="1:6" s="53" customFormat="1" x14ac:dyDescent="0.35">
      <c r="B7154" s="87"/>
      <c r="C7154" s="53" t="s">
        <v>130</v>
      </c>
      <c r="D7154" s="111">
        <f>D7136-D7152</f>
        <v>3815000</v>
      </c>
      <c r="F7154" s="94"/>
    </row>
    <row r="7155" spans="1:6" s="53" customFormat="1" x14ac:dyDescent="0.35">
      <c r="B7155" s="87"/>
      <c r="D7155" s="111"/>
      <c r="F7155" s="94"/>
    </row>
    <row r="7156" spans="1:6" s="53" customFormat="1" x14ac:dyDescent="0.35">
      <c r="A7156" s="112"/>
      <c r="B7156" s="113"/>
      <c r="C7156" s="112"/>
      <c r="D7156" s="114"/>
      <c r="E7156" s="112"/>
      <c r="F7156" s="178"/>
    </row>
    <row r="7158" spans="1:6" s="53" customFormat="1" ht="23.5" x14ac:dyDescent="0.55000000000000004">
      <c r="B7158" s="227" t="s">
        <v>0</v>
      </c>
      <c r="C7158" s="227"/>
      <c r="D7158" s="227"/>
      <c r="E7158" s="70"/>
      <c r="F7158" s="176"/>
    </row>
    <row r="7159" spans="1:6" s="53" customFormat="1" ht="20.5" x14ac:dyDescent="0.45">
      <c r="B7159" s="71"/>
      <c r="C7159" s="72" t="s">
        <v>1674</v>
      </c>
      <c r="D7159" s="73"/>
      <c r="F7159" s="94"/>
    </row>
    <row r="7160" spans="1:6" s="53" customFormat="1" ht="20.5" x14ac:dyDescent="0.45">
      <c r="B7160" s="71" t="s">
        <v>173</v>
      </c>
      <c r="C7160" s="74" t="s">
        <v>103</v>
      </c>
      <c r="D7160" s="73"/>
      <c r="F7160" s="94"/>
    </row>
    <row r="7161" spans="1:6" s="53" customFormat="1" x14ac:dyDescent="0.35">
      <c r="A7161" s="75" t="s">
        <v>104</v>
      </c>
      <c r="B7161" s="76" t="s">
        <v>81</v>
      </c>
      <c r="C7161" s="76" t="s">
        <v>105</v>
      </c>
      <c r="D7161" s="77" t="s">
        <v>84</v>
      </c>
      <c r="F7161" s="94"/>
    </row>
    <row r="7162" spans="1:6" s="53" customFormat="1" ht="14.5" customHeight="1" x14ac:dyDescent="0.35">
      <c r="A7162" s="222" t="s">
        <v>96</v>
      </c>
      <c r="B7162" s="78" t="s">
        <v>1648</v>
      </c>
      <c r="C7162" s="79" t="s">
        <v>959</v>
      </c>
      <c r="D7162" s="80">
        <f>F7169</f>
        <v>11736000</v>
      </c>
      <c r="F7162" s="94"/>
    </row>
    <row r="7163" spans="1:6" s="53" customFormat="1" ht="20.5" x14ac:dyDescent="0.45">
      <c r="A7163" s="223"/>
      <c r="B7163" s="71"/>
      <c r="C7163" s="71"/>
      <c r="D7163" s="73"/>
      <c r="F7163" s="94"/>
    </row>
    <row r="7164" spans="1:6" s="53" customFormat="1" x14ac:dyDescent="0.35">
      <c r="A7164" s="223"/>
      <c r="B7164" s="81" t="s">
        <v>81</v>
      </c>
      <c r="C7164" s="82" t="s">
        <v>107</v>
      </c>
      <c r="D7164" s="83" t="s">
        <v>108</v>
      </c>
      <c r="F7164" s="94"/>
    </row>
    <row r="7165" spans="1:6" s="87" customFormat="1" x14ac:dyDescent="0.35">
      <c r="A7165" s="223"/>
      <c r="B7165" s="84" t="str">
        <f>B7162</f>
        <v>18th December,2025</v>
      </c>
      <c r="C7165" s="85" t="s">
        <v>1738</v>
      </c>
      <c r="D7165" s="86">
        <f>1900*2779</f>
        <v>5280100</v>
      </c>
      <c r="F7165" s="177"/>
    </row>
    <row r="7166" spans="1:6" s="53" customFormat="1" x14ac:dyDescent="0.35">
      <c r="A7166" s="223"/>
      <c r="B7166" s="88"/>
      <c r="C7166" s="89" t="s">
        <v>1646</v>
      </c>
      <c r="D7166" s="90">
        <f>325*2450</f>
        <v>796250</v>
      </c>
      <c r="F7166" s="94"/>
    </row>
    <row r="7167" spans="1:6" s="53" customFormat="1" x14ac:dyDescent="0.35">
      <c r="A7167" s="223"/>
      <c r="B7167" s="88" t="s">
        <v>109</v>
      </c>
      <c r="C7167" s="89" t="s">
        <v>110</v>
      </c>
      <c r="D7167" s="90">
        <v>1000000</v>
      </c>
      <c r="F7167" s="94"/>
    </row>
    <row r="7168" spans="1:6" s="53" customFormat="1" x14ac:dyDescent="0.35">
      <c r="A7168" s="223"/>
      <c r="B7168" s="88" t="s">
        <v>111</v>
      </c>
      <c r="C7168" s="89" t="s">
        <v>112</v>
      </c>
      <c r="D7168" s="90">
        <v>40000</v>
      </c>
      <c r="E7168" s="225" t="s">
        <v>113</v>
      </c>
      <c r="F7168" s="225"/>
    </row>
    <row r="7169" spans="1:7" s="53" customFormat="1" x14ac:dyDescent="0.35">
      <c r="A7169" s="223"/>
      <c r="B7169" s="88" t="s">
        <v>182</v>
      </c>
      <c r="C7169" s="89" t="s">
        <v>115</v>
      </c>
      <c r="D7169" s="90">
        <f>950*123</f>
        <v>116850</v>
      </c>
      <c r="E7169" s="91" t="s">
        <v>116</v>
      </c>
      <c r="F7169" s="92">
        <f>4800*2445</f>
        <v>11736000</v>
      </c>
    </row>
    <row r="7170" spans="1:7" s="53" customFormat="1" x14ac:dyDescent="0.35">
      <c r="A7170" s="223"/>
      <c r="B7170" s="88"/>
      <c r="C7170" s="89" t="s">
        <v>117</v>
      </c>
      <c r="D7170" s="90">
        <f>3600*123</f>
        <v>442800</v>
      </c>
      <c r="E7170" s="93" t="s">
        <v>118</v>
      </c>
      <c r="F7170" s="94">
        <f>(2880*2445)+(1720*2445)</f>
        <v>11247000</v>
      </c>
    </row>
    <row r="7171" spans="1:7" s="53" customFormat="1" x14ac:dyDescent="0.35">
      <c r="A7171" s="223"/>
      <c r="B7171" s="88" t="s">
        <v>119</v>
      </c>
      <c r="C7171" s="89" t="s">
        <v>120</v>
      </c>
      <c r="D7171" s="95">
        <v>30000</v>
      </c>
      <c r="E7171" s="96" t="s">
        <v>121</v>
      </c>
      <c r="F7171" s="97">
        <f>F7169-F7170</f>
        <v>489000</v>
      </c>
      <c r="G7171" s="98">
        <f>F7171/2445</f>
        <v>200</v>
      </c>
    </row>
    <row r="7172" spans="1:7" s="53" customFormat="1" x14ac:dyDescent="0.35">
      <c r="A7172" s="223"/>
      <c r="B7172" s="88"/>
      <c r="C7172" s="89" t="s">
        <v>122</v>
      </c>
      <c r="D7172" s="90">
        <v>150000</v>
      </c>
      <c r="F7172" s="94"/>
    </row>
    <row r="7173" spans="1:7" s="53" customFormat="1" x14ac:dyDescent="0.35">
      <c r="A7173" s="223"/>
      <c r="B7173" s="88" t="s">
        <v>1673</v>
      </c>
      <c r="C7173" s="99" t="s">
        <v>123</v>
      </c>
      <c r="D7173" s="90">
        <v>15000</v>
      </c>
      <c r="E7173" s="91" t="s">
        <v>124</v>
      </c>
      <c r="F7173" s="92"/>
    </row>
    <row r="7174" spans="1:7" s="53" customFormat="1" x14ac:dyDescent="0.35">
      <c r="A7174" s="223"/>
      <c r="B7174" s="101"/>
      <c r="C7174" s="99" t="s">
        <v>125</v>
      </c>
      <c r="D7174" s="100">
        <v>10000</v>
      </c>
      <c r="E7174" s="102"/>
      <c r="F7174" s="103"/>
    </row>
    <row r="7175" spans="1:7" s="53" customFormat="1" x14ac:dyDescent="0.35">
      <c r="A7175" s="223"/>
      <c r="B7175" s="101"/>
      <c r="C7175" s="99" t="s">
        <v>126</v>
      </c>
      <c r="D7175" s="100">
        <v>40000</v>
      </c>
      <c r="E7175" s="102" t="s">
        <v>127</v>
      </c>
      <c r="F7175" s="103"/>
    </row>
    <row r="7176" spans="1:7" s="53" customFormat="1" x14ac:dyDescent="0.35">
      <c r="A7176" s="223"/>
      <c r="B7176" s="101"/>
      <c r="C7176" s="89"/>
      <c r="D7176" s="104"/>
      <c r="E7176" s="53" t="s">
        <v>1702</v>
      </c>
      <c r="F7176" s="103"/>
    </row>
    <row r="7177" spans="1:7" s="53" customFormat="1" x14ac:dyDescent="0.35">
      <c r="A7177" s="223"/>
      <c r="B7177" s="105"/>
      <c r="C7177" s="106"/>
      <c r="D7177" s="107"/>
      <c r="E7177" s="53" t="s">
        <v>1766</v>
      </c>
      <c r="F7177" s="94"/>
    </row>
    <row r="7178" spans="1:7" s="53" customFormat="1" x14ac:dyDescent="0.35">
      <c r="A7178" s="223"/>
      <c r="B7178" s="108"/>
      <c r="C7178" s="109" t="s">
        <v>129</v>
      </c>
      <c r="D7178" s="110">
        <f>SUM(D7165:D7177)</f>
        <v>7921000</v>
      </c>
      <c r="F7178" s="94"/>
    </row>
    <row r="7179" spans="1:7" s="53" customFormat="1" x14ac:dyDescent="0.35">
      <c r="A7179" s="224"/>
      <c r="B7179" s="226"/>
      <c r="C7179" s="226"/>
      <c r="D7179" s="226"/>
      <c r="F7179" s="94"/>
    </row>
    <row r="7180" spans="1:7" s="53" customFormat="1" x14ac:dyDescent="0.35">
      <c r="B7180" s="87"/>
      <c r="C7180" s="53" t="s">
        <v>130</v>
      </c>
      <c r="D7180" s="111">
        <f>D7162-D7178</f>
        <v>3815000</v>
      </c>
      <c r="F7180" s="94"/>
    </row>
    <row r="7181" spans="1:7" s="53" customFormat="1" x14ac:dyDescent="0.35">
      <c r="B7181" s="87"/>
      <c r="D7181" s="111"/>
      <c r="F7181" s="94"/>
    </row>
    <row r="7182" spans="1:7" s="53" customFormat="1" x14ac:dyDescent="0.35">
      <c r="A7182" s="112"/>
      <c r="B7182" s="113"/>
      <c r="C7182" s="112"/>
      <c r="D7182" s="114"/>
      <c r="E7182" s="112"/>
      <c r="F7182" s="178"/>
    </row>
    <row r="7184" spans="1:7" s="53" customFormat="1" ht="23.5" x14ac:dyDescent="0.55000000000000004">
      <c r="B7184" s="227" t="s">
        <v>0</v>
      </c>
      <c r="C7184" s="227"/>
      <c r="D7184" s="227"/>
      <c r="E7184" s="70"/>
      <c r="F7184" s="176"/>
    </row>
    <row r="7185" spans="1:7" s="53" customFormat="1" ht="20.5" x14ac:dyDescent="0.45">
      <c r="B7185" s="71"/>
      <c r="C7185" s="72" t="s">
        <v>1676</v>
      </c>
      <c r="D7185" s="73"/>
      <c r="F7185" s="94"/>
    </row>
    <row r="7186" spans="1:7" s="53" customFormat="1" ht="20.5" x14ac:dyDescent="0.45">
      <c r="B7186" s="71" t="s">
        <v>974</v>
      </c>
      <c r="C7186" s="74" t="s">
        <v>103</v>
      </c>
      <c r="D7186" s="73"/>
      <c r="F7186" s="94"/>
    </row>
    <row r="7187" spans="1:7" s="53" customFormat="1" x14ac:dyDescent="0.35">
      <c r="A7187" s="75" t="s">
        <v>104</v>
      </c>
      <c r="B7187" s="76" t="s">
        <v>81</v>
      </c>
      <c r="C7187" s="76" t="s">
        <v>105</v>
      </c>
      <c r="D7187" s="77" t="s">
        <v>84</v>
      </c>
      <c r="F7187" s="94"/>
    </row>
    <row r="7188" spans="1:7" s="53" customFormat="1" ht="14.5" customHeight="1" x14ac:dyDescent="0.35">
      <c r="A7188" s="222" t="s">
        <v>96</v>
      </c>
      <c r="B7188" s="78" t="s">
        <v>1648</v>
      </c>
      <c r="C7188" s="79" t="s">
        <v>959</v>
      </c>
      <c r="D7188" s="80">
        <f>F7195</f>
        <v>11736000</v>
      </c>
      <c r="F7188" s="94"/>
    </row>
    <row r="7189" spans="1:7" s="53" customFormat="1" ht="20.5" x14ac:dyDescent="0.45">
      <c r="A7189" s="223"/>
      <c r="B7189" s="71"/>
      <c r="C7189" s="71"/>
      <c r="D7189" s="73"/>
      <c r="F7189" s="94"/>
    </row>
    <row r="7190" spans="1:7" s="53" customFormat="1" x14ac:dyDescent="0.35">
      <c r="A7190" s="223"/>
      <c r="B7190" s="81" t="s">
        <v>81</v>
      </c>
      <c r="C7190" s="82" t="s">
        <v>107</v>
      </c>
      <c r="D7190" s="83" t="s">
        <v>108</v>
      </c>
      <c r="F7190" s="94"/>
    </row>
    <row r="7191" spans="1:7" s="87" customFormat="1" x14ac:dyDescent="0.35">
      <c r="A7191" s="223"/>
      <c r="B7191" s="84" t="str">
        <f>B7188</f>
        <v>18th December,2025</v>
      </c>
      <c r="C7191" s="85" t="s">
        <v>1738</v>
      </c>
      <c r="D7191" s="86">
        <f>1900*2779</f>
        <v>5280100</v>
      </c>
      <c r="F7191" s="177"/>
    </row>
    <row r="7192" spans="1:7" s="53" customFormat="1" x14ac:dyDescent="0.35">
      <c r="A7192" s="223"/>
      <c r="B7192" s="88"/>
      <c r="C7192" s="89" t="s">
        <v>1646</v>
      </c>
      <c r="D7192" s="90">
        <f>325*2450</f>
        <v>796250</v>
      </c>
      <c r="F7192" s="94"/>
    </row>
    <row r="7193" spans="1:7" s="53" customFormat="1" x14ac:dyDescent="0.35">
      <c r="A7193" s="223"/>
      <c r="B7193" s="88" t="s">
        <v>109</v>
      </c>
      <c r="C7193" s="89" t="s">
        <v>110</v>
      </c>
      <c r="D7193" s="90">
        <v>1000000</v>
      </c>
      <c r="F7193" s="94"/>
    </row>
    <row r="7194" spans="1:7" s="53" customFormat="1" x14ac:dyDescent="0.35">
      <c r="A7194" s="223"/>
      <c r="B7194" s="88" t="s">
        <v>111</v>
      </c>
      <c r="C7194" s="89" t="s">
        <v>112</v>
      </c>
      <c r="D7194" s="90">
        <v>40000</v>
      </c>
      <c r="E7194" s="225" t="s">
        <v>113</v>
      </c>
      <c r="F7194" s="225"/>
    </row>
    <row r="7195" spans="1:7" s="53" customFormat="1" x14ac:dyDescent="0.35">
      <c r="A7195" s="223"/>
      <c r="B7195" s="88" t="s">
        <v>182</v>
      </c>
      <c r="C7195" s="89" t="s">
        <v>115</v>
      </c>
      <c r="D7195" s="90">
        <f>950*123</f>
        <v>116850</v>
      </c>
      <c r="E7195" s="91" t="s">
        <v>116</v>
      </c>
      <c r="F7195" s="92">
        <f>4800*2445</f>
        <v>11736000</v>
      </c>
    </row>
    <row r="7196" spans="1:7" s="53" customFormat="1" x14ac:dyDescent="0.35">
      <c r="A7196" s="223"/>
      <c r="B7196" s="88"/>
      <c r="C7196" s="89" t="s">
        <v>117</v>
      </c>
      <c r="D7196" s="90">
        <f>3600*123</f>
        <v>442800</v>
      </c>
      <c r="E7196" s="93" t="s">
        <v>118</v>
      </c>
      <c r="F7196" s="94">
        <f>(2880*2445)</f>
        <v>7041600</v>
      </c>
    </row>
    <row r="7197" spans="1:7" s="53" customFormat="1" x14ac:dyDescent="0.35">
      <c r="A7197" s="223"/>
      <c r="B7197" s="88" t="s">
        <v>119</v>
      </c>
      <c r="C7197" s="89" t="s">
        <v>120</v>
      </c>
      <c r="D7197" s="95">
        <v>30000</v>
      </c>
      <c r="E7197" s="96" t="s">
        <v>121</v>
      </c>
      <c r="F7197" s="97">
        <f>F7195-F7196</f>
        <v>4694400</v>
      </c>
      <c r="G7197" s="98">
        <f>F7197/2445</f>
        <v>1920</v>
      </c>
    </row>
    <row r="7198" spans="1:7" s="53" customFormat="1" x14ac:dyDescent="0.35">
      <c r="A7198" s="223"/>
      <c r="B7198" s="88"/>
      <c r="C7198" s="89" t="s">
        <v>122</v>
      </c>
      <c r="D7198" s="90">
        <v>150000</v>
      </c>
      <c r="F7198" s="94"/>
    </row>
    <row r="7199" spans="1:7" s="53" customFormat="1" x14ac:dyDescent="0.35">
      <c r="A7199" s="223"/>
      <c r="B7199" s="88" t="s">
        <v>1675</v>
      </c>
      <c r="C7199" s="99" t="s">
        <v>123</v>
      </c>
      <c r="D7199" s="90">
        <v>15000</v>
      </c>
      <c r="E7199" s="91" t="s">
        <v>124</v>
      </c>
      <c r="F7199" s="92"/>
    </row>
    <row r="7200" spans="1:7" s="53" customFormat="1" x14ac:dyDescent="0.35">
      <c r="A7200" s="223"/>
      <c r="B7200" s="101"/>
      <c r="C7200" s="99" t="s">
        <v>125</v>
      </c>
      <c r="D7200" s="100">
        <v>10000</v>
      </c>
      <c r="E7200" s="102"/>
      <c r="F7200" s="103"/>
    </row>
    <row r="7201" spans="1:6" s="53" customFormat="1" x14ac:dyDescent="0.35">
      <c r="A7201" s="223"/>
      <c r="B7201" s="101"/>
      <c r="C7201" s="99" t="s">
        <v>126</v>
      </c>
      <c r="D7201" s="100">
        <v>40000</v>
      </c>
      <c r="E7201" s="102" t="s">
        <v>127</v>
      </c>
      <c r="F7201" s="103"/>
    </row>
    <row r="7202" spans="1:6" s="53" customFormat="1" x14ac:dyDescent="0.35">
      <c r="A7202" s="223"/>
      <c r="B7202" s="101"/>
      <c r="C7202" s="89"/>
      <c r="D7202" s="104"/>
      <c r="E7202" s="53" t="s">
        <v>1701</v>
      </c>
      <c r="F7202" s="103"/>
    </row>
    <row r="7203" spans="1:6" s="53" customFormat="1" x14ac:dyDescent="0.35">
      <c r="A7203" s="223"/>
      <c r="B7203" s="105"/>
      <c r="C7203" s="106"/>
      <c r="D7203" s="107"/>
      <c r="F7203" s="94"/>
    </row>
    <row r="7204" spans="1:6" s="53" customFormat="1" x14ac:dyDescent="0.35">
      <c r="A7204" s="223"/>
      <c r="B7204" s="108"/>
      <c r="C7204" s="109" t="s">
        <v>129</v>
      </c>
      <c r="D7204" s="110">
        <f>SUM(D7191:D7203)</f>
        <v>7921000</v>
      </c>
      <c r="F7204" s="94"/>
    </row>
    <row r="7205" spans="1:6" s="53" customFormat="1" x14ac:dyDescent="0.35">
      <c r="A7205" s="224"/>
      <c r="B7205" s="226"/>
      <c r="C7205" s="226"/>
      <c r="D7205" s="226"/>
      <c r="F7205" s="94"/>
    </row>
    <row r="7206" spans="1:6" s="53" customFormat="1" x14ac:dyDescent="0.35">
      <c r="B7206" s="87"/>
      <c r="C7206" s="53" t="s">
        <v>130</v>
      </c>
      <c r="D7206" s="111">
        <f>D7188-D7204</f>
        <v>3815000</v>
      </c>
      <c r="F7206" s="94"/>
    </row>
    <row r="7207" spans="1:6" s="53" customFormat="1" x14ac:dyDescent="0.35">
      <c r="B7207" s="87"/>
      <c r="D7207" s="111"/>
      <c r="F7207" s="94"/>
    </row>
    <row r="7208" spans="1:6" s="53" customFormat="1" x14ac:dyDescent="0.35">
      <c r="A7208" s="112"/>
      <c r="B7208" s="113"/>
      <c r="C7208" s="112"/>
      <c r="D7208" s="114"/>
      <c r="E7208" s="112"/>
      <c r="F7208" s="178"/>
    </row>
    <row r="7210" spans="1:6" s="53" customFormat="1" ht="23.5" x14ac:dyDescent="0.55000000000000004">
      <c r="B7210" s="227" t="s">
        <v>0</v>
      </c>
      <c r="C7210" s="227"/>
      <c r="D7210" s="227"/>
      <c r="E7210" s="70"/>
      <c r="F7210" s="176"/>
    </row>
    <row r="7211" spans="1:6" s="53" customFormat="1" ht="20.5" x14ac:dyDescent="0.45">
      <c r="B7211" s="71"/>
      <c r="C7211" s="72" t="s">
        <v>1678</v>
      </c>
      <c r="D7211" s="73"/>
      <c r="F7211" s="94"/>
    </row>
    <row r="7212" spans="1:6" s="53" customFormat="1" ht="20.5" x14ac:dyDescent="0.45">
      <c r="B7212" s="71" t="s">
        <v>296</v>
      </c>
      <c r="C7212" s="74" t="s">
        <v>103</v>
      </c>
      <c r="D7212" s="73"/>
      <c r="F7212" s="94"/>
    </row>
    <row r="7213" spans="1:6" s="53" customFormat="1" x14ac:dyDescent="0.35">
      <c r="A7213" s="75" t="s">
        <v>104</v>
      </c>
      <c r="B7213" s="76" t="s">
        <v>81</v>
      </c>
      <c r="C7213" s="76" t="s">
        <v>105</v>
      </c>
      <c r="D7213" s="77" t="s">
        <v>84</v>
      </c>
      <c r="F7213" s="94"/>
    </row>
    <row r="7214" spans="1:6" s="53" customFormat="1" ht="14.5" customHeight="1" x14ac:dyDescent="0.35">
      <c r="A7214" s="222" t="s">
        <v>96</v>
      </c>
      <c r="B7214" s="78" t="s">
        <v>1648</v>
      </c>
      <c r="C7214" s="79" t="s">
        <v>959</v>
      </c>
      <c r="D7214" s="80">
        <f>F7221</f>
        <v>11736000</v>
      </c>
      <c r="F7214" s="94"/>
    </row>
    <row r="7215" spans="1:6" s="53" customFormat="1" ht="20.5" x14ac:dyDescent="0.45">
      <c r="A7215" s="223"/>
      <c r="B7215" s="71"/>
      <c r="C7215" s="71"/>
      <c r="D7215" s="73"/>
      <c r="F7215" s="94"/>
    </row>
    <row r="7216" spans="1:6" s="53" customFormat="1" x14ac:dyDescent="0.35">
      <c r="A7216" s="223"/>
      <c r="B7216" s="81" t="s">
        <v>81</v>
      </c>
      <c r="C7216" s="82" t="s">
        <v>107</v>
      </c>
      <c r="D7216" s="83" t="s">
        <v>108</v>
      </c>
      <c r="F7216" s="94"/>
    </row>
    <row r="7217" spans="1:7" s="87" customFormat="1" x14ac:dyDescent="0.35">
      <c r="A7217" s="223"/>
      <c r="B7217" s="84" t="str">
        <f>B7214</f>
        <v>18th December,2025</v>
      </c>
      <c r="C7217" s="85" t="s">
        <v>1738</v>
      </c>
      <c r="D7217" s="86">
        <f>1900*2779</f>
        <v>5280100</v>
      </c>
      <c r="F7217" s="177"/>
    </row>
    <row r="7218" spans="1:7" s="53" customFormat="1" x14ac:dyDescent="0.35">
      <c r="A7218" s="223"/>
      <c r="B7218" s="88"/>
      <c r="C7218" s="89" t="s">
        <v>1646</v>
      </c>
      <c r="D7218" s="90">
        <f>325*2450</f>
        <v>796250</v>
      </c>
      <c r="F7218" s="94"/>
    </row>
    <row r="7219" spans="1:7" s="53" customFormat="1" x14ac:dyDescent="0.35">
      <c r="A7219" s="223"/>
      <c r="B7219" s="88" t="s">
        <v>109</v>
      </c>
      <c r="C7219" s="89" t="s">
        <v>110</v>
      </c>
      <c r="D7219" s="90">
        <v>1000000</v>
      </c>
      <c r="F7219" s="94"/>
    </row>
    <row r="7220" spans="1:7" s="53" customFormat="1" x14ac:dyDescent="0.35">
      <c r="A7220" s="223"/>
      <c r="B7220" s="88" t="s">
        <v>111</v>
      </c>
      <c r="C7220" s="89" t="s">
        <v>112</v>
      </c>
      <c r="D7220" s="90">
        <v>40000</v>
      </c>
      <c r="E7220" s="225" t="s">
        <v>113</v>
      </c>
      <c r="F7220" s="225"/>
    </row>
    <row r="7221" spans="1:7" s="53" customFormat="1" x14ac:dyDescent="0.35">
      <c r="A7221" s="223"/>
      <c r="B7221" s="88" t="s">
        <v>182</v>
      </c>
      <c r="C7221" s="89" t="s">
        <v>115</v>
      </c>
      <c r="D7221" s="90">
        <f>400*123</f>
        <v>49200</v>
      </c>
      <c r="E7221" s="91" t="s">
        <v>116</v>
      </c>
      <c r="F7221" s="92">
        <f>4800*2445</f>
        <v>11736000</v>
      </c>
    </row>
    <row r="7222" spans="1:7" s="53" customFormat="1" x14ac:dyDescent="0.35">
      <c r="A7222" s="223"/>
      <c r="B7222" s="88"/>
      <c r="C7222" s="89" t="s">
        <v>117</v>
      </c>
      <c r="D7222" s="90">
        <f>3600*123</f>
        <v>442800</v>
      </c>
      <c r="E7222" s="93" t="s">
        <v>118</v>
      </c>
      <c r="F7222" s="94">
        <f>(2880*2445)+(1920*2445)</f>
        <v>11736000</v>
      </c>
    </row>
    <row r="7223" spans="1:7" s="53" customFormat="1" x14ac:dyDescent="0.35">
      <c r="A7223" s="223"/>
      <c r="B7223" s="88" t="s">
        <v>119</v>
      </c>
      <c r="C7223" s="89" t="s">
        <v>120</v>
      </c>
      <c r="D7223" s="95">
        <v>30000</v>
      </c>
      <c r="E7223" s="96" t="s">
        <v>121</v>
      </c>
      <c r="F7223" s="97">
        <f>F7221-F7222</f>
        <v>0</v>
      </c>
      <c r="G7223" s="98">
        <f>F7223/2445</f>
        <v>0</v>
      </c>
    </row>
    <row r="7224" spans="1:7" s="53" customFormat="1" x14ac:dyDescent="0.35">
      <c r="A7224" s="223"/>
      <c r="B7224" s="88"/>
      <c r="C7224" s="89" t="s">
        <v>122</v>
      </c>
      <c r="D7224" s="90">
        <v>150000</v>
      </c>
      <c r="F7224" s="94"/>
    </row>
    <row r="7225" spans="1:7" s="53" customFormat="1" x14ac:dyDescent="0.35">
      <c r="A7225" s="223"/>
      <c r="B7225" s="88" t="s">
        <v>1675</v>
      </c>
      <c r="C7225" s="99" t="s">
        <v>123</v>
      </c>
      <c r="D7225" s="90">
        <v>15000</v>
      </c>
      <c r="E7225" s="91" t="s">
        <v>124</v>
      </c>
      <c r="F7225" s="92"/>
    </row>
    <row r="7226" spans="1:7" s="53" customFormat="1" x14ac:dyDescent="0.35">
      <c r="A7226" s="223"/>
      <c r="B7226" s="101"/>
      <c r="C7226" s="99" t="s">
        <v>125</v>
      </c>
      <c r="D7226" s="100">
        <v>10000</v>
      </c>
      <c r="E7226" s="102"/>
      <c r="F7226" s="103"/>
    </row>
    <row r="7227" spans="1:7" s="53" customFormat="1" x14ac:dyDescent="0.35">
      <c r="A7227" s="223"/>
      <c r="B7227" s="101"/>
      <c r="C7227" s="99" t="s">
        <v>126</v>
      </c>
      <c r="D7227" s="100">
        <v>30000</v>
      </c>
      <c r="E7227" s="102" t="s">
        <v>127</v>
      </c>
      <c r="F7227" s="103"/>
    </row>
    <row r="7228" spans="1:7" s="53" customFormat="1" x14ac:dyDescent="0.35">
      <c r="A7228" s="223"/>
      <c r="B7228" s="101"/>
      <c r="C7228" s="89"/>
      <c r="D7228" s="104"/>
      <c r="E7228" s="53" t="s">
        <v>1702</v>
      </c>
      <c r="F7228" s="103"/>
    </row>
    <row r="7229" spans="1:7" s="53" customFormat="1" x14ac:dyDescent="0.35">
      <c r="A7229" s="223"/>
      <c r="B7229" s="105"/>
      <c r="C7229" s="106"/>
      <c r="D7229" s="107"/>
      <c r="E7229" s="53" t="s">
        <v>1754</v>
      </c>
      <c r="F7229" s="94"/>
    </row>
    <row r="7230" spans="1:7" s="53" customFormat="1" x14ac:dyDescent="0.35">
      <c r="A7230" s="223"/>
      <c r="B7230" s="108"/>
      <c r="C7230" s="109" t="s">
        <v>129</v>
      </c>
      <c r="D7230" s="110">
        <f>SUM(D7217:D7229)</f>
        <v>7843350</v>
      </c>
      <c r="F7230" s="94"/>
    </row>
    <row r="7231" spans="1:7" s="53" customFormat="1" x14ac:dyDescent="0.35">
      <c r="A7231" s="224"/>
      <c r="B7231" s="226"/>
      <c r="C7231" s="226"/>
      <c r="D7231" s="226"/>
      <c r="F7231" s="94"/>
    </row>
    <row r="7232" spans="1:7" s="53" customFormat="1" x14ac:dyDescent="0.35">
      <c r="B7232" s="87"/>
      <c r="C7232" s="53" t="s">
        <v>130</v>
      </c>
      <c r="D7232" s="111">
        <f>D7214-D7230</f>
        <v>3892650</v>
      </c>
      <c r="F7232" s="94"/>
    </row>
    <row r="7233" spans="1:6" s="53" customFormat="1" x14ac:dyDescent="0.35">
      <c r="B7233" s="87"/>
      <c r="D7233" s="111"/>
      <c r="F7233" s="94"/>
    </row>
    <row r="7234" spans="1:6" s="53" customFormat="1" x14ac:dyDescent="0.35">
      <c r="A7234" s="112"/>
      <c r="B7234" s="113"/>
      <c r="C7234" s="112"/>
      <c r="D7234" s="114"/>
      <c r="E7234" s="112"/>
      <c r="F7234" s="178"/>
    </row>
    <row r="7236" spans="1:6" s="53" customFormat="1" ht="23.5" x14ac:dyDescent="0.55000000000000004">
      <c r="B7236" s="227" t="s">
        <v>0</v>
      </c>
      <c r="C7236" s="227"/>
      <c r="D7236" s="227"/>
      <c r="E7236" s="70"/>
      <c r="F7236" s="176"/>
    </row>
    <row r="7237" spans="1:6" s="53" customFormat="1" ht="20.5" x14ac:dyDescent="0.45">
      <c r="B7237" s="71"/>
      <c r="C7237" s="72" t="s">
        <v>1680</v>
      </c>
      <c r="D7237" s="73"/>
      <c r="F7237" s="94"/>
    </row>
    <row r="7238" spans="1:6" s="53" customFormat="1" ht="20.5" x14ac:dyDescent="0.45">
      <c r="B7238" s="71" t="s">
        <v>156</v>
      </c>
      <c r="C7238" s="74" t="s">
        <v>103</v>
      </c>
      <c r="D7238" s="73"/>
      <c r="F7238" s="94"/>
    </row>
    <row r="7239" spans="1:6" s="53" customFormat="1" x14ac:dyDescent="0.35">
      <c r="A7239" s="75" t="s">
        <v>104</v>
      </c>
      <c r="B7239" s="76" t="s">
        <v>81</v>
      </c>
      <c r="C7239" s="76" t="s">
        <v>105</v>
      </c>
      <c r="D7239" s="77" t="s">
        <v>84</v>
      </c>
      <c r="F7239" s="94"/>
    </row>
    <row r="7240" spans="1:6" s="53" customFormat="1" ht="14.5" customHeight="1" x14ac:dyDescent="0.35">
      <c r="A7240" s="222" t="s">
        <v>96</v>
      </c>
      <c r="B7240" s="78" t="s">
        <v>1648</v>
      </c>
      <c r="C7240" s="79" t="s">
        <v>959</v>
      </c>
      <c r="D7240" s="80">
        <f>F7247</f>
        <v>11736000</v>
      </c>
      <c r="F7240" s="94"/>
    </row>
    <row r="7241" spans="1:6" s="53" customFormat="1" ht="20.5" x14ac:dyDescent="0.45">
      <c r="A7241" s="223"/>
      <c r="B7241" s="71"/>
      <c r="C7241" s="71"/>
      <c r="D7241" s="73"/>
      <c r="F7241" s="94"/>
    </row>
    <row r="7242" spans="1:6" s="53" customFormat="1" x14ac:dyDescent="0.35">
      <c r="A7242" s="223"/>
      <c r="B7242" s="81" t="s">
        <v>81</v>
      </c>
      <c r="C7242" s="82" t="s">
        <v>107</v>
      </c>
      <c r="D7242" s="83" t="s">
        <v>108</v>
      </c>
      <c r="F7242" s="94"/>
    </row>
    <row r="7243" spans="1:6" s="87" customFormat="1" x14ac:dyDescent="0.35">
      <c r="A7243" s="223"/>
      <c r="B7243" s="84" t="str">
        <f>B7240</f>
        <v>18th December,2025</v>
      </c>
      <c r="C7243" s="85" t="s">
        <v>1738</v>
      </c>
      <c r="D7243" s="86">
        <f>1900*2779</f>
        <v>5280100</v>
      </c>
      <c r="F7243" s="177"/>
    </row>
    <row r="7244" spans="1:6" s="53" customFormat="1" x14ac:dyDescent="0.35">
      <c r="A7244" s="223"/>
      <c r="B7244" s="88"/>
      <c r="C7244" s="89" t="s">
        <v>1646</v>
      </c>
      <c r="D7244" s="90">
        <f>325*2450</f>
        <v>796250</v>
      </c>
      <c r="F7244" s="94"/>
    </row>
    <row r="7245" spans="1:6" s="53" customFormat="1" x14ac:dyDescent="0.35">
      <c r="A7245" s="223"/>
      <c r="B7245" s="88" t="s">
        <v>109</v>
      </c>
      <c r="C7245" s="89" t="s">
        <v>110</v>
      </c>
      <c r="D7245" s="90">
        <v>1000000</v>
      </c>
      <c r="F7245" s="94"/>
    </row>
    <row r="7246" spans="1:6" s="53" customFormat="1" x14ac:dyDescent="0.35">
      <c r="A7246" s="223"/>
      <c r="B7246" s="88" t="s">
        <v>111</v>
      </c>
      <c r="C7246" s="89" t="s">
        <v>112</v>
      </c>
      <c r="D7246" s="90">
        <v>40000</v>
      </c>
      <c r="E7246" s="225" t="s">
        <v>113</v>
      </c>
      <c r="F7246" s="225"/>
    </row>
    <row r="7247" spans="1:6" s="53" customFormat="1" x14ac:dyDescent="0.35">
      <c r="A7247" s="223"/>
      <c r="B7247" s="88" t="s">
        <v>182</v>
      </c>
      <c r="C7247" s="89" t="s">
        <v>115</v>
      </c>
      <c r="D7247" s="90">
        <f>1050*123</f>
        <v>129150</v>
      </c>
      <c r="E7247" s="91" t="s">
        <v>116</v>
      </c>
      <c r="F7247" s="92">
        <f>4800*2445</f>
        <v>11736000</v>
      </c>
    </row>
    <row r="7248" spans="1:6" s="53" customFormat="1" x14ac:dyDescent="0.35">
      <c r="A7248" s="223"/>
      <c r="B7248" s="88"/>
      <c r="C7248" s="89" t="s">
        <v>117</v>
      </c>
      <c r="D7248" s="90">
        <f>4200*123</f>
        <v>516600</v>
      </c>
      <c r="E7248" s="93" t="s">
        <v>118</v>
      </c>
      <c r="F7248" s="94">
        <f>(2880*2445)+(1920*2445)</f>
        <v>11736000</v>
      </c>
    </row>
    <row r="7249" spans="1:7" s="53" customFormat="1" x14ac:dyDescent="0.35">
      <c r="A7249" s="223"/>
      <c r="B7249" s="88" t="s">
        <v>119</v>
      </c>
      <c r="C7249" s="89" t="s">
        <v>120</v>
      </c>
      <c r="D7249" s="95">
        <v>30000</v>
      </c>
      <c r="E7249" s="96" t="s">
        <v>121</v>
      </c>
      <c r="F7249" s="97">
        <f>F7247-F7248</f>
        <v>0</v>
      </c>
      <c r="G7249" s="98">
        <f>F7249/2445</f>
        <v>0</v>
      </c>
    </row>
    <row r="7250" spans="1:7" s="53" customFormat="1" x14ac:dyDescent="0.35">
      <c r="A7250" s="223"/>
      <c r="B7250" s="88"/>
      <c r="C7250" s="89" t="s">
        <v>122</v>
      </c>
      <c r="D7250" s="90">
        <v>75000</v>
      </c>
      <c r="F7250" s="94"/>
    </row>
    <row r="7251" spans="1:7" s="53" customFormat="1" x14ac:dyDescent="0.35">
      <c r="A7251" s="223"/>
      <c r="B7251" s="88" t="s">
        <v>1679</v>
      </c>
      <c r="C7251" s="99" t="s">
        <v>123</v>
      </c>
      <c r="D7251" s="90">
        <v>15000</v>
      </c>
      <c r="E7251" s="91" t="s">
        <v>124</v>
      </c>
      <c r="F7251" s="92"/>
    </row>
    <row r="7252" spans="1:7" s="53" customFormat="1" x14ac:dyDescent="0.35">
      <c r="A7252" s="223"/>
      <c r="B7252" s="101"/>
      <c r="C7252" s="99" t="s">
        <v>125</v>
      </c>
      <c r="D7252" s="100">
        <v>10000</v>
      </c>
      <c r="E7252" s="102"/>
      <c r="F7252" s="103"/>
    </row>
    <row r="7253" spans="1:7" s="53" customFormat="1" x14ac:dyDescent="0.35">
      <c r="A7253" s="223"/>
      <c r="B7253" s="101"/>
      <c r="C7253" s="99" t="s">
        <v>126</v>
      </c>
      <c r="D7253" s="100">
        <v>20000</v>
      </c>
      <c r="E7253" s="102" t="s">
        <v>127</v>
      </c>
      <c r="F7253" s="103"/>
    </row>
    <row r="7254" spans="1:7" s="53" customFormat="1" x14ac:dyDescent="0.35">
      <c r="A7254" s="223"/>
      <c r="B7254" s="101"/>
      <c r="C7254" s="89" t="s">
        <v>265</v>
      </c>
      <c r="D7254" s="104">
        <f>818*123</f>
        <v>100614</v>
      </c>
      <c r="E7254" s="53" t="s">
        <v>1702</v>
      </c>
      <c r="F7254" s="103"/>
    </row>
    <row r="7255" spans="1:7" s="53" customFormat="1" x14ac:dyDescent="0.35">
      <c r="A7255" s="223"/>
      <c r="B7255" s="105"/>
      <c r="C7255" s="106"/>
      <c r="D7255" s="107"/>
      <c r="E7255" s="53" t="s">
        <v>1767</v>
      </c>
      <c r="F7255" s="94"/>
    </row>
    <row r="7256" spans="1:7" s="53" customFormat="1" x14ac:dyDescent="0.35">
      <c r="A7256" s="223"/>
      <c r="B7256" s="108"/>
      <c r="C7256" s="109" t="s">
        <v>129</v>
      </c>
      <c r="D7256" s="110">
        <f>SUM(D7243:D7255)</f>
        <v>8012714</v>
      </c>
      <c r="F7256" s="94"/>
    </row>
    <row r="7257" spans="1:7" s="53" customFormat="1" x14ac:dyDescent="0.35">
      <c r="A7257" s="224"/>
      <c r="B7257" s="226"/>
      <c r="C7257" s="226"/>
      <c r="D7257" s="226"/>
      <c r="F7257" s="94"/>
    </row>
    <row r="7258" spans="1:7" s="53" customFormat="1" x14ac:dyDescent="0.35">
      <c r="B7258" s="87"/>
      <c r="C7258" s="53" t="s">
        <v>130</v>
      </c>
      <c r="D7258" s="111">
        <f>D7240-D7256</f>
        <v>3723286</v>
      </c>
      <c r="F7258" s="94"/>
    </row>
    <row r="7259" spans="1:7" s="53" customFormat="1" x14ac:dyDescent="0.35">
      <c r="B7259" s="87"/>
      <c r="D7259" s="111"/>
      <c r="F7259" s="94"/>
    </row>
    <row r="7260" spans="1:7" s="53" customFormat="1" x14ac:dyDescent="0.35">
      <c r="A7260" s="112"/>
      <c r="B7260" s="113"/>
      <c r="C7260" s="112"/>
      <c r="D7260" s="114"/>
      <c r="E7260" s="112"/>
      <c r="F7260" s="178"/>
    </row>
    <row r="7262" spans="1:7" s="53" customFormat="1" ht="23.5" x14ac:dyDescent="0.55000000000000004">
      <c r="B7262" s="227" t="s">
        <v>0</v>
      </c>
      <c r="C7262" s="227"/>
      <c r="D7262" s="227"/>
      <c r="E7262" s="70"/>
      <c r="F7262" s="176"/>
    </row>
    <row r="7263" spans="1:7" s="53" customFormat="1" ht="20.5" x14ac:dyDescent="0.45">
      <c r="B7263" s="71"/>
      <c r="C7263" s="72" t="s">
        <v>1688</v>
      </c>
      <c r="D7263" s="73"/>
      <c r="F7263" s="94"/>
    </row>
    <row r="7264" spans="1:7" s="53" customFormat="1" ht="20.5" x14ac:dyDescent="0.45">
      <c r="B7264" s="71" t="s">
        <v>222</v>
      </c>
      <c r="C7264" s="74" t="s">
        <v>103</v>
      </c>
      <c r="D7264" s="73"/>
      <c r="F7264" s="94"/>
    </row>
    <row r="7265" spans="1:7" s="53" customFormat="1" x14ac:dyDescent="0.35">
      <c r="A7265" s="75" t="s">
        <v>104</v>
      </c>
      <c r="B7265" s="76" t="s">
        <v>81</v>
      </c>
      <c r="C7265" s="76" t="s">
        <v>105</v>
      </c>
      <c r="D7265" s="77" t="s">
        <v>84</v>
      </c>
      <c r="F7265" s="94"/>
    </row>
    <row r="7266" spans="1:7" s="53" customFormat="1" ht="14.5" customHeight="1" x14ac:dyDescent="0.35">
      <c r="A7266" s="222" t="s">
        <v>96</v>
      </c>
      <c r="B7266" s="78" t="s">
        <v>1689</v>
      </c>
      <c r="C7266" s="79" t="s">
        <v>959</v>
      </c>
      <c r="D7266" s="80">
        <f>F7273</f>
        <v>11736000</v>
      </c>
      <c r="F7266" s="94"/>
    </row>
    <row r="7267" spans="1:7" s="53" customFormat="1" ht="20.5" x14ac:dyDescent="0.45">
      <c r="A7267" s="223"/>
      <c r="B7267" s="71"/>
      <c r="C7267" s="71"/>
      <c r="D7267" s="73"/>
      <c r="F7267" s="94"/>
    </row>
    <row r="7268" spans="1:7" s="53" customFormat="1" x14ac:dyDescent="0.35">
      <c r="A7268" s="223"/>
      <c r="B7268" s="81" t="s">
        <v>81</v>
      </c>
      <c r="C7268" s="82" t="s">
        <v>107</v>
      </c>
      <c r="D7268" s="83" t="s">
        <v>108</v>
      </c>
      <c r="F7268" s="94"/>
    </row>
    <row r="7269" spans="1:7" s="87" customFormat="1" x14ac:dyDescent="0.35">
      <c r="A7269" s="223"/>
      <c r="B7269" s="84" t="str">
        <f>B7266</f>
        <v>22nd December,2025</v>
      </c>
      <c r="C7269" s="85" t="s">
        <v>1738</v>
      </c>
      <c r="D7269" s="86">
        <f>1900*2779</f>
        <v>5280100</v>
      </c>
      <c r="F7269" s="177"/>
    </row>
    <row r="7270" spans="1:7" s="53" customFormat="1" x14ac:dyDescent="0.35">
      <c r="A7270" s="223"/>
      <c r="B7270" s="88"/>
      <c r="C7270" s="89" t="s">
        <v>1649</v>
      </c>
      <c r="D7270" s="90">
        <f>319*2450</f>
        <v>781550</v>
      </c>
      <c r="F7270" s="94"/>
    </row>
    <row r="7271" spans="1:7" s="53" customFormat="1" x14ac:dyDescent="0.35">
      <c r="A7271" s="223"/>
      <c r="B7271" s="88" t="s">
        <v>109</v>
      </c>
      <c r="C7271" s="89" t="s">
        <v>110</v>
      </c>
      <c r="D7271" s="90">
        <v>1000000</v>
      </c>
      <c r="F7271" s="94"/>
    </row>
    <row r="7272" spans="1:7" s="53" customFormat="1" x14ac:dyDescent="0.35">
      <c r="A7272" s="223"/>
      <c r="B7272" s="88" t="s">
        <v>111</v>
      </c>
      <c r="C7272" s="89" t="s">
        <v>112</v>
      </c>
      <c r="D7272" s="90">
        <v>40000</v>
      </c>
      <c r="E7272" s="225" t="s">
        <v>113</v>
      </c>
      <c r="F7272" s="225"/>
    </row>
    <row r="7273" spans="1:7" s="53" customFormat="1" x14ac:dyDescent="0.35">
      <c r="A7273" s="223"/>
      <c r="B7273" s="88" t="s">
        <v>206</v>
      </c>
      <c r="C7273" s="89" t="s">
        <v>115</v>
      </c>
      <c r="D7273" s="90">
        <f>1250*123</f>
        <v>153750</v>
      </c>
      <c r="E7273" s="91" t="s">
        <v>116</v>
      </c>
      <c r="F7273" s="92">
        <f>4800*2445</f>
        <v>11736000</v>
      </c>
    </row>
    <row r="7274" spans="1:7" s="53" customFormat="1" x14ac:dyDescent="0.35">
      <c r="A7274" s="223"/>
      <c r="B7274" s="88"/>
      <c r="C7274" s="89" t="s">
        <v>117</v>
      </c>
      <c r="D7274" s="90">
        <f>4140*123</f>
        <v>509220</v>
      </c>
      <c r="E7274" s="93" t="s">
        <v>118</v>
      </c>
      <c r="F7274" s="94">
        <f>(2880*2445)+(1907*2445)</f>
        <v>11704215</v>
      </c>
    </row>
    <row r="7275" spans="1:7" s="53" customFormat="1" x14ac:dyDescent="0.35">
      <c r="A7275" s="223"/>
      <c r="B7275" s="88" t="s">
        <v>119</v>
      </c>
      <c r="C7275" s="89" t="s">
        <v>120</v>
      </c>
      <c r="D7275" s="95">
        <v>30000</v>
      </c>
      <c r="E7275" s="96" t="s">
        <v>121</v>
      </c>
      <c r="F7275" s="97">
        <f>F7273-F7274</f>
        <v>31785</v>
      </c>
      <c r="G7275" s="98">
        <f>F7275/2445</f>
        <v>13</v>
      </c>
    </row>
    <row r="7276" spans="1:7" s="53" customFormat="1" x14ac:dyDescent="0.35">
      <c r="A7276" s="223"/>
      <c r="B7276" s="88"/>
      <c r="C7276" s="89" t="s">
        <v>126</v>
      </c>
      <c r="D7276" s="90">
        <v>40000</v>
      </c>
      <c r="F7276" s="94"/>
    </row>
    <row r="7277" spans="1:7" s="53" customFormat="1" x14ac:dyDescent="0.35">
      <c r="A7277" s="223"/>
      <c r="B7277" s="88" t="s">
        <v>213</v>
      </c>
      <c r="C7277" s="99" t="s">
        <v>123</v>
      </c>
      <c r="D7277" s="90">
        <v>15000</v>
      </c>
      <c r="E7277" s="91" t="s">
        <v>124</v>
      </c>
      <c r="F7277" s="92"/>
    </row>
    <row r="7278" spans="1:7" s="53" customFormat="1" x14ac:dyDescent="0.35">
      <c r="A7278" s="223"/>
      <c r="B7278" s="101"/>
      <c r="C7278" s="99"/>
      <c r="D7278" s="100"/>
      <c r="E7278" s="102"/>
      <c r="F7278" s="103"/>
    </row>
    <row r="7279" spans="1:7" s="53" customFormat="1" x14ac:dyDescent="0.35">
      <c r="A7279" s="223"/>
      <c r="B7279" s="101"/>
      <c r="C7279" s="99"/>
      <c r="D7279" s="100"/>
      <c r="E7279" s="102" t="s">
        <v>127</v>
      </c>
      <c r="F7279" s="103"/>
    </row>
    <row r="7280" spans="1:7" s="53" customFormat="1" x14ac:dyDescent="0.35">
      <c r="A7280" s="223"/>
      <c r="B7280" s="101"/>
      <c r="C7280" s="89"/>
      <c r="D7280" s="104"/>
      <c r="E7280" s="53" t="s">
        <v>1707</v>
      </c>
      <c r="F7280" s="103"/>
    </row>
    <row r="7281" spans="1:6" s="53" customFormat="1" x14ac:dyDescent="0.35">
      <c r="A7281" s="223"/>
      <c r="B7281" s="105"/>
      <c r="C7281" s="106"/>
      <c r="D7281" s="107"/>
      <c r="E7281" s="53" t="s">
        <v>1755</v>
      </c>
      <c r="F7281" s="94"/>
    </row>
    <row r="7282" spans="1:6" s="53" customFormat="1" x14ac:dyDescent="0.35">
      <c r="A7282" s="223"/>
      <c r="B7282" s="108"/>
      <c r="C7282" s="109" t="s">
        <v>129</v>
      </c>
      <c r="D7282" s="110">
        <f>SUM(D7269:D7281)</f>
        <v>7849620</v>
      </c>
      <c r="F7282" s="94"/>
    </row>
    <row r="7283" spans="1:6" s="53" customFormat="1" x14ac:dyDescent="0.35">
      <c r="A7283" s="224"/>
      <c r="B7283" s="226"/>
      <c r="C7283" s="226"/>
      <c r="D7283" s="226"/>
      <c r="F7283" s="94"/>
    </row>
    <row r="7284" spans="1:6" s="53" customFormat="1" x14ac:dyDescent="0.35">
      <c r="B7284" s="87"/>
      <c r="C7284" s="53" t="s">
        <v>130</v>
      </c>
      <c r="D7284" s="111">
        <f>D7266-D7282</f>
        <v>3886380</v>
      </c>
      <c r="F7284" s="94"/>
    </row>
    <row r="7285" spans="1:6" s="53" customFormat="1" x14ac:dyDescent="0.35">
      <c r="B7285" s="87"/>
      <c r="D7285" s="111"/>
      <c r="F7285" s="94"/>
    </row>
    <row r="7286" spans="1:6" s="53" customFormat="1" x14ac:dyDescent="0.35">
      <c r="A7286" s="112"/>
      <c r="B7286" s="113"/>
      <c r="C7286" s="112"/>
      <c r="D7286" s="114"/>
      <c r="E7286" s="112"/>
      <c r="F7286" s="178"/>
    </row>
    <row r="7288" spans="1:6" s="53" customFormat="1" ht="23.5" x14ac:dyDescent="0.55000000000000004">
      <c r="B7288" s="227" t="s">
        <v>0</v>
      </c>
      <c r="C7288" s="227"/>
      <c r="D7288" s="227"/>
      <c r="E7288" s="70"/>
      <c r="F7288" s="176"/>
    </row>
    <row r="7289" spans="1:6" s="53" customFormat="1" ht="20.5" x14ac:dyDescent="0.45">
      <c r="B7289" s="71"/>
      <c r="C7289" s="72" t="s">
        <v>1693</v>
      </c>
      <c r="D7289" s="73"/>
      <c r="F7289" s="94"/>
    </row>
    <row r="7290" spans="1:6" s="53" customFormat="1" ht="20.5" x14ac:dyDescent="0.45">
      <c r="B7290" s="71" t="s">
        <v>735</v>
      </c>
      <c r="C7290" s="74" t="s">
        <v>103</v>
      </c>
      <c r="D7290" s="73"/>
      <c r="F7290" s="94"/>
    </row>
    <row r="7291" spans="1:6" s="53" customFormat="1" x14ac:dyDescent="0.35">
      <c r="A7291" s="75" t="s">
        <v>104</v>
      </c>
      <c r="B7291" s="76" t="s">
        <v>81</v>
      </c>
      <c r="C7291" s="76" t="s">
        <v>105</v>
      </c>
      <c r="D7291" s="77" t="s">
        <v>84</v>
      </c>
      <c r="F7291" s="94"/>
    </row>
    <row r="7292" spans="1:6" s="53" customFormat="1" ht="14.5" customHeight="1" x14ac:dyDescent="0.35">
      <c r="A7292" s="222" t="s">
        <v>96</v>
      </c>
      <c r="B7292" s="78" t="s">
        <v>1689</v>
      </c>
      <c r="C7292" s="79" t="s">
        <v>959</v>
      </c>
      <c r="D7292" s="80">
        <f>F7299</f>
        <v>11736000</v>
      </c>
      <c r="F7292" s="94"/>
    </row>
    <row r="7293" spans="1:6" s="53" customFormat="1" ht="20.5" x14ac:dyDescent="0.45">
      <c r="A7293" s="223"/>
      <c r="B7293" s="71"/>
      <c r="C7293" s="71"/>
      <c r="D7293" s="73"/>
      <c r="F7293" s="94"/>
    </row>
    <row r="7294" spans="1:6" s="53" customFormat="1" x14ac:dyDescent="0.35">
      <c r="A7294" s="223"/>
      <c r="B7294" s="81" t="s">
        <v>81</v>
      </c>
      <c r="C7294" s="82" t="s">
        <v>107</v>
      </c>
      <c r="D7294" s="83" t="s">
        <v>108</v>
      </c>
      <c r="F7294" s="94"/>
    </row>
    <row r="7295" spans="1:6" s="87" customFormat="1" x14ac:dyDescent="0.35">
      <c r="A7295" s="223"/>
      <c r="B7295" s="84" t="str">
        <f>B7292</f>
        <v>22nd December,2025</v>
      </c>
      <c r="C7295" s="85" t="s">
        <v>1738</v>
      </c>
      <c r="D7295" s="86">
        <f>1900*2779</f>
        <v>5280100</v>
      </c>
      <c r="F7295" s="177"/>
    </row>
    <row r="7296" spans="1:6" s="53" customFormat="1" x14ac:dyDescent="0.35">
      <c r="A7296" s="223"/>
      <c r="B7296" s="88"/>
      <c r="C7296" s="89" t="s">
        <v>1646</v>
      </c>
      <c r="D7296" s="90">
        <f>325*2450</f>
        <v>796250</v>
      </c>
      <c r="F7296" s="94"/>
    </row>
    <row r="7297" spans="1:7" s="53" customFormat="1" x14ac:dyDescent="0.35">
      <c r="A7297" s="223"/>
      <c r="B7297" s="88" t="s">
        <v>109</v>
      </c>
      <c r="C7297" s="89" t="s">
        <v>110</v>
      </c>
      <c r="D7297" s="90">
        <v>1000000</v>
      </c>
      <c r="F7297" s="94"/>
    </row>
    <row r="7298" spans="1:7" s="53" customFormat="1" x14ac:dyDescent="0.35">
      <c r="A7298" s="223"/>
      <c r="B7298" s="88" t="s">
        <v>111</v>
      </c>
      <c r="C7298" s="89" t="s">
        <v>112</v>
      </c>
      <c r="D7298" s="90">
        <v>40000</v>
      </c>
      <c r="E7298" s="225" t="s">
        <v>113</v>
      </c>
      <c r="F7298" s="225"/>
    </row>
    <row r="7299" spans="1:7" s="53" customFormat="1" x14ac:dyDescent="0.35">
      <c r="A7299" s="223"/>
      <c r="B7299" s="88" t="s">
        <v>182</v>
      </c>
      <c r="C7299" s="89" t="s">
        <v>115</v>
      </c>
      <c r="D7299" s="90">
        <f>1320*123</f>
        <v>162360</v>
      </c>
      <c r="E7299" s="91" t="s">
        <v>116</v>
      </c>
      <c r="F7299" s="92">
        <f>4800*2445</f>
        <v>11736000</v>
      </c>
    </row>
    <row r="7300" spans="1:7" s="53" customFormat="1" x14ac:dyDescent="0.35">
      <c r="A7300" s="223"/>
      <c r="B7300" s="88"/>
      <c r="C7300" s="89" t="s">
        <v>117</v>
      </c>
      <c r="D7300" s="90">
        <f>4200*123</f>
        <v>516600</v>
      </c>
      <c r="E7300" s="93" t="s">
        <v>118</v>
      </c>
      <c r="F7300" s="94">
        <f>(2880*2445)+(1920*2445)</f>
        <v>11736000</v>
      </c>
    </row>
    <row r="7301" spans="1:7" s="53" customFormat="1" x14ac:dyDescent="0.35">
      <c r="A7301" s="223"/>
      <c r="B7301" s="88" t="s">
        <v>119</v>
      </c>
      <c r="C7301" s="89" t="s">
        <v>120</v>
      </c>
      <c r="D7301" s="95">
        <v>30000</v>
      </c>
      <c r="E7301" s="96" t="s">
        <v>121</v>
      </c>
      <c r="F7301" s="97">
        <f>F7299-F7300</f>
        <v>0</v>
      </c>
      <c r="G7301" s="98">
        <f>F7301/2445</f>
        <v>0</v>
      </c>
    </row>
    <row r="7302" spans="1:7" s="53" customFormat="1" x14ac:dyDescent="0.35">
      <c r="A7302" s="223"/>
      <c r="B7302" s="88"/>
      <c r="C7302" s="89" t="s">
        <v>126</v>
      </c>
      <c r="D7302" s="90">
        <v>40000</v>
      </c>
      <c r="F7302" s="94"/>
    </row>
    <row r="7303" spans="1:7" s="53" customFormat="1" x14ac:dyDescent="0.35">
      <c r="A7303" s="223"/>
      <c r="B7303" s="88" t="s">
        <v>1690</v>
      </c>
      <c r="C7303" s="99" t="s">
        <v>123</v>
      </c>
      <c r="D7303" s="90">
        <v>15000</v>
      </c>
      <c r="E7303" s="91" t="s">
        <v>124</v>
      </c>
      <c r="F7303" s="92"/>
    </row>
    <row r="7304" spans="1:7" s="53" customFormat="1" x14ac:dyDescent="0.35">
      <c r="A7304" s="223"/>
      <c r="B7304" s="101"/>
      <c r="C7304" s="99" t="s">
        <v>1739</v>
      </c>
      <c r="D7304" s="100">
        <f>818*123</f>
        <v>100614</v>
      </c>
      <c r="E7304" s="102"/>
      <c r="F7304" s="103"/>
    </row>
    <row r="7305" spans="1:7" s="53" customFormat="1" x14ac:dyDescent="0.35">
      <c r="A7305" s="223"/>
      <c r="B7305" s="101"/>
      <c r="C7305" s="99"/>
      <c r="D7305" s="100"/>
      <c r="E7305" s="102" t="s">
        <v>127</v>
      </c>
      <c r="F7305" s="103"/>
    </row>
    <row r="7306" spans="1:7" s="53" customFormat="1" x14ac:dyDescent="0.35">
      <c r="A7306" s="223"/>
      <c r="B7306" s="101"/>
      <c r="C7306" s="89"/>
      <c r="D7306" s="104"/>
      <c r="E7306" s="53" t="s">
        <v>1706</v>
      </c>
      <c r="F7306" s="103"/>
    </row>
    <row r="7307" spans="1:7" s="53" customFormat="1" x14ac:dyDescent="0.35">
      <c r="A7307" s="223"/>
      <c r="B7307" s="105"/>
      <c r="C7307" s="106"/>
      <c r="D7307" s="107"/>
      <c r="E7307" s="53" t="s">
        <v>1755</v>
      </c>
      <c r="F7307" s="94"/>
    </row>
    <row r="7308" spans="1:7" s="53" customFormat="1" x14ac:dyDescent="0.35">
      <c r="A7308" s="223"/>
      <c r="B7308" s="108"/>
      <c r="C7308" s="109" t="s">
        <v>129</v>
      </c>
      <c r="D7308" s="110">
        <f>SUM(D7295:D7307)</f>
        <v>7980924</v>
      </c>
      <c r="F7308" s="94"/>
    </row>
    <row r="7309" spans="1:7" s="53" customFormat="1" x14ac:dyDescent="0.35">
      <c r="A7309" s="224"/>
      <c r="B7309" s="226"/>
      <c r="C7309" s="226"/>
      <c r="D7309" s="226"/>
      <c r="F7309" s="94"/>
    </row>
    <row r="7310" spans="1:7" s="53" customFormat="1" x14ac:dyDescent="0.35">
      <c r="B7310" s="87"/>
      <c r="C7310" s="53" t="s">
        <v>130</v>
      </c>
      <c r="D7310" s="111">
        <f>D7292-D7308</f>
        <v>3755076</v>
      </c>
      <c r="F7310" s="94"/>
    </row>
    <row r="7311" spans="1:7" s="53" customFormat="1" x14ac:dyDescent="0.35">
      <c r="B7311" s="87"/>
      <c r="D7311" s="111"/>
      <c r="F7311" s="94"/>
    </row>
    <row r="7312" spans="1:7" s="53" customFormat="1" x14ac:dyDescent="0.35">
      <c r="A7312" s="112"/>
      <c r="B7312" s="113"/>
      <c r="C7312" s="112"/>
      <c r="D7312" s="114"/>
      <c r="E7312" s="112"/>
      <c r="F7312" s="178"/>
    </row>
    <row r="7315" spans="1:7" s="53" customFormat="1" ht="23.5" x14ac:dyDescent="0.55000000000000004">
      <c r="B7315" s="227" t="s">
        <v>0</v>
      </c>
      <c r="C7315" s="227"/>
      <c r="D7315" s="227"/>
      <c r="E7315" s="70"/>
      <c r="F7315" s="176"/>
    </row>
    <row r="7316" spans="1:7" s="53" customFormat="1" ht="20.5" x14ac:dyDescent="0.45">
      <c r="B7316" s="71"/>
      <c r="C7316" s="72" t="s">
        <v>1694</v>
      </c>
      <c r="D7316" s="73"/>
      <c r="F7316" s="94"/>
    </row>
    <row r="7317" spans="1:7" s="53" customFormat="1" ht="20.5" x14ac:dyDescent="0.45">
      <c r="B7317" s="71" t="s">
        <v>704</v>
      </c>
      <c r="C7317" s="74" t="s">
        <v>103</v>
      </c>
      <c r="D7317" s="73"/>
      <c r="F7317" s="94"/>
    </row>
    <row r="7318" spans="1:7" s="53" customFormat="1" x14ac:dyDescent="0.35">
      <c r="A7318" s="75" t="s">
        <v>104</v>
      </c>
      <c r="B7318" s="76" t="s">
        <v>81</v>
      </c>
      <c r="C7318" s="76" t="s">
        <v>105</v>
      </c>
      <c r="D7318" s="77" t="s">
        <v>84</v>
      </c>
      <c r="F7318" s="94"/>
    </row>
    <row r="7319" spans="1:7" s="53" customFormat="1" ht="14.5" customHeight="1" x14ac:dyDescent="0.35">
      <c r="A7319" s="222" t="s">
        <v>96</v>
      </c>
      <c r="B7319" s="78" t="s">
        <v>1689</v>
      </c>
      <c r="C7319" s="79" t="s">
        <v>959</v>
      </c>
      <c r="D7319" s="80">
        <f>F7326</f>
        <v>11736000</v>
      </c>
      <c r="F7319" s="94"/>
    </row>
    <row r="7320" spans="1:7" s="53" customFormat="1" ht="20.5" x14ac:dyDescent="0.45">
      <c r="A7320" s="223"/>
      <c r="B7320" s="71"/>
      <c r="C7320" s="71"/>
      <c r="D7320" s="73"/>
      <c r="F7320" s="94"/>
    </row>
    <row r="7321" spans="1:7" s="53" customFormat="1" x14ac:dyDescent="0.35">
      <c r="A7321" s="223"/>
      <c r="B7321" s="81" t="s">
        <v>81</v>
      </c>
      <c r="C7321" s="82" t="s">
        <v>107</v>
      </c>
      <c r="D7321" s="83" t="s">
        <v>108</v>
      </c>
      <c r="F7321" s="94"/>
    </row>
    <row r="7322" spans="1:7" s="87" customFormat="1" x14ac:dyDescent="0.35">
      <c r="A7322" s="223"/>
      <c r="B7322" s="84" t="str">
        <f>B7319</f>
        <v>22nd December,2025</v>
      </c>
      <c r="C7322" s="85" t="s">
        <v>1738</v>
      </c>
      <c r="D7322" s="86">
        <f>1900*2779</f>
        <v>5280100</v>
      </c>
      <c r="F7322" s="177"/>
    </row>
    <row r="7323" spans="1:7" s="53" customFormat="1" x14ac:dyDescent="0.35">
      <c r="A7323" s="223"/>
      <c r="B7323" s="88"/>
      <c r="C7323" s="89" t="s">
        <v>1646</v>
      </c>
      <c r="D7323" s="90">
        <f>325*2450</f>
        <v>796250</v>
      </c>
      <c r="F7323" s="94"/>
    </row>
    <row r="7324" spans="1:7" s="53" customFormat="1" x14ac:dyDescent="0.35">
      <c r="A7324" s="223"/>
      <c r="B7324" s="88" t="s">
        <v>109</v>
      </c>
      <c r="C7324" s="89" t="s">
        <v>110</v>
      </c>
      <c r="D7324" s="90">
        <v>1000000</v>
      </c>
      <c r="F7324" s="94"/>
    </row>
    <row r="7325" spans="1:7" s="53" customFormat="1" x14ac:dyDescent="0.35">
      <c r="A7325" s="223"/>
      <c r="B7325" s="88" t="s">
        <v>111</v>
      </c>
      <c r="C7325" s="89" t="s">
        <v>112</v>
      </c>
      <c r="D7325" s="90">
        <v>40000</v>
      </c>
      <c r="E7325" s="225" t="s">
        <v>113</v>
      </c>
      <c r="F7325" s="225"/>
    </row>
    <row r="7326" spans="1:7" s="53" customFormat="1" x14ac:dyDescent="0.35">
      <c r="A7326" s="223"/>
      <c r="B7326" s="88" t="s">
        <v>182</v>
      </c>
      <c r="C7326" s="89" t="s">
        <v>115</v>
      </c>
      <c r="D7326" s="90">
        <f>950*123</f>
        <v>116850</v>
      </c>
      <c r="E7326" s="91" t="s">
        <v>116</v>
      </c>
      <c r="F7326" s="92">
        <f>4800*2445</f>
        <v>11736000</v>
      </c>
    </row>
    <row r="7327" spans="1:7" s="53" customFormat="1" x14ac:dyDescent="0.35">
      <c r="A7327" s="223"/>
      <c r="B7327" s="88"/>
      <c r="C7327" s="89" t="s">
        <v>117</v>
      </c>
      <c r="D7327" s="90">
        <f>3600*123</f>
        <v>442800</v>
      </c>
      <c r="E7327" s="93" t="s">
        <v>118</v>
      </c>
      <c r="F7327" s="94">
        <f>(2880*2445)+(1920*2445)</f>
        <v>11736000</v>
      </c>
    </row>
    <row r="7328" spans="1:7" s="53" customFormat="1" x14ac:dyDescent="0.35">
      <c r="A7328" s="223"/>
      <c r="B7328" s="88" t="s">
        <v>119</v>
      </c>
      <c r="C7328" s="89" t="s">
        <v>120</v>
      </c>
      <c r="D7328" s="95">
        <v>30000</v>
      </c>
      <c r="E7328" s="96" t="s">
        <v>121</v>
      </c>
      <c r="F7328" s="97">
        <f>F7326-F7327</f>
        <v>0</v>
      </c>
      <c r="G7328" s="98">
        <f>F7328/2445</f>
        <v>0</v>
      </c>
    </row>
    <row r="7329" spans="1:6" s="53" customFormat="1" x14ac:dyDescent="0.35">
      <c r="A7329" s="223"/>
      <c r="B7329" s="88"/>
      <c r="C7329" s="89" t="s">
        <v>122</v>
      </c>
      <c r="D7329" s="90">
        <v>150000</v>
      </c>
      <c r="F7329" s="94"/>
    </row>
    <row r="7330" spans="1:6" s="53" customFormat="1" x14ac:dyDescent="0.35">
      <c r="A7330" s="223"/>
      <c r="B7330" s="88" t="s">
        <v>1691</v>
      </c>
      <c r="C7330" s="99" t="s">
        <v>123</v>
      </c>
      <c r="D7330" s="90">
        <v>15000</v>
      </c>
      <c r="E7330" s="91" t="s">
        <v>124</v>
      </c>
      <c r="F7330" s="92"/>
    </row>
    <row r="7331" spans="1:6" s="53" customFormat="1" x14ac:dyDescent="0.35">
      <c r="A7331" s="223"/>
      <c r="B7331" s="101"/>
      <c r="C7331" s="99" t="s">
        <v>125</v>
      </c>
      <c r="D7331" s="100">
        <v>10000</v>
      </c>
      <c r="E7331" s="102"/>
      <c r="F7331" s="103"/>
    </row>
    <row r="7332" spans="1:6" s="53" customFormat="1" x14ac:dyDescent="0.35">
      <c r="A7332" s="223"/>
      <c r="B7332" s="101"/>
      <c r="C7332" s="99" t="s">
        <v>126</v>
      </c>
      <c r="D7332" s="100">
        <v>40000</v>
      </c>
      <c r="E7332" s="102" t="s">
        <v>127</v>
      </c>
      <c r="F7332" s="103"/>
    </row>
    <row r="7333" spans="1:6" s="53" customFormat="1" x14ac:dyDescent="0.35">
      <c r="A7333" s="223"/>
      <c r="B7333" s="101"/>
      <c r="C7333" s="89"/>
      <c r="D7333" s="104"/>
      <c r="E7333" s="53" t="s">
        <v>1707</v>
      </c>
      <c r="F7333" s="103"/>
    </row>
    <row r="7334" spans="1:6" s="53" customFormat="1" x14ac:dyDescent="0.35">
      <c r="A7334" s="223"/>
      <c r="B7334" s="105"/>
      <c r="C7334" s="106"/>
      <c r="D7334" s="107"/>
      <c r="E7334" s="53" t="s">
        <v>1767</v>
      </c>
      <c r="F7334" s="94"/>
    </row>
    <row r="7335" spans="1:6" s="53" customFormat="1" x14ac:dyDescent="0.35">
      <c r="A7335" s="223"/>
      <c r="B7335" s="108"/>
      <c r="C7335" s="109" t="s">
        <v>129</v>
      </c>
      <c r="D7335" s="110">
        <f>SUM(D7322:D7334)</f>
        <v>7921000</v>
      </c>
      <c r="F7335" s="94"/>
    </row>
    <row r="7336" spans="1:6" s="53" customFormat="1" x14ac:dyDescent="0.35">
      <c r="A7336" s="224"/>
      <c r="B7336" s="226"/>
      <c r="C7336" s="226"/>
      <c r="D7336" s="226"/>
      <c r="F7336" s="94"/>
    </row>
    <row r="7337" spans="1:6" s="53" customFormat="1" x14ac:dyDescent="0.35">
      <c r="B7337" s="87"/>
      <c r="C7337" s="53" t="s">
        <v>130</v>
      </c>
      <c r="D7337" s="111">
        <f>D7319-D7335</f>
        <v>3815000</v>
      </c>
      <c r="F7337" s="94"/>
    </row>
    <row r="7338" spans="1:6" s="53" customFormat="1" x14ac:dyDescent="0.35">
      <c r="B7338" s="87"/>
      <c r="D7338" s="111"/>
      <c r="F7338" s="94"/>
    </row>
    <row r="7339" spans="1:6" s="53" customFormat="1" x14ac:dyDescent="0.35">
      <c r="A7339" s="112"/>
      <c r="B7339" s="113"/>
      <c r="C7339" s="112"/>
      <c r="D7339" s="114"/>
      <c r="E7339" s="112"/>
      <c r="F7339" s="178"/>
    </row>
    <row r="7342" spans="1:6" s="53" customFormat="1" ht="23.5" x14ac:dyDescent="0.55000000000000004">
      <c r="B7342" s="227" t="s">
        <v>0</v>
      </c>
      <c r="C7342" s="227"/>
      <c r="D7342" s="227"/>
      <c r="E7342" s="70"/>
      <c r="F7342" s="176"/>
    </row>
    <row r="7343" spans="1:6" s="53" customFormat="1" ht="20.5" x14ac:dyDescent="0.45">
      <c r="B7343" s="71"/>
      <c r="C7343" s="72" t="s">
        <v>1695</v>
      </c>
      <c r="D7343" s="73"/>
      <c r="F7343" s="94"/>
    </row>
    <row r="7344" spans="1:6" s="53" customFormat="1" ht="20.5" x14ac:dyDescent="0.45">
      <c r="B7344" s="71" t="s">
        <v>949</v>
      </c>
      <c r="C7344" s="74" t="s">
        <v>103</v>
      </c>
      <c r="D7344" s="73"/>
      <c r="F7344" s="94"/>
    </row>
    <row r="7345" spans="1:7" s="53" customFormat="1" x14ac:dyDescent="0.35">
      <c r="A7345" s="75" t="s">
        <v>104</v>
      </c>
      <c r="B7345" s="76" t="s">
        <v>81</v>
      </c>
      <c r="C7345" s="76" t="s">
        <v>105</v>
      </c>
      <c r="D7345" s="77" t="s">
        <v>84</v>
      </c>
      <c r="F7345" s="94"/>
    </row>
    <row r="7346" spans="1:7" s="53" customFormat="1" ht="14.5" customHeight="1" x14ac:dyDescent="0.35">
      <c r="A7346" s="222" t="s">
        <v>96</v>
      </c>
      <c r="B7346" s="78" t="s">
        <v>1689</v>
      </c>
      <c r="C7346" s="79" t="s">
        <v>959</v>
      </c>
      <c r="D7346" s="80">
        <f>F7353</f>
        <v>11736000</v>
      </c>
      <c r="F7346" s="94"/>
    </row>
    <row r="7347" spans="1:7" s="53" customFormat="1" ht="20.5" x14ac:dyDescent="0.45">
      <c r="A7347" s="223"/>
      <c r="B7347" s="71"/>
      <c r="C7347" s="71"/>
      <c r="D7347" s="73"/>
      <c r="F7347" s="94"/>
    </row>
    <row r="7348" spans="1:7" s="53" customFormat="1" x14ac:dyDescent="0.35">
      <c r="A7348" s="223"/>
      <c r="B7348" s="81" t="s">
        <v>81</v>
      </c>
      <c r="C7348" s="82" t="s">
        <v>107</v>
      </c>
      <c r="D7348" s="83" t="s">
        <v>108</v>
      </c>
      <c r="F7348" s="94"/>
    </row>
    <row r="7349" spans="1:7" s="87" customFormat="1" x14ac:dyDescent="0.35">
      <c r="A7349" s="223"/>
      <c r="B7349" s="84" t="str">
        <f>B7346</f>
        <v>22nd December,2025</v>
      </c>
      <c r="C7349" s="85" t="s">
        <v>1738</v>
      </c>
      <c r="D7349" s="86">
        <f>1900*2779</f>
        <v>5280100</v>
      </c>
      <c r="F7349" s="177"/>
    </row>
    <row r="7350" spans="1:7" s="53" customFormat="1" x14ac:dyDescent="0.35">
      <c r="A7350" s="223"/>
      <c r="B7350" s="88"/>
      <c r="C7350" s="89" t="s">
        <v>1646</v>
      </c>
      <c r="D7350" s="90">
        <f>325*2450</f>
        <v>796250</v>
      </c>
      <c r="F7350" s="94"/>
    </row>
    <row r="7351" spans="1:7" s="53" customFormat="1" x14ac:dyDescent="0.35">
      <c r="A7351" s="223"/>
      <c r="B7351" s="88" t="s">
        <v>109</v>
      </c>
      <c r="C7351" s="89" t="s">
        <v>110</v>
      </c>
      <c r="D7351" s="90">
        <v>1000000</v>
      </c>
      <c r="F7351" s="94"/>
    </row>
    <row r="7352" spans="1:7" s="53" customFormat="1" x14ac:dyDescent="0.35">
      <c r="A7352" s="223"/>
      <c r="B7352" s="88" t="s">
        <v>111</v>
      </c>
      <c r="C7352" s="89" t="s">
        <v>112</v>
      </c>
      <c r="D7352" s="90">
        <v>40000</v>
      </c>
      <c r="E7352" s="225" t="s">
        <v>113</v>
      </c>
      <c r="F7352" s="225"/>
    </row>
    <row r="7353" spans="1:7" s="53" customFormat="1" x14ac:dyDescent="0.35">
      <c r="A7353" s="223"/>
      <c r="B7353" s="88" t="s">
        <v>182</v>
      </c>
      <c r="C7353" s="89" t="s">
        <v>115</v>
      </c>
      <c r="D7353" s="90">
        <f>400*123</f>
        <v>49200</v>
      </c>
      <c r="E7353" s="91" t="s">
        <v>116</v>
      </c>
      <c r="F7353" s="92">
        <f>4800*2445</f>
        <v>11736000</v>
      </c>
    </row>
    <row r="7354" spans="1:7" s="53" customFormat="1" x14ac:dyDescent="0.35">
      <c r="A7354" s="223"/>
      <c r="B7354" s="88"/>
      <c r="C7354" s="89" t="s">
        <v>117</v>
      </c>
      <c r="D7354" s="90">
        <f>3600*123</f>
        <v>442800</v>
      </c>
      <c r="E7354" s="93" t="s">
        <v>118</v>
      </c>
      <c r="F7354" s="94">
        <f>(2880*2445)</f>
        <v>7041600</v>
      </c>
    </row>
    <row r="7355" spans="1:7" s="53" customFormat="1" x14ac:dyDescent="0.35">
      <c r="A7355" s="223"/>
      <c r="B7355" s="88" t="s">
        <v>119</v>
      </c>
      <c r="C7355" s="89" t="s">
        <v>120</v>
      </c>
      <c r="D7355" s="95">
        <v>30000</v>
      </c>
      <c r="E7355" s="96" t="s">
        <v>121</v>
      </c>
      <c r="F7355" s="97">
        <f>F7353-F7354</f>
        <v>4694400</v>
      </c>
      <c r="G7355" s="98">
        <f>F7355/2445</f>
        <v>1920</v>
      </c>
    </row>
    <row r="7356" spans="1:7" s="53" customFormat="1" x14ac:dyDescent="0.35">
      <c r="A7356" s="223"/>
      <c r="B7356" s="88"/>
      <c r="C7356" s="89" t="s">
        <v>122</v>
      </c>
      <c r="D7356" s="90">
        <v>150000</v>
      </c>
      <c r="F7356" s="94"/>
    </row>
    <row r="7357" spans="1:7" s="53" customFormat="1" x14ac:dyDescent="0.35">
      <c r="A7357" s="223"/>
      <c r="B7357" s="88" t="s">
        <v>1692</v>
      </c>
      <c r="C7357" s="99" t="s">
        <v>123</v>
      </c>
      <c r="D7357" s="90">
        <v>15000</v>
      </c>
      <c r="E7357" s="91" t="s">
        <v>124</v>
      </c>
      <c r="F7357" s="92"/>
    </row>
    <row r="7358" spans="1:7" s="53" customFormat="1" x14ac:dyDescent="0.35">
      <c r="A7358" s="223"/>
      <c r="B7358" s="101"/>
      <c r="C7358" s="99" t="s">
        <v>125</v>
      </c>
      <c r="D7358" s="100">
        <v>10000</v>
      </c>
      <c r="E7358" s="102"/>
      <c r="F7358" s="103"/>
    </row>
    <row r="7359" spans="1:7" s="53" customFormat="1" x14ac:dyDescent="0.35">
      <c r="A7359" s="223"/>
      <c r="B7359" s="101"/>
      <c r="C7359" s="99" t="s">
        <v>126</v>
      </c>
      <c r="D7359" s="100">
        <v>20000</v>
      </c>
      <c r="E7359" s="102" t="s">
        <v>127</v>
      </c>
      <c r="F7359" s="103"/>
    </row>
    <row r="7360" spans="1:7" s="53" customFormat="1" x14ac:dyDescent="0.35">
      <c r="A7360" s="223"/>
      <c r="B7360" s="101"/>
      <c r="C7360" s="89"/>
      <c r="D7360" s="104"/>
      <c r="E7360" s="53" t="s">
        <v>1707</v>
      </c>
      <c r="F7360" s="103"/>
    </row>
    <row r="7361" spans="1:6" s="53" customFormat="1" x14ac:dyDescent="0.35">
      <c r="A7361" s="223"/>
      <c r="B7361" s="105"/>
      <c r="C7361" s="106"/>
      <c r="D7361" s="107"/>
      <c r="F7361" s="94"/>
    </row>
    <row r="7362" spans="1:6" s="53" customFormat="1" x14ac:dyDescent="0.35">
      <c r="A7362" s="223"/>
      <c r="B7362" s="108"/>
      <c r="C7362" s="109" t="s">
        <v>129</v>
      </c>
      <c r="D7362" s="110">
        <f>SUM(D7349:D7361)</f>
        <v>7833350</v>
      </c>
      <c r="F7362" s="94"/>
    </row>
    <row r="7363" spans="1:6" s="53" customFormat="1" x14ac:dyDescent="0.35">
      <c r="A7363" s="224"/>
      <c r="B7363" s="226"/>
      <c r="C7363" s="226"/>
      <c r="D7363" s="226"/>
      <c r="F7363" s="94"/>
    </row>
    <row r="7364" spans="1:6" s="53" customFormat="1" x14ac:dyDescent="0.35">
      <c r="B7364" s="87"/>
      <c r="C7364" s="53" t="s">
        <v>130</v>
      </c>
      <c r="D7364" s="111">
        <f>D7346-D7362</f>
        <v>3902650</v>
      </c>
      <c r="F7364" s="94"/>
    </row>
    <row r="7365" spans="1:6" s="53" customFormat="1" x14ac:dyDescent="0.35">
      <c r="B7365" s="87"/>
      <c r="D7365" s="111"/>
      <c r="F7365" s="94"/>
    </row>
    <row r="7366" spans="1:6" s="53" customFormat="1" x14ac:dyDescent="0.35">
      <c r="A7366" s="112"/>
      <c r="B7366" s="113"/>
      <c r="C7366" s="112"/>
      <c r="D7366" s="114"/>
      <c r="E7366" s="112"/>
      <c r="F7366" s="178"/>
    </row>
    <row r="7368" spans="1:6" s="53" customFormat="1" ht="23.5" x14ac:dyDescent="0.55000000000000004">
      <c r="B7368" s="227" t="s">
        <v>0</v>
      </c>
      <c r="C7368" s="227"/>
      <c r="D7368" s="227"/>
      <c r="E7368" s="70"/>
      <c r="F7368" s="176"/>
    </row>
    <row r="7369" spans="1:6" s="53" customFormat="1" ht="20.5" x14ac:dyDescent="0.45">
      <c r="B7369" s="71"/>
      <c r="C7369" s="72" t="s">
        <v>1713</v>
      </c>
      <c r="D7369" s="73"/>
      <c r="F7369" s="94"/>
    </row>
    <row r="7370" spans="1:6" s="53" customFormat="1" ht="20.5" x14ac:dyDescent="0.45">
      <c r="B7370" s="71" t="s">
        <v>898</v>
      </c>
      <c r="C7370" s="74" t="s">
        <v>103</v>
      </c>
      <c r="D7370" s="73"/>
      <c r="F7370" s="94"/>
    </row>
    <row r="7371" spans="1:6" s="53" customFormat="1" x14ac:dyDescent="0.35">
      <c r="A7371" s="75" t="s">
        <v>104</v>
      </c>
      <c r="B7371" s="76" t="s">
        <v>81</v>
      </c>
      <c r="C7371" s="76" t="s">
        <v>105</v>
      </c>
      <c r="D7371" s="77" t="s">
        <v>84</v>
      </c>
      <c r="F7371" s="94"/>
    </row>
    <row r="7372" spans="1:6" s="53" customFormat="1" ht="14.5" customHeight="1" x14ac:dyDescent="0.35">
      <c r="A7372" s="222" t="s">
        <v>96</v>
      </c>
      <c r="B7372" s="78" t="s">
        <v>1714</v>
      </c>
      <c r="C7372" s="79" t="s">
        <v>319</v>
      </c>
      <c r="D7372" s="80">
        <f>F7379</f>
        <v>11515000</v>
      </c>
      <c r="F7372" s="94"/>
    </row>
    <row r="7373" spans="1:6" s="53" customFormat="1" ht="20.5" x14ac:dyDescent="0.45">
      <c r="A7373" s="223"/>
      <c r="B7373" s="71"/>
      <c r="C7373" s="71"/>
      <c r="D7373" s="73"/>
      <c r="F7373" s="94"/>
    </row>
    <row r="7374" spans="1:6" s="53" customFormat="1" x14ac:dyDescent="0.35">
      <c r="A7374" s="223"/>
      <c r="B7374" s="81" t="s">
        <v>81</v>
      </c>
      <c r="C7374" s="82" t="s">
        <v>107</v>
      </c>
      <c r="D7374" s="83" t="s">
        <v>108</v>
      </c>
      <c r="F7374" s="94"/>
    </row>
    <row r="7375" spans="1:6" s="87" customFormat="1" x14ac:dyDescent="0.35">
      <c r="A7375" s="223"/>
      <c r="B7375" s="84" t="str">
        <f>B7372</f>
        <v>31st December,2025</v>
      </c>
      <c r="C7375" s="85" t="s">
        <v>1738</v>
      </c>
      <c r="D7375" s="86">
        <f>1900*2779</f>
        <v>5280100</v>
      </c>
      <c r="F7375" s="177"/>
    </row>
    <row r="7376" spans="1:6" s="53" customFormat="1" x14ac:dyDescent="0.35">
      <c r="A7376" s="223"/>
      <c r="B7376" s="88"/>
      <c r="C7376" s="89" t="s">
        <v>1646</v>
      </c>
      <c r="D7376" s="90">
        <f>325*2450</f>
        <v>796250</v>
      </c>
      <c r="F7376" s="94"/>
    </row>
    <row r="7377" spans="1:7" s="53" customFormat="1" x14ac:dyDescent="0.35">
      <c r="A7377" s="223"/>
      <c r="B7377" s="88" t="s">
        <v>109</v>
      </c>
      <c r="C7377" s="89" t="s">
        <v>110</v>
      </c>
      <c r="D7377" s="90">
        <v>1000000</v>
      </c>
      <c r="F7377" s="94"/>
    </row>
    <row r="7378" spans="1:7" s="53" customFormat="1" x14ac:dyDescent="0.35">
      <c r="A7378" s="223"/>
      <c r="B7378" s="88" t="s">
        <v>111</v>
      </c>
      <c r="C7378" s="89" t="s">
        <v>112</v>
      </c>
      <c r="D7378" s="90">
        <v>40000</v>
      </c>
      <c r="E7378" s="228" t="s">
        <v>113</v>
      </c>
      <c r="F7378" s="225"/>
    </row>
    <row r="7379" spans="1:7" s="53" customFormat="1" x14ac:dyDescent="0.35">
      <c r="A7379" s="223"/>
      <c r="B7379" s="88" t="s">
        <v>182</v>
      </c>
      <c r="C7379" s="89" t="s">
        <v>115</v>
      </c>
      <c r="D7379" s="90">
        <f>1250*123</f>
        <v>153750</v>
      </c>
      <c r="E7379" s="91" t="s">
        <v>116</v>
      </c>
      <c r="F7379" s="92">
        <f>4700*2450</f>
        <v>11515000</v>
      </c>
    </row>
    <row r="7380" spans="1:7" s="53" customFormat="1" x14ac:dyDescent="0.35">
      <c r="A7380" s="223"/>
      <c r="B7380" s="88"/>
      <c r="C7380" s="89" t="s">
        <v>117</v>
      </c>
      <c r="D7380" s="90">
        <f>4200*123</f>
        <v>516600</v>
      </c>
      <c r="E7380" s="93" t="s">
        <v>118</v>
      </c>
      <c r="F7380" s="94">
        <f>4667.5*2450</f>
        <v>11435375</v>
      </c>
    </row>
    <row r="7381" spans="1:7" s="53" customFormat="1" x14ac:dyDescent="0.35">
      <c r="A7381" s="223"/>
      <c r="B7381" s="88" t="s">
        <v>119</v>
      </c>
      <c r="C7381" s="89" t="s">
        <v>120</v>
      </c>
      <c r="D7381" s="95">
        <v>30000</v>
      </c>
      <c r="E7381" s="96" t="s">
        <v>121</v>
      </c>
      <c r="F7381" s="97">
        <f>F7379-F7380</f>
        <v>79625</v>
      </c>
      <c r="G7381" s="98">
        <f>F7381/2450</f>
        <v>32.5</v>
      </c>
    </row>
    <row r="7382" spans="1:7" s="53" customFormat="1" x14ac:dyDescent="0.35">
      <c r="A7382" s="223"/>
      <c r="B7382" s="88"/>
      <c r="C7382" s="89" t="s">
        <v>122</v>
      </c>
      <c r="D7382" s="90">
        <v>150000</v>
      </c>
      <c r="F7382" s="94"/>
    </row>
    <row r="7383" spans="1:7" s="53" customFormat="1" x14ac:dyDescent="0.35">
      <c r="A7383" s="223"/>
      <c r="B7383" s="88" t="s">
        <v>1711</v>
      </c>
      <c r="C7383" s="99" t="s">
        <v>123</v>
      </c>
      <c r="D7383" s="90">
        <v>15000</v>
      </c>
      <c r="E7383" s="91" t="s">
        <v>124</v>
      </c>
      <c r="F7383" s="92"/>
    </row>
    <row r="7384" spans="1:7" s="53" customFormat="1" x14ac:dyDescent="0.35">
      <c r="A7384" s="223"/>
      <c r="B7384" s="101"/>
      <c r="C7384" s="99" t="s">
        <v>125</v>
      </c>
      <c r="D7384" s="100">
        <v>10000</v>
      </c>
      <c r="E7384" s="102"/>
      <c r="F7384" s="103"/>
    </row>
    <row r="7385" spans="1:7" s="53" customFormat="1" x14ac:dyDescent="0.35">
      <c r="A7385" s="223"/>
      <c r="B7385" s="101"/>
      <c r="C7385" s="99" t="s">
        <v>126</v>
      </c>
      <c r="D7385" s="100">
        <v>30000</v>
      </c>
      <c r="E7385" s="102" t="s">
        <v>127</v>
      </c>
      <c r="F7385" s="103"/>
    </row>
    <row r="7386" spans="1:7" s="53" customFormat="1" x14ac:dyDescent="0.35">
      <c r="A7386" s="223"/>
      <c r="B7386" s="101"/>
      <c r="C7386" s="89" t="s">
        <v>265</v>
      </c>
      <c r="D7386" s="104">
        <f>720*121</f>
        <v>87120</v>
      </c>
      <c r="E7386" s="102" t="s">
        <v>1764</v>
      </c>
      <c r="F7386" s="103"/>
    </row>
    <row r="7387" spans="1:7" s="53" customFormat="1" x14ac:dyDescent="0.35">
      <c r="A7387" s="223"/>
      <c r="B7387" s="105"/>
      <c r="C7387" s="106"/>
      <c r="D7387" s="107"/>
      <c r="F7387" s="94"/>
    </row>
    <row r="7388" spans="1:7" s="53" customFormat="1" x14ac:dyDescent="0.35">
      <c r="A7388" s="223"/>
      <c r="B7388" s="108"/>
      <c r="C7388" s="109" t="s">
        <v>129</v>
      </c>
      <c r="D7388" s="110">
        <f>SUM(D7375:D7387)</f>
        <v>8108820</v>
      </c>
      <c r="F7388" s="94"/>
    </row>
    <row r="7389" spans="1:7" s="53" customFormat="1" x14ac:dyDescent="0.35">
      <c r="A7389" s="224"/>
      <c r="B7389" s="226"/>
      <c r="C7389" s="226"/>
      <c r="D7389" s="226"/>
      <c r="F7389" s="94"/>
    </row>
    <row r="7390" spans="1:7" s="53" customFormat="1" x14ac:dyDescent="0.35">
      <c r="B7390" s="87"/>
      <c r="C7390" s="53" t="s">
        <v>130</v>
      </c>
      <c r="D7390" s="111">
        <f>D7372-D7388</f>
        <v>3406180</v>
      </c>
      <c r="F7390" s="94"/>
    </row>
    <row r="7391" spans="1:7" s="53" customFormat="1" x14ac:dyDescent="0.35">
      <c r="B7391" s="87"/>
      <c r="D7391" s="111"/>
      <c r="F7391" s="94"/>
    </row>
    <row r="7392" spans="1:7" s="53" customFormat="1" x14ac:dyDescent="0.35">
      <c r="A7392" s="112"/>
      <c r="B7392" s="113"/>
      <c r="C7392" s="112"/>
      <c r="D7392" s="114"/>
      <c r="E7392" s="112"/>
      <c r="F7392" s="178"/>
    </row>
    <row r="7394" spans="1:7" s="53" customFormat="1" ht="23.5" x14ac:dyDescent="0.55000000000000004">
      <c r="B7394" s="227" t="s">
        <v>0</v>
      </c>
      <c r="C7394" s="227"/>
      <c r="D7394" s="227"/>
      <c r="E7394" s="70"/>
      <c r="F7394" s="176"/>
    </row>
    <row r="7395" spans="1:7" s="53" customFormat="1" ht="20.5" x14ac:dyDescent="0.45">
      <c r="B7395" s="71"/>
      <c r="C7395" s="72" t="s">
        <v>1713</v>
      </c>
      <c r="D7395" s="73"/>
      <c r="F7395" s="94"/>
    </row>
    <row r="7396" spans="1:7" s="53" customFormat="1" ht="20.5" x14ac:dyDescent="0.45">
      <c r="B7396" s="71" t="s">
        <v>1148</v>
      </c>
      <c r="C7396" s="74" t="s">
        <v>103</v>
      </c>
      <c r="D7396" s="73"/>
      <c r="F7396" s="94"/>
    </row>
    <row r="7397" spans="1:7" s="53" customFormat="1" x14ac:dyDescent="0.35">
      <c r="A7397" s="75" t="s">
        <v>104</v>
      </c>
      <c r="B7397" s="76" t="s">
        <v>81</v>
      </c>
      <c r="C7397" s="76" t="s">
        <v>105</v>
      </c>
      <c r="D7397" s="77" t="s">
        <v>84</v>
      </c>
      <c r="F7397" s="94"/>
    </row>
    <row r="7398" spans="1:7" s="53" customFormat="1" ht="14.5" customHeight="1" x14ac:dyDescent="0.35">
      <c r="A7398" s="222" t="s">
        <v>96</v>
      </c>
      <c r="B7398" s="78" t="s">
        <v>1714</v>
      </c>
      <c r="C7398" s="79" t="s">
        <v>319</v>
      </c>
      <c r="D7398" s="80">
        <f>F7405</f>
        <v>11515000</v>
      </c>
      <c r="F7398" s="94"/>
    </row>
    <row r="7399" spans="1:7" s="53" customFormat="1" ht="20.5" x14ac:dyDescent="0.45">
      <c r="A7399" s="223"/>
      <c r="B7399" s="71"/>
      <c r="C7399" s="71"/>
      <c r="D7399" s="73"/>
      <c r="F7399" s="94"/>
    </row>
    <row r="7400" spans="1:7" s="53" customFormat="1" x14ac:dyDescent="0.35">
      <c r="A7400" s="223"/>
      <c r="B7400" s="81" t="s">
        <v>81</v>
      </c>
      <c r="C7400" s="82" t="s">
        <v>107</v>
      </c>
      <c r="D7400" s="83" t="s">
        <v>108</v>
      </c>
      <c r="F7400" s="94"/>
    </row>
    <row r="7401" spans="1:7" s="87" customFormat="1" x14ac:dyDescent="0.35">
      <c r="A7401" s="223"/>
      <c r="B7401" s="84" t="str">
        <f>B7398</f>
        <v>31st December,2025</v>
      </c>
      <c r="C7401" s="85" t="s">
        <v>1738</v>
      </c>
      <c r="D7401" s="86">
        <f>1900*2779</f>
        <v>5280100</v>
      </c>
      <c r="F7401" s="177"/>
    </row>
    <row r="7402" spans="1:7" s="53" customFormat="1" x14ac:dyDescent="0.35">
      <c r="A7402" s="223"/>
      <c r="B7402" s="88"/>
      <c r="C7402" s="89" t="s">
        <v>1646</v>
      </c>
      <c r="D7402" s="90">
        <f>325*2450</f>
        <v>796250</v>
      </c>
      <c r="F7402" s="94"/>
    </row>
    <row r="7403" spans="1:7" s="53" customFormat="1" x14ac:dyDescent="0.35">
      <c r="A7403" s="223"/>
      <c r="B7403" s="88" t="s">
        <v>109</v>
      </c>
      <c r="C7403" s="89" t="s">
        <v>110</v>
      </c>
      <c r="D7403" s="90">
        <v>1000000</v>
      </c>
      <c r="F7403" s="94"/>
    </row>
    <row r="7404" spans="1:7" s="53" customFormat="1" x14ac:dyDescent="0.35">
      <c r="A7404" s="223"/>
      <c r="B7404" s="88" t="s">
        <v>111</v>
      </c>
      <c r="C7404" s="89" t="s">
        <v>112</v>
      </c>
      <c r="D7404" s="90">
        <v>40000</v>
      </c>
      <c r="E7404" s="228" t="s">
        <v>113</v>
      </c>
      <c r="F7404" s="225"/>
    </row>
    <row r="7405" spans="1:7" s="53" customFormat="1" x14ac:dyDescent="0.35">
      <c r="A7405" s="223"/>
      <c r="B7405" s="88" t="s">
        <v>182</v>
      </c>
      <c r="C7405" s="89" t="s">
        <v>115</v>
      </c>
      <c r="D7405" s="90">
        <f>1250*123</f>
        <v>153750</v>
      </c>
      <c r="E7405" s="91" t="s">
        <v>116</v>
      </c>
      <c r="F7405" s="92">
        <f>4700*2450</f>
        <v>11515000</v>
      </c>
    </row>
    <row r="7406" spans="1:7" s="53" customFormat="1" x14ac:dyDescent="0.35">
      <c r="A7406" s="223"/>
      <c r="B7406" s="88"/>
      <c r="C7406" s="89" t="s">
        <v>117</v>
      </c>
      <c r="D7406" s="90">
        <f>4200*123</f>
        <v>516600</v>
      </c>
      <c r="E7406" s="93" t="s">
        <v>118</v>
      </c>
      <c r="F7406" s="94">
        <f>4667.5*2450</f>
        <v>11435375</v>
      </c>
    </row>
    <row r="7407" spans="1:7" s="53" customFormat="1" x14ac:dyDescent="0.35">
      <c r="A7407" s="223"/>
      <c r="B7407" s="88" t="s">
        <v>119</v>
      </c>
      <c r="C7407" s="89" t="s">
        <v>120</v>
      </c>
      <c r="D7407" s="95">
        <v>30000</v>
      </c>
      <c r="E7407" s="96" t="s">
        <v>121</v>
      </c>
      <c r="F7407" s="97">
        <f>F7405-F7406</f>
        <v>79625</v>
      </c>
      <c r="G7407" s="98">
        <f>F7407/2450</f>
        <v>32.5</v>
      </c>
    </row>
    <row r="7408" spans="1:7" s="53" customFormat="1" x14ac:dyDescent="0.35">
      <c r="A7408" s="223"/>
      <c r="B7408" s="88"/>
      <c r="C7408" s="89" t="s">
        <v>122</v>
      </c>
      <c r="D7408" s="90">
        <v>150000</v>
      </c>
      <c r="F7408" s="94"/>
    </row>
    <row r="7409" spans="1:6" s="53" customFormat="1" x14ac:dyDescent="0.35">
      <c r="A7409" s="223"/>
      <c r="B7409" s="88" t="s">
        <v>1712</v>
      </c>
      <c r="C7409" s="99" t="s">
        <v>123</v>
      </c>
      <c r="D7409" s="90">
        <v>15000</v>
      </c>
      <c r="E7409" s="91" t="s">
        <v>124</v>
      </c>
      <c r="F7409" s="92"/>
    </row>
    <row r="7410" spans="1:6" s="53" customFormat="1" x14ac:dyDescent="0.35">
      <c r="A7410" s="223"/>
      <c r="B7410" s="101"/>
      <c r="C7410" s="99" t="s">
        <v>125</v>
      </c>
      <c r="D7410" s="100">
        <v>10000</v>
      </c>
      <c r="E7410" s="102"/>
      <c r="F7410" s="103"/>
    </row>
    <row r="7411" spans="1:6" s="53" customFormat="1" x14ac:dyDescent="0.35">
      <c r="A7411" s="223"/>
      <c r="B7411" s="101"/>
      <c r="C7411" s="99" t="s">
        <v>126</v>
      </c>
      <c r="D7411" s="100">
        <v>30000</v>
      </c>
      <c r="E7411" s="102" t="s">
        <v>127</v>
      </c>
      <c r="F7411" s="103"/>
    </row>
    <row r="7412" spans="1:6" s="53" customFormat="1" x14ac:dyDescent="0.35">
      <c r="A7412" s="223"/>
      <c r="B7412" s="101"/>
      <c r="C7412" s="89" t="s">
        <v>265</v>
      </c>
      <c r="D7412" s="104">
        <f>720*121</f>
        <v>87120</v>
      </c>
      <c r="E7412" s="102" t="s">
        <v>1765</v>
      </c>
      <c r="F7412" s="103"/>
    </row>
    <row r="7413" spans="1:6" s="53" customFormat="1" x14ac:dyDescent="0.35">
      <c r="A7413" s="223"/>
      <c r="B7413" s="105"/>
      <c r="C7413" s="106"/>
      <c r="D7413" s="107"/>
      <c r="F7413" s="94"/>
    </row>
    <row r="7414" spans="1:6" s="53" customFormat="1" x14ac:dyDescent="0.35">
      <c r="A7414" s="223"/>
      <c r="B7414" s="108"/>
      <c r="C7414" s="109" t="s">
        <v>129</v>
      </c>
      <c r="D7414" s="110">
        <f>SUM(D7401:D7413)</f>
        <v>8108820</v>
      </c>
      <c r="F7414" s="94"/>
    </row>
    <row r="7415" spans="1:6" s="53" customFormat="1" x14ac:dyDescent="0.35">
      <c r="A7415" s="224"/>
      <c r="B7415" s="226"/>
      <c r="C7415" s="226"/>
      <c r="D7415" s="226"/>
      <c r="F7415" s="94"/>
    </row>
    <row r="7416" spans="1:6" s="53" customFormat="1" x14ac:dyDescent="0.35">
      <c r="B7416" s="87"/>
      <c r="C7416" s="53" t="s">
        <v>130</v>
      </c>
      <c r="D7416" s="111">
        <f>D7398-D7414</f>
        <v>3406180</v>
      </c>
      <c r="F7416" s="94"/>
    </row>
    <row r="7417" spans="1:6" s="53" customFormat="1" x14ac:dyDescent="0.35">
      <c r="B7417" s="87"/>
      <c r="D7417" s="111"/>
      <c r="F7417" s="94"/>
    </row>
    <row r="7418" spans="1:6" s="53" customFormat="1" x14ac:dyDescent="0.35">
      <c r="A7418" s="112"/>
      <c r="B7418" s="113"/>
      <c r="C7418" s="112"/>
      <c r="D7418" s="114"/>
      <c r="E7418" s="112"/>
      <c r="F7418" s="178"/>
    </row>
    <row r="7421" spans="1:6" s="53" customFormat="1" ht="23.5" x14ac:dyDescent="0.55000000000000004">
      <c r="B7421" s="227" t="s">
        <v>0</v>
      </c>
      <c r="C7421" s="227"/>
      <c r="D7421" s="227"/>
      <c r="E7421" s="70"/>
      <c r="F7421" s="176"/>
    </row>
    <row r="7422" spans="1:6" s="53" customFormat="1" ht="20.5" x14ac:dyDescent="0.45">
      <c r="B7422" s="71"/>
      <c r="C7422" s="72" t="s">
        <v>1721</v>
      </c>
      <c r="D7422" s="73"/>
      <c r="F7422" s="94"/>
    </row>
    <row r="7423" spans="1:6" s="53" customFormat="1" ht="20.5" x14ac:dyDescent="0.45">
      <c r="B7423" s="71" t="s">
        <v>979</v>
      </c>
      <c r="C7423" s="74" t="s">
        <v>103</v>
      </c>
      <c r="D7423" s="73"/>
      <c r="F7423" s="94"/>
    </row>
    <row r="7424" spans="1:6" s="53" customFormat="1" x14ac:dyDescent="0.35">
      <c r="A7424" s="75" t="s">
        <v>104</v>
      </c>
      <c r="B7424" s="76" t="s">
        <v>81</v>
      </c>
      <c r="C7424" s="76" t="s">
        <v>105</v>
      </c>
      <c r="D7424" s="77" t="s">
        <v>84</v>
      </c>
      <c r="F7424" s="94"/>
    </row>
    <row r="7425" spans="1:7" s="53" customFormat="1" ht="14.5" customHeight="1" x14ac:dyDescent="0.35">
      <c r="A7425" s="222" t="s">
        <v>96</v>
      </c>
      <c r="B7425" s="78" t="s">
        <v>1714</v>
      </c>
      <c r="C7425" s="79" t="s">
        <v>959</v>
      </c>
      <c r="D7425" s="80">
        <f>F7432</f>
        <v>12225000</v>
      </c>
      <c r="F7425" s="94"/>
    </row>
    <row r="7426" spans="1:7" s="53" customFormat="1" ht="20.5" x14ac:dyDescent="0.45">
      <c r="A7426" s="223"/>
      <c r="B7426" s="71"/>
      <c r="C7426" s="71"/>
      <c r="D7426" s="73"/>
      <c r="F7426" s="94"/>
    </row>
    <row r="7427" spans="1:7" s="53" customFormat="1" x14ac:dyDescent="0.35">
      <c r="A7427" s="223"/>
      <c r="B7427" s="81" t="s">
        <v>81</v>
      </c>
      <c r="C7427" s="82" t="s">
        <v>107</v>
      </c>
      <c r="D7427" s="83" t="s">
        <v>108</v>
      </c>
      <c r="F7427" s="94"/>
    </row>
    <row r="7428" spans="1:7" s="87" customFormat="1" x14ac:dyDescent="0.35">
      <c r="A7428" s="223"/>
      <c r="B7428" s="84" t="str">
        <f>B7425</f>
        <v>31st December,2025</v>
      </c>
      <c r="C7428" s="85" t="s">
        <v>1708</v>
      </c>
      <c r="D7428" s="86">
        <f>1850*2799</f>
        <v>5178150</v>
      </c>
      <c r="F7428" s="177"/>
    </row>
    <row r="7429" spans="1:7" s="53" customFormat="1" x14ac:dyDescent="0.35">
      <c r="A7429" s="223"/>
      <c r="B7429" s="88"/>
      <c r="C7429" s="89" t="s">
        <v>1646</v>
      </c>
      <c r="D7429" s="90">
        <f>325*2450</f>
        <v>796250</v>
      </c>
      <c r="F7429" s="94"/>
    </row>
    <row r="7430" spans="1:7" s="53" customFormat="1" x14ac:dyDescent="0.35">
      <c r="A7430" s="223"/>
      <c r="B7430" s="88" t="s">
        <v>109</v>
      </c>
      <c r="C7430" s="89" t="s">
        <v>110</v>
      </c>
      <c r="D7430" s="90">
        <v>1000000</v>
      </c>
      <c r="F7430" s="94"/>
    </row>
    <row r="7431" spans="1:7" s="53" customFormat="1" x14ac:dyDescent="0.35">
      <c r="A7431" s="223"/>
      <c r="B7431" s="88" t="s">
        <v>111</v>
      </c>
      <c r="C7431" s="89" t="s">
        <v>112</v>
      </c>
      <c r="D7431" s="90">
        <v>40000</v>
      </c>
      <c r="E7431" s="225" t="s">
        <v>113</v>
      </c>
      <c r="F7431" s="225"/>
    </row>
    <row r="7432" spans="1:7" s="53" customFormat="1" x14ac:dyDescent="0.35">
      <c r="A7432" s="223"/>
      <c r="B7432" s="88" t="s">
        <v>182</v>
      </c>
      <c r="C7432" s="89" t="s">
        <v>115</v>
      </c>
      <c r="D7432" s="90">
        <f>1000*123</f>
        <v>123000</v>
      </c>
      <c r="E7432" s="91" t="s">
        <v>116</v>
      </c>
      <c r="F7432" s="92">
        <f>5000*2445</f>
        <v>12225000</v>
      </c>
    </row>
    <row r="7433" spans="1:7" s="53" customFormat="1" x14ac:dyDescent="0.35">
      <c r="A7433" s="223"/>
      <c r="B7433" s="88"/>
      <c r="C7433" s="89" t="s">
        <v>117</v>
      </c>
      <c r="D7433" s="90">
        <f>4200*123</f>
        <v>516600</v>
      </c>
      <c r="E7433" s="93" t="s">
        <v>118</v>
      </c>
      <c r="F7433" s="94">
        <f>(3000*2445)+(2000*2445)</f>
        <v>12225000</v>
      </c>
    </row>
    <row r="7434" spans="1:7" s="53" customFormat="1" x14ac:dyDescent="0.35">
      <c r="A7434" s="223"/>
      <c r="B7434" s="88" t="s">
        <v>119</v>
      </c>
      <c r="C7434" s="89" t="s">
        <v>120</v>
      </c>
      <c r="D7434" s="95">
        <v>30000</v>
      </c>
      <c r="E7434" s="96" t="s">
        <v>121</v>
      </c>
      <c r="F7434" s="97">
        <f>F7432-F7433</f>
        <v>0</v>
      </c>
      <c r="G7434" s="98">
        <f>F7434/2445</f>
        <v>0</v>
      </c>
    </row>
    <row r="7435" spans="1:7" s="53" customFormat="1" x14ac:dyDescent="0.35">
      <c r="A7435" s="223"/>
      <c r="B7435" s="88"/>
      <c r="C7435" s="89" t="s">
        <v>122</v>
      </c>
      <c r="D7435" s="90">
        <v>150000</v>
      </c>
      <c r="F7435" s="94"/>
    </row>
    <row r="7436" spans="1:7" s="53" customFormat="1" x14ac:dyDescent="0.35">
      <c r="A7436" s="223"/>
      <c r="B7436" s="88" t="s">
        <v>1716</v>
      </c>
      <c r="C7436" s="99" t="s">
        <v>123</v>
      </c>
      <c r="D7436" s="90">
        <v>15000</v>
      </c>
      <c r="E7436" s="91" t="s">
        <v>124</v>
      </c>
      <c r="F7436" s="92"/>
    </row>
    <row r="7437" spans="1:7" s="53" customFormat="1" x14ac:dyDescent="0.35">
      <c r="A7437" s="223"/>
      <c r="B7437" s="101"/>
      <c r="C7437" s="99" t="s">
        <v>125</v>
      </c>
      <c r="D7437" s="100">
        <v>10000</v>
      </c>
      <c r="E7437" s="102"/>
      <c r="F7437" s="103"/>
    </row>
    <row r="7438" spans="1:7" s="53" customFormat="1" x14ac:dyDescent="0.35">
      <c r="A7438" s="223"/>
      <c r="B7438" s="101"/>
      <c r="C7438" s="99" t="s">
        <v>126</v>
      </c>
      <c r="D7438" s="100">
        <v>30000</v>
      </c>
      <c r="E7438" s="102" t="s">
        <v>127</v>
      </c>
      <c r="F7438" s="103"/>
    </row>
    <row r="7439" spans="1:7" s="53" customFormat="1" x14ac:dyDescent="0.35">
      <c r="A7439" s="223"/>
      <c r="B7439" s="101"/>
      <c r="C7439" s="89" t="s">
        <v>265</v>
      </c>
      <c r="D7439" s="104">
        <f>720*123</f>
        <v>88560</v>
      </c>
      <c r="E7439" s="53" t="s">
        <v>1728</v>
      </c>
      <c r="F7439" s="103"/>
    </row>
    <row r="7440" spans="1:7" s="53" customFormat="1" x14ac:dyDescent="0.35">
      <c r="A7440" s="223"/>
      <c r="B7440" s="105"/>
      <c r="C7440" s="106"/>
      <c r="D7440" s="107"/>
      <c r="E7440" s="53" t="s">
        <v>1766</v>
      </c>
      <c r="F7440" s="94"/>
    </row>
    <row r="7441" spans="1:6" s="53" customFormat="1" x14ac:dyDescent="0.35">
      <c r="A7441" s="223"/>
      <c r="B7441" s="108"/>
      <c r="C7441" s="109" t="s">
        <v>129</v>
      </c>
      <c r="D7441" s="110">
        <f>SUM(D7428:D7440)</f>
        <v>7977560</v>
      </c>
      <c r="F7441" s="94"/>
    </row>
    <row r="7442" spans="1:6" s="53" customFormat="1" x14ac:dyDescent="0.35">
      <c r="A7442" s="224"/>
      <c r="B7442" s="226"/>
      <c r="C7442" s="226"/>
      <c r="D7442" s="226"/>
      <c r="F7442" s="94"/>
    </row>
    <row r="7443" spans="1:6" s="53" customFormat="1" x14ac:dyDescent="0.35">
      <c r="B7443" s="87"/>
      <c r="C7443" s="53" t="s">
        <v>130</v>
      </c>
      <c r="D7443" s="111">
        <f>D7425-D7441</f>
        <v>4247440</v>
      </c>
      <c r="F7443" s="94"/>
    </row>
    <row r="7444" spans="1:6" s="53" customFormat="1" x14ac:dyDescent="0.35">
      <c r="B7444" s="87"/>
      <c r="D7444" s="111"/>
      <c r="F7444" s="94"/>
    </row>
    <row r="7445" spans="1:6" s="53" customFormat="1" x14ac:dyDescent="0.35">
      <c r="A7445" s="112"/>
      <c r="B7445" s="113"/>
      <c r="C7445" s="112"/>
      <c r="D7445" s="114"/>
      <c r="E7445" s="112"/>
      <c r="F7445" s="178"/>
    </row>
    <row r="7447" spans="1:6" s="53" customFormat="1" ht="23.5" x14ac:dyDescent="0.55000000000000004">
      <c r="B7447" s="227" t="s">
        <v>0</v>
      </c>
      <c r="C7447" s="227"/>
      <c r="D7447" s="227"/>
      <c r="E7447" s="70"/>
      <c r="F7447" s="176"/>
    </row>
    <row r="7448" spans="1:6" s="53" customFormat="1" ht="20.5" x14ac:dyDescent="0.45">
      <c r="B7448" s="71"/>
      <c r="C7448" s="72" t="s">
        <v>1722</v>
      </c>
      <c r="D7448" s="73"/>
      <c r="F7448" s="94"/>
    </row>
    <row r="7449" spans="1:6" s="53" customFormat="1" ht="20.5" x14ac:dyDescent="0.45">
      <c r="B7449" s="71" t="s">
        <v>193</v>
      </c>
      <c r="C7449" s="74" t="s">
        <v>103</v>
      </c>
      <c r="D7449" s="73"/>
      <c r="F7449" s="94"/>
    </row>
    <row r="7450" spans="1:6" s="53" customFormat="1" x14ac:dyDescent="0.35">
      <c r="A7450" s="75" t="s">
        <v>104</v>
      </c>
      <c r="B7450" s="76" t="s">
        <v>81</v>
      </c>
      <c r="C7450" s="76" t="s">
        <v>105</v>
      </c>
      <c r="D7450" s="77" t="s">
        <v>84</v>
      </c>
      <c r="F7450" s="94"/>
    </row>
    <row r="7451" spans="1:6" s="53" customFormat="1" ht="14.5" customHeight="1" x14ac:dyDescent="0.35">
      <c r="A7451" s="222" t="s">
        <v>96</v>
      </c>
      <c r="B7451" s="78" t="s">
        <v>1714</v>
      </c>
      <c r="C7451" s="79" t="s">
        <v>959</v>
      </c>
      <c r="D7451" s="80">
        <f>F7458</f>
        <v>12225000</v>
      </c>
      <c r="F7451" s="94"/>
    </row>
    <row r="7452" spans="1:6" s="53" customFormat="1" ht="20.5" x14ac:dyDescent="0.45">
      <c r="A7452" s="223"/>
      <c r="B7452" s="71"/>
      <c r="C7452" s="71"/>
      <c r="D7452" s="73"/>
      <c r="F7452" s="94"/>
    </row>
    <row r="7453" spans="1:6" s="53" customFormat="1" x14ac:dyDescent="0.35">
      <c r="A7453" s="223"/>
      <c r="B7453" s="81" t="s">
        <v>81</v>
      </c>
      <c r="C7453" s="82" t="s">
        <v>107</v>
      </c>
      <c r="D7453" s="83" t="s">
        <v>108</v>
      </c>
      <c r="F7453" s="94"/>
    </row>
    <row r="7454" spans="1:6" s="87" customFormat="1" x14ac:dyDescent="0.35">
      <c r="A7454" s="223"/>
      <c r="B7454" s="84" t="str">
        <f>B7451</f>
        <v>31st December,2025</v>
      </c>
      <c r="C7454" s="85" t="s">
        <v>1738</v>
      </c>
      <c r="D7454" s="86">
        <f>1900*2779</f>
        <v>5280100</v>
      </c>
      <c r="F7454" s="177"/>
    </row>
    <row r="7455" spans="1:6" s="53" customFormat="1" x14ac:dyDescent="0.35">
      <c r="A7455" s="223"/>
      <c r="B7455" s="88"/>
      <c r="C7455" s="89" t="s">
        <v>1646</v>
      </c>
      <c r="D7455" s="90">
        <f>325*2450</f>
        <v>796250</v>
      </c>
      <c r="F7455" s="94"/>
    </row>
    <row r="7456" spans="1:6" s="53" customFormat="1" x14ac:dyDescent="0.35">
      <c r="A7456" s="223"/>
      <c r="B7456" s="88" t="s">
        <v>109</v>
      </c>
      <c r="C7456" s="89" t="s">
        <v>110</v>
      </c>
      <c r="D7456" s="90">
        <v>1000000</v>
      </c>
      <c r="F7456" s="94"/>
    </row>
    <row r="7457" spans="1:7" s="53" customFormat="1" x14ac:dyDescent="0.35">
      <c r="A7457" s="223"/>
      <c r="B7457" s="88" t="s">
        <v>111</v>
      </c>
      <c r="C7457" s="89" t="s">
        <v>112</v>
      </c>
      <c r="D7457" s="90">
        <v>40000</v>
      </c>
      <c r="E7457" s="225" t="s">
        <v>113</v>
      </c>
      <c r="F7457" s="225"/>
    </row>
    <row r="7458" spans="1:7" s="53" customFormat="1" x14ac:dyDescent="0.35">
      <c r="A7458" s="223"/>
      <c r="B7458" s="88" t="s">
        <v>182</v>
      </c>
      <c r="C7458" s="89" t="s">
        <v>115</v>
      </c>
      <c r="D7458" s="90">
        <f>1250*123</f>
        <v>153750</v>
      </c>
      <c r="E7458" s="91" t="s">
        <v>116</v>
      </c>
      <c r="F7458" s="92">
        <f>5000*2445</f>
        <v>12225000</v>
      </c>
    </row>
    <row r="7459" spans="1:7" s="53" customFormat="1" x14ac:dyDescent="0.35">
      <c r="A7459" s="223"/>
      <c r="B7459" s="88"/>
      <c r="C7459" s="89" t="s">
        <v>117</v>
      </c>
      <c r="D7459" s="90">
        <f>4200*123</f>
        <v>516600</v>
      </c>
      <c r="E7459" s="93" t="s">
        <v>118</v>
      </c>
      <c r="F7459" s="94">
        <f>(3000*2445)+(2000*2445)</f>
        <v>12225000</v>
      </c>
    </row>
    <row r="7460" spans="1:7" s="53" customFormat="1" x14ac:dyDescent="0.35">
      <c r="A7460" s="223"/>
      <c r="B7460" s="88" t="s">
        <v>119</v>
      </c>
      <c r="C7460" s="89" t="s">
        <v>120</v>
      </c>
      <c r="D7460" s="95">
        <v>30000</v>
      </c>
      <c r="E7460" s="96" t="s">
        <v>121</v>
      </c>
      <c r="F7460" s="97">
        <f>F7458-F7459</f>
        <v>0</v>
      </c>
      <c r="G7460" s="98">
        <f>F7460/2445</f>
        <v>0</v>
      </c>
    </row>
    <row r="7461" spans="1:7" s="53" customFormat="1" x14ac:dyDescent="0.35">
      <c r="A7461" s="223"/>
      <c r="B7461" s="88"/>
      <c r="C7461" s="89" t="s">
        <v>122</v>
      </c>
      <c r="D7461" s="90">
        <v>150000</v>
      </c>
      <c r="F7461" s="94"/>
    </row>
    <row r="7462" spans="1:7" s="53" customFormat="1" x14ac:dyDescent="0.35">
      <c r="A7462" s="223"/>
      <c r="B7462" s="88" t="s">
        <v>1719</v>
      </c>
      <c r="C7462" s="99" t="s">
        <v>123</v>
      </c>
      <c r="D7462" s="90">
        <v>15000</v>
      </c>
      <c r="E7462" s="91" t="s">
        <v>124</v>
      </c>
      <c r="F7462" s="92"/>
    </row>
    <row r="7463" spans="1:7" s="53" customFormat="1" x14ac:dyDescent="0.35">
      <c r="A7463" s="223"/>
      <c r="B7463" s="101"/>
      <c r="C7463" s="99" t="s">
        <v>125</v>
      </c>
      <c r="D7463" s="100">
        <v>10000</v>
      </c>
      <c r="E7463" s="102"/>
      <c r="F7463" s="103"/>
    </row>
    <row r="7464" spans="1:7" s="53" customFormat="1" x14ac:dyDescent="0.35">
      <c r="A7464" s="223"/>
      <c r="B7464" s="101"/>
      <c r="C7464" s="99" t="s">
        <v>126</v>
      </c>
      <c r="D7464" s="100">
        <v>30000</v>
      </c>
      <c r="E7464" s="102" t="s">
        <v>127</v>
      </c>
      <c r="F7464" s="103"/>
    </row>
    <row r="7465" spans="1:7" s="53" customFormat="1" x14ac:dyDescent="0.35">
      <c r="A7465" s="223"/>
      <c r="B7465" s="101"/>
      <c r="C7465" s="89" t="s">
        <v>265</v>
      </c>
      <c r="D7465" s="104">
        <f>720*121</f>
        <v>87120</v>
      </c>
      <c r="E7465" s="53" t="s">
        <v>1728</v>
      </c>
      <c r="F7465" s="103"/>
    </row>
    <row r="7466" spans="1:7" s="53" customFormat="1" x14ac:dyDescent="0.35">
      <c r="A7466" s="223"/>
      <c r="B7466" s="105"/>
      <c r="C7466" s="106"/>
      <c r="D7466" s="107"/>
      <c r="E7466" s="53" t="s">
        <v>1754</v>
      </c>
      <c r="F7466" s="94"/>
    </row>
    <row r="7467" spans="1:7" s="53" customFormat="1" x14ac:dyDescent="0.35">
      <c r="A7467" s="223"/>
      <c r="B7467" s="108"/>
      <c r="C7467" s="109" t="s">
        <v>129</v>
      </c>
      <c r="D7467" s="110">
        <f>SUM(D7454:D7466)</f>
        <v>8108820</v>
      </c>
      <c r="F7467" s="94"/>
    </row>
    <row r="7468" spans="1:7" s="53" customFormat="1" x14ac:dyDescent="0.35">
      <c r="A7468" s="224"/>
      <c r="B7468" s="226"/>
      <c r="C7468" s="226"/>
      <c r="D7468" s="226"/>
      <c r="F7468" s="94"/>
    </row>
    <row r="7469" spans="1:7" s="53" customFormat="1" x14ac:dyDescent="0.35">
      <c r="B7469" s="87"/>
      <c r="C7469" s="53" t="s">
        <v>130</v>
      </c>
      <c r="D7469" s="111">
        <f>D7451-D7467</f>
        <v>4116180</v>
      </c>
      <c r="F7469" s="94"/>
    </row>
    <row r="7470" spans="1:7" s="53" customFormat="1" x14ac:dyDescent="0.35">
      <c r="B7470" s="87"/>
      <c r="D7470" s="111"/>
      <c r="F7470" s="94"/>
    </row>
    <row r="7471" spans="1:7" s="53" customFormat="1" x14ac:dyDescent="0.35">
      <c r="A7471" s="112"/>
      <c r="B7471" s="113"/>
      <c r="C7471" s="112"/>
      <c r="D7471" s="114"/>
      <c r="E7471" s="112"/>
      <c r="F7471" s="178"/>
    </row>
    <row r="7473" spans="1:7" s="53" customFormat="1" ht="23.5" x14ac:dyDescent="0.55000000000000004">
      <c r="B7473" s="227" t="s">
        <v>0</v>
      </c>
      <c r="C7473" s="227"/>
      <c r="D7473" s="227"/>
      <c r="E7473" s="70"/>
      <c r="F7473" s="176"/>
    </row>
    <row r="7474" spans="1:7" s="53" customFormat="1" ht="20.5" x14ac:dyDescent="0.45">
      <c r="B7474" s="71"/>
      <c r="C7474" s="72" t="s">
        <v>1723</v>
      </c>
      <c r="D7474" s="73"/>
      <c r="F7474" s="94"/>
    </row>
    <row r="7475" spans="1:7" s="53" customFormat="1" ht="20.5" x14ac:dyDescent="0.45">
      <c r="B7475" s="71" t="s">
        <v>185</v>
      </c>
      <c r="C7475" s="74" t="s">
        <v>103</v>
      </c>
      <c r="D7475" s="73"/>
      <c r="F7475" s="94"/>
    </row>
    <row r="7476" spans="1:7" s="53" customFormat="1" x14ac:dyDescent="0.35">
      <c r="A7476" s="75" t="s">
        <v>104</v>
      </c>
      <c r="B7476" s="76" t="s">
        <v>81</v>
      </c>
      <c r="C7476" s="76" t="s">
        <v>105</v>
      </c>
      <c r="D7476" s="77" t="s">
        <v>84</v>
      </c>
      <c r="F7476" s="94"/>
    </row>
    <row r="7477" spans="1:7" s="53" customFormat="1" ht="14.5" customHeight="1" x14ac:dyDescent="0.35">
      <c r="A7477" s="222" t="s">
        <v>96</v>
      </c>
      <c r="B7477" s="78" t="s">
        <v>1714</v>
      </c>
      <c r="C7477" s="79" t="s">
        <v>959</v>
      </c>
      <c r="D7477" s="80">
        <f>F7484</f>
        <v>12225000</v>
      </c>
      <c r="F7477" s="94"/>
    </row>
    <row r="7478" spans="1:7" s="53" customFormat="1" ht="20.5" x14ac:dyDescent="0.45">
      <c r="A7478" s="223"/>
      <c r="B7478" s="71"/>
      <c r="C7478" s="71"/>
      <c r="D7478" s="73"/>
      <c r="F7478" s="94"/>
    </row>
    <row r="7479" spans="1:7" s="53" customFormat="1" x14ac:dyDescent="0.35">
      <c r="A7479" s="223"/>
      <c r="B7479" s="81" t="s">
        <v>81</v>
      </c>
      <c r="C7479" s="82" t="s">
        <v>107</v>
      </c>
      <c r="D7479" s="83" t="s">
        <v>108</v>
      </c>
      <c r="F7479" s="94"/>
    </row>
    <row r="7480" spans="1:7" s="87" customFormat="1" x14ac:dyDescent="0.35">
      <c r="A7480" s="223"/>
      <c r="B7480" s="84" t="str">
        <f>B7477</f>
        <v>31st December,2025</v>
      </c>
      <c r="C7480" s="85" t="s">
        <v>1708</v>
      </c>
      <c r="D7480" s="86">
        <f>1850*2799</f>
        <v>5178150</v>
      </c>
      <c r="F7480" s="177"/>
    </row>
    <row r="7481" spans="1:7" s="53" customFormat="1" x14ac:dyDescent="0.35">
      <c r="A7481" s="223"/>
      <c r="B7481" s="88"/>
      <c r="C7481" s="89" t="s">
        <v>1646</v>
      </c>
      <c r="D7481" s="90">
        <f>325*2450</f>
        <v>796250</v>
      </c>
      <c r="F7481" s="94"/>
    </row>
    <row r="7482" spans="1:7" s="53" customFormat="1" x14ac:dyDescent="0.35">
      <c r="A7482" s="223"/>
      <c r="B7482" s="88" t="s">
        <v>109</v>
      </c>
      <c r="C7482" s="89" t="s">
        <v>110</v>
      </c>
      <c r="D7482" s="90">
        <v>1000000</v>
      </c>
      <c r="F7482" s="94"/>
    </row>
    <row r="7483" spans="1:7" s="53" customFormat="1" x14ac:dyDescent="0.35">
      <c r="A7483" s="223"/>
      <c r="B7483" s="88" t="s">
        <v>111</v>
      </c>
      <c r="C7483" s="89" t="s">
        <v>112</v>
      </c>
      <c r="D7483" s="90">
        <v>40000</v>
      </c>
      <c r="E7483" s="225" t="s">
        <v>113</v>
      </c>
      <c r="F7483" s="225"/>
    </row>
    <row r="7484" spans="1:7" s="53" customFormat="1" x14ac:dyDescent="0.35">
      <c r="A7484" s="223"/>
      <c r="B7484" s="88" t="s">
        <v>182</v>
      </c>
      <c r="C7484" s="89" t="s">
        <v>115</v>
      </c>
      <c r="D7484" s="90">
        <f>1000*123</f>
        <v>123000</v>
      </c>
      <c r="E7484" s="91" t="s">
        <v>116</v>
      </c>
      <c r="F7484" s="92">
        <f>5000*2445</f>
        <v>12225000</v>
      </c>
    </row>
    <row r="7485" spans="1:7" s="53" customFormat="1" x14ac:dyDescent="0.35">
      <c r="A7485" s="223"/>
      <c r="B7485" s="88"/>
      <c r="C7485" s="89" t="s">
        <v>117</v>
      </c>
      <c r="D7485" s="90">
        <f>4200*123</f>
        <v>516600</v>
      </c>
      <c r="E7485" s="93" t="s">
        <v>118</v>
      </c>
      <c r="F7485" s="94">
        <f>(3000*2445)+(2000*2445)</f>
        <v>12225000</v>
      </c>
    </row>
    <row r="7486" spans="1:7" s="53" customFormat="1" x14ac:dyDescent="0.35">
      <c r="A7486" s="223"/>
      <c r="B7486" s="88" t="s">
        <v>119</v>
      </c>
      <c r="C7486" s="89" t="s">
        <v>120</v>
      </c>
      <c r="D7486" s="95">
        <v>30000</v>
      </c>
      <c r="E7486" s="96" t="s">
        <v>121</v>
      </c>
      <c r="F7486" s="97">
        <f>F7484-F7485</f>
        <v>0</v>
      </c>
      <c r="G7486" s="98">
        <f>F7486/2445</f>
        <v>0</v>
      </c>
    </row>
    <row r="7487" spans="1:7" s="53" customFormat="1" x14ac:dyDescent="0.35">
      <c r="A7487" s="223"/>
      <c r="B7487" s="88"/>
      <c r="C7487" s="89" t="s">
        <v>122</v>
      </c>
      <c r="D7487" s="90">
        <v>150000</v>
      </c>
      <c r="F7487" s="94"/>
    </row>
    <row r="7488" spans="1:7" s="53" customFormat="1" x14ac:dyDescent="0.35">
      <c r="A7488" s="223"/>
      <c r="B7488" s="88" t="s">
        <v>1720</v>
      </c>
      <c r="C7488" s="99" t="s">
        <v>123</v>
      </c>
      <c r="D7488" s="90">
        <v>15000</v>
      </c>
      <c r="E7488" s="91" t="s">
        <v>124</v>
      </c>
      <c r="F7488" s="92"/>
    </row>
    <row r="7489" spans="1:6" s="53" customFormat="1" x14ac:dyDescent="0.35">
      <c r="A7489" s="223"/>
      <c r="B7489" s="101"/>
      <c r="C7489" s="99" t="s">
        <v>125</v>
      </c>
      <c r="D7489" s="100">
        <v>10000</v>
      </c>
      <c r="E7489" s="102"/>
      <c r="F7489" s="103"/>
    </row>
    <row r="7490" spans="1:6" s="53" customFormat="1" x14ac:dyDescent="0.35">
      <c r="A7490" s="223"/>
      <c r="B7490" s="101"/>
      <c r="C7490" s="99" t="s">
        <v>126</v>
      </c>
      <c r="D7490" s="100">
        <v>30000</v>
      </c>
      <c r="E7490" s="102" t="s">
        <v>127</v>
      </c>
      <c r="F7490" s="103"/>
    </row>
    <row r="7491" spans="1:6" s="53" customFormat="1" x14ac:dyDescent="0.35">
      <c r="A7491" s="223"/>
      <c r="B7491" s="101"/>
      <c r="C7491" s="89" t="s">
        <v>265</v>
      </c>
      <c r="D7491" s="104">
        <f>720*123</f>
        <v>88560</v>
      </c>
      <c r="E7491" s="53" t="s">
        <v>1728</v>
      </c>
      <c r="F7491" s="103"/>
    </row>
    <row r="7492" spans="1:6" s="53" customFormat="1" x14ac:dyDescent="0.35">
      <c r="A7492" s="223"/>
      <c r="B7492" s="105"/>
      <c r="C7492" s="106"/>
      <c r="D7492" s="107"/>
      <c r="E7492" s="53" t="s">
        <v>1767</v>
      </c>
      <c r="F7492" s="94"/>
    </row>
    <row r="7493" spans="1:6" s="53" customFormat="1" x14ac:dyDescent="0.35">
      <c r="A7493" s="223"/>
      <c r="B7493" s="108"/>
      <c r="C7493" s="109" t="s">
        <v>129</v>
      </c>
      <c r="D7493" s="110">
        <f>SUM(D7480:D7492)</f>
        <v>7977560</v>
      </c>
      <c r="F7493" s="94"/>
    </row>
    <row r="7494" spans="1:6" s="53" customFormat="1" x14ac:dyDescent="0.35">
      <c r="A7494" s="224"/>
      <c r="B7494" s="226"/>
      <c r="C7494" s="226"/>
      <c r="D7494" s="226"/>
      <c r="F7494" s="94"/>
    </row>
    <row r="7495" spans="1:6" s="53" customFormat="1" x14ac:dyDescent="0.35">
      <c r="B7495" s="87"/>
      <c r="C7495" s="53" t="s">
        <v>130</v>
      </c>
      <c r="D7495" s="111">
        <f>D7477-D7493</f>
        <v>4247440</v>
      </c>
      <c r="F7495" s="94"/>
    </row>
    <row r="7496" spans="1:6" s="53" customFormat="1" x14ac:dyDescent="0.35">
      <c r="B7496" s="87"/>
      <c r="D7496" s="111"/>
      <c r="F7496" s="94"/>
    </row>
    <row r="7497" spans="1:6" s="53" customFormat="1" x14ac:dyDescent="0.35">
      <c r="A7497" s="112"/>
      <c r="B7497" s="113"/>
      <c r="C7497" s="112"/>
      <c r="D7497" s="114"/>
      <c r="E7497" s="112"/>
      <c r="F7497" s="178"/>
    </row>
  </sheetData>
  <mergeCells count="1135">
    <mergeCell ref="A7214:A7231"/>
    <mergeCell ref="E7220:F7220"/>
    <mergeCell ref="B7231:D7231"/>
    <mergeCell ref="B7236:D7236"/>
    <mergeCell ref="B7028:D7028"/>
    <mergeCell ref="A7110:A7127"/>
    <mergeCell ref="E7116:F7116"/>
    <mergeCell ref="B7127:D7127"/>
    <mergeCell ref="A7032:A7049"/>
    <mergeCell ref="E7038:F7038"/>
    <mergeCell ref="B7049:D7049"/>
    <mergeCell ref="B7054:D7054"/>
    <mergeCell ref="A7058:A7075"/>
    <mergeCell ref="E7064:F7064"/>
    <mergeCell ref="B7075:D7075"/>
    <mergeCell ref="B7080:D7080"/>
    <mergeCell ref="A7084:A7101"/>
    <mergeCell ref="E7090:F7090"/>
    <mergeCell ref="B7101:D7101"/>
    <mergeCell ref="B7106:D7106"/>
    <mergeCell ref="A7240:A7257"/>
    <mergeCell ref="E7246:F7246"/>
    <mergeCell ref="B7257:D7257"/>
    <mergeCell ref="B7132:D7132"/>
    <mergeCell ref="A7136:A7153"/>
    <mergeCell ref="E7142:F7142"/>
    <mergeCell ref="B7153:D7153"/>
    <mergeCell ref="B7158:D7158"/>
    <mergeCell ref="A7162:A7179"/>
    <mergeCell ref="E7168:F7168"/>
    <mergeCell ref="B7179:D7179"/>
    <mergeCell ref="B7184:D7184"/>
    <mergeCell ref="A7188:A7205"/>
    <mergeCell ref="E7194:F7194"/>
    <mergeCell ref="B7205:D7205"/>
    <mergeCell ref="B7210:D7210"/>
    <mergeCell ref="B6867:D6867"/>
    <mergeCell ref="B6899:D6899"/>
    <mergeCell ref="A6903:A6920"/>
    <mergeCell ref="E6909:F6909"/>
    <mergeCell ref="B6920:D6920"/>
    <mergeCell ref="E6935:F6935"/>
    <mergeCell ref="B6946:D6946"/>
    <mergeCell ref="B6951:D6951"/>
    <mergeCell ref="A6955:A6972"/>
    <mergeCell ref="E6961:F6961"/>
    <mergeCell ref="B6972:D6972"/>
    <mergeCell ref="B6977:D6977"/>
    <mergeCell ref="A6981:A6997"/>
    <mergeCell ref="E6987:F6987"/>
    <mergeCell ref="B6997:D6997"/>
    <mergeCell ref="B7002:D7002"/>
    <mergeCell ref="A7006:A7023"/>
    <mergeCell ref="E7012:F7012"/>
    <mergeCell ref="B7023:D7023"/>
    <mergeCell ref="B6925:D6925"/>
    <mergeCell ref="A6929:A6946"/>
    <mergeCell ref="B6221:D6221"/>
    <mergeCell ref="A6225:A6242"/>
    <mergeCell ref="B6638:D6638"/>
    <mergeCell ref="A6642:A6659"/>
    <mergeCell ref="B6502:D6502"/>
    <mergeCell ref="A6589:A6606"/>
    <mergeCell ref="E6595:F6595"/>
    <mergeCell ref="B6507:D6507"/>
    <mergeCell ref="B6768:D6768"/>
    <mergeCell ref="A6772:A6789"/>
    <mergeCell ref="E6778:F6778"/>
    <mergeCell ref="B6789:D6789"/>
    <mergeCell ref="B6794:D6794"/>
    <mergeCell ref="A6798:A6815"/>
    <mergeCell ref="E6804:F6804"/>
    <mergeCell ref="B6815:D6815"/>
    <mergeCell ref="B6820:D6820"/>
    <mergeCell ref="A6824:A6841"/>
    <mergeCell ref="E6830:F6830"/>
    <mergeCell ref="B6841:D6841"/>
    <mergeCell ref="A6616:A6633"/>
    <mergeCell ref="E6622:F6622"/>
    <mergeCell ref="B6633:D6633"/>
    <mergeCell ref="B6873:D6873"/>
    <mergeCell ref="A6877:A6894"/>
    <mergeCell ref="E6883:F6883"/>
    <mergeCell ref="B6894:D6894"/>
    <mergeCell ref="E5867:F5867"/>
    <mergeCell ref="B6846:D6846"/>
    <mergeCell ref="A6850:A6867"/>
    <mergeCell ref="E6856:F6856"/>
    <mergeCell ref="B6164:D6164"/>
    <mergeCell ref="A5991:A6008"/>
    <mergeCell ref="B6398:D6398"/>
    <mergeCell ref="B6429:D6429"/>
    <mergeCell ref="A6433:A6450"/>
    <mergeCell ref="E6439:F6439"/>
    <mergeCell ref="B6450:D6450"/>
    <mergeCell ref="B6554:D6554"/>
    <mergeCell ref="B6559:D6559"/>
    <mergeCell ref="A6563:A6580"/>
    <mergeCell ref="E6569:F6569"/>
    <mergeCell ref="B6580:D6580"/>
    <mergeCell ref="B6585:D6585"/>
    <mergeCell ref="A6511:A6528"/>
    <mergeCell ref="E6517:F6517"/>
    <mergeCell ref="B6528:D6528"/>
    <mergeCell ref="E6023:F6023"/>
    <mergeCell ref="B6034:D6034"/>
    <mergeCell ref="B6039:D6039"/>
    <mergeCell ref="E6413:F6413"/>
    <mergeCell ref="B6424:D6424"/>
    <mergeCell ref="B6299:D6299"/>
    <mergeCell ref="B6377:D6377"/>
    <mergeCell ref="B6065:D6065"/>
    <mergeCell ref="A6043:A6060"/>
    <mergeCell ref="E6049:F6049"/>
    <mergeCell ref="B6060:D6060"/>
    <mergeCell ref="B6195:D6195"/>
    <mergeCell ref="A5653:A5670"/>
    <mergeCell ref="B5883:D5883"/>
    <mergeCell ref="A5887:A5904"/>
    <mergeCell ref="E5893:F5893"/>
    <mergeCell ref="B5904:D5904"/>
    <mergeCell ref="B5909:D5909"/>
    <mergeCell ref="A6303:A6320"/>
    <mergeCell ref="E6309:F6309"/>
    <mergeCell ref="B6320:D6320"/>
    <mergeCell ref="B6325:D6325"/>
    <mergeCell ref="A6329:A6346"/>
    <mergeCell ref="E6335:F6335"/>
    <mergeCell ref="B6346:D6346"/>
    <mergeCell ref="B6351:D6351"/>
    <mergeCell ref="B6216:D6216"/>
    <mergeCell ref="A6199:A6216"/>
    <mergeCell ref="E6205:F6205"/>
    <mergeCell ref="E5711:F5711"/>
    <mergeCell ref="B5722:D5722"/>
    <mergeCell ref="A5783:A5800"/>
    <mergeCell ref="E5789:F5789"/>
    <mergeCell ref="B5800:D5800"/>
    <mergeCell ref="B5805:D5805"/>
    <mergeCell ref="A5809:A5826"/>
    <mergeCell ref="E5815:F5815"/>
    <mergeCell ref="B5826:D5826"/>
    <mergeCell ref="B5831:D5831"/>
    <mergeCell ref="A5835:A5852"/>
    <mergeCell ref="E5841:F5841"/>
    <mergeCell ref="B5852:D5852"/>
    <mergeCell ref="B5857:D5857"/>
    <mergeCell ref="A5861:A5878"/>
    <mergeCell ref="B5075:D5075"/>
    <mergeCell ref="A5079:A5096"/>
    <mergeCell ref="E5085:F5085"/>
    <mergeCell ref="B5096:D5096"/>
    <mergeCell ref="B5101:D5101"/>
    <mergeCell ref="A5105:A5122"/>
    <mergeCell ref="E5111:F5111"/>
    <mergeCell ref="B5122:D5122"/>
    <mergeCell ref="B5127:D5127"/>
    <mergeCell ref="A5131:A5148"/>
    <mergeCell ref="E5137:F5137"/>
    <mergeCell ref="B5148:D5148"/>
    <mergeCell ref="B5878:D5878"/>
    <mergeCell ref="B5049:D5049"/>
    <mergeCell ref="B5023:D5023"/>
    <mergeCell ref="A5027:A5044"/>
    <mergeCell ref="E5033:F5033"/>
    <mergeCell ref="B5044:D5044"/>
    <mergeCell ref="A5053:A5070"/>
    <mergeCell ref="E5059:F5059"/>
    <mergeCell ref="B5070:D5070"/>
    <mergeCell ref="B5622:D5622"/>
    <mergeCell ref="A5626:A5643"/>
    <mergeCell ref="E5632:F5632"/>
    <mergeCell ref="B5643:D5643"/>
    <mergeCell ref="B5727:D5727"/>
    <mergeCell ref="A5731:A5748"/>
    <mergeCell ref="E5737:F5737"/>
    <mergeCell ref="B5748:D5748"/>
    <mergeCell ref="B5675:D5675"/>
    <mergeCell ref="A5679:A5696"/>
    <mergeCell ref="E5685:F5685"/>
    <mergeCell ref="A4897:A4914"/>
    <mergeCell ref="E4903:F4903"/>
    <mergeCell ref="B4914:D4914"/>
    <mergeCell ref="B4919:D4919"/>
    <mergeCell ref="A4923:A4940"/>
    <mergeCell ref="E4929:F4929"/>
    <mergeCell ref="B4940:D4940"/>
    <mergeCell ref="B4945:D4945"/>
    <mergeCell ref="A4949:A4966"/>
    <mergeCell ref="E4955:F4955"/>
    <mergeCell ref="B4966:D4966"/>
    <mergeCell ref="B4971:D4971"/>
    <mergeCell ref="A4975:A4992"/>
    <mergeCell ref="E4981:F4981"/>
    <mergeCell ref="B4992:D4992"/>
    <mergeCell ref="B4997:D4997"/>
    <mergeCell ref="A5001:A5018"/>
    <mergeCell ref="E5007:F5007"/>
    <mergeCell ref="B5018:D5018"/>
    <mergeCell ref="B4840:D4840"/>
    <mergeCell ref="A4844:A4861"/>
    <mergeCell ref="E4850:F4850"/>
    <mergeCell ref="B4861:D4861"/>
    <mergeCell ref="B4867:D4867"/>
    <mergeCell ref="A4871:A4888"/>
    <mergeCell ref="E4877:F4877"/>
    <mergeCell ref="B4888:D4888"/>
    <mergeCell ref="B4893:D4893"/>
    <mergeCell ref="B4788:D4788"/>
    <mergeCell ref="A4792:A4809"/>
    <mergeCell ref="E4798:F4798"/>
    <mergeCell ref="B4809:D4809"/>
    <mergeCell ref="B4814:D4814"/>
    <mergeCell ref="A4818:A4835"/>
    <mergeCell ref="E4824:F4824"/>
    <mergeCell ref="B4835:D4835"/>
    <mergeCell ref="A4766:A4783"/>
    <mergeCell ref="E4772:F4772"/>
    <mergeCell ref="B4783:D4783"/>
    <mergeCell ref="B4710:D4710"/>
    <mergeCell ref="A4714:A4731"/>
    <mergeCell ref="E4720:F4720"/>
    <mergeCell ref="B4731:D4731"/>
    <mergeCell ref="B4736:D4736"/>
    <mergeCell ref="A4740:A4757"/>
    <mergeCell ref="E4746:F4746"/>
    <mergeCell ref="B4757:D4757"/>
    <mergeCell ref="B4762:D4762"/>
    <mergeCell ref="B4684:D4684"/>
    <mergeCell ref="A4688:A4705"/>
    <mergeCell ref="E4694:F4694"/>
    <mergeCell ref="B4705:D4705"/>
    <mergeCell ref="B4606:D4606"/>
    <mergeCell ref="A4610:A4627"/>
    <mergeCell ref="E4616:F4616"/>
    <mergeCell ref="B4627:D4627"/>
    <mergeCell ref="A4636:A4653"/>
    <mergeCell ref="E4642:F4642"/>
    <mergeCell ref="B4653:D4653"/>
    <mergeCell ref="A4662:A4679"/>
    <mergeCell ref="E4668:F4668"/>
    <mergeCell ref="B4679:D4679"/>
    <mergeCell ref="B4632:D4632"/>
    <mergeCell ref="B4658:D4658"/>
    <mergeCell ref="B4554:D4554"/>
    <mergeCell ref="A4558:A4575"/>
    <mergeCell ref="E4564:F4564"/>
    <mergeCell ref="B4575:D4575"/>
    <mergeCell ref="A4532:A4549"/>
    <mergeCell ref="E4538:F4538"/>
    <mergeCell ref="B4549:D4549"/>
    <mergeCell ref="A4382:A4399"/>
    <mergeCell ref="E4388:F4388"/>
    <mergeCell ref="B4399:D4399"/>
    <mergeCell ref="A4407:A4424"/>
    <mergeCell ref="E4413:F4413"/>
    <mergeCell ref="B4424:D4424"/>
    <mergeCell ref="A4507:A4524"/>
    <mergeCell ref="E4513:F4513"/>
    <mergeCell ref="B4524:D4524"/>
    <mergeCell ref="A4432:A4449"/>
    <mergeCell ref="E4438:F4438"/>
    <mergeCell ref="B4449:D4449"/>
    <mergeCell ref="A4457:A4474"/>
    <mergeCell ref="E4463:F4463"/>
    <mergeCell ref="B4474:D4474"/>
    <mergeCell ref="A4482:A4499"/>
    <mergeCell ref="E4488:F4488"/>
    <mergeCell ref="B4499:D4499"/>
    <mergeCell ref="E4337:F4337"/>
    <mergeCell ref="B4348:D4348"/>
    <mergeCell ref="B4353:D4353"/>
    <mergeCell ref="A4357:A4374"/>
    <mergeCell ref="E4363:F4363"/>
    <mergeCell ref="B4374:D4374"/>
    <mergeCell ref="A3968:A3985"/>
    <mergeCell ref="E3974:F3974"/>
    <mergeCell ref="B3985:D3985"/>
    <mergeCell ref="B4017:D4017"/>
    <mergeCell ref="A4021:A4038"/>
    <mergeCell ref="E4027:F4027"/>
    <mergeCell ref="B4038:D4038"/>
    <mergeCell ref="B4043:D4043"/>
    <mergeCell ref="A4047:A4064"/>
    <mergeCell ref="E4053:F4053"/>
    <mergeCell ref="B4064:D4064"/>
    <mergeCell ref="B4069:D4069"/>
    <mergeCell ref="A4073:A4090"/>
    <mergeCell ref="E4079:F4079"/>
    <mergeCell ref="B4090:D4090"/>
    <mergeCell ref="B4095:D4095"/>
    <mergeCell ref="A4099:A4116"/>
    <mergeCell ref="E4105:F4105"/>
    <mergeCell ref="B4116:D4116"/>
    <mergeCell ref="B4121:D4121"/>
    <mergeCell ref="A4125:A4142"/>
    <mergeCell ref="E4131:F4131"/>
    <mergeCell ref="B4142:D4142"/>
    <mergeCell ref="B3938:D3938"/>
    <mergeCell ref="A3942:A3959"/>
    <mergeCell ref="E3948:F3948"/>
    <mergeCell ref="B3959:D3959"/>
    <mergeCell ref="B3834:D3834"/>
    <mergeCell ref="A3838:A3855"/>
    <mergeCell ref="E3844:F3844"/>
    <mergeCell ref="B3855:D3855"/>
    <mergeCell ref="B3886:D3886"/>
    <mergeCell ref="A3890:A3907"/>
    <mergeCell ref="E3896:F3896"/>
    <mergeCell ref="B3907:D3907"/>
    <mergeCell ref="B3860:D3860"/>
    <mergeCell ref="A3864:A3881"/>
    <mergeCell ref="E3870:F3870"/>
    <mergeCell ref="B3881:D3881"/>
    <mergeCell ref="B3964:D3964"/>
    <mergeCell ref="A3263:A3280"/>
    <mergeCell ref="E3269:F3269"/>
    <mergeCell ref="B3280:D3280"/>
    <mergeCell ref="B3051:D3051"/>
    <mergeCell ref="A3055:A3072"/>
    <mergeCell ref="E3061:F3061"/>
    <mergeCell ref="B3072:D3072"/>
    <mergeCell ref="B3025:D3025"/>
    <mergeCell ref="A3029:A3046"/>
    <mergeCell ref="E3035:F3035"/>
    <mergeCell ref="B3046:D3046"/>
    <mergeCell ref="B3077:D3077"/>
    <mergeCell ref="A3081:A3098"/>
    <mergeCell ref="E3087:F3087"/>
    <mergeCell ref="B3098:D3098"/>
    <mergeCell ref="A3393:A3410"/>
    <mergeCell ref="E3399:F3399"/>
    <mergeCell ref="B3410:D3410"/>
    <mergeCell ref="B3337:D3337"/>
    <mergeCell ref="A3341:A3358"/>
    <mergeCell ref="E3347:F3347"/>
    <mergeCell ref="B3358:D3358"/>
    <mergeCell ref="B3363:D3363"/>
    <mergeCell ref="A3367:A3384"/>
    <mergeCell ref="E3373:F3373"/>
    <mergeCell ref="B3384:D3384"/>
    <mergeCell ref="B3389:D3389"/>
    <mergeCell ref="B3306:D3306"/>
    <mergeCell ref="B3311:D3311"/>
    <mergeCell ref="A3315:A3332"/>
    <mergeCell ref="E3321:F3321"/>
    <mergeCell ref="B3332:D3332"/>
    <mergeCell ref="B2999:D2999"/>
    <mergeCell ref="A3003:A3020"/>
    <mergeCell ref="E3009:F3009"/>
    <mergeCell ref="B3020:D3020"/>
    <mergeCell ref="A2977:A2994"/>
    <mergeCell ref="E2983:F2983"/>
    <mergeCell ref="B2994:D2994"/>
    <mergeCell ref="E2826:F2826"/>
    <mergeCell ref="B2837:D2837"/>
    <mergeCell ref="B2842:D2842"/>
    <mergeCell ref="A2846:A2863"/>
    <mergeCell ref="E2852:F2852"/>
    <mergeCell ref="B2863:D2863"/>
    <mergeCell ref="B2946:D2946"/>
    <mergeCell ref="A2950:A2967"/>
    <mergeCell ref="E2956:F2956"/>
    <mergeCell ref="B2967:D2967"/>
    <mergeCell ref="B2920:D2920"/>
    <mergeCell ref="A2924:A2941"/>
    <mergeCell ref="E2930:F2930"/>
    <mergeCell ref="B2941:D2941"/>
    <mergeCell ref="B2868:D2868"/>
    <mergeCell ref="A2872:A2889"/>
    <mergeCell ref="B2738:D2738"/>
    <mergeCell ref="B2973:D2973"/>
    <mergeCell ref="A2898:A2915"/>
    <mergeCell ref="E2904:F2904"/>
    <mergeCell ref="B2915:D2915"/>
    <mergeCell ref="A2716:A2733"/>
    <mergeCell ref="E2722:F2722"/>
    <mergeCell ref="B2733:D2733"/>
    <mergeCell ref="A2742:A2759"/>
    <mergeCell ref="E2748:F2748"/>
    <mergeCell ref="B2759:D2759"/>
    <mergeCell ref="B2816:D2816"/>
    <mergeCell ref="B2764:D2764"/>
    <mergeCell ref="E2878:F2878"/>
    <mergeCell ref="B2889:D2889"/>
    <mergeCell ref="B2894:D2894"/>
    <mergeCell ref="A2768:A2785"/>
    <mergeCell ref="E2774:F2774"/>
    <mergeCell ref="B2785:D2785"/>
    <mergeCell ref="B2790:D2790"/>
    <mergeCell ref="A2794:A2811"/>
    <mergeCell ref="E2800:F2800"/>
    <mergeCell ref="B2811:D2811"/>
    <mergeCell ref="A2820:A2837"/>
    <mergeCell ref="B1809:D1809"/>
    <mergeCell ref="B2371:D2371"/>
    <mergeCell ref="A1813:A1830"/>
    <mergeCell ref="E1819:F1819"/>
    <mergeCell ref="B1830:D1830"/>
    <mergeCell ref="B1863:D1863"/>
    <mergeCell ref="A1840:A1857"/>
    <mergeCell ref="E1846:F1846"/>
    <mergeCell ref="B1857:D1857"/>
    <mergeCell ref="A1867:A1884"/>
    <mergeCell ref="E1873:F1873"/>
    <mergeCell ref="B1884:D1884"/>
    <mergeCell ref="B1890:D1890"/>
    <mergeCell ref="A1894:A1911"/>
    <mergeCell ref="E1900:F1900"/>
    <mergeCell ref="B1911:D1911"/>
    <mergeCell ref="B1916:D1916"/>
    <mergeCell ref="A1920:A1937"/>
    <mergeCell ref="E1926:F1926"/>
    <mergeCell ref="B1937:D1937"/>
    <mergeCell ref="B1836:D1836"/>
    <mergeCell ref="A2030:A2047"/>
    <mergeCell ref="E2036:F2036"/>
    <mergeCell ref="B2047:D2047"/>
    <mergeCell ref="B1944:D1944"/>
    <mergeCell ref="B1999:D1999"/>
    <mergeCell ref="A2003:A2020"/>
    <mergeCell ref="E2009:F2009"/>
    <mergeCell ref="B2020:D2020"/>
    <mergeCell ref="A1948:A1965"/>
    <mergeCell ref="E1954:F1954"/>
    <mergeCell ref="B1965:D1965"/>
    <mergeCell ref="A1733:A1750"/>
    <mergeCell ref="E1739:F1739"/>
    <mergeCell ref="B1750:D1750"/>
    <mergeCell ref="B1677:D1677"/>
    <mergeCell ref="A1681:A1698"/>
    <mergeCell ref="E1687:F1687"/>
    <mergeCell ref="B1698:D1698"/>
    <mergeCell ref="A1600:A1617"/>
    <mergeCell ref="A1654:A1671"/>
    <mergeCell ref="A1547:A1564"/>
    <mergeCell ref="E1553:F1553"/>
    <mergeCell ref="B1564:D1564"/>
    <mergeCell ref="B1596:D1596"/>
    <mergeCell ref="B1543:D1543"/>
    <mergeCell ref="E1606:F1606"/>
    <mergeCell ref="B1782:D1782"/>
    <mergeCell ref="A1786:A1803"/>
    <mergeCell ref="E1792:F1792"/>
    <mergeCell ref="B1803:D1803"/>
    <mergeCell ref="A1469:A1486"/>
    <mergeCell ref="E1475:F1475"/>
    <mergeCell ref="B1486:D1486"/>
    <mergeCell ref="A1495:A1512"/>
    <mergeCell ref="E1501:F1501"/>
    <mergeCell ref="B1512:D1512"/>
    <mergeCell ref="B1517:D1517"/>
    <mergeCell ref="A1521:A1538"/>
    <mergeCell ref="B1617:D1617"/>
    <mergeCell ref="B1569:D1569"/>
    <mergeCell ref="A1573:A1590"/>
    <mergeCell ref="E1579:F1579"/>
    <mergeCell ref="B1590:D1590"/>
    <mergeCell ref="E1527:F1527"/>
    <mergeCell ref="B1491:D1491"/>
    <mergeCell ref="B1756:D1756"/>
    <mergeCell ref="A1760:A1777"/>
    <mergeCell ref="E1766:F1766"/>
    <mergeCell ref="B1777:D1777"/>
    <mergeCell ref="B1623:D1623"/>
    <mergeCell ref="A1627:A1644"/>
    <mergeCell ref="E1633:F1633"/>
    <mergeCell ref="B1644:D1644"/>
    <mergeCell ref="B1650:D1650"/>
    <mergeCell ref="E1660:F1660"/>
    <mergeCell ref="B1671:D1671"/>
    <mergeCell ref="B1538:D1538"/>
    <mergeCell ref="B1703:D1703"/>
    <mergeCell ref="A1707:A1724"/>
    <mergeCell ref="E1713:F1713"/>
    <mergeCell ref="B1724:D1724"/>
    <mergeCell ref="B1729:D1729"/>
    <mergeCell ref="A1255:A1272"/>
    <mergeCell ref="E1261:F1261"/>
    <mergeCell ref="B1273:D1273"/>
    <mergeCell ref="B1277:D1277"/>
    <mergeCell ref="B1385:D1385"/>
    <mergeCell ref="A1389:A1406"/>
    <mergeCell ref="E1395:F1395"/>
    <mergeCell ref="B1406:D1406"/>
    <mergeCell ref="B1433:D1433"/>
    <mergeCell ref="B1358:D1358"/>
    <mergeCell ref="A1362:A1379"/>
    <mergeCell ref="E1368:F1368"/>
    <mergeCell ref="B1412:D1412"/>
    <mergeCell ref="B1438:D1438"/>
    <mergeCell ref="A1442:A1459"/>
    <mergeCell ref="E1448:F1448"/>
    <mergeCell ref="B1459:D1459"/>
    <mergeCell ref="B1146:D1146"/>
    <mergeCell ref="A1150:A1167"/>
    <mergeCell ref="E1156:F1156"/>
    <mergeCell ref="B1167:D1167"/>
    <mergeCell ref="B1172:D1172"/>
    <mergeCell ref="B1465:D1465"/>
    <mergeCell ref="B1331:D1331"/>
    <mergeCell ref="A1335:A1352"/>
    <mergeCell ref="E1341:F1341"/>
    <mergeCell ref="B1352:D1352"/>
    <mergeCell ref="A1176:A1193"/>
    <mergeCell ref="E1182:F1182"/>
    <mergeCell ref="B1193:D1193"/>
    <mergeCell ref="B1198:D1198"/>
    <mergeCell ref="B1304:D1304"/>
    <mergeCell ref="A1308:A1325"/>
    <mergeCell ref="E1314:F1314"/>
    <mergeCell ref="B1325:D1325"/>
    <mergeCell ref="A1416:A1433"/>
    <mergeCell ref="E1422:F1422"/>
    <mergeCell ref="A1202:A1219"/>
    <mergeCell ref="E1208:F1208"/>
    <mergeCell ref="B1219:D1219"/>
    <mergeCell ref="B1379:D1379"/>
    <mergeCell ref="A1281:A1298"/>
    <mergeCell ref="E1287:F1287"/>
    <mergeCell ref="B1298:D1298"/>
    <mergeCell ref="B1225:D1225"/>
    <mergeCell ref="A1229:A1246"/>
    <mergeCell ref="E1235:F1235"/>
    <mergeCell ref="B1247:D1247"/>
    <mergeCell ref="B1251:D1251"/>
    <mergeCell ref="A1124:A1141"/>
    <mergeCell ref="E1130:F1130"/>
    <mergeCell ref="B1141:D1141"/>
    <mergeCell ref="B1067:D1067"/>
    <mergeCell ref="A1071:A1088"/>
    <mergeCell ref="E1077:F1077"/>
    <mergeCell ref="B1088:D1088"/>
    <mergeCell ref="B1094:D1094"/>
    <mergeCell ref="A1098:A1115"/>
    <mergeCell ref="E1104:F1104"/>
    <mergeCell ref="B1115:D1115"/>
    <mergeCell ref="B1120:D1120"/>
    <mergeCell ref="B934:D934"/>
    <mergeCell ref="A938:A955"/>
    <mergeCell ref="E944:F944"/>
    <mergeCell ref="B955:D955"/>
    <mergeCell ref="A911:A928"/>
    <mergeCell ref="E917:F917"/>
    <mergeCell ref="B928:D928"/>
    <mergeCell ref="B244:D244"/>
    <mergeCell ref="A328:A345"/>
    <mergeCell ref="B853:D853"/>
    <mergeCell ref="A857:A874"/>
    <mergeCell ref="E863:F863"/>
    <mergeCell ref="B874:D874"/>
    <mergeCell ref="B880:D880"/>
    <mergeCell ref="A884:A901"/>
    <mergeCell ref="E890:F890"/>
    <mergeCell ref="B901:D901"/>
    <mergeCell ref="B907:D907"/>
    <mergeCell ref="B772:D772"/>
    <mergeCell ref="A776:A793"/>
    <mergeCell ref="E782:F782"/>
    <mergeCell ref="B793:D793"/>
    <mergeCell ref="B588:D588"/>
    <mergeCell ref="A592:A609"/>
    <mergeCell ref="E598:F598"/>
    <mergeCell ref="B609:D609"/>
    <mergeCell ref="B614:D614"/>
    <mergeCell ref="A618:A635"/>
    <mergeCell ref="E624:F624"/>
    <mergeCell ref="B635:D635"/>
    <mergeCell ref="B641:D641"/>
    <mergeCell ref="B799:D799"/>
    <mergeCell ref="A803:A820"/>
    <mergeCell ref="E809:F809"/>
    <mergeCell ref="B820:D820"/>
    <mergeCell ref="B826:D826"/>
    <mergeCell ref="A830:A847"/>
    <mergeCell ref="E836:F836"/>
    <mergeCell ref="B847:D847"/>
    <mergeCell ref="E119:F119"/>
    <mergeCell ref="B130:D130"/>
    <mergeCell ref="B555:D555"/>
    <mergeCell ref="B508:D508"/>
    <mergeCell ref="A512:A529"/>
    <mergeCell ref="E518:F518"/>
    <mergeCell ref="B529:D529"/>
    <mergeCell ref="B534:D534"/>
    <mergeCell ref="B746:D746"/>
    <mergeCell ref="A750:A767"/>
    <mergeCell ref="E756:F756"/>
    <mergeCell ref="B767:D767"/>
    <mergeCell ref="A194:A211"/>
    <mergeCell ref="E200:F200"/>
    <mergeCell ref="B211:D211"/>
    <mergeCell ref="B163:D163"/>
    <mergeCell ref="A167:A184"/>
    <mergeCell ref="E173:F173"/>
    <mergeCell ref="B184:D184"/>
    <mergeCell ref="B190:D190"/>
    <mergeCell ref="B350:D350"/>
    <mergeCell ref="A248:A265"/>
    <mergeCell ref="E254:F254"/>
    <mergeCell ref="B265:D265"/>
    <mergeCell ref="B271:D271"/>
    <mergeCell ref="A275:A292"/>
    <mergeCell ref="E281:F281"/>
    <mergeCell ref="B292:D292"/>
    <mergeCell ref="B217:D217"/>
    <mergeCell ref="A221:A238"/>
    <mergeCell ref="E227:F227"/>
    <mergeCell ref="B238:D238"/>
    <mergeCell ref="B3:D3"/>
    <mergeCell ref="A7:A24"/>
    <mergeCell ref="E13:F13"/>
    <mergeCell ref="B24:D24"/>
    <mergeCell ref="B30:D30"/>
    <mergeCell ref="A34:A51"/>
    <mergeCell ref="E40:F40"/>
    <mergeCell ref="B51:D51"/>
    <mergeCell ref="B56:D56"/>
    <mergeCell ref="B297:D297"/>
    <mergeCell ref="A301:A318"/>
    <mergeCell ref="E307:F307"/>
    <mergeCell ref="B318:D318"/>
    <mergeCell ref="B324:D324"/>
    <mergeCell ref="A354:A371"/>
    <mergeCell ref="E360:F360"/>
    <mergeCell ref="B371:D371"/>
    <mergeCell ref="E334:F334"/>
    <mergeCell ref="B345:D345"/>
    <mergeCell ref="A60:A77"/>
    <mergeCell ref="E66:F66"/>
    <mergeCell ref="B77:D77"/>
    <mergeCell ref="B83:D83"/>
    <mergeCell ref="A87:A104"/>
    <mergeCell ref="E93:F93"/>
    <mergeCell ref="B104:D104"/>
    <mergeCell ref="B136:D136"/>
    <mergeCell ref="A140:A157"/>
    <mergeCell ref="E146:F146"/>
    <mergeCell ref="B157:D157"/>
    <mergeCell ref="B109:D109"/>
    <mergeCell ref="A113:A130"/>
    <mergeCell ref="B377:D377"/>
    <mergeCell ref="A381:A398"/>
    <mergeCell ref="E387:F387"/>
    <mergeCell ref="B398:D398"/>
    <mergeCell ref="A724:A741"/>
    <mergeCell ref="E730:F730"/>
    <mergeCell ref="B741:D741"/>
    <mergeCell ref="B694:D694"/>
    <mergeCell ref="A698:A715"/>
    <mergeCell ref="E704:F704"/>
    <mergeCell ref="B715:D715"/>
    <mergeCell ref="B720:D720"/>
    <mergeCell ref="A645:A662"/>
    <mergeCell ref="E651:F651"/>
    <mergeCell ref="B662:D662"/>
    <mergeCell ref="B667:D667"/>
    <mergeCell ref="A671:A688"/>
    <mergeCell ref="E677:F677"/>
    <mergeCell ref="B688:D688"/>
    <mergeCell ref="B430:D430"/>
    <mergeCell ref="A434:A451"/>
    <mergeCell ref="E440:F440"/>
    <mergeCell ref="B451:D451"/>
    <mergeCell ref="B456:D456"/>
    <mergeCell ref="A460:A477"/>
    <mergeCell ref="B403:D403"/>
    <mergeCell ref="A407:A424"/>
    <mergeCell ref="E413:F413"/>
    <mergeCell ref="B424:D424"/>
    <mergeCell ref="E466:F466"/>
    <mergeCell ref="B477:D477"/>
    <mergeCell ref="B482:D482"/>
    <mergeCell ref="B561:D561"/>
    <mergeCell ref="A565:A582"/>
    <mergeCell ref="E571:F571"/>
    <mergeCell ref="B582:D582"/>
    <mergeCell ref="A486:A503"/>
    <mergeCell ref="E492:F492"/>
    <mergeCell ref="B503:D503"/>
    <mergeCell ref="A538:A555"/>
    <mergeCell ref="E544:F544"/>
    <mergeCell ref="A1018:A1035"/>
    <mergeCell ref="E1024:F1024"/>
    <mergeCell ref="B1035:D1035"/>
    <mergeCell ref="B1040:D1040"/>
    <mergeCell ref="A1044:A1061"/>
    <mergeCell ref="E1050:F1050"/>
    <mergeCell ref="B1061:D1061"/>
    <mergeCell ref="B961:D961"/>
    <mergeCell ref="A965:A982"/>
    <mergeCell ref="E971:F971"/>
    <mergeCell ref="B982:D982"/>
    <mergeCell ref="B988:D988"/>
    <mergeCell ref="A992:A1009"/>
    <mergeCell ref="E998:F998"/>
    <mergeCell ref="B1009:D1009"/>
    <mergeCell ref="B1014:D1014"/>
    <mergeCell ref="B1972:D1972"/>
    <mergeCell ref="A1976:A1993"/>
    <mergeCell ref="E1982:F1982"/>
    <mergeCell ref="B1993:D1993"/>
    <mergeCell ref="B2026:D2026"/>
    <mergeCell ref="B2053:D2053"/>
    <mergeCell ref="A2057:A2074"/>
    <mergeCell ref="E2063:F2063"/>
    <mergeCell ref="B2074:D2074"/>
    <mergeCell ref="B2132:D2132"/>
    <mergeCell ref="A2136:A2153"/>
    <mergeCell ref="E2142:F2142"/>
    <mergeCell ref="B2153:D2153"/>
    <mergeCell ref="B2106:D2106"/>
    <mergeCell ref="A2110:A2127"/>
    <mergeCell ref="E2116:F2116"/>
    <mergeCell ref="B2127:D2127"/>
    <mergeCell ref="A2244:A2261"/>
    <mergeCell ref="E2250:F2250"/>
    <mergeCell ref="B2261:D2261"/>
    <mergeCell ref="B2160:D2160"/>
    <mergeCell ref="A2164:A2181"/>
    <mergeCell ref="E2170:F2170"/>
    <mergeCell ref="B2181:D2181"/>
    <mergeCell ref="B2080:D2080"/>
    <mergeCell ref="A2084:A2101"/>
    <mergeCell ref="E2090:F2090"/>
    <mergeCell ref="B2101:D2101"/>
    <mergeCell ref="B2187:D2187"/>
    <mergeCell ref="A2191:A2208"/>
    <mergeCell ref="E2197:F2197"/>
    <mergeCell ref="B2208:D2208"/>
    <mergeCell ref="B2214:D2214"/>
    <mergeCell ref="A2218:A2235"/>
    <mergeCell ref="E2224:F2224"/>
    <mergeCell ref="B2235:D2235"/>
    <mergeCell ref="B2240:D2240"/>
    <mergeCell ref="B2397:D2397"/>
    <mergeCell ref="A2401:A2418"/>
    <mergeCell ref="E2407:F2407"/>
    <mergeCell ref="B2418:D2418"/>
    <mergeCell ref="B2266:D2266"/>
    <mergeCell ref="A2270:A2287"/>
    <mergeCell ref="E2276:F2276"/>
    <mergeCell ref="B2287:D2287"/>
    <mergeCell ref="B2292:D2292"/>
    <mergeCell ref="A2296:A2313"/>
    <mergeCell ref="E2302:F2302"/>
    <mergeCell ref="B2313:D2313"/>
    <mergeCell ref="A2375:A2392"/>
    <mergeCell ref="E2381:F2381"/>
    <mergeCell ref="B2392:D2392"/>
    <mergeCell ref="B2345:D2345"/>
    <mergeCell ref="A2349:A2366"/>
    <mergeCell ref="E2355:F2355"/>
    <mergeCell ref="B2366:D2366"/>
    <mergeCell ref="B2319:D2319"/>
    <mergeCell ref="A2323:A2340"/>
    <mergeCell ref="E2329:F2329"/>
    <mergeCell ref="B2340:D2340"/>
    <mergeCell ref="B2555:D2555"/>
    <mergeCell ref="A2559:A2576"/>
    <mergeCell ref="E2565:F2565"/>
    <mergeCell ref="B2576:D2576"/>
    <mergeCell ref="B2423:D2423"/>
    <mergeCell ref="A2427:A2444"/>
    <mergeCell ref="E2433:F2433"/>
    <mergeCell ref="B2444:D2444"/>
    <mergeCell ref="B2449:D2449"/>
    <mergeCell ref="A2453:A2470"/>
    <mergeCell ref="E2459:F2459"/>
    <mergeCell ref="B2470:D2470"/>
    <mergeCell ref="B2475:D2475"/>
    <mergeCell ref="A2479:A2496"/>
    <mergeCell ref="E2485:F2485"/>
    <mergeCell ref="B2496:D2496"/>
    <mergeCell ref="B2501:D2501"/>
    <mergeCell ref="A2505:A2522"/>
    <mergeCell ref="E2511:F2511"/>
    <mergeCell ref="B2522:D2522"/>
    <mergeCell ref="B2528:D2528"/>
    <mergeCell ref="A2532:A2549"/>
    <mergeCell ref="E2538:F2538"/>
    <mergeCell ref="B2549:D2549"/>
    <mergeCell ref="B2712:D2712"/>
    <mergeCell ref="B2582:D2582"/>
    <mergeCell ref="A2586:A2603"/>
    <mergeCell ref="E2592:F2592"/>
    <mergeCell ref="B2603:D2603"/>
    <mergeCell ref="B2608:D2608"/>
    <mergeCell ref="B2686:D2686"/>
    <mergeCell ref="A2690:A2707"/>
    <mergeCell ref="E2696:F2696"/>
    <mergeCell ref="B2707:D2707"/>
    <mergeCell ref="A2612:A2629"/>
    <mergeCell ref="E2618:F2618"/>
    <mergeCell ref="B2629:D2629"/>
    <mergeCell ref="B2634:D2634"/>
    <mergeCell ref="A2638:A2655"/>
    <mergeCell ref="E2644:F2644"/>
    <mergeCell ref="B2655:D2655"/>
    <mergeCell ref="B2660:D2660"/>
    <mergeCell ref="A2664:A2681"/>
    <mergeCell ref="E2670:F2670"/>
    <mergeCell ref="B2681:D2681"/>
    <mergeCell ref="B3416:D3416"/>
    <mergeCell ref="A3420:A3437"/>
    <mergeCell ref="E3426:F3426"/>
    <mergeCell ref="B3437:D3437"/>
    <mergeCell ref="B3103:D3103"/>
    <mergeCell ref="A3107:A3124"/>
    <mergeCell ref="E3113:F3113"/>
    <mergeCell ref="B3124:D3124"/>
    <mergeCell ref="B3129:D3129"/>
    <mergeCell ref="A3133:A3150"/>
    <mergeCell ref="E3139:F3139"/>
    <mergeCell ref="B3150:D3150"/>
    <mergeCell ref="B3155:D3155"/>
    <mergeCell ref="A3159:A3176"/>
    <mergeCell ref="E3165:F3165"/>
    <mergeCell ref="B3176:D3176"/>
    <mergeCell ref="B3181:D3181"/>
    <mergeCell ref="A3185:A3202"/>
    <mergeCell ref="E3191:F3191"/>
    <mergeCell ref="B3202:D3202"/>
    <mergeCell ref="B3207:D3207"/>
    <mergeCell ref="B3285:D3285"/>
    <mergeCell ref="A3289:A3306"/>
    <mergeCell ref="E3295:F3295"/>
    <mergeCell ref="A3211:A3228"/>
    <mergeCell ref="E3217:F3217"/>
    <mergeCell ref="B3228:D3228"/>
    <mergeCell ref="B3233:D3233"/>
    <mergeCell ref="A3237:A3254"/>
    <mergeCell ref="E3243:F3243"/>
    <mergeCell ref="B3254:D3254"/>
    <mergeCell ref="B3259:D3259"/>
    <mergeCell ref="A3499:A3516"/>
    <mergeCell ref="E3505:F3505"/>
    <mergeCell ref="B3516:D3516"/>
    <mergeCell ref="B3521:D3521"/>
    <mergeCell ref="A3525:A3542"/>
    <mergeCell ref="E3531:F3531"/>
    <mergeCell ref="B3542:D3542"/>
    <mergeCell ref="B3443:D3443"/>
    <mergeCell ref="A3447:A3464"/>
    <mergeCell ref="E3453:F3453"/>
    <mergeCell ref="B3464:D3464"/>
    <mergeCell ref="B3469:D3469"/>
    <mergeCell ref="A3473:A3490"/>
    <mergeCell ref="E3479:F3479"/>
    <mergeCell ref="B3490:D3490"/>
    <mergeCell ref="B3495:D3495"/>
    <mergeCell ref="A3603:A3620"/>
    <mergeCell ref="E3609:F3609"/>
    <mergeCell ref="B3620:D3620"/>
    <mergeCell ref="B3625:D3625"/>
    <mergeCell ref="A3629:A3646"/>
    <mergeCell ref="E3635:F3635"/>
    <mergeCell ref="B3646:D3646"/>
    <mergeCell ref="B3652:D3652"/>
    <mergeCell ref="B3547:D3547"/>
    <mergeCell ref="A3551:A3568"/>
    <mergeCell ref="E3557:F3557"/>
    <mergeCell ref="B3568:D3568"/>
    <mergeCell ref="B3573:D3573"/>
    <mergeCell ref="A3577:A3594"/>
    <mergeCell ref="E3583:F3583"/>
    <mergeCell ref="B3594:D3594"/>
    <mergeCell ref="B3599:D3599"/>
    <mergeCell ref="A3656:A3673"/>
    <mergeCell ref="E3662:F3662"/>
    <mergeCell ref="B3673:D3673"/>
    <mergeCell ref="B3678:D3678"/>
    <mergeCell ref="A3682:A3699"/>
    <mergeCell ref="E3688:F3688"/>
    <mergeCell ref="B3699:D3699"/>
    <mergeCell ref="B3704:D3704"/>
    <mergeCell ref="A3708:A3725"/>
    <mergeCell ref="E3714:F3714"/>
    <mergeCell ref="B3725:D3725"/>
    <mergeCell ref="B3991:D3991"/>
    <mergeCell ref="A3995:A4012"/>
    <mergeCell ref="E4001:F4001"/>
    <mergeCell ref="B4012:D4012"/>
    <mergeCell ref="B3730:D3730"/>
    <mergeCell ref="A3734:A3751"/>
    <mergeCell ref="E3740:F3740"/>
    <mergeCell ref="B3751:D3751"/>
    <mergeCell ref="B3756:D3756"/>
    <mergeCell ref="A3760:A3777"/>
    <mergeCell ref="E3766:F3766"/>
    <mergeCell ref="B3777:D3777"/>
    <mergeCell ref="B3782:D3782"/>
    <mergeCell ref="A3786:A3803"/>
    <mergeCell ref="E3792:F3792"/>
    <mergeCell ref="B3803:D3803"/>
    <mergeCell ref="B3808:D3808"/>
    <mergeCell ref="A3812:A3829"/>
    <mergeCell ref="E3818:F3818"/>
    <mergeCell ref="B3829:D3829"/>
    <mergeCell ref="B3912:D3912"/>
    <mergeCell ref="A3916:A3933"/>
    <mergeCell ref="E3922:F3922"/>
    <mergeCell ref="B3933:D3933"/>
    <mergeCell ref="B4580:D4580"/>
    <mergeCell ref="A4584:A4601"/>
    <mergeCell ref="E4590:F4590"/>
    <mergeCell ref="B4601:D4601"/>
    <mergeCell ref="B4167:D4167"/>
    <mergeCell ref="A4150:A4167"/>
    <mergeCell ref="E4156:F4156"/>
    <mergeCell ref="A4175:A4192"/>
    <mergeCell ref="E4181:F4181"/>
    <mergeCell ref="B4192:D4192"/>
    <mergeCell ref="B4197:D4197"/>
    <mergeCell ref="A4201:A4218"/>
    <mergeCell ref="E4207:F4207"/>
    <mergeCell ref="B4218:D4218"/>
    <mergeCell ref="B4223:D4223"/>
    <mergeCell ref="A4227:A4244"/>
    <mergeCell ref="E4233:F4233"/>
    <mergeCell ref="B4244:D4244"/>
    <mergeCell ref="B4249:D4249"/>
    <mergeCell ref="A4253:A4270"/>
    <mergeCell ref="E4259:F4259"/>
    <mergeCell ref="B4270:D4270"/>
    <mergeCell ref="B4275:D4275"/>
    <mergeCell ref="A4279:A4296"/>
    <mergeCell ref="E4285:F4285"/>
    <mergeCell ref="B4296:D4296"/>
    <mergeCell ref="B4301:D4301"/>
    <mergeCell ref="A4305:A4322"/>
    <mergeCell ref="E4311:F4311"/>
    <mergeCell ref="B4322:D4322"/>
    <mergeCell ref="B4327:D4327"/>
    <mergeCell ref="A4331:A4348"/>
    <mergeCell ref="B5153:D5153"/>
    <mergeCell ref="A5157:A5174"/>
    <mergeCell ref="E5163:F5163"/>
    <mergeCell ref="B5174:D5174"/>
    <mergeCell ref="B5617:D5617"/>
    <mergeCell ref="A5418:A5435"/>
    <mergeCell ref="E5424:F5424"/>
    <mergeCell ref="B5435:D5435"/>
    <mergeCell ref="A5496:A5513"/>
    <mergeCell ref="E5502:F5502"/>
    <mergeCell ref="B5513:D5513"/>
    <mergeCell ref="B5440:D5440"/>
    <mergeCell ref="A5444:A5461"/>
    <mergeCell ref="B5179:D5179"/>
    <mergeCell ref="A5183:A5200"/>
    <mergeCell ref="E5189:F5189"/>
    <mergeCell ref="B5200:D5200"/>
    <mergeCell ref="B5205:D5205"/>
    <mergeCell ref="A5209:A5226"/>
    <mergeCell ref="E5215:F5215"/>
    <mergeCell ref="B5226:D5226"/>
    <mergeCell ref="B5231:D5231"/>
    <mergeCell ref="B5309:D5309"/>
    <mergeCell ref="A5235:A5252"/>
    <mergeCell ref="E5241:F5241"/>
    <mergeCell ref="B5252:D5252"/>
    <mergeCell ref="B5257:D5257"/>
    <mergeCell ref="A5261:A5278"/>
    <mergeCell ref="E5267:F5267"/>
    <mergeCell ref="B5278:D5278"/>
    <mergeCell ref="B5283:D5283"/>
    <mergeCell ref="A5287:A5304"/>
    <mergeCell ref="E5293:F5293"/>
    <mergeCell ref="B5304:D5304"/>
    <mergeCell ref="E5450:F5450"/>
    <mergeCell ref="B5461:D5461"/>
    <mergeCell ref="B6013:D6013"/>
    <mergeCell ref="A5913:A5930"/>
    <mergeCell ref="E5919:F5919"/>
    <mergeCell ref="B5930:D5930"/>
    <mergeCell ref="B5935:D5935"/>
    <mergeCell ref="A5939:A5956"/>
    <mergeCell ref="E5945:F5945"/>
    <mergeCell ref="B5956:D5956"/>
    <mergeCell ref="B5961:D5961"/>
    <mergeCell ref="A5965:A5982"/>
    <mergeCell ref="E5971:F5971"/>
    <mergeCell ref="B5982:D5982"/>
    <mergeCell ref="B5987:D5987"/>
    <mergeCell ref="B5466:D5466"/>
    <mergeCell ref="A5470:A5487"/>
    <mergeCell ref="E5476:F5476"/>
    <mergeCell ref="A5313:A5330"/>
    <mergeCell ref="E5319:F5319"/>
    <mergeCell ref="B5330:D5330"/>
    <mergeCell ref="B5335:D5335"/>
    <mergeCell ref="A5339:A5356"/>
    <mergeCell ref="E5345:F5345"/>
    <mergeCell ref="B5356:D5356"/>
    <mergeCell ref="B5362:D5362"/>
    <mergeCell ref="A5366:A5383"/>
    <mergeCell ref="E5372:F5372"/>
    <mergeCell ref="B5383:D5383"/>
    <mergeCell ref="B5388:D5388"/>
    <mergeCell ref="B5518:D5518"/>
    <mergeCell ref="A5522:A5539"/>
    <mergeCell ref="E5528:F5528"/>
    <mergeCell ref="B5539:D5539"/>
    <mergeCell ref="B5779:D5779"/>
    <mergeCell ref="A5392:A5409"/>
    <mergeCell ref="E5398:F5398"/>
    <mergeCell ref="B5409:D5409"/>
    <mergeCell ref="B5414:D5414"/>
    <mergeCell ref="A5600:A5617"/>
    <mergeCell ref="E5606:F5606"/>
    <mergeCell ref="B5487:D5487"/>
    <mergeCell ref="B5492:D5492"/>
    <mergeCell ref="B5670:D5670"/>
    <mergeCell ref="B5753:D5753"/>
    <mergeCell ref="A5757:A5774"/>
    <mergeCell ref="E5763:F5763"/>
    <mergeCell ref="B5774:D5774"/>
    <mergeCell ref="B5701:D5701"/>
    <mergeCell ref="A5705:A5722"/>
    <mergeCell ref="E5659:F5659"/>
    <mergeCell ref="B5696:D5696"/>
    <mergeCell ref="B5544:D5544"/>
    <mergeCell ref="A5548:A5565"/>
    <mergeCell ref="E5554:F5554"/>
    <mergeCell ref="B5565:D5565"/>
    <mergeCell ref="B5570:D5570"/>
    <mergeCell ref="A5574:A5591"/>
    <mergeCell ref="E5580:F5580"/>
    <mergeCell ref="B5591:D5591"/>
    <mergeCell ref="B5596:D5596"/>
    <mergeCell ref="B5649:D5649"/>
    <mergeCell ref="E6101:F6101"/>
    <mergeCell ref="B6112:D6112"/>
    <mergeCell ref="B6117:D6117"/>
    <mergeCell ref="A6121:A6138"/>
    <mergeCell ref="E6127:F6127"/>
    <mergeCell ref="B6138:D6138"/>
    <mergeCell ref="E6231:F6231"/>
    <mergeCell ref="B6242:D6242"/>
    <mergeCell ref="B6247:D6247"/>
    <mergeCell ref="A6251:A6268"/>
    <mergeCell ref="E6257:F6257"/>
    <mergeCell ref="B6268:D6268"/>
    <mergeCell ref="B6273:D6273"/>
    <mergeCell ref="A6277:A6294"/>
    <mergeCell ref="E6283:F6283"/>
    <mergeCell ref="B6294:D6294"/>
    <mergeCell ref="B6143:D6143"/>
    <mergeCell ref="A6147:A6164"/>
    <mergeCell ref="E6153:F6153"/>
    <mergeCell ref="A6095:A6112"/>
    <mergeCell ref="E5997:F5997"/>
    <mergeCell ref="B6008:D6008"/>
    <mergeCell ref="B7262:D7262"/>
    <mergeCell ref="A7266:A7283"/>
    <mergeCell ref="E7272:F7272"/>
    <mergeCell ref="B7283:D7283"/>
    <mergeCell ref="A6069:A6086"/>
    <mergeCell ref="A6381:A6398"/>
    <mergeCell ref="E6387:F6387"/>
    <mergeCell ref="B6455:D6455"/>
    <mergeCell ref="A6459:A6476"/>
    <mergeCell ref="E6465:F6465"/>
    <mergeCell ref="B6476:D6476"/>
    <mergeCell ref="B6481:D6481"/>
    <mergeCell ref="A6485:A6502"/>
    <mergeCell ref="E6075:F6075"/>
    <mergeCell ref="B6086:D6086"/>
    <mergeCell ref="B6533:D6533"/>
    <mergeCell ref="A6537:A6554"/>
    <mergeCell ref="E6543:F6543"/>
    <mergeCell ref="A6355:A6372"/>
    <mergeCell ref="E6361:F6361"/>
    <mergeCell ref="B6372:D6372"/>
    <mergeCell ref="B6403:D6403"/>
    <mergeCell ref="A6407:A6424"/>
    <mergeCell ref="E6491:F6491"/>
    <mergeCell ref="B6091:D6091"/>
    <mergeCell ref="B6169:D6169"/>
    <mergeCell ref="A6173:A6190"/>
    <mergeCell ref="E6179:F6179"/>
    <mergeCell ref="B6190:D6190"/>
    <mergeCell ref="A6017:A6034"/>
    <mergeCell ref="B7288:D7288"/>
    <mergeCell ref="A7292:A7309"/>
    <mergeCell ref="E7298:F7298"/>
    <mergeCell ref="B7309:D7309"/>
    <mergeCell ref="B7315:D7315"/>
    <mergeCell ref="A7319:A7336"/>
    <mergeCell ref="E7325:F7325"/>
    <mergeCell ref="B7336:D7336"/>
    <mergeCell ref="B7342:D7342"/>
    <mergeCell ref="A7346:A7363"/>
    <mergeCell ref="E7352:F7352"/>
    <mergeCell ref="B7363:D7363"/>
    <mergeCell ref="B6606:D6606"/>
    <mergeCell ref="B6742:D6742"/>
    <mergeCell ref="A6746:A6763"/>
    <mergeCell ref="E6752:F6752"/>
    <mergeCell ref="B6763:D6763"/>
    <mergeCell ref="E6648:F6648"/>
    <mergeCell ref="B6659:D6659"/>
    <mergeCell ref="B6664:D6664"/>
    <mergeCell ref="A6668:A6685"/>
    <mergeCell ref="E6674:F6674"/>
    <mergeCell ref="B6685:D6685"/>
    <mergeCell ref="B6690:D6690"/>
    <mergeCell ref="A6694:A6711"/>
    <mergeCell ref="E6700:F6700"/>
    <mergeCell ref="B6711:D6711"/>
    <mergeCell ref="B6716:D6716"/>
    <mergeCell ref="A6720:A6737"/>
    <mergeCell ref="E6726:F6726"/>
    <mergeCell ref="B6737:D6737"/>
    <mergeCell ref="B6612:D6612"/>
    <mergeCell ref="A7477:A7494"/>
    <mergeCell ref="E7483:F7483"/>
    <mergeCell ref="B7494:D7494"/>
    <mergeCell ref="B7368:D7368"/>
    <mergeCell ref="A7372:A7389"/>
    <mergeCell ref="E7378:F7378"/>
    <mergeCell ref="B7389:D7389"/>
    <mergeCell ref="B7394:D7394"/>
    <mergeCell ref="A7398:A7415"/>
    <mergeCell ref="E7404:F7404"/>
    <mergeCell ref="B7415:D7415"/>
    <mergeCell ref="B7421:D7421"/>
    <mergeCell ref="A7425:A7442"/>
    <mergeCell ref="E7431:F7431"/>
    <mergeCell ref="B7442:D7442"/>
    <mergeCell ref="B7447:D7447"/>
    <mergeCell ref="A7451:A7468"/>
    <mergeCell ref="E7457:F7457"/>
    <mergeCell ref="B7468:D7468"/>
    <mergeCell ref="B7473:D74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BA68-D52B-42FE-AA47-3C9CBAFC0C0D}">
  <dimension ref="B3:X458"/>
  <sheetViews>
    <sheetView tabSelected="1" topLeftCell="A437" zoomScaleNormal="100" workbookViewId="0">
      <pane xSplit="2" topLeftCell="C1" activePane="topRight" state="frozen"/>
      <selection activeCell="A73" sqref="A73"/>
      <selection pane="topRight" activeCell="R451" sqref="R451"/>
    </sheetView>
  </sheetViews>
  <sheetFormatPr defaultRowHeight="14.5" x14ac:dyDescent="0.35"/>
  <cols>
    <col min="1" max="1" width="3.1796875" customWidth="1"/>
    <col min="2" max="2" width="15.6328125" style="115" bestFit="1" customWidth="1"/>
    <col min="3" max="3" width="9.81640625" style="116" bestFit="1" customWidth="1"/>
    <col min="4" max="4" width="26.26953125" style="116" bestFit="1" customWidth="1"/>
    <col min="5" max="5" width="15.6328125" bestFit="1" customWidth="1"/>
    <col min="6" max="6" width="29.81640625" style="116" bestFit="1" customWidth="1"/>
    <col min="7" max="7" width="14" style="117" bestFit="1" customWidth="1"/>
    <col min="8" max="8" width="10.36328125" bestFit="1" customWidth="1"/>
    <col min="9" max="9" width="14.81640625" bestFit="1" customWidth="1"/>
    <col min="10" max="10" width="2.54296875" customWidth="1"/>
    <col min="11" max="11" width="12.26953125" style="119" customWidth="1"/>
    <col min="12" max="12" width="9.81640625" bestFit="1" customWidth="1"/>
    <col min="13" max="13" width="14.81640625" bestFit="1" customWidth="1"/>
    <col min="14" max="14" width="22.6328125" bestFit="1" customWidth="1"/>
    <col min="15" max="15" width="2.54296875" customWidth="1"/>
    <col min="16" max="16" width="12.26953125" style="117" bestFit="1" customWidth="1"/>
    <col min="17" max="17" width="9.81640625" bestFit="1" customWidth="1"/>
    <col min="18" max="18" width="13.54296875" bestFit="1" customWidth="1"/>
    <col min="19" max="19" width="22.90625" bestFit="1" customWidth="1"/>
    <col min="20" max="20" width="3.1796875" customWidth="1"/>
    <col min="21" max="21" width="12.26953125" style="117" bestFit="1" customWidth="1"/>
    <col min="22" max="22" width="15.453125" style="120" bestFit="1" customWidth="1"/>
    <col min="23" max="23" width="2.453125" customWidth="1"/>
    <col min="24" max="24" width="45.6328125" bestFit="1" customWidth="1"/>
  </cols>
  <sheetData>
    <row r="3" spans="2:24" ht="15" thickBot="1" x14ac:dyDescent="0.4">
      <c r="J3" s="118"/>
      <c r="O3" s="118"/>
      <c r="S3" s="117"/>
      <c r="T3" s="118"/>
      <c r="W3" s="118"/>
    </row>
    <row r="4" spans="2:24" ht="15" thickBot="1" x14ac:dyDescent="0.4">
      <c r="H4" s="202" t="s">
        <v>0</v>
      </c>
      <c r="I4" s="203"/>
      <c r="J4" s="203"/>
      <c r="K4" s="203"/>
      <c r="L4" s="203"/>
      <c r="M4" s="203"/>
      <c r="N4" s="203"/>
      <c r="O4" s="204"/>
      <c r="P4" s="121"/>
      <c r="Q4" s="122"/>
      <c r="R4" s="121"/>
      <c r="S4" s="123"/>
      <c r="T4" s="122"/>
      <c r="W4" s="118"/>
    </row>
    <row r="5" spans="2:24" ht="15" thickBot="1" x14ac:dyDescent="0.4">
      <c r="B5" s="205" t="s">
        <v>132</v>
      </c>
      <c r="C5" s="190" t="s">
        <v>133</v>
      </c>
      <c r="D5" s="190" t="s">
        <v>119</v>
      </c>
      <c r="E5" s="190" t="s">
        <v>134</v>
      </c>
      <c r="F5" s="190" t="s">
        <v>135</v>
      </c>
      <c r="G5" s="208" t="s">
        <v>136</v>
      </c>
      <c r="H5" s="209"/>
      <c r="I5" s="210"/>
      <c r="J5" s="192"/>
      <c r="K5" s="195" t="s">
        <v>137</v>
      </c>
      <c r="L5" s="196"/>
      <c r="M5" s="197"/>
      <c r="N5" s="198" t="s">
        <v>138</v>
      </c>
      <c r="O5" s="192"/>
      <c r="P5" s="195" t="s">
        <v>139</v>
      </c>
      <c r="Q5" s="196"/>
      <c r="R5" s="197"/>
      <c r="S5" s="198" t="s">
        <v>138</v>
      </c>
      <c r="T5" s="192"/>
      <c r="U5" s="200" t="s">
        <v>140</v>
      </c>
      <c r="V5" s="201"/>
      <c r="W5" s="192"/>
      <c r="X5" s="190" t="s">
        <v>141</v>
      </c>
    </row>
    <row r="6" spans="2:24" ht="15" thickBot="1" x14ac:dyDescent="0.4">
      <c r="B6" s="206"/>
      <c r="C6" s="207"/>
      <c r="D6" s="207"/>
      <c r="E6" s="207"/>
      <c r="F6" s="191"/>
      <c r="G6" s="124" t="s">
        <v>142</v>
      </c>
      <c r="H6" s="125" t="s">
        <v>143</v>
      </c>
      <c r="I6" s="125" t="s">
        <v>144</v>
      </c>
      <c r="J6" s="193"/>
      <c r="K6" s="126" t="s">
        <v>142</v>
      </c>
      <c r="L6" s="125" t="s">
        <v>143</v>
      </c>
      <c r="M6" s="125" t="s">
        <v>144</v>
      </c>
      <c r="N6" s="199"/>
      <c r="O6" s="193"/>
      <c r="P6" s="124" t="s">
        <v>142</v>
      </c>
      <c r="Q6" s="125" t="s">
        <v>143</v>
      </c>
      <c r="R6" s="125" t="s">
        <v>144</v>
      </c>
      <c r="S6" s="199"/>
      <c r="T6" s="193"/>
      <c r="U6" s="124" t="s">
        <v>142</v>
      </c>
      <c r="V6" s="127" t="s">
        <v>144</v>
      </c>
      <c r="W6" s="193"/>
      <c r="X6" s="191"/>
    </row>
    <row r="7" spans="2:24" x14ac:dyDescent="0.35">
      <c r="B7" s="128" t="s">
        <v>145</v>
      </c>
      <c r="C7" s="129" t="s">
        <v>154</v>
      </c>
      <c r="D7" s="129" t="s">
        <v>155</v>
      </c>
      <c r="E7" s="130" t="s">
        <v>114</v>
      </c>
      <c r="F7" s="130" t="s">
        <v>106</v>
      </c>
      <c r="G7" s="131">
        <v>4000</v>
      </c>
      <c r="H7" s="132">
        <v>2630</v>
      </c>
      <c r="I7" s="132">
        <f t="shared" ref="I7:I70" si="0">G7*H7</f>
        <v>10520000</v>
      </c>
      <c r="J7" s="193"/>
      <c r="K7" s="133">
        <v>2400</v>
      </c>
      <c r="L7" s="134">
        <f>H7</f>
        <v>2630</v>
      </c>
      <c r="M7" s="132">
        <f>K7*L7</f>
        <v>6312000</v>
      </c>
      <c r="N7" s="135" t="s">
        <v>197</v>
      </c>
      <c r="O7" s="193"/>
      <c r="P7" s="133">
        <v>1435.06</v>
      </c>
      <c r="Q7" s="134">
        <f>H7</f>
        <v>2630</v>
      </c>
      <c r="R7" s="132">
        <f>P7*Q7</f>
        <v>3774207.8</v>
      </c>
      <c r="S7" s="136" t="s">
        <v>479</v>
      </c>
      <c r="T7" s="193"/>
      <c r="U7" s="131">
        <f t="shared" ref="U7:U70" si="1">G7-K7-P7</f>
        <v>164.94000000000005</v>
      </c>
      <c r="V7" s="132">
        <f t="shared" ref="V7:V70" si="2">I7-M7-R7</f>
        <v>433792.20000000019</v>
      </c>
      <c r="W7" s="193"/>
      <c r="X7" s="130"/>
    </row>
    <row r="8" spans="2:24" x14ac:dyDescent="0.35">
      <c r="B8" s="137" t="s">
        <v>147</v>
      </c>
      <c r="C8" s="138" t="s">
        <v>160</v>
      </c>
      <c r="D8" s="139" t="s">
        <v>161</v>
      </c>
      <c r="E8" s="147" t="s">
        <v>114</v>
      </c>
      <c r="F8" s="147" t="s">
        <v>106</v>
      </c>
      <c r="G8" s="141">
        <v>4000</v>
      </c>
      <c r="H8" s="142">
        <v>2630</v>
      </c>
      <c r="I8" s="142">
        <f t="shared" si="0"/>
        <v>10520000</v>
      </c>
      <c r="J8" s="193"/>
      <c r="K8" s="141">
        <v>2400</v>
      </c>
      <c r="L8" s="143">
        <f>H8</f>
        <v>2630</v>
      </c>
      <c r="M8" s="144">
        <f>K8*L8</f>
        <v>6312000</v>
      </c>
      <c r="N8" s="135" t="s">
        <v>197</v>
      </c>
      <c r="O8" s="193"/>
      <c r="P8" s="145">
        <v>1560</v>
      </c>
      <c r="Q8" s="143">
        <f>H8</f>
        <v>2630</v>
      </c>
      <c r="R8" s="144">
        <f>P8*Q8</f>
        <v>4102800</v>
      </c>
      <c r="S8" s="173" t="s">
        <v>480</v>
      </c>
      <c r="T8" s="193"/>
      <c r="U8" s="145">
        <f t="shared" si="1"/>
        <v>40</v>
      </c>
      <c r="V8" s="144">
        <f t="shared" si="2"/>
        <v>105200</v>
      </c>
      <c r="W8" s="193"/>
      <c r="X8" s="146"/>
    </row>
    <row r="9" spans="2:24" x14ac:dyDescent="0.35">
      <c r="B9" s="137" t="s">
        <v>148</v>
      </c>
      <c r="C9" s="138" t="s">
        <v>164</v>
      </c>
      <c r="D9" s="139" t="s">
        <v>165</v>
      </c>
      <c r="E9" s="147" t="s">
        <v>114</v>
      </c>
      <c r="F9" s="147" t="s">
        <v>106</v>
      </c>
      <c r="G9" s="141">
        <v>4000</v>
      </c>
      <c r="H9" s="142">
        <v>2630</v>
      </c>
      <c r="I9" s="144">
        <f t="shared" si="0"/>
        <v>10520000</v>
      </c>
      <c r="J9" s="193"/>
      <c r="K9" s="141">
        <v>2400</v>
      </c>
      <c r="L9" s="143">
        <f t="shared" ref="L9:L71" si="3">H9</f>
        <v>2630</v>
      </c>
      <c r="M9" s="144">
        <f t="shared" ref="M9:M71" si="4">K9*L9</f>
        <v>6312000</v>
      </c>
      <c r="N9" s="135" t="s">
        <v>198</v>
      </c>
      <c r="O9" s="193"/>
      <c r="P9" s="145">
        <v>1560</v>
      </c>
      <c r="Q9" s="143">
        <f t="shared" ref="Q9:Q72" si="5">H9</f>
        <v>2630</v>
      </c>
      <c r="R9" s="144">
        <f t="shared" ref="R9:R72" si="6">P9*Q9</f>
        <v>4102800</v>
      </c>
      <c r="S9" s="135" t="s">
        <v>431</v>
      </c>
      <c r="T9" s="193"/>
      <c r="U9" s="145">
        <f t="shared" si="1"/>
        <v>40</v>
      </c>
      <c r="V9" s="144">
        <f t="shared" si="2"/>
        <v>105200</v>
      </c>
      <c r="W9" s="193"/>
      <c r="X9" s="146"/>
    </row>
    <row r="10" spans="2:24" x14ac:dyDescent="0.35">
      <c r="B10" s="137" t="s">
        <v>169</v>
      </c>
      <c r="C10" s="146" t="s">
        <v>170</v>
      </c>
      <c r="D10" s="147" t="s">
        <v>171</v>
      </c>
      <c r="E10" s="147" t="s">
        <v>114</v>
      </c>
      <c r="F10" s="147" t="s">
        <v>106</v>
      </c>
      <c r="G10" s="141">
        <v>4000</v>
      </c>
      <c r="H10" s="142">
        <v>2630</v>
      </c>
      <c r="I10" s="144">
        <f t="shared" si="0"/>
        <v>10520000</v>
      </c>
      <c r="J10" s="193"/>
      <c r="K10" s="141">
        <v>2400</v>
      </c>
      <c r="L10" s="143">
        <f t="shared" si="3"/>
        <v>2630</v>
      </c>
      <c r="M10" s="144">
        <f t="shared" si="4"/>
        <v>6312000</v>
      </c>
      <c r="N10" s="135" t="s">
        <v>199</v>
      </c>
      <c r="O10" s="193"/>
      <c r="P10" s="145">
        <v>1600</v>
      </c>
      <c r="Q10" s="143">
        <f t="shared" si="5"/>
        <v>2630</v>
      </c>
      <c r="R10" s="144">
        <f t="shared" si="6"/>
        <v>4208000</v>
      </c>
      <c r="S10" s="135" t="s">
        <v>481</v>
      </c>
      <c r="T10" s="193"/>
      <c r="U10" s="145">
        <f t="shared" si="1"/>
        <v>0</v>
      </c>
      <c r="V10" s="144">
        <f t="shared" si="2"/>
        <v>0</v>
      </c>
      <c r="W10" s="193"/>
      <c r="X10" s="147"/>
    </row>
    <row r="11" spans="2:24" x14ac:dyDescent="0.35">
      <c r="B11" s="137" t="s">
        <v>149</v>
      </c>
      <c r="C11" s="157" t="s">
        <v>180</v>
      </c>
      <c r="D11" s="147" t="s">
        <v>181</v>
      </c>
      <c r="E11" s="147" t="s">
        <v>182</v>
      </c>
      <c r="F11" s="147" t="s">
        <v>183</v>
      </c>
      <c r="G11" s="141">
        <v>4000</v>
      </c>
      <c r="H11" s="142">
        <v>2400</v>
      </c>
      <c r="I11" s="144">
        <f t="shared" si="0"/>
        <v>9600000</v>
      </c>
      <c r="J11" s="193"/>
      <c r="K11" s="141">
        <v>4000</v>
      </c>
      <c r="L11" s="143">
        <f t="shared" si="3"/>
        <v>2400</v>
      </c>
      <c r="M11" s="144">
        <f t="shared" si="4"/>
        <v>9600000</v>
      </c>
      <c r="N11" s="135" t="s">
        <v>340</v>
      </c>
      <c r="O11" s="193"/>
      <c r="P11" s="145">
        <v>0</v>
      </c>
      <c r="Q11" s="143">
        <f t="shared" si="5"/>
        <v>2400</v>
      </c>
      <c r="R11" s="144">
        <f t="shared" si="6"/>
        <v>0</v>
      </c>
      <c r="S11" s="135" t="s">
        <v>146</v>
      </c>
      <c r="T11" s="193"/>
      <c r="U11" s="145">
        <f t="shared" si="1"/>
        <v>0</v>
      </c>
      <c r="V11" s="144">
        <f t="shared" si="2"/>
        <v>0</v>
      </c>
      <c r="W11" s="193"/>
      <c r="X11" s="147"/>
    </row>
    <row r="12" spans="2:24" x14ac:dyDescent="0.35">
      <c r="B12" s="137" t="s">
        <v>150</v>
      </c>
      <c r="C12" s="146" t="s">
        <v>175</v>
      </c>
      <c r="D12" s="147" t="s">
        <v>176</v>
      </c>
      <c r="E12" s="147" t="s">
        <v>114</v>
      </c>
      <c r="F12" s="147" t="s">
        <v>106</v>
      </c>
      <c r="G12" s="141">
        <v>4000</v>
      </c>
      <c r="H12" s="142">
        <v>2630</v>
      </c>
      <c r="I12" s="144">
        <f t="shared" si="0"/>
        <v>10520000</v>
      </c>
      <c r="J12" s="193"/>
      <c r="K12" s="141">
        <v>2400</v>
      </c>
      <c r="L12" s="143">
        <f t="shared" si="3"/>
        <v>2630</v>
      </c>
      <c r="M12" s="144">
        <f t="shared" si="4"/>
        <v>6312000</v>
      </c>
      <c r="N12" s="135" t="s">
        <v>200</v>
      </c>
      <c r="O12" s="193"/>
      <c r="P12" s="145">
        <v>1600</v>
      </c>
      <c r="Q12" s="143">
        <f t="shared" si="5"/>
        <v>2630</v>
      </c>
      <c r="R12" s="144">
        <f t="shared" si="6"/>
        <v>4208000</v>
      </c>
      <c r="S12" s="135" t="s">
        <v>474</v>
      </c>
      <c r="T12" s="193"/>
      <c r="U12" s="145">
        <f t="shared" si="1"/>
        <v>0</v>
      </c>
      <c r="V12" s="144">
        <f t="shared" si="2"/>
        <v>0</v>
      </c>
      <c r="W12" s="193"/>
      <c r="X12" s="147"/>
    </row>
    <row r="13" spans="2:24" x14ac:dyDescent="0.35">
      <c r="B13" s="137" t="s">
        <v>151</v>
      </c>
      <c r="C13" s="147" t="s">
        <v>189</v>
      </c>
      <c r="D13" s="139" t="s">
        <v>190</v>
      </c>
      <c r="E13" s="147" t="s">
        <v>114</v>
      </c>
      <c r="F13" s="147" t="s">
        <v>106</v>
      </c>
      <c r="G13" s="141">
        <v>4000</v>
      </c>
      <c r="H13" s="142">
        <v>2630</v>
      </c>
      <c r="I13" s="144">
        <f t="shared" si="0"/>
        <v>10520000</v>
      </c>
      <c r="J13" s="193"/>
      <c r="K13" s="141">
        <v>2400</v>
      </c>
      <c r="L13" s="143">
        <f t="shared" si="3"/>
        <v>2630</v>
      </c>
      <c r="M13" s="144">
        <f t="shared" si="4"/>
        <v>6312000</v>
      </c>
      <c r="N13" s="135" t="s">
        <v>200</v>
      </c>
      <c r="O13" s="193"/>
      <c r="P13" s="145">
        <v>1600</v>
      </c>
      <c r="Q13" s="143">
        <f>H13</f>
        <v>2630</v>
      </c>
      <c r="R13" s="144">
        <f>P13*Q13</f>
        <v>4208000</v>
      </c>
      <c r="S13" s="135" t="s">
        <v>474</v>
      </c>
      <c r="T13" s="193"/>
      <c r="U13" s="145">
        <f t="shared" si="1"/>
        <v>0</v>
      </c>
      <c r="V13" s="144">
        <f t="shared" si="2"/>
        <v>0</v>
      </c>
      <c r="W13" s="193"/>
      <c r="X13" s="147"/>
    </row>
    <row r="14" spans="2:24" x14ac:dyDescent="0.35">
      <c r="B14" s="137" t="s">
        <v>152</v>
      </c>
      <c r="C14" s="147" t="s">
        <v>194</v>
      </c>
      <c r="D14" s="139" t="s">
        <v>195</v>
      </c>
      <c r="E14" s="140" t="s">
        <v>114</v>
      </c>
      <c r="F14" s="147" t="s">
        <v>106</v>
      </c>
      <c r="G14" s="141">
        <v>4000</v>
      </c>
      <c r="H14" s="142">
        <v>2630</v>
      </c>
      <c r="I14" s="144">
        <f t="shared" si="0"/>
        <v>10520000</v>
      </c>
      <c r="J14" s="193"/>
      <c r="K14" s="141">
        <v>2400</v>
      </c>
      <c r="L14" s="143">
        <f t="shared" si="3"/>
        <v>2630</v>
      </c>
      <c r="M14" s="144">
        <f t="shared" si="4"/>
        <v>6312000</v>
      </c>
      <c r="N14" s="135" t="s">
        <v>200</v>
      </c>
      <c r="O14" s="193"/>
      <c r="P14" s="145">
        <v>1600</v>
      </c>
      <c r="Q14" s="143">
        <f>H14</f>
        <v>2630</v>
      </c>
      <c r="R14" s="144">
        <f>P14*Q14</f>
        <v>4208000</v>
      </c>
      <c r="S14" s="135" t="s">
        <v>474</v>
      </c>
      <c r="T14" s="193"/>
      <c r="U14" s="145">
        <f t="shared" si="1"/>
        <v>0</v>
      </c>
      <c r="V14" s="144">
        <f t="shared" si="2"/>
        <v>0</v>
      </c>
      <c r="W14" s="193"/>
      <c r="X14" s="147"/>
    </row>
    <row r="15" spans="2:24" x14ac:dyDescent="0.35">
      <c r="B15" s="137" t="s">
        <v>211</v>
      </c>
      <c r="C15" s="147" t="s">
        <v>201</v>
      </c>
      <c r="D15" s="137" t="s">
        <v>205</v>
      </c>
      <c r="E15" s="138" t="s">
        <v>206</v>
      </c>
      <c r="F15" s="147" t="s">
        <v>106</v>
      </c>
      <c r="G15" s="141">
        <v>4000</v>
      </c>
      <c r="H15" s="142">
        <v>2630</v>
      </c>
      <c r="I15" s="144">
        <f t="shared" si="0"/>
        <v>10520000</v>
      </c>
      <c r="J15" s="193"/>
      <c r="K15" s="141">
        <v>2400</v>
      </c>
      <c r="L15" s="143">
        <f t="shared" si="3"/>
        <v>2630</v>
      </c>
      <c r="M15" s="144">
        <f t="shared" si="4"/>
        <v>6312000</v>
      </c>
      <c r="N15" s="135" t="s">
        <v>241</v>
      </c>
      <c r="O15" s="193"/>
      <c r="P15" s="145">
        <v>1600</v>
      </c>
      <c r="Q15" s="143">
        <f t="shared" si="5"/>
        <v>2630</v>
      </c>
      <c r="R15" s="144">
        <f t="shared" si="6"/>
        <v>4208000</v>
      </c>
      <c r="S15" s="135" t="s">
        <v>363</v>
      </c>
      <c r="T15" s="193"/>
      <c r="U15" s="145">
        <f t="shared" si="1"/>
        <v>0</v>
      </c>
      <c r="V15" s="144">
        <f t="shared" si="2"/>
        <v>0</v>
      </c>
      <c r="W15" s="193"/>
      <c r="X15" s="147"/>
    </row>
    <row r="16" spans="2:24" x14ac:dyDescent="0.35">
      <c r="B16" s="137" t="s">
        <v>212</v>
      </c>
      <c r="C16" s="147" t="s">
        <v>202</v>
      </c>
      <c r="D16" s="139" t="s">
        <v>213</v>
      </c>
      <c r="E16" s="138" t="s">
        <v>206</v>
      </c>
      <c r="F16" s="147" t="s">
        <v>106</v>
      </c>
      <c r="G16" s="141">
        <v>4000</v>
      </c>
      <c r="H16" s="142">
        <v>2630</v>
      </c>
      <c r="I16" s="144">
        <f t="shared" si="0"/>
        <v>10520000</v>
      </c>
      <c r="J16" s="193"/>
      <c r="K16" s="141">
        <v>2400</v>
      </c>
      <c r="L16" s="143">
        <f t="shared" si="3"/>
        <v>2630</v>
      </c>
      <c r="M16" s="144">
        <f t="shared" si="4"/>
        <v>6312000</v>
      </c>
      <c r="N16" s="135" t="s">
        <v>242</v>
      </c>
      <c r="O16" s="193"/>
      <c r="P16" s="145">
        <v>1600</v>
      </c>
      <c r="Q16" s="143">
        <f>H16</f>
        <v>2630</v>
      </c>
      <c r="R16" s="144">
        <f>P16*Q16</f>
        <v>4208000</v>
      </c>
      <c r="S16" s="135" t="s">
        <v>363</v>
      </c>
      <c r="T16" s="193"/>
      <c r="U16" s="145">
        <f t="shared" si="1"/>
        <v>0</v>
      </c>
      <c r="V16" s="144">
        <f t="shared" si="2"/>
        <v>0</v>
      </c>
      <c r="W16" s="193"/>
      <c r="X16" s="147"/>
    </row>
    <row r="17" spans="2:24" x14ac:dyDescent="0.35">
      <c r="B17" s="137" t="s">
        <v>216</v>
      </c>
      <c r="C17" s="147" t="s">
        <v>203</v>
      </c>
      <c r="D17" s="139" t="s">
        <v>213</v>
      </c>
      <c r="E17" s="138" t="s">
        <v>206</v>
      </c>
      <c r="F17" s="147" t="s">
        <v>106</v>
      </c>
      <c r="G17" s="141">
        <v>4400</v>
      </c>
      <c r="H17" s="142">
        <v>2630</v>
      </c>
      <c r="I17" s="144">
        <f t="shared" si="0"/>
        <v>11572000</v>
      </c>
      <c r="J17" s="193"/>
      <c r="K17" s="141">
        <v>2400</v>
      </c>
      <c r="L17" s="143">
        <f>H17</f>
        <v>2630</v>
      </c>
      <c r="M17" s="144">
        <f>K17*L17</f>
        <v>6312000</v>
      </c>
      <c r="N17" s="135" t="s">
        <v>242</v>
      </c>
      <c r="O17" s="193"/>
      <c r="P17" s="145">
        <v>2000</v>
      </c>
      <c r="Q17" s="143">
        <f>H17</f>
        <v>2630</v>
      </c>
      <c r="R17" s="144">
        <f>P17*Q17</f>
        <v>5260000</v>
      </c>
      <c r="S17" s="135" t="s">
        <v>474</v>
      </c>
      <c r="T17" s="193"/>
      <c r="U17" s="148">
        <f t="shared" si="1"/>
        <v>0</v>
      </c>
      <c r="V17" s="144">
        <f t="shared" si="2"/>
        <v>0</v>
      </c>
      <c r="W17" s="193"/>
      <c r="X17" s="147"/>
    </row>
    <row r="18" spans="2:24" x14ac:dyDescent="0.35">
      <c r="B18" s="137" t="s">
        <v>220</v>
      </c>
      <c r="C18" s="138" t="s">
        <v>98</v>
      </c>
      <c r="D18" s="139" t="s">
        <v>213</v>
      </c>
      <c r="E18" s="138" t="s">
        <v>206</v>
      </c>
      <c r="F18" s="147" t="s">
        <v>106</v>
      </c>
      <c r="G18" s="141">
        <v>4300</v>
      </c>
      <c r="H18" s="142">
        <v>2630</v>
      </c>
      <c r="I18" s="144">
        <f t="shared" si="0"/>
        <v>11309000</v>
      </c>
      <c r="J18" s="193"/>
      <c r="K18" s="141">
        <v>2400</v>
      </c>
      <c r="L18" s="143">
        <f>H18</f>
        <v>2630</v>
      </c>
      <c r="M18" s="144">
        <f>K18*L18</f>
        <v>6312000</v>
      </c>
      <c r="N18" s="135" t="s">
        <v>242</v>
      </c>
      <c r="O18" s="193"/>
      <c r="P18" s="145">
        <v>1900</v>
      </c>
      <c r="Q18" s="143">
        <f>H18</f>
        <v>2630</v>
      </c>
      <c r="R18" s="144">
        <f>P18*Q18</f>
        <v>4997000</v>
      </c>
      <c r="S18" s="135" t="s">
        <v>474</v>
      </c>
      <c r="T18" s="193"/>
      <c r="U18" s="148">
        <f t="shared" si="1"/>
        <v>0</v>
      </c>
      <c r="V18" s="144">
        <f t="shared" si="2"/>
        <v>0</v>
      </c>
      <c r="W18" s="193"/>
      <c r="X18" s="147"/>
    </row>
    <row r="19" spans="2:24" x14ac:dyDescent="0.35">
      <c r="B19" s="137" t="s">
        <v>223</v>
      </c>
      <c r="C19" s="138" t="s">
        <v>224</v>
      </c>
      <c r="D19" s="137" t="s">
        <v>225</v>
      </c>
      <c r="E19" s="138" t="s">
        <v>206</v>
      </c>
      <c r="F19" s="140" t="s">
        <v>106</v>
      </c>
      <c r="G19" s="141">
        <v>4000</v>
      </c>
      <c r="H19" s="142">
        <v>2630</v>
      </c>
      <c r="I19" s="144">
        <f t="shared" si="0"/>
        <v>10520000</v>
      </c>
      <c r="J19" s="193"/>
      <c r="K19" s="141">
        <v>2400</v>
      </c>
      <c r="L19" s="143">
        <f>H19</f>
        <v>2630</v>
      </c>
      <c r="M19" s="144">
        <f>K19*L19</f>
        <v>6312000</v>
      </c>
      <c r="N19" s="135" t="s">
        <v>241</v>
      </c>
      <c r="O19" s="193"/>
      <c r="P19" s="145">
        <v>1600</v>
      </c>
      <c r="Q19" s="143">
        <f>H19</f>
        <v>2630</v>
      </c>
      <c r="R19" s="144">
        <f>P19*Q19</f>
        <v>4208000</v>
      </c>
      <c r="S19" s="135" t="s">
        <v>363</v>
      </c>
      <c r="T19" s="193"/>
      <c r="U19" s="145">
        <f t="shared" si="1"/>
        <v>0</v>
      </c>
      <c r="V19" s="144">
        <f t="shared" si="2"/>
        <v>0</v>
      </c>
      <c r="W19" s="193"/>
      <c r="X19" s="147"/>
    </row>
    <row r="20" spans="2:24" x14ac:dyDescent="0.35">
      <c r="B20" s="137" t="s">
        <v>228</v>
      </c>
      <c r="C20" s="147" t="s">
        <v>230</v>
      </c>
      <c r="D20" s="147" t="s">
        <v>231</v>
      </c>
      <c r="E20" s="147" t="s">
        <v>182</v>
      </c>
      <c r="F20" s="147" t="s">
        <v>319</v>
      </c>
      <c r="G20" s="141">
        <v>4300</v>
      </c>
      <c r="H20" s="142">
        <v>2400</v>
      </c>
      <c r="I20" s="144">
        <f t="shared" si="0"/>
        <v>10320000</v>
      </c>
      <c r="J20" s="193"/>
      <c r="K20" s="141">
        <v>4300</v>
      </c>
      <c r="L20" s="143">
        <f t="shared" si="3"/>
        <v>2400</v>
      </c>
      <c r="M20" s="144">
        <f t="shared" si="4"/>
        <v>10320000</v>
      </c>
      <c r="N20" s="135" t="s">
        <v>328</v>
      </c>
      <c r="O20" s="193"/>
      <c r="P20" s="145">
        <v>0</v>
      </c>
      <c r="Q20" s="143">
        <f t="shared" si="5"/>
        <v>2400</v>
      </c>
      <c r="R20" s="144">
        <f t="shared" si="6"/>
        <v>0</v>
      </c>
      <c r="S20" s="135" t="s">
        <v>146</v>
      </c>
      <c r="T20" s="193"/>
      <c r="U20" s="145">
        <f t="shared" si="1"/>
        <v>0</v>
      </c>
      <c r="V20" s="144">
        <f t="shared" si="2"/>
        <v>0</v>
      </c>
      <c r="W20" s="193"/>
      <c r="X20" s="147"/>
    </row>
    <row r="21" spans="2:24" x14ac:dyDescent="0.35">
      <c r="B21" s="137" t="s">
        <v>229</v>
      </c>
      <c r="C21" s="147" t="s">
        <v>232</v>
      </c>
      <c r="D21" s="138" t="s">
        <v>233</v>
      </c>
      <c r="E21" s="147" t="s">
        <v>182</v>
      </c>
      <c r="F21" s="147" t="s">
        <v>319</v>
      </c>
      <c r="G21" s="141">
        <v>4300</v>
      </c>
      <c r="H21" s="142">
        <v>2400</v>
      </c>
      <c r="I21" s="144">
        <f t="shared" si="0"/>
        <v>10320000</v>
      </c>
      <c r="J21" s="193"/>
      <c r="K21" s="141">
        <v>4300</v>
      </c>
      <c r="L21" s="143">
        <f t="shared" si="3"/>
        <v>2400</v>
      </c>
      <c r="M21" s="144">
        <f t="shared" si="4"/>
        <v>10320000</v>
      </c>
      <c r="N21" s="135" t="s">
        <v>328</v>
      </c>
      <c r="O21" s="193"/>
      <c r="P21" s="145">
        <v>0</v>
      </c>
      <c r="Q21" s="143">
        <f t="shared" si="5"/>
        <v>2400</v>
      </c>
      <c r="R21" s="144">
        <f t="shared" si="6"/>
        <v>0</v>
      </c>
      <c r="S21" s="135" t="s">
        <v>146</v>
      </c>
      <c r="T21" s="193"/>
      <c r="U21" s="145">
        <f t="shared" si="1"/>
        <v>0</v>
      </c>
      <c r="V21" s="144">
        <f t="shared" si="2"/>
        <v>0</v>
      </c>
      <c r="W21" s="193"/>
      <c r="X21" s="147"/>
    </row>
    <row r="22" spans="2:24" x14ac:dyDescent="0.35">
      <c r="B22" s="137" t="s">
        <v>247</v>
      </c>
      <c r="C22" s="157" t="s">
        <v>180</v>
      </c>
      <c r="D22" s="147" t="s">
        <v>181</v>
      </c>
      <c r="E22" s="147" t="s">
        <v>248</v>
      </c>
      <c r="F22" s="147" t="s">
        <v>106</v>
      </c>
      <c r="G22" s="141">
        <v>1601.4</v>
      </c>
      <c r="H22" s="142">
        <v>2630</v>
      </c>
      <c r="I22" s="144">
        <f t="shared" si="0"/>
        <v>4211682</v>
      </c>
      <c r="J22" s="193"/>
      <c r="K22" s="141">
        <v>1601.4</v>
      </c>
      <c r="L22" s="143">
        <f t="shared" si="3"/>
        <v>2630</v>
      </c>
      <c r="M22" s="144">
        <f t="shared" si="4"/>
        <v>4211682</v>
      </c>
      <c r="N22" s="135" t="s">
        <v>442</v>
      </c>
      <c r="O22" s="193"/>
      <c r="P22" s="145">
        <v>0</v>
      </c>
      <c r="Q22" s="143">
        <f t="shared" si="5"/>
        <v>2630</v>
      </c>
      <c r="R22" s="144">
        <f t="shared" si="6"/>
        <v>0</v>
      </c>
      <c r="S22" s="135" t="s">
        <v>146</v>
      </c>
      <c r="T22" s="193"/>
      <c r="U22" s="145">
        <f t="shared" si="1"/>
        <v>0</v>
      </c>
      <c r="V22" s="144">
        <f t="shared" si="2"/>
        <v>0</v>
      </c>
      <c r="W22" s="193"/>
      <c r="X22" s="147"/>
    </row>
    <row r="23" spans="2:24" x14ac:dyDescent="0.35">
      <c r="B23" s="137" t="s">
        <v>255</v>
      </c>
      <c r="C23" s="157" t="s">
        <v>180</v>
      </c>
      <c r="D23" s="139" t="s">
        <v>256</v>
      </c>
      <c r="E23" s="138" t="s">
        <v>206</v>
      </c>
      <c r="F23" s="140" t="s">
        <v>106</v>
      </c>
      <c r="G23" s="141">
        <v>4000</v>
      </c>
      <c r="H23" s="142">
        <v>2630</v>
      </c>
      <c r="I23" s="144">
        <f t="shared" si="0"/>
        <v>10520000</v>
      </c>
      <c r="J23" s="193"/>
      <c r="K23" s="141">
        <v>2400</v>
      </c>
      <c r="L23" s="143">
        <f t="shared" si="3"/>
        <v>2630</v>
      </c>
      <c r="M23" s="144">
        <f t="shared" si="4"/>
        <v>6312000</v>
      </c>
      <c r="N23" s="135" t="s">
        <v>291</v>
      </c>
      <c r="O23" s="193"/>
      <c r="P23" s="145">
        <v>1600</v>
      </c>
      <c r="Q23" s="143">
        <f t="shared" si="5"/>
        <v>2630</v>
      </c>
      <c r="R23" s="144">
        <f t="shared" si="6"/>
        <v>4208000</v>
      </c>
      <c r="S23" s="135" t="s">
        <v>482</v>
      </c>
      <c r="T23" s="193"/>
      <c r="U23" s="145">
        <f t="shared" si="1"/>
        <v>0</v>
      </c>
      <c r="V23" s="144">
        <f t="shared" si="2"/>
        <v>0</v>
      </c>
      <c r="W23" s="193"/>
      <c r="X23" s="147"/>
    </row>
    <row r="24" spans="2:24" x14ac:dyDescent="0.35">
      <c r="B24" s="137" t="s">
        <v>259</v>
      </c>
      <c r="C24" s="147" t="s">
        <v>175</v>
      </c>
      <c r="D24" s="147" t="s">
        <v>176</v>
      </c>
      <c r="E24" s="147" t="s">
        <v>248</v>
      </c>
      <c r="F24" s="147" t="s">
        <v>106</v>
      </c>
      <c r="G24" s="141">
        <v>1635.12</v>
      </c>
      <c r="H24" s="142">
        <v>2630</v>
      </c>
      <c r="I24" s="144">
        <f t="shared" si="0"/>
        <v>4300365.5999999996</v>
      </c>
      <c r="J24" s="193"/>
      <c r="K24" s="141">
        <v>1635.12</v>
      </c>
      <c r="L24" s="143">
        <f t="shared" si="3"/>
        <v>2630</v>
      </c>
      <c r="M24" s="144">
        <f t="shared" si="4"/>
        <v>4300365.5999999996</v>
      </c>
      <c r="N24" s="135" t="s">
        <v>447</v>
      </c>
      <c r="O24" s="193"/>
      <c r="P24" s="145">
        <v>0</v>
      </c>
      <c r="Q24" s="143">
        <f t="shared" si="5"/>
        <v>2630</v>
      </c>
      <c r="R24" s="144">
        <f t="shared" si="6"/>
        <v>0</v>
      </c>
      <c r="S24" s="135" t="s">
        <v>146</v>
      </c>
      <c r="T24" s="193"/>
      <c r="U24" s="145">
        <f t="shared" si="1"/>
        <v>0</v>
      </c>
      <c r="V24" s="144">
        <f t="shared" si="2"/>
        <v>0</v>
      </c>
      <c r="W24" s="193"/>
      <c r="X24" s="147"/>
    </row>
    <row r="25" spans="2:24" x14ac:dyDescent="0.35">
      <c r="B25" s="137" t="s">
        <v>260</v>
      </c>
      <c r="C25" s="147" t="s">
        <v>189</v>
      </c>
      <c r="D25" s="139" t="s">
        <v>190</v>
      </c>
      <c r="E25" s="147" t="s">
        <v>248</v>
      </c>
      <c r="F25" s="147" t="s">
        <v>106</v>
      </c>
      <c r="G25" s="141">
        <v>1637.64</v>
      </c>
      <c r="H25" s="142">
        <v>2630</v>
      </c>
      <c r="I25" s="144">
        <f t="shared" si="0"/>
        <v>4306993.2</v>
      </c>
      <c r="J25" s="193"/>
      <c r="K25" s="141">
        <v>1637.64</v>
      </c>
      <c r="L25" s="143">
        <f t="shared" si="3"/>
        <v>2630</v>
      </c>
      <c r="M25" s="144">
        <f t="shared" si="4"/>
        <v>4306993.2</v>
      </c>
      <c r="N25" s="135" t="s">
        <v>447</v>
      </c>
      <c r="O25" s="193"/>
      <c r="P25" s="145">
        <v>0</v>
      </c>
      <c r="Q25" s="143">
        <f t="shared" si="5"/>
        <v>2630</v>
      </c>
      <c r="R25" s="144">
        <f t="shared" si="6"/>
        <v>0</v>
      </c>
      <c r="S25" s="135" t="s">
        <v>146</v>
      </c>
      <c r="T25" s="193"/>
      <c r="U25" s="145">
        <f t="shared" si="1"/>
        <v>0</v>
      </c>
      <c r="V25" s="144">
        <f t="shared" si="2"/>
        <v>0</v>
      </c>
      <c r="W25" s="193"/>
      <c r="X25" s="147"/>
    </row>
    <row r="26" spans="2:24" x14ac:dyDescent="0.35">
      <c r="B26" s="137" t="s">
        <v>261</v>
      </c>
      <c r="C26" s="147" t="s">
        <v>160</v>
      </c>
      <c r="D26" s="139" t="s">
        <v>161</v>
      </c>
      <c r="E26" s="147" t="s">
        <v>248</v>
      </c>
      <c r="F26" s="147" t="s">
        <v>106</v>
      </c>
      <c r="G26" s="141">
        <v>1618.33</v>
      </c>
      <c r="H26" s="142">
        <v>2630</v>
      </c>
      <c r="I26" s="144">
        <f t="shared" si="0"/>
        <v>4256207.8999999994</v>
      </c>
      <c r="J26" s="193"/>
      <c r="K26" s="141">
        <v>1618.33</v>
      </c>
      <c r="L26" s="143">
        <f t="shared" si="3"/>
        <v>2630</v>
      </c>
      <c r="M26" s="144">
        <f t="shared" si="4"/>
        <v>4256207.8999999994</v>
      </c>
      <c r="N26" s="135" t="s">
        <v>447</v>
      </c>
      <c r="O26" s="193"/>
      <c r="P26" s="145">
        <v>0</v>
      </c>
      <c r="Q26" s="143">
        <f t="shared" si="5"/>
        <v>2630</v>
      </c>
      <c r="R26" s="144">
        <f t="shared" si="6"/>
        <v>0</v>
      </c>
      <c r="S26" s="135" t="s">
        <v>146</v>
      </c>
      <c r="T26" s="193"/>
      <c r="U26" s="145">
        <f t="shared" si="1"/>
        <v>0</v>
      </c>
      <c r="V26" s="144">
        <f t="shared" si="2"/>
        <v>0</v>
      </c>
      <c r="W26" s="193"/>
      <c r="X26" s="147"/>
    </row>
    <row r="27" spans="2:24" x14ac:dyDescent="0.35">
      <c r="B27" s="137" t="s">
        <v>262</v>
      </c>
      <c r="C27" s="147" t="s">
        <v>194</v>
      </c>
      <c r="D27" s="139" t="s">
        <v>195</v>
      </c>
      <c r="E27" s="147" t="s">
        <v>248</v>
      </c>
      <c r="F27" s="147" t="s">
        <v>106</v>
      </c>
      <c r="G27" s="141">
        <v>1654.08</v>
      </c>
      <c r="H27" s="142">
        <v>2630</v>
      </c>
      <c r="I27" s="144">
        <f t="shared" si="0"/>
        <v>4350230.3999999994</v>
      </c>
      <c r="J27" s="193"/>
      <c r="K27" s="141">
        <v>1654.08</v>
      </c>
      <c r="L27" s="143">
        <f t="shared" si="3"/>
        <v>2630</v>
      </c>
      <c r="M27" s="144">
        <f t="shared" si="4"/>
        <v>4350230.3999999994</v>
      </c>
      <c r="N27" s="135" t="s">
        <v>448</v>
      </c>
      <c r="O27" s="193"/>
      <c r="P27" s="145">
        <v>0</v>
      </c>
      <c r="Q27" s="143">
        <f t="shared" si="5"/>
        <v>2630</v>
      </c>
      <c r="R27" s="144">
        <f t="shared" si="6"/>
        <v>0</v>
      </c>
      <c r="S27" s="135" t="s">
        <v>146</v>
      </c>
      <c r="T27" s="193"/>
      <c r="U27" s="145">
        <f t="shared" si="1"/>
        <v>0</v>
      </c>
      <c r="V27" s="144">
        <f t="shared" si="2"/>
        <v>0</v>
      </c>
      <c r="W27" s="193"/>
      <c r="X27" s="147"/>
    </row>
    <row r="28" spans="2:24" x14ac:dyDescent="0.35">
      <c r="B28" s="137" t="s">
        <v>263</v>
      </c>
      <c r="C28" s="147" t="s">
        <v>154</v>
      </c>
      <c r="D28" s="147" t="s">
        <v>155</v>
      </c>
      <c r="E28" s="147" t="s">
        <v>248</v>
      </c>
      <c r="F28" s="147" t="s">
        <v>106</v>
      </c>
      <c r="G28" s="141">
        <v>1612.08</v>
      </c>
      <c r="H28" s="142">
        <v>2630</v>
      </c>
      <c r="I28" s="144">
        <f t="shared" si="0"/>
        <v>4239770.3999999994</v>
      </c>
      <c r="J28" s="193"/>
      <c r="K28" s="141">
        <v>1612.08</v>
      </c>
      <c r="L28" s="143">
        <f t="shared" si="3"/>
        <v>2630</v>
      </c>
      <c r="M28" s="144">
        <f t="shared" si="4"/>
        <v>4239770.3999999994</v>
      </c>
      <c r="N28" s="135" t="s">
        <v>448</v>
      </c>
      <c r="O28" s="193"/>
      <c r="P28" s="145">
        <v>0</v>
      </c>
      <c r="Q28" s="143">
        <f t="shared" si="5"/>
        <v>2630</v>
      </c>
      <c r="R28" s="144">
        <f t="shared" si="6"/>
        <v>0</v>
      </c>
      <c r="S28" s="135" t="s">
        <v>146</v>
      </c>
      <c r="T28" s="193"/>
      <c r="U28" s="145">
        <f t="shared" si="1"/>
        <v>0</v>
      </c>
      <c r="V28" s="144">
        <f t="shared" si="2"/>
        <v>0</v>
      </c>
      <c r="W28" s="193"/>
      <c r="X28" s="147"/>
    </row>
    <row r="29" spans="2:24" x14ac:dyDescent="0.35">
      <c r="B29" s="137" t="s">
        <v>264</v>
      </c>
      <c r="C29" s="149" t="s">
        <v>164</v>
      </c>
      <c r="D29" s="149" t="s">
        <v>165</v>
      </c>
      <c r="E29" s="147" t="s">
        <v>248</v>
      </c>
      <c r="F29" s="147" t="s">
        <v>106</v>
      </c>
      <c r="G29" s="141">
        <v>1599.36</v>
      </c>
      <c r="H29" s="142">
        <v>2630</v>
      </c>
      <c r="I29" s="144">
        <f t="shared" si="0"/>
        <v>4206316.8</v>
      </c>
      <c r="J29" s="193"/>
      <c r="K29" s="141">
        <v>1599.36</v>
      </c>
      <c r="L29" s="143">
        <f t="shared" si="3"/>
        <v>2630</v>
      </c>
      <c r="M29" s="144">
        <f t="shared" si="4"/>
        <v>4206316.8</v>
      </c>
      <c r="N29" s="135" t="s">
        <v>448</v>
      </c>
      <c r="O29" s="193"/>
      <c r="P29" s="145">
        <v>0</v>
      </c>
      <c r="Q29" s="143">
        <f t="shared" si="5"/>
        <v>2630</v>
      </c>
      <c r="R29" s="144">
        <f t="shared" si="6"/>
        <v>0</v>
      </c>
      <c r="S29" s="135" t="s">
        <v>146</v>
      </c>
      <c r="T29" s="193"/>
      <c r="U29" s="145">
        <f t="shared" si="1"/>
        <v>0</v>
      </c>
      <c r="V29" s="144">
        <f t="shared" si="2"/>
        <v>0</v>
      </c>
      <c r="W29" s="193"/>
      <c r="X29" s="147"/>
    </row>
    <row r="30" spans="2:24" x14ac:dyDescent="0.35">
      <c r="B30" s="137" t="s">
        <v>266</v>
      </c>
      <c r="C30" s="147" t="s">
        <v>160</v>
      </c>
      <c r="D30" s="139" t="s">
        <v>270</v>
      </c>
      <c r="E30" s="147" t="s">
        <v>182</v>
      </c>
      <c r="F30" s="147" t="s">
        <v>319</v>
      </c>
      <c r="G30" s="141">
        <v>4000</v>
      </c>
      <c r="H30" s="142">
        <v>2500</v>
      </c>
      <c r="I30" s="144">
        <f t="shared" si="0"/>
        <v>10000000</v>
      </c>
      <c r="J30" s="193"/>
      <c r="K30" s="141">
        <v>4000</v>
      </c>
      <c r="L30" s="143">
        <f t="shared" si="3"/>
        <v>2500</v>
      </c>
      <c r="M30" s="144">
        <f t="shared" si="4"/>
        <v>10000000</v>
      </c>
      <c r="N30" s="135" t="s">
        <v>378</v>
      </c>
      <c r="O30" s="193"/>
      <c r="P30" s="145">
        <v>0</v>
      </c>
      <c r="Q30" s="143">
        <f t="shared" si="5"/>
        <v>2500</v>
      </c>
      <c r="R30" s="144">
        <f t="shared" si="6"/>
        <v>0</v>
      </c>
      <c r="S30" s="135" t="s">
        <v>146</v>
      </c>
      <c r="T30" s="193"/>
      <c r="U30" s="145">
        <f t="shared" si="1"/>
        <v>0</v>
      </c>
      <c r="V30" s="144">
        <f t="shared" si="2"/>
        <v>0</v>
      </c>
      <c r="W30" s="193"/>
      <c r="X30" s="147"/>
    </row>
    <row r="31" spans="2:24" x14ac:dyDescent="0.35">
      <c r="B31" s="137" t="s">
        <v>267</v>
      </c>
      <c r="C31" s="149" t="s">
        <v>232</v>
      </c>
      <c r="D31" s="149" t="s">
        <v>273</v>
      </c>
      <c r="E31" s="147" t="s">
        <v>114</v>
      </c>
      <c r="F31" s="147" t="s">
        <v>106</v>
      </c>
      <c r="G31" s="141">
        <v>4000</v>
      </c>
      <c r="H31" s="142">
        <v>2630</v>
      </c>
      <c r="I31" s="144">
        <f t="shared" si="0"/>
        <v>10520000</v>
      </c>
      <c r="J31" s="193"/>
      <c r="K31" s="141">
        <v>2400</v>
      </c>
      <c r="L31" s="143">
        <f>H31</f>
        <v>2630</v>
      </c>
      <c r="M31" s="144">
        <f>K31*L31</f>
        <v>6312000</v>
      </c>
      <c r="N31" s="135" t="s">
        <v>292</v>
      </c>
      <c r="O31" s="193"/>
      <c r="P31" s="145">
        <v>1600</v>
      </c>
      <c r="Q31" s="143">
        <f t="shared" si="5"/>
        <v>2630</v>
      </c>
      <c r="R31" s="144">
        <f t="shared" si="6"/>
        <v>4208000</v>
      </c>
      <c r="S31" s="135" t="s">
        <v>478</v>
      </c>
      <c r="T31" s="193"/>
      <c r="U31" s="145">
        <f t="shared" si="1"/>
        <v>0</v>
      </c>
      <c r="V31" s="144">
        <f t="shared" si="2"/>
        <v>0</v>
      </c>
      <c r="W31" s="193"/>
      <c r="X31" s="147"/>
    </row>
    <row r="32" spans="2:24" x14ac:dyDescent="0.35">
      <c r="B32" s="137" t="s">
        <v>268</v>
      </c>
      <c r="C32" s="147" t="s">
        <v>230</v>
      </c>
      <c r="D32" s="147" t="s">
        <v>275</v>
      </c>
      <c r="E32" s="149" t="s">
        <v>206</v>
      </c>
      <c r="F32" s="147" t="s">
        <v>106</v>
      </c>
      <c r="G32" s="141">
        <v>4000</v>
      </c>
      <c r="H32" s="142">
        <v>2630</v>
      </c>
      <c r="I32" s="144">
        <f t="shared" si="0"/>
        <v>10520000</v>
      </c>
      <c r="J32" s="193"/>
      <c r="K32" s="141">
        <v>2400</v>
      </c>
      <c r="L32" s="143">
        <f>H32</f>
        <v>2630</v>
      </c>
      <c r="M32" s="144">
        <f>K32*L32</f>
        <v>6312000</v>
      </c>
      <c r="N32" s="135" t="s">
        <v>292</v>
      </c>
      <c r="O32" s="193"/>
      <c r="P32" s="145">
        <v>1600</v>
      </c>
      <c r="Q32" s="143">
        <f>H32</f>
        <v>2630</v>
      </c>
      <c r="R32" s="144">
        <f>P32*Q32</f>
        <v>4208000</v>
      </c>
      <c r="S32" s="135" t="s">
        <v>478</v>
      </c>
      <c r="T32" s="193"/>
      <c r="U32" s="145">
        <f t="shared" si="1"/>
        <v>0</v>
      </c>
      <c r="V32" s="144">
        <f t="shared" si="2"/>
        <v>0</v>
      </c>
      <c r="W32" s="193"/>
      <c r="X32" s="147"/>
    </row>
    <row r="33" spans="2:24" x14ac:dyDescent="0.35">
      <c r="B33" s="137" t="s">
        <v>269</v>
      </c>
      <c r="C33" s="147" t="s">
        <v>154</v>
      </c>
      <c r="D33" s="137" t="s">
        <v>277</v>
      </c>
      <c r="E33" s="147" t="s">
        <v>182</v>
      </c>
      <c r="F33" s="147" t="s">
        <v>319</v>
      </c>
      <c r="G33" s="141">
        <v>4000</v>
      </c>
      <c r="H33" s="142">
        <v>2400</v>
      </c>
      <c r="I33" s="144">
        <f t="shared" si="0"/>
        <v>9600000</v>
      </c>
      <c r="J33" s="193"/>
      <c r="K33" s="141">
        <v>4000</v>
      </c>
      <c r="L33" s="143">
        <f>H33</f>
        <v>2400</v>
      </c>
      <c r="M33" s="144">
        <f t="shared" si="4"/>
        <v>9600000</v>
      </c>
      <c r="N33" s="135" t="s">
        <v>520</v>
      </c>
      <c r="O33" s="193"/>
      <c r="P33" s="145">
        <v>0</v>
      </c>
      <c r="Q33" s="143">
        <f t="shared" si="5"/>
        <v>2400</v>
      </c>
      <c r="R33" s="144">
        <f t="shared" si="6"/>
        <v>0</v>
      </c>
      <c r="S33" s="135" t="s">
        <v>146</v>
      </c>
      <c r="T33" s="193"/>
      <c r="U33" s="145">
        <f t="shared" si="1"/>
        <v>0</v>
      </c>
      <c r="V33" s="144">
        <f t="shared" si="2"/>
        <v>0</v>
      </c>
      <c r="W33" s="193"/>
      <c r="X33" s="147"/>
    </row>
    <row r="34" spans="2:24" x14ac:dyDescent="0.35">
      <c r="B34" s="137" t="s">
        <v>281</v>
      </c>
      <c r="C34" s="147" t="s">
        <v>164</v>
      </c>
      <c r="D34" s="139" t="s">
        <v>280</v>
      </c>
      <c r="E34" s="147" t="s">
        <v>182</v>
      </c>
      <c r="F34" s="147" t="s">
        <v>183</v>
      </c>
      <c r="G34" s="141">
        <v>4000</v>
      </c>
      <c r="H34" s="142">
        <v>2500</v>
      </c>
      <c r="I34" s="144">
        <f t="shared" si="0"/>
        <v>10000000</v>
      </c>
      <c r="J34" s="193"/>
      <c r="K34" s="141">
        <v>4000</v>
      </c>
      <c r="L34" s="143">
        <f t="shared" si="3"/>
        <v>2500</v>
      </c>
      <c r="M34" s="144">
        <f t="shared" si="4"/>
        <v>10000000</v>
      </c>
      <c r="N34" s="135" t="s">
        <v>377</v>
      </c>
      <c r="O34" s="193"/>
      <c r="P34" s="145">
        <v>0</v>
      </c>
      <c r="Q34" s="143">
        <f t="shared" si="5"/>
        <v>2500</v>
      </c>
      <c r="R34" s="144">
        <f t="shared" si="6"/>
        <v>0</v>
      </c>
      <c r="S34" s="135" t="s">
        <v>146</v>
      </c>
      <c r="T34" s="193"/>
      <c r="U34" s="151">
        <f t="shared" si="1"/>
        <v>0</v>
      </c>
      <c r="V34" s="152">
        <f t="shared" si="2"/>
        <v>0</v>
      </c>
      <c r="W34" s="193"/>
      <c r="X34" s="147"/>
    </row>
    <row r="35" spans="2:24" x14ac:dyDescent="0.35">
      <c r="B35" s="137" t="s">
        <v>283</v>
      </c>
      <c r="C35" s="147" t="s">
        <v>202</v>
      </c>
      <c r="D35" s="139" t="s">
        <v>213</v>
      </c>
      <c r="E35" s="147" t="s">
        <v>248</v>
      </c>
      <c r="F35" s="147" t="s">
        <v>106</v>
      </c>
      <c r="G35" s="141">
        <v>2022</v>
      </c>
      <c r="H35" s="142">
        <v>2630</v>
      </c>
      <c r="I35" s="144">
        <f t="shared" si="0"/>
        <v>5317860</v>
      </c>
      <c r="J35" s="193"/>
      <c r="K35" s="141">
        <v>2022</v>
      </c>
      <c r="L35" s="143">
        <f t="shared" si="3"/>
        <v>2630</v>
      </c>
      <c r="M35" s="144">
        <f t="shared" si="4"/>
        <v>5317860</v>
      </c>
      <c r="N35" s="135" t="s">
        <v>451</v>
      </c>
      <c r="O35" s="193"/>
      <c r="P35" s="145">
        <v>0</v>
      </c>
      <c r="Q35" s="143">
        <f t="shared" si="5"/>
        <v>2630</v>
      </c>
      <c r="R35" s="144">
        <f t="shared" si="6"/>
        <v>0</v>
      </c>
      <c r="S35" s="135" t="s">
        <v>146</v>
      </c>
      <c r="T35" s="193"/>
      <c r="U35" s="145">
        <f t="shared" si="1"/>
        <v>0</v>
      </c>
      <c r="V35" s="144">
        <f t="shared" si="2"/>
        <v>0</v>
      </c>
      <c r="W35" s="193"/>
      <c r="X35" s="147"/>
    </row>
    <row r="36" spans="2:24" x14ac:dyDescent="0.35">
      <c r="B36" s="137" t="s">
        <v>284</v>
      </c>
      <c r="C36" s="147" t="s">
        <v>224</v>
      </c>
      <c r="D36" s="139" t="s">
        <v>225</v>
      </c>
      <c r="E36" s="147" t="s">
        <v>248</v>
      </c>
      <c r="F36" s="147" t="s">
        <v>106</v>
      </c>
      <c r="G36" s="141">
        <v>1632</v>
      </c>
      <c r="H36" s="142">
        <v>2630</v>
      </c>
      <c r="I36" s="144">
        <f t="shared" si="0"/>
        <v>4292160</v>
      </c>
      <c r="J36" s="193"/>
      <c r="K36" s="141">
        <v>1632</v>
      </c>
      <c r="L36" s="143">
        <f t="shared" si="3"/>
        <v>2630</v>
      </c>
      <c r="M36" s="144">
        <f t="shared" si="4"/>
        <v>4292160</v>
      </c>
      <c r="N36" s="135" t="s">
        <v>451</v>
      </c>
      <c r="O36" s="193"/>
      <c r="P36" s="145">
        <v>0</v>
      </c>
      <c r="Q36" s="143">
        <f t="shared" si="5"/>
        <v>2630</v>
      </c>
      <c r="R36" s="144">
        <f t="shared" si="6"/>
        <v>0</v>
      </c>
      <c r="S36" s="135" t="s">
        <v>146</v>
      </c>
      <c r="T36" s="193"/>
      <c r="U36" s="145">
        <f t="shared" si="1"/>
        <v>0</v>
      </c>
      <c r="V36" s="144">
        <f t="shared" si="2"/>
        <v>0</v>
      </c>
      <c r="W36" s="193"/>
      <c r="X36" s="147"/>
    </row>
    <row r="37" spans="2:24" x14ac:dyDescent="0.35">
      <c r="B37" s="137" t="s">
        <v>285</v>
      </c>
      <c r="C37" s="146" t="s">
        <v>170</v>
      </c>
      <c r="D37" s="147" t="s">
        <v>171</v>
      </c>
      <c r="E37" s="147" t="s">
        <v>248</v>
      </c>
      <c r="F37" s="147" t="s">
        <v>106</v>
      </c>
      <c r="G37" s="141">
        <v>1642</v>
      </c>
      <c r="H37" s="142">
        <v>2630</v>
      </c>
      <c r="I37" s="144">
        <f t="shared" si="0"/>
        <v>4318460</v>
      </c>
      <c r="J37" s="193"/>
      <c r="K37" s="141">
        <f>G37</f>
        <v>1642</v>
      </c>
      <c r="L37" s="143">
        <f t="shared" si="3"/>
        <v>2630</v>
      </c>
      <c r="M37" s="144">
        <f t="shared" si="4"/>
        <v>4318460</v>
      </c>
      <c r="N37" s="135" t="s">
        <v>451</v>
      </c>
      <c r="O37" s="193"/>
      <c r="P37" s="145">
        <v>0</v>
      </c>
      <c r="Q37" s="143">
        <f t="shared" si="5"/>
        <v>2630</v>
      </c>
      <c r="R37" s="144">
        <f t="shared" si="6"/>
        <v>0</v>
      </c>
      <c r="S37" s="135" t="s">
        <v>146</v>
      </c>
      <c r="T37" s="193"/>
      <c r="U37" s="145">
        <f t="shared" si="1"/>
        <v>0</v>
      </c>
      <c r="V37" s="144">
        <f t="shared" si="2"/>
        <v>0</v>
      </c>
      <c r="W37" s="193"/>
      <c r="X37" s="147"/>
    </row>
    <row r="38" spans="2:24" x14ac:dyDescent="0.35">
      <c r="B38" s="137" t="s">
        <v>286</v>
      </c>
      <c r="C38" s="147" t="s">
        <v>201</v>
      </c>
      <c r="D38" s="137" t="s">
        <v>205</v>
      </c>
      <c r="E38" s="147" t="s">
        <v>248</v>
      </c>
      <c r="F38" s="147" t="s">
        <v>106</v>
      </c>
      <c r="G38" s="141">
        <v>1648</v>
      </c>
      <c r="H38" s="142">
        <v>2630</v>
      </c>
      <c r="I38" s="144">
        <f t="shared" si="0"/>
        <v>4334240</v>
      </c>
      <c r="J38" s="193"/>
      <c r="K38" s="141">
        <v>1648</v>
      </c>
      <c r="L38" s="143">
        <f t="shared" si="3"/>
        <v>2630</v>
      </c>
      <c r="M38" s="144">
        <f t="shared" si="4"/>
        <v>4334240</v>
      </c>
      <c r="N38" s="135" t="s">
        <v>451</v>
      </c>
      <c r="O38" s="193"/>
      <c r="P38" s="145">
        <v>0</v>
      </c>
      <c r="Q38" s="143">
        <f t="shared" si="5"/>
        <v>2630</v>
      </c>
      <c r="R38" s="144">
        <f t="shared" si="6"/>
        <v>0</v>
      </c>
      <c r="S38" s="135" t="s">
        <v>146</v>
      </c>
      <c r="T38" s="193"/>
      <c r="U38" s="145">
        <f t="shared" si="1"/>
        <v>0</v>
      </c>
      <c r="V38" s="144">
        <f t="shared" si="2"/>
        <v>0</v>
      </c>
      <c r="W38" s="193"/>
      <c r="X38" s="147"/>
    </row>
    <row r="39" spans="2:24" x14ac:dyDescent="0.35">
      <c r="B39" s="137" t="s">
        <v>287</v>
      </c>
      <c r="C39" s="147" t="s">
        <v>194</v>
      </c>
      <c r="D39" s="137" t="s">
        <v>288</v>
      </c>
      <c r="E39" s="147" t="s">
        <v>114</v>
      </c>
      <c r="F39" s="147" t="s">
        <v>106</v>
      </c>
      <c r="G39" s="141">
        <v>4000</v>
      </c>
      <c r="H39" s="142">
        <v>2630</v>
      </c>
      <c r="I39" s="144">
        <f t="shared" si="0"/>
        <v>10520000</v>
      </c>
      <c r="J39" s="193"/>
      <c r="K39" s="141">
        <v>2400</v>
      </c>
      <c r="L39" s="143">
        <f t="shared" si="3"/>
        <v>2630</v>
      </c>
      <c r="M39" s="144">
        <f t="shared" si="4"/>
        <v>6312000</v>
      </c>
      <c r="N39" s="135" t="s">
        <v>314</v>
      </c>
      <c r="O39" s="193"/>
      <c r="P39" s="145">
        <v>1600</v>
      </c>
      <c r="Q39" s="143">
        <f t="shared" si="5"/>
        <v>2630</v>
      </c>
      <c r="R39" s="144">
        <f t="shared" si="6"/>
        <v>4208000</v>
      </c>
      <c r="S39" s="135" t="s">
        <v>522</v>
      </c>
      <c r="T39" s="193"/>
      <c r="U39" s="145">
        <f t="shared" si="1"/>
        <v>0</v>
      </c>
      <c r="V39" s="144">
        <f t="shared" si="2"/>
        <v>0</v>
      </c>
      <c r="W39" s="193"/>
      <c r="X39" s="147"/>
    </row>
    <row r="40" spans="2:24" x14ac:dyDescent="0.35">
      <c r="B40" s="137" t="s">
        <v>293</v>
      </c>
      <c r="C40" s="147" t="s">
        <v>202</v>
      </c>
      <c r="D40" s="137" t="s">
        <v>294</v>
      </c>
      <c r="E40" s="147" t="s">
        <v>114</v>
      </c>
      <c r="F40" s="147" t="s">
        <v>106</v>
      </c>
      <c r="G40" s="141">
        <v>4000</v>
      </c>
      <c r="H40" s="142">
        <v>2630</v>
      </c>
      <c r="I40" s="144">
        <f t="shared" si="0"/>
        <v>10520000</v>
      </c>
      <c r="J40" s="193"/>
      <c r="K40" s="141">
        <v>2400</v>
      </c>
      <c r="L40" s="143">
        <f t="shared" si="3"/>
        <v>2630</v>
      </c>
      <c r="M40" s="144">
        <f t="shared" si="4"/>
        <v>6312000</v>
      </c>
      <c r="N40" s="135" t="s">
        <v>316</v>
      </c>
      <c r="O40" s="193"/>
      <c r="P40" s="145">
        <v>1600</v>
      </c>
      <c r="Q40" s="143">
        <f>H40</f>
        <v>2630</v>
      </c>
      <c r="R40" s="144">
        <f>P40*Q40</f>
        <v>4208000</v>
      </c>
      <c r="S40" s="135" t="s">
        <v>478</v>
      </c>
      <c r="T40" s="193"/>
      <c r="U40" s="145">
        <f t="shared" si="1"/>
        <v>0</v>
      </c>
      <c r="V40" s="144">
        <f t="shared" si="2"/>
        <v>0</v>
      </c>
      <c r="W40" s="193"/>
      <c r="X40" s="147"/>
    </row>
    <row r="41" spans="2:24" x14ac:dyDescent="0.35">
      <c r="B41" s="137" t="s">
        <v>297</v>
      </c>
      <c r="C41" s="147" t="s">
        <v>224</v>
      </c>
      <c r="D41" s="137" t="s">
        <v>301</v>
      </c>
      <c r="E41" s="147" t="s">
        <v>114</v>
      </c>
      <c r="F41" s="147" t="s">
        <v>106</v>
      </c>
      <c r="G41" s="141">
        <v>4900</v>
      </c>
      <c r="H41" s="142">
        <v>2630</v>
      </c>
      <c r="I41" s="144">
        <f t="shared" si="0"/>
        <v>12887000</v>
      </c>
      <c r="J41" s="193"/>
      <c r="K41" s="141">
        <v>2400</v>
      </c>
      <c r="L41" s="143">
        <f>H41</f>
        <v>2630</v>
      </c>
      <c r="M41" s="144">
        <f>K41*L41</f>
        <v>6312000</v>
      </c>
      <c r="N41" s="135" t="s">
        <v>316</v>
      </c>
      <c r="O41" s="193"/>
      <c r="P41" s="145">
        <v>2500</v>
      </c>
      <c r="Q41" s="143">
        <f t="shared" si="5"/>
        <v>2630</v>
      </c>
      <c r="R41" s="144">
        <f t="shared" si="6"/>
        <v>6575000</v>
      </c>
      <c r="S41" s="135" t="s">
        <v>588</v>
      </c>
      <c r="T41" s="193"/>
      <c r="U41" s="145">
        <f t="shared" si="1"/>
        <v>0</v>
      </c>
      <c r="V41" s="144">
        <f t="shared" si="2"/>
        <v>0</v>
      </c>
      <c r="W41" s="193"/>
      <c r="X41" s="147"/>
    </row>
    <row r="42" spans="2:24" x14ac:dyDescent="0.35">
      <c r="B42" s="137" t="s">
        <v>298</v>
      </c>
      <c r="C42" s="147" t="s">
        <v>201</v>
      </c>
      <c r="D42" s="137" t="s">
        <v>304</v>
      </c>
      <c r="E42" s="147" t="s">
        <v>114</v>
      </c>
      <c r="F42" s="147" t="s">
        <v>106</v>
      </c>
      <c r="G42" s="141">
        <v>4800</v>
      </c>
      <c r="H42" s="142">
        <v>2630</v>
      </c>
      <c r="I42" s="144">
        <f t="shared" si="0"/>
        <v>12624000</v>
      </c>
      <c r="J42" s="193"/>
      <c r="K42" s="141">
        <v>2400</v>
      </c>
      <c r="L42" s="143">
        <f>H42</f>
        <v>2630</v>
      </c>
      <c r="M42" s="144">
        <f>K42*L42</f>
        <v>6312000</v>
      </c>
      <c r="N42" s="135" t="s">
        <v>316</v>
      </c>
      <c r="O42" s="193"/>
      <c r="P42" s="145">
        <v>2400</v>
      </c>
      <c r="Q42" s="143">
        <f>H42</f>
        <v>2630</v>
      </c>
      <c r="R42" s="144">
        <f>P42*Q42</f>
        <v>6312000</v>
      </c>
      <c r="S42" s="135" t="s">
        <v>588</v>
      </c>
      <c r="T42" s="193"/>
      <c r="U42" s="145">
        <f t="shared" si="1"/>
        <v>0</v>
      </c>
      <c r="V42" s="144">
        <f t="shared" si="2"/>
        <v>0</v>
      </c>
      <c r="W42" s="193"/>
      <c r="X42" s="147"/>
    </row>
    <row r="43" spans="2:24" x14ac:dyDescent="0.35">
      <c r="B43" s="137" t="s">
        <v>299</v>
      </c>
      <c r="C43" s="147" t="s">
        <v>170</v>
      </c>
      <c r="D43" s="137" t="s">
        <v>307</v>
      </c>
      <c r="E43" s="147" t="s">
        <v>114</v>
      </c>
      <c r="F43" s="147" t="s">
        <v>106</v>
      </c>
      <c r="G43" s="141">
        <v>4300</v>
      </c>
      <c r="H43" s="142">
        <v>2630</v>
      </c>
      <c r="I43" s="144">
        <f t="shared" si="0"/>
        <v>11309000</v>
      </c>
      <c r="J43" s="193"/>
      <c r="K43" s="141">
        <v>2400</v>
      </c>
      <c r="L43" s="143">
        <f>H43</f>
        <v>2630</v>
      </c>
      <c r="M43" s="144">
        <f>K43*L43</f>
        <v>6312000</v>
      </c>
      <c r="N43" s="135" t="s">
        <v>317</v>
      </c>
      <c r="O43" s="193"/>
      <c r="P43" s="145">
        <v>1900</v>
      </c>
      <c r="Q43" s="143">
        <f>H43</f>
        <v>2630</v>
      </c>
      <c r="R43" s="144">
        <f>P43*Q43</f>
        <v>4997000</v>
      </c>
      <c r="S43" s="135" t="s">
        <v>588</v>
      </c>
      <c r="T43" s="193"/>
      <c r="U43" s="145">
        <f t="shared" si="1"/>
        <v>0</v>
      </c>
      <c r="V43" s="144">
        <f t="shared" si="2"/>
        <v>0</v>
      </c>
      <c r="W43" s="193"/>
      <c r="X43" s="147"/>
    </row>
    <row r="44" spans="2:24" x14ac:dyDescent="0.35">
      <c r="B44" s="137" t="s">
        <v>300</v>
      </c>
      <c r="C44" s="147" t="s">
        <v>175</v>
      </c>
      <c r="D44" s="147" t="s">
        <v>309</v>
      </c>
      <c r="E44" s="147" t="s">
        <v>114</v>
      </c>
      <c r="F44" s="147" t="s">
        <v>106</v>
      </c>
      <c r="G44" s="141">
        <v>4000</v>
      </c>
      <c r="H44" s="142">
        <v>2630</v>
      </c>
      <c r="I44" s="144">
        <f t="shared" si="0"/>
        <v>10520000</v>
      </c>
      <c r="J44" s="193"/>
      <c r="K44" s="141">
        <v>2400</v>
      </c>
      <c r="L44" s="143">
        <f>H44</f>
        <v>2630</v>
      </c>
      <c r="M44" s="144">
        <f>K44*L44</f>
        <v>6312000</v>
      </c>
      <c r="N44" s="135" t="s">
        <v>317</v>
      </c>
      <c r="O44" s="193"/>
      <c r="P44" s="145">
        <v>1600</v>
      </c>
      <c r="Q44" s="143">
        <f>H44</f>
        <v>2630</v>
      </c>
      <c r="R44" s="144">
        <f>P44*Q44</f>
        <v>4208000</v>
      </c>
      <c r="S44" s="135" t="s">
        <v>478</v>
      </c>
      <c r="T44" s="193"/>
      <c r="U44" s="148">
        <f t="shared" si="1"/>
        <v>0</v>
      </c>
      <c r="V44" s="144">
        <f t="shared" si="2"/>
        <v>0</v>
      </c>
      <c r="W44" s="193"/>
      <c r="X44" s="147"/>
    </row>
    <row r="45" spans="2:24" x14ac:dyDescent="0.35">
      <c r="B45" s="137" t="s">
        <v>310</v>
      </c>
      <c r="C45" s="147" t="s">
        <v>189</v>
      </c>
      <c r="D45" s="137" t="s">
        <v>311</v>
      </c>
      <c r="E45" s="147" t="s">
        <v>114</v>
      </c>
      <c r="F45" s="147" t="s">
        <v>106</v>
      </c>
      <c r="G45" s="141">
        <v>4000</v>
      </c>
      <c r="H45" s="142">
        <v>2630</v>
      </c>
      <c r="I45" s="144">
        <f t="shared" si="0"/>
        <v>10520000</v>
      </c>
      <c r="J45" s="193"/>
      <c r="K45" s="141">
        <v>2400</v>
      </c>
      <c r="L45" s="143">
        <f>H45</f>
        <v>2630</v>
      </c>
      <c r="M45" s="144">
        <f>K45*L45</f>
        <v>6312000</v>
      </c>
      <c r="N45" s="135" t="s">
        <v>317</v>
      </c>
      <c r="O45" s="193"/>
      <c r="P45" s="145">
        <v>1600</v>
      </c>
      <c r="Q45" s="143">
        <f t="shared" si="5"/>
        <v>2630</v>
      </c>
      <c r="R45" s="144">
        <f t="shared" si="6"/>
        <v>4208000</v>
      </c>
      <c r="S45" s="135" t="s">
        <v>522</v>
      </c>
      <c r="T45" s="193"/>
      <c r="U45" s="148">
        <f t="shared" si="1"/>
        <v>0</v>
      </c>
      <c r="V45" s="144">
        <f t="shared" si="2"/>
        <v>0</v>
      </c>
      <c r="W45" s="193"/>
      <c r="X45" s="147"/>
    </row>
    <row r="46" spans="2:24" x14ac:dyDescent="0.35">
      <c r="B46" s="137" t="s">
        <v>320</v>
      </c>
      <c r="C46" s="147" t="s">
        <v>98</v>
      </c>
      <c r="D46" s="139" t="s">
        <v>213</v>
      </c>
      <c r="E46" s="147" t="s">
        <v>206</v>
      </c>
      <c r="F46" s="147" t="s">
        <v>106</v>
      </c>
      <c r="G46" s="141">
        <v>4100</v>
      </c>
      <c r="H46" s="142">
        <v>2630</v>
      </c>
      <c r="I46" s="144">
        <f t="shared" si="0"/>
        <v>10783000</v>
      </c>
      <c r="J46" s="193"/>
      <c r="K46" s="141">
        <v>2460</v>
      </c>
      <c r="L46" s="143">
        <f t="shared" si="3"/>
        <v>2630</v>
      </c>
      <c r="M46" s="144">
        <f t="shared" si="4"/>
        <v>6469800</v>
      </c>
      <c r="N46" s="135" t="s">
        <v>348</v>
      </c>
      <c r="O46" s="193"/>
      <c r="P46" s="145">
        <v>1640</v>
      </c>
      <c r="Q46" s="143">
        <f t="shared" si="5"/>
        <v>2630</v>
      </c>
      <c r="R46" s="144">
        <f t="shared" si="6"/>
        <v>4313200</v>
      </c>
      <c r="S46" s="135" t="s">
        <v>482</v>
      </c>
      <c r="T46" s="193"/>
      <c r="U46" s="148">
        <f t="shared" si="1"/>
        <v>0</v>
      </c>
      <c r="V46" s="144">
        <f t="shared" si="2"/>
        <v>0</v>
      </c>
      <c r="W46" s="193"/>
      <c r="X46" s="147"/>
    </row>
    <row r="47" spans="2:24" x14ac:dyDescent="0.35">
      <c r="B47" s="137" t="s">
        <v>321</v>
      </c>
      <c r="C47" s="147" t="s">
        <v>203</v>
      </c>
      <c r="D47" s="139" t="s">
        <v>213</v>
      </c>
      <c r="E47" s="147" t="s">
        <v>206</v>
      </c>
      <c r="F47" s="147" t="s">
        <v>106</v>
      </c>
      <c r="G47" s="141">
        <v>4100</v>
      </c>
      <c r="H47" s="142">
        <v>2630</v>
      </c>
      <c r="I47" s="144">
        <f t="shared" si="0"/>
        <v>10783000</v>
      </c>
      <c r="J47" s="193"/>
      <c r="K47" s="141">
        <v>2460</v>
      </c>
      <c r="L47" s="143">
        <f t="shared" si="3"/>
        <v>2630</v>
      </c>
      <c r="M47" s="144">
        <f t="shared" si="4"/>
        <v>6469800</v>
      </c>
      <c r="N47" s="135" t="s">
        <v>348</v>
      </c>
      <c r="O47" s="193"/>
      <c r="P47" s="145">
        <v>1640</v>
      </c>
      <c r="Q47" s="143">
        <f t="shared" si="5"/>
        <v>2630</v>
      </c>
      <c r="R47" s="144">
        <f t="shared" si="6"/>
        <v>4313200</v>
      </c>
      <c r="S47" s="135" t="s">
        <v>482</v>
      </c>
      <c r="T47" s="193"/>
      <c r="U47" s="145">
        <f t="shared" si="1"/>
        <v>0</v>
      </c>
      <c r="V47" s="144">
        <f t="shared" si="2"/>
        <v>0</v>
      </c>
      <c r="W47" s="193"/>
      <c r="X47" s="147"/>
    </row>
    <row r="48" spans="2:24" x14ac:dyDescent="0.35">
      <c r="B48" s="137" t="s">
        <v>326</v>
      </c>
      <c r="C48" s="147" t="s">
        <v>98</v>
      </c>
      <c r="D48" s="139" t="s">
        <v>213</v>
      </c>
      <c r="E48" s="147" t="s">
        <v>248</v>
      </c>
      <c r="F48" s="147" t="s">
        <v>106</v>
      </c>
      <c r="G48" s="141">
        <v>2089</v>
      </c>
      <c r="H48" s="142">
        <v>2630</v>
      </c>
      <c r="I48" s="144">
        <f t="shared" si="0"/>
        <v>5494070</v>
      </c>
      <c r="J48" s="193"/>
      <c r="K48" s="141">
        <v>2089</v>
      </c>
      <c r="L48" s="143">
        <f t="shared" si="3"/>
        <v>2630</v>
      </c>
      <c r="M48" s="144">
        <f t="shared" si="4"/>
        <v>5494070</v>
      </c>
      <c r="N48" s="135" t="s">
        <v>1207</v>
      </c>
      <c r="O48" s="193"/>
      <c r="P48" s="145">
        <v>0</v>
      </c>
      <c r="Q48" s="143">
        <f t="shared" si="5"/>
        <v>2630</v>
      </c>
      <c r="R48" s="144">
        <f t="shared" si="6"/>
        <v>0</v>
      </c>
      <c r="S48" s="135" t="s">
        <v>146</v>
      </c>
      <c r="T48" s="193"/>
      <c r="U48" s="145">
        <f t="shared" si="1"/>
        <v>0</v>
      </c>
      <c r="V48" s="144">
        <f t="shared" si="2"/>
        <v>0</v>
      </c>
      <c r="W48" s="193"/>
      <c r="X48" s="147"/>
    </row>
    <row r="49" spans="2:24" x14ac:dyDescent="0.35">
      <c r="B49" s="137" t="s">
        <v>327</v>
      </c>
      <c r="C49" s="147" t="s">
        <v>203</v>
      </c>
      <c r="D49" s="139" t="s">
        <v>213</v>
      </c>
      <c r="E49" s="147" t="s">
        <v>248</v>
      </c>
      <c r="F49" s="147" t="s">
        <v>106</v>
      </c>
      <c r="G49" s="141">
        <v>2096</v>
      </c>
      <c r="H49" s="142">
        <v>2630</v>
      </c>
      <c r="I49" s="144">
        <f t="shared" si="0"/>
        <v>5512480</v>
      </c>
      <c r="J49" s="193"/>
      <c r="K49" s="141">
        <v>2096</v>
      </c>
      <c r="L49" s="143">
        <f t="shared" si="3"/>
        <v>2630</v>
      </c>
      <c r="M49" s="144">
        <f t="shared" si="4"/>
        <v>5512480</v>
      </c>
      <c r="N49" s="135" t="s">
        <v>1207</v>
      </c>
      <c r="O49" s="193"/>
      <c r="P49" s="145">
        <v>0</v>
      </c>
      <c r="Q49" s="143">
        <f t="shared" si="5"/>
        <v>2630</v>
      </c>
      <c r="R49" s="144">
        <f t="shared" si="6"/>
        <v>0</v>
      </c>
      <c r="S49" s="135" t="s">
        <v>146</v>
      </c>
      <c r="T49" s="193"/>
      <c r="U49" s="148">
        <f t="shared" si="1"/>
        <v>0</v>
      </c>
      <c r="V49" s="144">
        <f t="shared" si="2"/>
        <v>0</v>
      </c>
      <c r="W49" s="193"/>
      <c r="X49" s="147"/>
    </row>
    <row r="50" spans="2:24" x14ac:dyDescent="0.35">
      <c r="B50" s="137" t="s">
        <v>329</v>
      </c>
      <c r="C50" s="147" t="s">
        <v>331</v>
      </c>
      <c r="D50" s="139" t="s">
        <v>332</v>
      </c>
      <c r="E50" s="147" t="s">
        <v>182</v>
      </c>
      <c r="F50" s="147" t="s">
        <v>183</v>
      </c>
      <c r="G50" s="141">
        <v>4000</v>
      </c>
      <c r="H50" s="142">
        <v>2500</v>
      </c>
      <c r="I50" s="144">
        <f t="shared" si="0"/>
        <v>10000000</v>
      </c>
      <c r="J50" s="193"/>
      <c r="K50" s="141">
        <v>4000</v>
      </c>
      <c r="L50" s="142">
        <v>2500</v>
      </c>
      <c r="M50" s="144">
        <f t="shared" si="4"/>
        <v>10000000</v>
      </c>
      <c r="N50" s="135" t="s">
        <v>584</v>
      </c>
      <c r="O50" s="193"/>
      <c r="P50" s="145">
        <v>0</v>
      </c>
      <c r="Q50" s="143">
        <f t="shared" si="5"/>
        <v>2500</v>
      </c>
      <c r="R50" s="144">
        <f t="shared" si="6"/>
        <v>0</v>
      </c>
      <c r="S50" s="135" t="s">
        <v>146</v>
      </c>
      <c r="T50" s="193"/>
      <c r="U50" s="148">
        <f t="shared" si="1"/>
        <v>0</v>
      </c>
      <c r="V50" s="144">
        <f t="shared" si="2"/>
        <v>0</v>
      </c>
      <c r="W50" s="193"/>
      <c r="X50" s="147"/>
    </row>
    <row r="51" spans="2:24" x14ac:dyDescent="0.35">
      <c r="B51" s="137" t="s">
        <v>330</v>
      </c>
      <c r="C51" s="147" t="s">
        <v>336</v>
      </c>
      <c r="D51" s="139" t="s">
        <v>337</v>
      </c>
      <c r="E51" s="147" t="s">
        <v>206</v>
      </c>
      <c r="F51" s="147" t="s">
        <v>319</v>
      </c>
      <c r="G51" s="141">
        <v>4000</v>
      </c>
      <c r="H51" s="142">
        <v>2500</v>
      </c>
      <c r="I51" s="144">
        <f t="shared" si="0"/>
        <v>10000000</v>
      </c>
      <c r="J51" s="193"/>
      <c r="K51" s="141">
        <v>4000</v>
      </c>
      <c r="L51" s="143">
        <v>2500</v>
      </c>
      <c r="M51" s="144">
        <f t="shared" si="4"/>
        <v>10000000</v>
      </c>
      <c r="N51" s="135" t="s">
        <v>520</v>
      </c>
      <c r="O51" s="193"/>
      <c r="P51" s="145">
        <v>0</v>
      </c>
      <c r="Q51" s="143">
        <f t="shared" si="5"/>
        <v>2500</v>
      </c>
      <c r="R51" s="144">
        <f t="shared" si="6"/>
        <v>0</v>
      </c>
      <c r="S51" s="135" t="s">
        <v>146</v>
      </c>
      <c r="T51" s="193"/>
      <c r="U51" s="148">
        <f t="shared" si="1"/>
        <v>0</v>
      </c>
      <c r="V51" s="144">
        <f t="shared" si="2"/>
        <v>0</v>
      </c>
      <c r="W51" s="193"/>
      <c r="X51" s="147"/>
    </row>
    <row r="52" spans="2:24" x14ac:dyDescent="0.35">
      <c r="B52" s="137" t="s">
        <v>349</v>
      </c>
      <c r="C52" s="147" t="s">
        <v>232</v>
      </c>
      <c r="D52" s="139" t="s">
        <v>273</v>
      </c>
      <c r="E52" s="147" t="s">
        <v>248</v>
      </c>
      <c r="F52" s="147" t="s">
        <v>106</v>
      </c>
      <c r="G52" s="141">
        <v>1803</v>
      </c>
      <c r="H52" s="142">
        <v>2630</v>
      </c>
      <c r="I52" s="144">
        <f t="shared" si="0"/>
        <v>4741890</v>
      </c>
      <c r="J52" s="193"/>
      <c r="K52" s="141">
        <v>1803</v>
      </c>
      <c r="L52" s="143">
        <f t="shared" si="3"/>
        <v>2630</v>
      </c>
      <c r="M52" s="144">
        <f t="shared" si="4"/>
        <v>4741890</v>
      </c>
      <c r="N52" s="135" t="s">
        <v>483</v>
      </c>
      <c r="O52" s="193"/>
      <c r="P52" s="145">
        <v>0</v>
      </c>
      <c r="Q52" s="143">
        <f t="shared" si="5"/>
        <v>2630</v>
      </c>
      <c r="R52" s="144">
        <f t="shared" si="6"/>
        <v>0</v>
      </c>
      <c r="S52" s="135" t="s">
        <v>146</v>
      </c>
      <c r="T52" s="193"/>
      <c r="U52" s="148">
        <f t="shared" si="1"/>
        <v>0</v>
      </c>
      <c r="V52" s="144">
        <f t="shared" si="2"/>
        <v>0</v>
      </c>
      <c r="W52" s="193"/>
      <c r="X52" s="147"/>
    </row>
    <row r="53" spans="2:24" x14ac:dyDescent="0.35">
      <c r="B53" s="137" t="s">
        <v>350</v>
      </c>
      <c r="C53" s="147" t="s">
        <v>164</v>
      </c>
      <c r="D53" s="147" t="s">
        <v>280</v>
      </c>
      <c r="E53" s="147" t="s">
        <v>248</v>
      </c>
      <c r="F53" s="147" t="s">
        <v>106</v>
      </c>
      <c r="G53" s="141">
        <v>1676</v>
      </c>
      <c r="H53" s="142">
        <v>2630</v>
      </c>
      <c r="I53" s="144">
        <f t="shared" si="0"/>
        <v>4407880</v>
      </c>
      <c r="J53" s="193"/>
      <c r="K53" s="141">
        <f>G53</f>
        <v>1676</v>
      </c>
      <c r="L53" s="143">
        <f>H53</f>
        <v>2630</v>
      </c>
      <c r="M53" s="144">
        <f>K53*L53</f>
        <v>4407880</v>
      </c>
      <c r="N53" s="135" t="s">
        <v>521</v>
      </c>
      <c r="O53" s="193"/>
      <c r="P53" s="145">
        <v>0</v>
      </c>
      <c r="Q53" s="143">
        <f t="shared" si="5"/>
        <v>2630</v>
      </c>
      <c r="R53" s="144">
        <f t="shared" si="6"/>
        <v>0</v>
      </c>
      <c r="S53" s="135" t="s">
        <v>146</v>
      </c>
      <c r="T53" s="193"/>
      <c r="U53" s="148">
        <f t="shared" si="1"/>
        <v>0</v>
      </c>
      <c r="V53" s="144">
        <f t="shared" si="2"/>
        <v>0</v>
      </c>
      <c r="W53" s="193"/>
      <c r="X53" s="147"/>
    </row>
    <row r="54" spans="2:24" x14ac:dyDescent="0.35">
      <c r="B54" s="137" t="s">
        <v>351</v>
      </c>
      <c r="C54" s="150" t="s">
        <v>160</v>
      </c>
      <c r="D54" s="139" t="s">
        <v>270</v>
      </c>
      <c r="E54" s="147" t="s">
        <v>248</v>
      </c>
      <c r="F54" s="147" t="s">
        <v>106</v>
      </c>
      <c r="G54" s="141">
        <v>1729</v>
      </c>
      <c r="H54" s="142">
        <v>2630</v>
      </c>
      <c r="I54" s="144">
        <f t="shared" si="0"/>
        <v>4547270</v>
      </c>
      <c r="J54" s="193"/>
      <c r="K54" s="141">
        <f>G54</f>
        <v>1729</v>
      </c>
      <c r="L54" s="143">
        <f>H54</f>
        <v>2630</v>
      </c>
      <c r="M54" s="144">
        <f>K54*L54</f>
        <v>4547270</v>
      </c>
      <c r="N54" s="135" t="s">
        <v>521</v>
      </c>
      <c r="O54" s="193"/>
      <c r="P54" s="145">
        <v>0</v>
      </c>
      <c r="Q54" s="143">
        <f t="shared" si="5"/>
        <v>2630</v>
      </c>
      <c r="R54" s="144">
        <f t="shared" si="6"/>
        <v>0</v>
      </c>
      <c r="S54" s="135" t="s">
        <v>146</v>
      </c>
      <c r="T54" s="193"/>
      <c r="U54" s="148">
        <f t="shared" si="1"/>
        <v>0</v>
      </c>
      <c r="V54" s="144">
        <f t="shared" si="2"/>
        <v>0</v>
      </c>
      <c r="W54" s="193"/>
      <c r="X54" s="147"/>
    </row>
    <row r="55" spans="2:24" x14ac:dyDescent="0.35">
      <c r="B55" s="137" t="s">
        <v>352</v>
      </c>
      <c r="C55" s="149" t="s">
        <v>232</v>
      </c>
      <c r="D55" s="139" t="s">
        <v>355</v>
      </c>
      <c r="E55" s="147" t="s">
        <v>206</v>
      </c>
      <c r="F55" s="147" t="s">
        <v>106</v>
      </c>
      <c r="G55" s="141">
        <v>4000</v>
      </c>
      <c r="H55" s="142">
        <v>2630</v>
      </c>
      <c r="I55" s="144">
        <f t="shared" si="0"/>
        <v>10520000</v>
      </c>
      <c r="J55" s="193"/>
      <c r="K55" s="141">
        <v>2400</v>
      </c>
      <c r="L55" s="143">
        <f t="shared" si="3"/>
        <v>2630</v>
      </c>
      <c r="M55" s="144">
        <f t="shared" si="4"/>
        <v>6312000</v>
      </c>
      <c r="N55" s="135" t="s">
        <v>427</v>
      </c>
      <c r="O55" s="193"/>
      <c r="P55" s="145">
        <v>1600</v>
      </c>
      <c r="Q55" s="143">
        <f t="shared" si="5"/>
        <v>2630</v>
      </c>
      <c r="R55" s="144">
        <f t="shared" si="6"/>
        <v>4208000</v>
      </c>
      <c r="S55" s="135" t="s">
        <v>1208</v>
      </c>
      <c r="T55" s="193"/>
      <c r="U55" s="148">
        <f t="shared" si="1"/>
        <v>0</v>
      </c>
      <c r="V55" s="144">
        <f t="shared" si="2"/>
        <v>0</v>
      </c>
      <c r="W55" s="193"/>
      <c r="X55" s="147"/>
    </row>
    <row r="56" spans="2:24" x14ac:dyDescent="0.35">
      <c r="B56" s="137" t="s">
        <v>353</v>
      </c>
      <c r="C56" s="147" t="s">
        <v>160</v>
      </c>
      <c r="D56" s="139" t="s">
        <v>358</v>
      </c>
      <c r="E56" s="147" t="s">
        <v>206</v>
      </c>
      <c r="F56" s="147" t="s">
        <v>106</v>
      </c>
      <c r="G56" s="141">
        <v>4000</v>
      </c>
      <c r="H56" s="142">
        <v>2630</v>
      </c>
      <c r="I56" s="144">
        <f t="shared" si="0"/>
        <v>10520000</v>
      </c>
      <c r="J56" s="193"/>
      <c r="K56" s="141">
        <v>2400</v>
      </c>
      <c r="L56" s="143">
        <f>H56</f>
        <v>2630</v>
      </c>
      <c r="M56" s="144">
        <f>K56*L56</f>
        <v>6312000</v>
      </c>
      <c r="N56" s="135" t="s">
        <v>427</v>
      </c>
      <c r="O56" s="193"/>
      <c r="P56" s="145">
        <v>1600</v>
      </c>
      <c r="Q56" s="143">
        <f t="shared" si="5"/>
        <v>2630</v>
      </c>
      <c r="R56" s="144">
        <f t="shared" si="6"/>
        <v>4208000</v>
      </c>
      <c r="S56" s="135" t="s">
        <v>484</v>
      </c>
      <c r="T56" s="193"/>
      <c r="U56" s="145">
        <f t="shared" si="1"/>
        <v>0</v>
      </c>
      <c r="V56" s="144">
        <f t="shared" si="2"/>
        <v>0</v>
      </c>
      <c r="W56" s="193"/>
      <c r="X56" s="147"/>
    </row>
    <row r="57" spans="2:24" x14ac:dyDescent="0.35">
      <c r="B57" s="137" t="s">
        <v>354</v>
      </c>
      <c r="C57" s="147" t="s">
        <v>164</v>
      </c>
      <c r="D57" s="139" t="s">
        <v>360</v>
      </c>
      <c r="E57" s="147" t="s">
        <v>114</v>
      </c>
      <c r="F57" s="147" t="s">
        <v>106</v>
      </c>
      <c r="G57" s="141">
        <f>4000+1800</f>
        <v>5800</v>
      </c>
      <c r="H57" s="142">
        <v>2630</v>
      </c>
      <c r="I57" s="144">
        <f t="shared" si="0"/>
        <v>15254000</v>
      </c>
      <c r="J57" s="193"/>
      <c r="K57" s="141">
        <f>2400+1800</f>
        <v>4200</v>
      </c>
      <c r="L57" s="143">
        <f>H57</f>
        <v>2630</v>
      </c>
      <c r="M57" s="144">
        <f>K57*L57</f>
        <v>11046000</v>
      </c>
      <c r="N57" s="135" t="s">
        <v>427</v>
      </c>
      <c r="O57" s="193"/>
      <c r="P57" s="145">
        <v>1600</v>
      </c>
      <c r="Q57" s="143">
        <f t="shared" si="5"/>
        <v>2630</v>
      </c>
      <c r="R57" s="144">
        <f t="shared" si="6"/>
        <v>4208000</v>
      </c>
      <c r="S57" s="135" t="s">
        <v>834</v>
      </c>
      <c r="T57" s="193"/>
      <c r="U57" s="145">
        <f t="shared" si="1"/>
        <v>0</v>
      </c>
      <c r="V57" s="144">
        <f t="shared" si="2"/>
        <v>0</v>
      </c>
      <c r="W57" s="193"/>
      <c r="X57" s="147"/>
    </row>
    <row r="58" spans="2:24" x14ac:dyDescent="0.35">
      <c r="B58" s="137" t="s">
        <v>362</v>
      </c>
      <c r="C58" s="149" t="s">
        <v>230</v>
      </c>
      <c r="D58" s="147" t="s">
        <v>275</v>
      </c>
      <c r="E58" s="147" t="s">
        <v>248</v>
      </c>
      <c r="F58" s="147" t="s">
        <v>106</v>
      </c>
      <c r="G58" s="141">
        <v>1622</v>
      </c>
      <c r="H58" s="142">
        <v>2630</v>
      </c>
      <c r="I58" s="144">
        <f t="shared" si="0"/>
        <v>4265860</v>
      </c>
      <c r="J58" s="193"/>
      <c r="K58" s="141">
        <f>G58</f>
        <v>1622</v>
      </c>
      <c r="L58" s="143">
        <f>H58</f>
        <v>2630</v>
      </c>
      <c r="M58" s="144">
        <f>K58*L58</f>
        <v>4265860</v>
      </c>
      <c r="N58" s="135" t="s">
        <v>521</v>
      </c>
      <c r="O58" s="193"/>
      <c r="P58" s="145">
        <v>0</v>
      </c>
      <c r="Q58" s="143">
        <f t="shared" si="5"/>
        <v>2630</v>
      </c>
      <c r="R58" s="144">
        <f t="shared" si="6"/>
        <v>0</v>
      </c>
      <c r="S58" s="135" t="s">
        <v>146</v>
      </c>
      <c r="T58" s="193"/>
      <c r="U58" s="145">
        <f t="shared" si="1"/>
        <v>0</v>
      </c>
      <c r="V58" s="144">
        <f t="shared" si="2"/>
        <v>0</v>
      </c>
      <c r="W58" s="193"/>
      <c r="X58" s="147"/>
    </row>
    <row r="59" spans="2:24" x14ac:dyDescent="0.35">
      <c r="B59" s="137" t="s">
        <v>364</v>
      </c>
      <c r="C59" s="147" t="s">
        <v>154</v>
      </c>
      <c r="D59" s="137" t="s">
        <v>277</v>
      </c>
      <c r="E59" s="147" t="s">
        <v>248</v>
      </c>
      <c r="F59" s="147" t="s">
        <v>106</v>
      </c>
      <c r="G59" s="141">
        <v>1571</v>
      </c>
      <c r="H59" s="142">
        <v>2630</v>
      </c>
      <c r="I59" s="144">
        <f t="shared" si="0"/>
        <v>4131730</v>
      </c>
      <c r="J59" s="193"/>
      <c r="K59" s="141">
        <v>1571</v>
      </c>
      <c r="L59" s="143">
        <f t="shared" si="3"/>
        <v>2630</v>
      </c>
      <c r="M59" s="144">
        <f t="shared" si="4"/>
        <v>4131730</v>
      </c>
      <c r="N59" s="135" t="s">
        <v>483</v>
      </c>
      <c r="O59" s="193"/>
      <c r="P59" s="145">
        <v>0</v>
      </c>
      <c r="Q59" s="143">
        <f t="shared" si="5"/>
        <v>2630</v>
      </c>
      <c r="R59" s="144">
        <f t="shared" si="6"/>
        <v>0</v>
      </c>
      <c r="S59" s="135" t="s">
        <v>146</v>
      </c>
      <c r="T59" s="193"/>
      <c r="U59" s="145">
        <f t="shared" si="1"/>
        <v>0</v>
      </c>
      <c r="V59" s="144">
        <f t="shared" si="2"/>
        <v>0</v>
      </c>
      <c r="W59" s="193"/>
      <c r="X59" s="147"/>
    </row>
    <row r="60" spans="2:24" x14ac:dyDescent="0.35">
      <c r="B60" s="137" t="s">
        <v>365</v>
      </c>
      <c r="C60" s="147" t="s">
        <v>202</v>
      </c>
      <c r="D60" s="137" t="s">
        <v>294</v>
      </c>
      <c r="E60" s="147" t="s">
        <v>248</v>
      </c>
      <c r="F60" s="147" t="s">
        <v>106</v>
      </c>
      <c r="G60" s="141">
        <v>1662</v>
      </c>
      <c r="H60" s="142">
        <v>2630</v>
      </c>
      <c r="I60" s="144">
        <f t="shared" si="0"/>
        <v>4371060</v>
      </c>
      <c r="J60" s="193"/>
      <c r="K60" s="141">
        <v>1662</v>
      </c>
      <c r="L60" s="143">
        <f t="shared" si="3"/>
        <v>2630</v>
      </c>
      <c r="M60" s="144">
        <f t="shared" si="4"/>
        <v>4371060</v>
      </c>
      <c r="N60" s="135" t="s">
        <v>483</v>
      </c>
      <c r="O60" s="193"/>
      <c r="P60" s="145">
        <v>0</v>
      </c>
      <c r="Q60" s="143">
        <f t="shared" si="5"/>
        <v>2630</v>
      </c>
      <c r="R60" s="144">
        <f t="shared" si="6"/>
        <v>0</v>
      </c>
      <c r="S60" s="135" t="s">
        <v>146</v>
      </c>
      <c r="T60" s="193"/>
      <c r="U60" s="145">
        <f t="shared" si="1"/>
        <v>0</v>
      </c>
      <c r="V60" s="144">
        <f t="shared" si="2"/>
        <v>0</v>
      </c>
      <c r="W60" s="193"/>
      <c r="X60" s="147"/>
    </row>
    <row r="61" spans="2:24" x14ac:dyDescent="0.35">
      <c r="B61" s="137" t="s">
        <v>366</v>
      </c>
      <c r="C61" s="147" t="s">
        <v>175</v>
      </c>
      <c r="D61" s="147" t="s">
        <v>309</v>
      </c>
      <c r="E61" s="147" t="s">
        <v>248</v>
      </c>
      <c r="F61" s="147" t="s">
        <v>106</v>
      </c>
      <c r="G61" s="141">
        <v>1634</v>
      </c>
      <c r="H61" s="142">
        <v>2630</v>
      </c>
      <c r="I61" s="144">
        <f t="shared" si="0"/>
        <v>4297420</v>
      </c>
      <c r="J61" s="193"/>
      <c r="K61" s="141">
        <v>1634</v>
      </c>
      <c r="L61" s="143">
        <f t="shared" si="3"/>
        <v>2630</v>
      </c>
      <c r="M61" s="144">
        <f t="shared" si="4"/>
        <v>4297420</v>
      </c>
      <c r="N61" s="135" t="s">
        <v>483</v>
      </c>
      <c r="O61" s="193"/>
      <c r="P61" s="145">
        <v>0</v>
      </c>
      <c r="Q61" s="143">
        <f t="shared" si="5"/>
        <v>2630</v>
      </c>
      <c r="R61" s="144">
        <f t="shared" si="6"/>
        <v>0</v>
      </c>
      <c r="S61" s="135" t="s">
        <v>146</v>
      </c>
      <c r="T61" s="193"/>
      <c r="U61" s="145">
        <f t="shared" si="1"/>
        <v>0</v>
      </c>
      <c r="V61" s="144">
        <f t="shared" si="2"/>
        <v>0</v>
      </c>
      <c r="W61" s="193"/>
      <c r="X61" s="147"/>
    </row>
    <row r="62" spans="2:24" x14ac:dyDescent="0.35">
      <c r="B62" s="137" t="s">
        <v>367</v>
      </c>
      <c r="C62" s="157" t="s">
        <v>180</v>
      </c>
      <c r="D62" s="139" t="s">
        <v>256</v>
      </c>
      <c r="E62" s="147" t="s">
        <v>248</v>
      </c>
      <c r="F62" s="147" t="s">
        <v>106</v>
      </c>
      <c r="G62" s="141">
        <v>1815</v>
      </c>
      <c r="H62" s="142">
        <v>2630</v>
      </c>
      <c r="I62" s="144">
        <f t="shared" si="0"/>
        <v>4773450</v>
      </c>
      <c r="J62" s="193"/>
      <c r="K62" s="141">
        <v>1815</v>
      </c>
      <c r="L62" s="143">
        <f t="shared" si="3"/>
        <v>2630</v>
      </c>
      <c r="M62" s="144">
        <f t="shared" si="4"/>
        <v>4773450</v>
      </c>
      <c r="N62" s="135" t="s">
        <v>483</v>
      </c>
      <c r="O62" s="193"/>
      <c r="P62" s="145">
        <v>0</v>
      </c>
      <c r="Q62" s="143">
        <f t="shared" si="5"/>
        <v>2630</v>
      </c>
      <c r="R62" s="144">
        <f t="shared" si="6"/>
        <v>0</v>
      </c>
      <c r="S62" s="135" t="s">
        <v>146</v>
      </c>
      <c r="T62" s="193"/>
      <c r="U62" s="145">
        <f t="shared" si="1"/>
        <v>0</v>
      </c>
      <c r="V62" s="144">
        <f t="shared" si="2"/>
        <v>0</v>
      </c>
      <c r="W62" s="193"/>
      <c r="X62" s="147"/>
    </row>
    <row r="63" spans="2:24" x14ac:dyDescent="0.35">
      <c r="B63" s="137" t="s">
        <v>368</v>
      </c>
      <c r="C63" s="147" t="s">
        <v>194</v>
      </c>
      <c r="D63" s="137" t="s">
        <v>288</v>
      </c>
      <c r="E63" s="147" t="s">
        <v>248</v>
      </c>
      <c r="F63" s="147" t="s">
        <v>106</v>
      </c>
      <c r="G63" s="141">
        <v>1698</v>
      </c>
      <c r="H63" s="142">
        <v>2630</v>
      </c>
      <c r="I63" s="144">
        <f t="shared" si="0"/>
        <v>4465740</v>
      </c>
      <c r="J63" s="193"/>
      <c r="K63" s="141">
        <v>1698</v>
      </c>
      <c r="L63" s="143">
        <f t="shared" si="3"/>
        <v>2630</v>
      </c>
      <c r="M63" s="144">
        <f t="shared" si="4"/>
        <v>4465740</v>
      </c>
      <c r="N63" s="135" t="s">
        <v>521</v>
      </c>
      <c r="O63" s="193"/>
      <c r="P63" s="145">
        <v>0</v>
      </c>
      <c r="Q63" s="143">
        <f t="shared" si="5"/>
        <v>2630</v>
      </c>
      <c r="R63" s="144">
        <f t="shared" si="6"/>
        <v>0</v>
      </c>
      <c r="S63" s="135" t="s">
        <v>146</v>
      </c>
      <c r="T63" s="193"/>
      <c r="U63" s="145">
        <f t="shared" si="1"/>
        <v>0</v>
      </c>
      <c r="V63" s="144">
        <f t="shared" si="2"/>
        <v>0</v>
      </c>
      <c r="W63" s="193"/>
      <c r="X63" s="147"/>
    </row>
    <row r="64" spans="2:24" x14ac:dyDescent="0.35">
      <c r="B64" s="137" t="s">
        <v>369</v>
      </c>
      <c r="C64" s="147" t="s">
        <v>230</v>
      </c>
      <c r="D64" s="139" t="s">
        <v>370</v>
      </c>
      <c r="E64" s="147" t="s">
        <v>114</v>
      </c>
      <c r="F64" s="147" t="s">
        <v>106</v>
      </c>
      <c r="G64" s="141">
        <v>4100</v>
      </c>
      <c r="H64" s="142">
        <v>2630</v>
      </c>
      <c r="I64" s="144">
        <f t="shared" si="0"/>
        <v>10783000</v>
      </c>
      <c r="J64" s="193"/>
      <c r="K64" s="141">
        <v>2460</v>
      </c>
      <c r="L64" s="143">
        <f t="shared" si="3"/>
        <v>2630</v>
      </c>
      <c r="M64" s="144">
        <f t="shared" si="4"/>
        <v>6469800</v>
      </c>
      <c r="N64" s="135" t="s">
        <v>429</v>
      </c>
      <c r="O64" s="193"/>
      <c r="P64" s="145">
        <v>1640</v>
      </c>
      <c r="Q64" s="143">
        <f t="shared" si="5"/>
        <v>2630</v>
      </c>
      <c r="R64" s="144">
        <f t="shared" si="6"/>
        <v>4313200</v>
      </c>
      <c r="S64" s="135" t="s">
        <v>588</v>
      </c>
      <c r="T64" s="193"/>
      <c r="U64" s="145">
        <f t="shared" si="1"/>
        <v>0</v>
      </c>
      <c r="V64" s="144">
        <f t="shared" si="2"/>
        <v>0</v>
      </c>
      <c r="W64" s="193"/>
      <c r="X64" s="147"/>
    </row>
    <row r="65" spans="2:24" x14ac:dyDescent="0.35">
      <c r="B65" s="137" t="s">
        <v>374</v>
      </c>
      <c r="C65" s="147" t="s">
        <v>189</v>
      </c>
      <c r="D65" s="137" t="s">
        <v>311</v>
      </c>
      <c r="E65" s="147" t="s">
        <v>248</v>
      </c>
      <c r="F65" s="147" t="s">
        <v>106</v>
      </c>
      <c r="G65" s="141">
        <v>1556</v>
      </c>
      <c r="H65" s="142">
        <v>2630</v>
      </c>
      <c r="I65" s="144">
        <f t="shared" si="0"/>
        <v>4092280</v>
      </c>
      <c r="J65" s="193"/>
      <c r="K65" s="141">
        <f>G65</f>
        <v>1556</v>
      </c>
      <c r="L65" s="143">
        <f t="shared" si="3"/>
        <v>2630</v>
      </c>
      <c r="M65" s="144">
        <f t="shared" si="4"/>
        <v>4092280</v>
      </c>
      <c r="N65" s="135" t="s">
        <v>521</v>
      </c>
      <c r="O65" s="193"/>
      <c r="P65" s="145">
        <v>0</v>
      </c>
      <c r="Q65" s="143">
        <f t="shared" si="5"/>
        <v>2630</v>
      </c>
      <c r="R65" s="144">
        <f t="shared" si="6"/>
        <v>0</v>
      </c>
      <c r="S65" s="135" t="s">
        <v>146</v>
      </c>
      <c r="T65" s="193"/>
      <c r="U65" s="148">
        <f t="shared" si="1"/>
        <v>0</v>
      </c>
      <c r="V65" s="144">
        <f t="shared" si="2"/>
        <v>0</v>
      </c>
      <c r="W65" s="193"/>
      <c r="X65" s="147"/>
    </row>
    <row r="66" spans="2:24" x14ac:dyDescent="0.35">
      <c r="B66" s="137" t="s">
        <v>376</v>
      </c>
      <c r="C66" s="147" t="s">
        <v>170</v>
      </c>
      <c r="D66" s="137" t="s">
        <v>307</v>
      </c>
      <c r="E66" s="147" t="s">
        <v>248</v>
      </c>
      <c r="F66" s="147" t="s">
        <v>106</v>
      </c>
      <c r="G66" s="141">
        <v>1711</v>
      </c>
      <c r="H66" s="142">
        <v>2630</v>
      </c>
      <c r="I66" s="144">
        <f t="shared" si="0"/>
        <v>4499930</v>
      </c>
      <c r="J66" s="193"/>
      <c r="K66" s="141">
        <f>G66</f>
        <v>1711</v>
      </c>
      <c r="L66" s="143">
        <f t="shared" si="3"/>
        <v>2630</v>
      </c>
      <c r="M66" s="144">
        <f t="shared" si="4"/>
        <v>4499930</v>
      </c>
      <c r="N66" s="135" t="s">
        <v>523</v>
      </c>
      <c r="O66" s="193"/>
      <c r="P66" s="145">
        <v>0</v>
      </c>
      <c r="Q66" s="143">
        <f t="shared" si="5"/>
        <v>2630</v>
      </c>
      <c r="R66" s="144">
        <f t="shared" si="6"/>
        <v>0</v>
      </c>
      <c r="S66" s="135" t="s">
        <v>146</v>
      </c>
      <c r="T66" s="193"/>
      <c r="U66" s="145">
        <f t="shared" si="1"/>
        <v>0</v>
      </c>
      <c r="V66" s="144">
        <f t="shared" si="2"/>
        <v>0</v>
      </c>
      <c r="W66" s="193"/>
      <c r="X66" s="147"/>
    </row>
    <row r="67" spans="2:24" x14ac:dyDescent="0.35">
      <c r="B67" s="137" t="s">
        <v>379</v>
      </c>
      <c r="C67" s="147" t="s">
        <v>98</v>
      </c>
      <c r="D67" s="139" t="s">
        <v>213</v>
      </c>
      <c r="E67" s="147" t="s">
        <v>248</v>
      </c>
      <c r="F67" s="147" t="s">
        <v>106</v>
      </c>
      <c r="G67" s="141">
        <v>1890</v>
      </c>
      <c r="H67" s="142">
        <v>2630</v>
      </c>
      <c r="I67" s="144">
        <f t="shared" si="0"/>
        <v>4970700</v>
      </c>
      <c r="J67" s="193"/>
      <c r="K67" s="141">
        <f>G67</f>
        <v>1890</v>
      </c>
      <c r="L67" s="143">
        <f>H67</f>
        <v>2630</v>
      </c>
      <c r="M67" s="144">
        <f>K67*L67</f>
        <v>4970700</v>
      </c>
      <c r="N67" s="135" t="s">
        <v>523</v>
      </c>
      <c r="O67" s="193"/>
      <c r="P67" s="145">
        <v>0</v>
      </c>
      <c r="Q67" s="143">
        <f t="shared" si="5"/>
        <v>2630</v>
      </c>
      <c r="R67" s="144">
        <f t="shared" si="6"/>
        <v>0</v>
      </c>
      <c r="S67" s="135" t="s">
        <v>146</v>
      </c>
      <c r="T67" s="193"/>
      <c r="U67" s="145">
        <f t="shared" si="1"/>
        <v>0</v>
      </c>
      <c r="V67" s="144">
        <f t="shared" si="2"/>
        <v>0</v>
      </c>
      <c r="W67" s="193"/>
      <c r="X67" s="147"/>
    </row>
    <row r="68" spans="2:24" x14ac:dyDescent="0.35">
      <c r="B68" s="137" t="s">
        <v>380</v>
      </c>
      <c r="C68" s="147" t="s">
        <v>203</v>
      </c>
      <c r="D68" s="139" t="s">
        <v>213</v>
      </c>
      <c r="E68" s="147" t="s">
        <v>248</v>
      </c>
      <c r="F68" s="147" t="s">
        <v>106</v>
      </c>
      <c r="G68" s="141">
        <v>1891</v>
      </c>
      <c r="H68" s="142">
        <v>2630</v>
      </c>
      <c r="I68" s="144">
        <f t="shared" si="0"/>
        <v>4973330</v>
      </c>
      <c r="J68" s="193"/>
      <c r="K68" s="141">
        <v>1891</v>
      </c>
      <c r="L68" s="143">
        <f t="shared" si="3"/>
        <v>2630</v>
      </c>
      <c r="M68" s="144">
        <f t="shared" si="4"/>
        <v>4973330</v>
      </c>
      <c r="N68" s="135" t="s">
        <v>611</v>
      </c>
      <c r="O68" s="193"/>
      <c r="P68" s="145">
        <v>0</v>
      </c>
      <c r="Q68" s="143">
        <f t="shared" si="5"/>
        <v>2630</v>
      </c>
      <c r="R68" s="144">
        <f t="shared" si="6"/>
        <v>0</v>
      </c>
      <c r="S68" s="135" t="s">
        <v>146</v>
      </c>
      <c r="T68" s="193"/>
      <c r="U68" s="145">
        <f t="shared" si="1"/>
        <v>0</v>
      </c>
      <c r="V68" s="144">
        <f t="shared" si="2"/>
        <v>0</v>
      </c>
      <c r="W68" s="193"/>
      <c r="X68" s="147"/>
    </row>
    <row r="69" spans="2:24" x14ac:dyDescent="0.35">
      <c r="B69" s="137" t="s">
        <v>381</v>
      </c>
      <c r="C69" s="147" t="s">
        <v>331</v>
      </c>
      <c r="D69" s="139" t="s">
        <v>332</v>
      </c>
      <c r="E69" s="147" t="s">
        <v>248</v>
      </c>
      <c r="F69" s="147" t="s">
        <v>106</v>
      </c>
      <c r="G69" s="141">
        <v>1749</v>
      </c>
      <c r="H69" s="142">
        <v>2630</v>
      </c>
      <c r="I69" s="144">
        <f t="shared" si="0"/>
        <v>4599870</v>
      </c>
      <c r="J69" s="193"/>
      <c r="K69" s="141">
        <f>G69</f>
        <v>1749</v>
      </c>
      <c r="L69" s="143">
        <f t="shared" si="3"/>
        <v>2630</v>
      </c>
      <c r="M69" s="144">
        <f t="shared" si="4"/>
        <v>4599870</v>
      </c>
      <c r="N69" s="135" t="s">
        <v>523</v>
      </c>
      <c r="O69" s="193"/>
      <c r="P69" s="145">
        <v>0</v>
      </c>
      <c r="Q69" s="143">
        <f t="shared" si="5"/>
        <v>2630</v>
      </c>
      <c r="R69" s="144">
        <f t="shared" si="6"/>
        <v>0</v>
      </c>
      <c r="S69" s="135" t="s">
        <v>146</v>
      </c>
      <c r="T69" s="193"/>
      <c r="U69" s="145">
        <f t="shared" si="1"/>
        <v>0</v>
      </c>
      <c r="V69" s="144">
        <f t="shared" si="2"/>
        <v>0</v>
      </c>
      <c r="W69" s="193"/>
      <c r="X69" s="147"/>
    </row>
    <row r="70" spans="2:24" x14ac:dyDescent="0.35">
      <c r="B70" s="137" t="s">
        <v>382</v>
      </c>
      <c r="C70" s="147" t="s">
        <v>180</v>
      </c>
      <c r="D70" s="139" t="s">
        <v>384</v>
      </c>
      <c r="E70" s="147" t="s">
        <v>383</v>
      </c>
      <c r="F70" s="147" t="s">
        <v>106</v>
      </c>
      <c r="G70" s="141">
        <v>4500</v>
      </c>
      <c r="H70" s="142">
        <v>2630</v>
      </c>
      <c r="I70" s="144">
        <f t="shared" si="0"/>
        <v>11835000</v>
      </c>
      <c r="J70" s="193"/>
      <c r="K70" s="141">
        <v>2700</v>
      </c>
      <c r="L70" s="143">
        <f t="shared" si="3"/>
        <v>2630</v>
      </c>
      <c r="M70" s="144">
        <f t="shared" si="4"/>
        <v>7101000</v>
      </c>
      <c r="N70" s="135" t="s">
        <v>429</v>
      </c>
      <c r="O70" s="193"/>
      <c r="P70" s="145">
        <v>1800</v>
      </c>
      <c r="Q70" s="143">
        <f t="shared" si="5"/>
        <v>2630</v>
      </c>
      <c r="R70" s="144">
        <f t="shared" si="6"/>
        <v>4734000</v>
      </c>
      <c r="S70" s="135" t="s">
        <v>586</v>
      </c>
      <c r="T70" s="193"/>
      <c r="U70" s="145">
        <f t="shared" si="1"/>
        <v>0</v>
      </c>
      <c r="V70" s="144">
        <f t="shared" si="2"/>
        <v>0</v>
      </c>
      <c r="W70" s="193"/>
      <c r="X70" s="147"/>
    </row>
    <row r="71" spans="2:24" x14ac:dyDescent="0.35">
      <c r="B71" s="137" t="s">
        <v>389</v>
      </c>
      <c r="C71" s="147" t="s">
        <v>175</v>
      </c>
      <c r="D71" s="139" t="s">
        <v>390</v>
      </c>
      <c r="E71" s="147" t="s">
        <v>383</v>
      </c>
      <c r="F71" s="147" t="s">
        <v>106</v>
      </c>
      <c r="G71" s="141">
        <v>4500</v>
      </c>
      <c r="H71" s="142">
        <v>2630</v>
      </c>
      <c r="I71" s="144">
        <f t="shared" ref="I71:I135" si="7">G71*H71</f>
        <v>11835000</v>
      </c>
      <c r="J71" s="193"/>
      <c r="K71" s="141">
        <v>2700</v>
      </c>
      <c r="L71" s="143">
        <f t="shared" si="3"/>
        <v>2630</v>
      </c>
      <c r="M71" s="144">
        <f t="shared" si="4"/>
        <v>7101000</v>
      </c>
      <c r="N71" s="135" t="s">
        <v>430</v>
      </c>
      <c r="O71" s="193"/>
      <c r="P71" s="145">
        <v>1800</v>
      </c>
      <c r="Q71" s="143">
        <f t="shared" si="5"/>
        <v>2630</v>
      </c>
      <c r="R71" s="144">
        <f t="shared" si="6"/>
        <v>4734000</v>
      </c>
      <c r="S71" s="135" t="s">
        <v>587</v>
      </c>
      <c r="T71" s="193"/>
      <c r="U71" s="145">
        <f t="shared" ref="U71:U135" si="8">G71-K71-P71</f>
        <v>0</v>
      </c>
      <c r="V71" s="144">
        <f t="shared" ref="V71:V135" si="9">I71-M71-R71</f>
        <v>0</v>
      </c>
      <c r="W71" s="193"/>
      <c r="X71" s="147"/>
    </row>
    <row r="72" spans="2:24" x14ac:dyDescent="0.35">
      <c r="B72" s="137" t="s">
        <v>392</v>
      </c>
      <c r="C72" s="147" t="s">
        <v>393</v>
      </c>
      <c r="D72" s="147" t="s">
        <v>394</v>
      </c>
      <c r="E72" s="147" t="s">
        <v>383</v>
      </c>
      <c r="F72" s="147" t="s">
        <v>106</v>
      </c>
      <c r="G72" s="141">
        <v>4500</v>
      </c>
      <c r="H72" s="142">
        <v>2630</v>
      </c>
      <c r="I72" s="144">
        <f t="shared" si="7"/>
        <v>11835000</v>
      </c>
      <c r="J72" s="193"/>
      <c r="K72" s="141">
        <v>2700</v>
      </c>
      <c r="L72" s="143">
        <f>H72</f>
        <v>2630</v>
      </c>
      <c r="M72" s="144">
        <f>K72*L72</f>
        <v>7101000</v>
      </c>
      <c r="N72" s="135" t="s">
        <v>430</v>
      </c>
      <c r="O72" s="193"/>
      <c r="P72" s="145">
        <v>1800</v>
      </c>
      <c r="Q72" s="143">
        <f t="shared" si="5"/>
        <v>2630</v>
      </c>
      <c r="R72" s="144">
        <f t="shared" si="6"/>
        <v>4734000</v>
      </c>
      <c r="S72" s="135" t="s">
        <v>587</v>
      </c>
      <c r="T72" s="193"/>
      <c r="U72" s="145">
        <f t="shared" si="8"/>
        <v>0</v>
      </c>
      <c r="V72" s="144">
        <f t="shared" si="9"/>
        <v>0</v>
      </c>
      <c r="W72" s="193"/>
      <c r="X72" s="147"/>
    </row>
    <row r="73" spans="2:24" x14ac:dyDescent="0.35">
      <c r="B73" s="137" t="s">
        <v>397</v>
      </c>
      <c r="C73" s="147" t="s">
        <v>398</v>
      </c>
      <c r="D73" s="139" t="s">
        <v>399</v>
      </c>
      <c r="E73" s="147" t="s">
        <v>383</v>
      </c>
      <c r="F73" s="147" t="s">
        <v>106</v>
      </c>
      <c r="G73" s="141">
        <v>4500</v>
      </c>
      <c r="H73" s="142">
        <v>2630</v>
      </c>
      <c r="I73" s="144">
        <f t="shared" si="7"/>
        <v>11835000</v>
      </c>
      <c r="J73" s="193"/>
      <c r="K73" s="141">
        <v>2700</v>
      </c>
      <c r="L73" s="143">
        <f>H73</f>
        <v>2630</v>
      </c>
      <c r="M73" s="144">
        <f>K73*L73</f>
        <v>7101000</v>
      </c>
      <c r="N73" s="135" t="s">
        <v>430</v>
      </c>
      <c r="O73" s="193"/>
      <c r="P73" s="145">
        <v>1800</v>
      </c>
      <c r="Q73" s="143">
        <f t="shared" ref="Q73:Q137" si="10">H73</f>
        <v>2630</v>
      </c>
      <c r="R73" s="144">
        <f t="shared" ref="R73:R137" si="11">P73*Q73</f>
        <v>4734000</v>
      </c>
      <c r="S73" s="135" t="s">
        <v>587</v>
      </c>
      <c r="T73" s="193"/>
      <c r="U73" s="145">
        <f t="shared" si="8"/>
        <v>0</v>
      </c>
      <c r="V73" s="144">
        <f t="shared" si="9"/>
        <v>0</v>
      </c>
      <c r="W73" s="193"/>
      <c r="X73" s="147"/>
    </row>
    <row r="74" spans="2:24" x14ac:dyDescent="0.35">
      <c r="B74" s="137" t="s">
        <v>402</v>
      </c>
      <c r="C74" s="147" t="s">
        <v>203</v>
      </c>
      <c r="D74" s="139" t="s">
        <v>403</v>
      </c>
      <c r="E74" s="147" t="s">
        <v>182</v>
      </c>
      <c r="F74" s="147" t="s">
        <v>183</v>
      </c>
      <c r="G74" s="141">
        <v>4100</v>
      </c>
      <c r="H74" s="142">
        <v>2650</v>
      </c>
      <c r="I74" s="144">
        <f t="shared" si="7"/>
        <v>10865000</v>
      </c>
      <c r="J74" s="193"/>
      <c r="K74" s="141">
        <v>4100</v>
      </c>
      <c r="L74" s="143">
        <f t="shared" ref="L74:L136" si="12">H74</f>
        <v>2650</v>
      </c>
      <c r="M74" s="144">
        <f t="shared" ref="M74:M136" si="13">K74*L74</f>
        <v>10865000</v>
      </c>
      <c r="N74" s="135" t="s">
        <v>657</v>
      </c>
      <c r="O74" s="193"/>
      <c r="P74" s="145">
        <v>0</v>
      </c>
      <c r="Q74" s="143">
        <f t="shared" si="10"/>
        <v>2650</v>
      </c>
      <c r="R74" s="144">
        <f t="shared" si="11"/>
        <v>0</v>
      </c>
      <c r="S74" s="135" t="s">
        <v>146</v>
      </c>
      <c r="T74" s="193"/>
      <c r="U74" s="145">
        <f t="shared" si="8"/>
        <v>0</v>
      </c>
      <c r="V74" s="144">
        <f t="shared" si="9"/>
        <v>0</v>
      </c>
      <c r="W74" s="193"/>
      <c r="X74" s="147"/>
    </row>
    <row r="75" spans="2:24" x14ac:dyDescent="0.35">
      <c r="B75" s="137" t="s">
        <v>407</v>
      </c>
      <c r="C75" s="147" t="s">
        <v>194</v>
      </c>
      <c r="D75" s="139" t="s">
        <v>406</v>
      </c>
      <c r="E75" s="147" t="s">
        <v>182</v>
      </c>
      <c r="F75" s="147" t="s">
        <v>183</v>
      </c>
      <c r="G75" s="141">
        <v>4100</v>
      </c>
      <c r="H75" s="142">
        <v>2650</v>
      </c>
      <c r="I75" s="144">
        <f t="shared" si="7"/>
        <v>10865000</v>
      </c>
      <c r="J75" s="193"/>
      <c r="K75" s="141">
        <v>4100</v>
      </c>
      <c r="L75" s="143">
        <f>H75</f>
        <v>2650</v>
      </c>
      <c r="M75" s="144">
        <f>K75*L75</f>
        <v>10865000</v>
      </c>
      <c r="N75" s="135" t="s">
        <v>658</v>
      </c>
      <c r="O75" s="193"/>
      <c r="P75" s="145">
        <v>0</v>
      </c>
      <c r="Q75" s="143">
        <f t="shared" si="10"/>
        <v>2650</v>
      </c>
      <c r="R75" s="144">
        <f t="shared" si="11"/>
        <v>0</v>
      </c>
      <c r="S75" s="135" t="s">
        <v>146</v>
      </c>
      <c r="T75" s="193"/>
      <c r="U75" s="145">
        <f t="shared" si="8"/>
        <v>0</v>
      </c>
      <c r="V75" s="144">
        <f t="shared" si="9"/>
        <v>0</v>
      </c>
      <c r="W75" s="193"/>
      <c r="X75" s="147"/>
    </row>
    <row r="76" spans="2:24" x14ac:dyDescent="0.35">
      <c r="B76" s="137" t="s">
        <v>409</v>
      </c>
      <c r="C76" s="147" t="s">
        <v>331</v>
      </c>
      <c r="D76" s="139" t="s">
        <v>410</v>
      </c>
      <c r="E76" s="147" t="s">
        <v>182</v>
      </c>
      <c r="F76" s="147" t="s">
        <v>183</v>
      </c>
      <c r="G76" s="141">
        <v>4100</v>
      </c>
      <c r="H76" s="142">
        <v>2650</v>
      </c>
      <c r="I76" s="144">
        <f t="shared" si="7"/>
        <v>10865000</v>
      </c>
      <c r="J76" s="193"/>
      <c r="K76" s="141">
        <v>4100</v>
      </c>
      <c r="L76" s="143">
        <f t="shared" si="12"/>
        <v>2650</v>
      </c>
      <c r="M76" s="144">
        <f t="shared" si="13"/>
        <v>10865000</v>
      </c>
      <c r="N76" s="135" t="s">
        <v>658</v>
      </c>
      <c r="O76" s="193"/>
      <c r="P76" s="145">
        <v>0</v>
      </c>
      <c r="Q76" s="143">
        <f t="shared" si="10"/>
        <v>2650</v>
      </c>
      <c r="R76" s="144">
        <f t="shared" si="11"/>
        <v>0</v>
      </c>
      <c r="S76" s="135" t="s">
        <v>146</v>
      </c>
      <c r="T76" s="193"/>
      <c r="U76" s="145">
        <f t="shared" si="8"/>
        <v>0</v>
      </c>
      <c r="V76" s="144">
        <f t="shared" si="9"/>
        <v>0</v>
      </c>
      <c r="W76" s="193"/>
      <c r="X76" s="147"/>
    </row>
    <row r="77" spans="2:24" x14ac:dyDescent="0.35">
      <c r="B77" s="137" t="s">
        <v>412</v>
      </c>
      <c r="C77" s="147" t="s">
        <v>154</v>
      </c>
      <c r="D77" s="147" t="s">
        <v>213</v>
      </c>
      <c r="E77" s="147" t="s">
        <v>415</v>
      </c>
      <c r="F77" s="147" t="s">
        <v>106</v>
      </c>
      <c r="G77" s="141">
        <v>4500</v>
      </c>
      <c r="H77" s="142">
        <v>2630</v>
      </c>
      <c r="I77" s="144">
        <f t="shared" si="7"/>
        <v>11835000</v>
      </c>
      <c r="J77" s="193"/>
      <c r="K77" s="141">
        <v>2700</v>
      </c>
      <c r="L77" s="143">
        <f t="shared" si="12"/>
        <v>2630</v>
      </c>
      <c r="M77" s="144">
        <f t="shared" si="13"/>
        <v>7101000</v>
      </c>
      <c r="N77" s="135" t="s">
        <v>441</v>
      </c>
      <c r="O77" s="193"/>
      <c r="P77" s="145">
        <v>1800</v>
      </c>
      <c r="Q77" s="143">
        <f t="shared" si="10"/>
        <v>2630</v>
      </c>
      <c r="R77" s="144">
        <f t="shared" si="11"/>
        <v>4734000</v>
      </c>
      <c r="S77" s="135" t="s">
        <v>586</v>
      </c>
      <c r="T77" s="193"/>
      <c r="U77" s="145">
        <f t="shared" si="8"/>
        <v>0</v>
      </c>
      <c r="V77" s="144">
        <f t="shared" si="9"/>
        <v>0</v>
      </c>
      <c r="W77" s="193"/>
      <c r="X77" s="147"/>
    </row>
    <row r="78" spans="2:24" x14ac:dyDescent="0.35">
      <c r="B78" s="137" t="s">
        <v>413</v>
      </c>
      <c r="C78" s="147" t="s">
        <v>170</v>
      </c>
      <c r="D78" s="147" t="s">
        <v>213</v>
      </c>
      <c r="E78" s="147" t="s">
        <v>415</v>
      </c>
      <c r="F78" s="147" t="s">
        <v>106</v>
      </c>
      <c r="G78" s="141">
        <v>4500</v>
      </c>
      <c r="H78" s="142">
        <v>2630</v>
      </c>
      <c r="I78" s="144">
        <f t="shared" si="7"/>
        <v>11835000</v>
      </c>
      <c r="J78" s="193"/>
      <c r="K78" s="141">
        <v>2700</v>
      </c>
      <c r="L78" s="143">
        <f t="shared" si="12"/>
        <v>2630</v>
      </c>
      <c r="M78" s="144">
        <f t="shared" si="13"/>
        <v>7101000</v>
      </c>
      <c r="N78" s="135" t="s">
        <v>441</v>
      </c>
      <c r="O78" s="193"/>
      <c r="P78" s="145">
        <v>1800</v>
      </c>
      <c r="Q78" s="143">
        <f t="shared" si="10"/>
        <v>2630</v>
      </c>
      <c r="R78" s="144">
        <f t="shared" si="11"/>
        <v>4734000</v>
      </c>
      <c r="S78" s="135" t="s">
        <v>586</v>
      </c>
      <c r="T78" s="193"/>
      <c r="U78" s="145">
        <f t="shared" si="8"/>
        <v>0</v>
      </c>
      <c r="V78" s="144">
        <f t="shared" si="9"/>
        <v>0</v>
      </c>
      <c r="W78" s="193"/>
      <c r="X78" s="147"/>
    </row>
    <row r="79" spans="2:24" x14ac:dyDescent="0.35">
      <c r="B79" s="137" t="s">
        <v>414</v>
      </c>
      <c r="C79" s="147" t="s">
        <v>189</v>
      </c>
      <c r="D79" s="147" t="s">
        <v>213</v>
      </c>
      <c r="E79" s="147" t="s">
        <v>415</v>
      </c>
      <c r="F79" s="147" t="s">
        <v>106</v>
      </c>
      <c r="G79" s="141">
        <v>4500</v>
      </c>
      <c r="H79" s="142">
        <v>2630</v>
      </c>
      <c r="I79" s="144">
        <f t="shared" si="7"/>
        <v>11835000</v>
      </c>
      <c r="J79" s="193"/>
      <c r="K79" s="141">
        <v>2700</v>
      </c>
      <c r="L79" s="143">
        <f t="shared" si="12"/>
        <v>2630</v>
      </c>
      <c r="M79" s="144">
        <f t="shared" si="13"/>
        <v>7101000</v>
      </c>
      <c r="N79" s="135" t="s">
        <v>441</v>
      </c>
      <c r="O79" s="193"/>
      <c r="P79" s="145">
        <v>1800</v>
      </c>
      <c r="Q79" s="143">
        <f t="shared" si="10"/>
        <v>2630</v>
      </c>
      <c r="R79" s="144">
        <f t="shared" si="11"/>
        <v>4734000</v>
      </c>
      <c r="S79" s="135" t="s">
        <v>586</v>
      </c>
      <c r="T79" s="193"/>
      <c r="U79" s="145">
        <f t="shared" si="8"/>
        <v>0</v>
      </c>
      <c r="V79" s="144">
        <f t="shared" si="9"/>
        <v>0</v>
      </c>
      <c r="W79" s="193"/>
      <c r="X79" s="147"/>
    </row>
    <row r="80" spans="2:24" x14ac:dyDescent="0.35">
      <c r="B80" s="137" t="s">
        <v>421</v>
      </c>
      <c r="C80" s="147" t="s">
        <v>201</v>
      </c>
      <c r="D80" s="137" t="s">
        <v>304</v>
      </c>
      <c r="E80" s="147" t="s">
        <v>248</v>
      </c>
      <c r="F80" s="147" t="s">
        <v>106</v>
      </c>
      <c r="G80" s="141">
        <v>1645</v>
      </c>
      <c r="H80" s="142">
        <v>2630</v>
      </c>
      <c r="I80" s="144">
        <f t="shared" si="7"/>
        <v>4326350</v>
      </c>
      <c r="J80" s="193"/>
      <c r="K80" s="141">
        <v>1645</v>
      </c>
      <c r="L80" s="143">
        <f t="shared" si="12"/>
        <v>2630</v>
      </c>
      <c r="M80" s="144">
        <f t="shared" si="13"/>
        <v>4326350</v>
      </c>
      <c r="N80" s="135" t="s">
        <v>611</v>
      </c>
      <c r="O80" s="193"/>
      <c r="P80" s="145">
        <v>0</v>
      </c>
      <c r="Q80" s="143">
        <f t="shared" si="10"/>
        <v>2630</v>
      </c>
      <c r="R80" s="144">
        <f t="shared" si="11"/>
        <v>0</v>
      </c>
      <c r="S80" s="135" t="s">
        <v>146</v>
      </c>
      <c r="T80" s="193"/>
      <c r="U80" s="145">
        <f t="shared" si="8"/>
        <v>0</v>
      </c>
      <c r="V80" s="144">
        <f t="shared" si="9"/>
        <v>0</v>
      </c>
      <c r="W80" s="193"/>
      <c r="X80" s="147"/>
    </row>
    <row r="81" spans="2:24" x14ac:dyDescent="0.35">
      <c r="B81" s="137" t="s">
        <v>422</v>
      </c>
      <c r="C81" s="147" t="s">
        <v>224</v>
      </c>
      <c r="D81" s="137" t="s">
        <v>301</v>
      </c>
      <c r="E81" s="147" t="s">
        <v>248</v>
      </c>
      <c r="F81" s="147" t="s">
        <v>106</v>
      </c>
      <c r="G81" s="141">
        <v>1661</v>
      </c>
      <c r="H81" s="142">
        <v>2630</v>
      </c>
      <c r="I81" s="144">
        <f t="shared" si="7"/>
        <v>4368430</v>
      </c>
      <c r="J81" s="193"/>
      <c r="K81" s="141">
        <v>1661</v>
      </c>
      <c r="L81" s="143">
        <f t="shared" si="12"/>
        <v>2630</v>
      </c>
      <c r="M81" s="144">
        <f t="shared" si="13"/>
        <v>4368430</v>
      </c>
      <c r="N81" s="135" t="s">
        <v>611</v>
      </c>
      <c r="O81" s="193"/>
      <c r="P81" s="145">
        <v>0</v>
      </c>
      <c r="Q81" s="143">
        <f t="shared" si="10"/>
        <v>2630</v>
      </c>
      <c r="R81" s="144">
        <f t="shared" si="11"/>
        <v>0</v>
      </c>
      <c r="S81" s="135" t="s">
        <v>146</v>
      </c>
      <c r="T81" s="193"/>
      <c r="U81" s="145">
        <f t="shared" si="8"/>
        <v>0</v>
      </c>
      <c r="V81" s="144">
        <f t="shared" si="9"/>
        <v>0</v>
      </c>
      <c r="W81" s="193"/>
      <c r="X81" s="147"/>
    </row>
    <row r="82" spans="2:24" x14ac:dyDescent="0.35">
      <c r="B82" s="137" t="s">
        <v>432</v>
      </c>
      <c r="C82" s="147" t="s">
        <v>224</v>
      </c>
      <c r="D82" s="139" t="s">
        <v>213</v>
      </c>
      <c r="E82" s="147" t="s">
        <v>182</v>
      </c>
      <c r="F82" s="147" t="s">
        <v>106</v>
      </c>
      <c r="G82" s="141">
        <v>4100</v>
      </c>
      <c r="H82" s="142">
        <v>2630</v>
      </c>
      <c r="I82" s="144">
        <f t="shared" si="7"/>
        <v>10783000</v>
      </c>
      <c r="J82" s="193"/>
      <c r="K82" s="141">
        <v>2460</v>
      </c>
      <c r="L82" s="143">
        <f>H82</f>
        <v>2630</v>
      </c>
      <c r="M82" s="144">
        <f>K82*L82</f>
        <v>6469800</v>
      </c>
      <c r="N82" s="135" t="s">
        <v>475</v>
      </c>
      <c r="O82" s="193"/>
      <c r="P82" s="145">
        <v>1640</v>
      </c>
      <c r="Q82" s="143">
        <f t="shared" si="10"/>
        <v>2630</v>
      </c>
      <c r="R82" s="144">
        <f t="shared" si="11"/>
        <v>4313200</v>
      </c>
      <c r="S82" s="135" t="s">
        <v>588</v>
      </c>
      <c r="T82" s="193"/>
      <c r="U82" s="145">
        <f t="shared" si="8"/>
        <v>0</v>
      </c>
      <c r="V82" s="144">
        <f t="shared" si="9"/>
        <v>0</v>
      </c>
      <c r="W82" s="193"/>
      <c r="X82" s="147"/>
    </row>
    <row r="83" spans="2:24" x14ac:dyDescent="0.35">
      <c r="B83" s="137" t="s">
        <v>433</v>
      </c>
      <c r="C83" s="147" t="s">
        <v>201</v>
      </c>
      <c r="D83" s="139" t="s">
        <v>213</v>
      </c>
      <c r="E83" s="147" t="s">
        <v>182</v>
      </c>
      <c r="F83" s="147" t="s">
        <v>106</v>
      </c>
      <c r="G83" s="141">
        <v>4100</v>
      </c>
      <c r="H83" s="142">
        <v>2630</v>
      </c>
      <c r="I83" s="144">
        <f t="shared" si="7"/>
        <v>10783000</v>
      </c>
      <c r="J83" s="193"/>
      <c r="K83" s="141">
        <v>2460</v>
      </c>
      <c r="L83" s="143">
        <f t="shared" si="12"/>
        <v>2630</v>
      </c>
      <c r="M83" s="144">
        <f t="shared" si="13"/>
        <v>6469800</v>
      </c>
      <c r="N83" s="135" t="s">
        <v>475</v>
      </c>
      <c r="O83" s="193"/>
      <c r="P83" s="145">
        <v>1640</v>
      </c>
      <c r="Q83" s="143">
        <f t="shared" si="10"/>
        <v>2630</v>
      </c>
      <c r="R83" s="144">
        <f t="shared" si="11"/>
        <v>4313200</v>
      </c>
      <c r="S83" s="135" t="s">
        <v>588</v>
      </c>
      <c r="T83" s="193"/>
      <c r="U83" s="145">
        <f t="shared" si="8"/>
        <v>0</v>
      </c>
      <c r="V83" s="144">
        <f t="shared" si="9"/>
        <v>0</v>
      </c>
      <c r="W83" s="193"/>
      <c r="X83" s="147"/>
    </row>
    <row r="84" spans="2:24" x14ac:dyDescent="0.35">
      <c r="B84" s="137" t="s">
        <v>437</v>
      </c>
      <c r="C84" s="147" t="s">
        <v>98</v>
      </c>
      <c r="D84" s="139" t="s">
        <v>438</v>
      </c>
      <c r="E84" s="147" t="s">
        <v>383</v>
      </c>
      <c r="F84" s="147" t="s">
        <v>106</v>
      </c>
      <c r="G84" s="141">
        <v>4500</v>
      </c>
      <c r="H84" s="142">
        <v>2630</v>
      </c>
      <c r="I84" s="144">
        <f t="shared" si="7"/>
        <v>11835000</v>
      </c>
      <c r="J84" s="193"/>
      <c r="K84" s="141">
        <v>2700</v>
      </c>
      <c r="L84" s="143">
        <f t="shared" si="12"/>
        <v>2630</v>
      </c>
      <c r="M84" s="144">
        <f t="shared" si="13"/>
        <v>7101000</v>
      </c>
      <c r="N84" s="135" t="s">
        <v>476</v>
      </c>
      <c r="O84" s="193"/>
      <c r="P84" s="145">
        <v>1800</v>
      </c>
      <c r="Q84" s="143">
        <f t="shared" si="10"/>
        <v>2630</v>
      </c>
      <c r="R84" s="144">
        <f t="shared" si="11"/>
        <v>4734000</v>
      </c>
      <c r="S84" s="135" t="s">
        <v>645</v>
      </c>
      <c r="T84" s="193"/>
      <c r="U84" s="145">
        <f t="shared" si="8"/>
        <v>0</v>
      </c>
      <c r="V84" s="144">
        <f t="shared" si="9"/>
        <v>0</v>
      </c>
      <c r="W84" s="193"/>
      <c r="X84" s="147"/>
    </row>
    <row r="85" spans="2:24" x14ac:dyDescent="0.35">
      <c r="B85" s="137" t="s">
        <v>453</v>
      </c>
      <c r="C85" s="147" t="s">
        <v>336</v>
      </c>
      <c r="D85" s="139" t="s">
        <v>337</v>
      </c>
      <c r="E85" s="147" t="s">
        <v>248</v>
      </c>
      <c r="F85" s="147" t="s">
        <v>106</v>
      </c>
      <c r="G85" s="141">
        <v>1650</v>
      </c>
      <c r="H85" s="142">
        <v>2630</v>
      </c>
      <c r="I85" s="144">
        <f t="shared" si="7"/>
        <v>4339500</v>
      </c>
      <c r="J85" s="193"/>
      <c r="K85" s="141">
        <v>1650</v>
      </c>
      <c r="L85" s="143">
        <f t="shared" si="12"/>
        <v>2630</v>
      </c>
      <c r="M85" s="144">
        <f t="shared" si="13"/>
        <v>4339500</v>
      </c>
      <c r="N85" s="135" t="s">
        <v>610</v>
      </c>
      <c r="O85" s="193"/>
      <c r="P85" s="145">
        <v>0</v>
      </c>
      <c r="Q85" s="143">
        <f t="shared" si="10"/>
        <v>2630</v>
      </c>
      <c r="R85" s="144">
        <f t="shared" si="11"/>
        <v>0</v>
      </c>
      <c r="S85" s="135" t="s">
        <v>146</v>
      </c>
      <c r="T85" s="193"/>
      <c r="U85" s="145">
        <f t="shared" si="8"/>
        <v>0</v>
      </c>
      <c r="V85" s="144">
        <f t="shared" si="9"/>
        <v>0</v>
      </c>
      <c r="W85" s="193"/>
      <c r="X85" s="147"/>
    </row>
    <row r="86" spans="2:24" x14ac:dyDescent="0.35">
      <c r="B86" s="137" t="s">
        <v>456</v>
      </c>
      <c r="C86" s="149" t="s">
        <v>232</v>
      </c>
      <c r="D86" s="139" t="s">
        <v>355</v>
      </c>
      <c r="E86" s="147" t="s">
        <v>248</v>
      </c>
      <c r="F86" s="147" t="s">
        <v>106</v>
      </c>
      <c r="G86" s="141">
        <v>1808</v>
      </c>
      <c r="H86" s="142">
        <v>2630</v>
      </c>
      <c r="I86" s="144">
        <f t="shared" si="7"/>
        <v>4755040</v>
      </c>
      <c r="J86" s="193"/>
      <c r="K86" s="141">
        <v>1808</v>
      </c>
      <c r="L86" s="143">
        <f t="shared" si="12"/>
        <v>2630</v>
      </c>
      <c r="M86" s="144">
        <f t="shared" si="13"/>
        <v>4755040</v>
      </c>
      <c r="N86" s="135" t="s">
        <v>1209</v>
      </c>
      <c r="O86" s="193"/>
      <c r="P86" s="145">
        <v>0</v>
      </c>
      <c r="Q86" s="143">
        <f t="shared" si="10"/>
        <v>2630</v>
      </c>
      <c r="R86" s="144">
        <f t="shared" si="11"/>
        <v>0</v>
      </c>
      <c r="S86" s="135" t="s">
        <v>146</v>
      </c>
      <c r="T86" s="193"/>
      <c r="U86" s="145">
        <f t="shared" si="8"/>
        <v>0</v>
      </c>
      <c r="V86" s="144">
        <f t="shared" si="9"/>
        <v>0</v>
      </c>
      <c r="W86" s="193"/>
      <c r="X86" s="147"/>
    </row>
    <row r="87" spans="2:24" x14ac:dyDescent="0.35">
      <c r="B87" s="137" t="s">
        <v>457</v>
      </c>
      <c r="C87" s="147" t="s">
        <v>160</v>
      </c>
      <c r="D87" s="139" t="s">
        <v>358</v>
      </c>
      <c r="E87" s="147" t="s">
        <v>248</v>
      </c>
      <c r="F87" s="147" t="s">
        <v>106</v>
      </c>
      <c r="G87" s="141">
        <v>1977</v>
      </c>
      <c r="H87" s="142">
        <v>2630</v>
      </c>
      <c r="I87" s="144">
        <f t="shared" si="7"/>
        <v>5199510</v>
      </c>
      <c r="J87" s="193"/>
      <c r="K87" s="141">
        <v>1977</v>
      </c>
      <c r="L87" s="143">
        <f t="shared" si="12"/>
        <v>2630</v>
      </c>
      <c r="M87" s="144">
        <f t="shared" si="13"/>
        <v>5199510</v>
      </c>
      <c r="N87" s="135" t="s">
        <v>1210</v>
      </c>
      <c r="O87" s="193"/>
      <c r="P87" s="145">
        <v>0</v>
      </c>
      <c r="Q87" s="143">
        <f t="shared" si="10"/>
        <v>2630</v>
      </c>
      <c r="R87" s="144">
        <f t="shared" si="11"/>
        <v>0</v>
      </c>
      <c r="S87" s="135" t="s">
        <v>146</v>
      </c>
      <c r="T87" s="193"/>
      <c r="U87" s="145">
        <f t="shared" si="8"/>
        <v>0</v>
      </c>
      <c r="V87" s="144">
        <f t="shared" si="9"/>
        <v>0</v>
      </c>
      <c r="W87" s="193"/>
      <c r="X87" s="147"/>
    </row>
    <row r="88" spans="2:24" x14ac:dyDescent="0.35">
      <c r="B88" s="137" t="s">
        <v>458</v>
      </c>
      <c r="C88" s="147" t="s">
        <v>232</v>
      </c>
      <c r="D88" s="139" t="s">
        <v>459</v>
      </c>
      <c r="E88" s="147" t="s">
        <v>182</v>
      </c>
      <c r="F88" s="147" t="s">
        <v>319</v>
      </c>
      <c r="G88" s="141">
        <v>4100</v>
      </c>
      <c r="H88" s="142">
        <v>2650</v>
      </c>
      <c r="I88" s="144">
        <f t="shared" si="7"/>
        <v>10865000</v>
      </c>
      <c r="J88" s="193"/>
      <c r="K88" s="141">
        <v>4100</v>
      </c>
      <c r="L88" s="143">
        <f t="shared" si="12"/>
        <v>2650</v>
      </c>
      <c r="M88" s="144">
        <f t="shared" si="13"/>
        <v>10865000</v>
      </c>
      <c r="N88" s="135" t="s">
        <v>585</v>
      </c>
      <c r="O88" s="193"/>
      <c r="P88" s="145">
        <v>0</v>
      </c>
      <c r="Q88" s="143">
        <f t="shared" si="10"/>
        <v>2650</v>
      </c>
      <c r="R88" s="144">
        <f t="shared" si="11"/>
        <v>0</v>
      </c>
      <c r="S88" s="135" t="s">
        <v>146</v>
      </c>
      <c r="T88" s="193"/>
      <c r="U88" s="145">
        <f t="shared" si="8"/>
        <v>0</v>
      </c>
      <c r="V88" s="144">
        <f t="shared" si="9"/>
        <v>0</v>
      </c>
      <c r="W88" s="193"/>
      <c r="X88" s="147"/>
    </row>
    <row r="89" spans="2:24" x14ac:dyDescent="0.35">
      <c r="B89" s="137" t="s">
        <v>462</v>
      </c>
      <c r="C89" s="147" t="s">
        <v>230</v>
      </c>
      <c r="D89" s="139" t="s">
        <v>370</v>
      </c>
      <c r="E89" s="147" t="s">
        <v>248</v>
      </c>
      <c r="F89" s="147" t="s">
        <v>106</v>
      </c>
      <c r="G89" s="141">
        <v>1713</v>
      </c>
      <c r="H89" s="142">
        <v>2630</v>
      </c>
      <c r="I89" s="144">
        <f t="shared" si="7"/>
        <v>4505190</v>
      </c>
      <c r="J89" s="193"/>
      <c r="K89" s="141">
        <f>G89</f>
        <v>1713</v>
      </c>
      <c r="L89" s="143">
        <f t="shared" si="12"/>
        <v>2630</v>
      </c>
      <c r="M89" s="144">
        <f t="shared" si="13"/>
        <v>4505190</v>
      </c>
      <c r="N89" s="135" t="s">
        <v>523</v>
      </c>
      <c r="O89" s="193"/>
      <c r="P89" s="145">
        <v>0</v>
      </c>
      <c r="Q89" s="143">
        <f t="shared" si="10"/>
        <v>2630</v>
      </c>
      <c r="R89" s="144">
        <f t="shared" si="11"/>
        <v>0</v>
      </c>
      <c r="S89" s="135" t="s">
        <v>146</v>
      </c>
      <c r="T89" s="193"/>
      <c r="U89" s="145">
        <f t="shared" si="8"/>
        <v>0</v>
      </c>
      <c r="V89" s="144">
        <f t="shared" si="9"/>
        <v>0</v>
      </c>
      <c r="W89" s="193"/>
      <c r="X89" s="147"/>
    </row>
    <row r="90" spans="2:24" x14ac:dyDescent="0.35">
      <c r="B90" s="137" t="s">
        <v>463</v>
      </c>
      <c r="C90" s="147" t="s">
        <v>336</v>
      </c>
      <c r="D90" s="139" t="s">
        <v>464</v>
      </c>
      <c r="E90" s="147" t="s">
        <v>489</v>
      </c>
      <c r="F90" s="147" t="s">
        <v>106</v>
      </c>
      <c r="G90" s="141">
        <v>4400</v>
      </c>
      <c r="H90" s="142">
        <v>2630</v>
      </c>
      <c r="I90" s="144">
        <f t="shared" si="7"/>
        <v>11572000</v>
      </c>
      <c r="J90" s="193"/>
      <c r="K90" s="141">
        <v>2640</v>
      </c>
      <c r="L90" s="143">
        <f t="shared" si="12"/>
        <v>2630</v>
      </c>
      <c r="M90" s="144">
        <f t="shared" si="13"/>
        <v>6943200</v>
      </c>
      <c r="N90" s="135" t="s">
        <v>473</v>
      </c>
      <c r="O90" s="193"/>
      <c r="P90" s="145">
        <v>1760</v>
      </c>
      <c r="Q90" s="143">
        <f t="shared" si="10"/>
        <v>2630</v>
      </c>
      <c r="R90" s="144">
        <f t="shared" si="11"/>
        <v>4628800</v>
      </c>
      <c r="S90" s="135" t="s">
        <v>645</v>
      </c>
      <c r="T90" s="193"/>
      <c r="U90" s="145">
        <f t="shared" si="8"/>
        <v>0</v>
      </c>
      <c r="V90" s="144">
        <f t="shared" si="9"/>
        <v>0</v>
      </c>
      <c r="W90" s="193"/>
      <c r="X90" s="147"/>
    </row>
    <row r="91" spans="2:24" x14ac:dyDescent="0.35">
      <c r="B91" s="137" t="s">
        <v>469</v>
      </c>
      <c r="C91" s="147" t="s">
        <v>202</v>
      </c>
      <c r="D91" s="139" t="s">
        <v>470</v>
      </c>
      <c r="E91" s="147" t="s">
        <v>206</v>
      </c>
      <c r="F91" s="147" t="s">
        <v>106</v>
      </c>
      <c r="G91" s="141">
        <v>4100</v>
      </c>
      <c r="H91" s="142">
        <v>2630</v>
      </c>
      <c r="I91" s="144">
        <f t="shared" si="7"/>
        <v>10783000</v>
      </c>
      <c r="J91" s="193"/>
      <c r="K91" s="141">
        <v>2460</v>
      </c>
      <c r="L91" s="143">
        <f t="shared" si="12"/>
        <v>2630</v>
      </c>
      <c r="M91" s="144">
        <f t="shared" si="13"/>
        <v>6469800</v>
      </c>
      <c r="N91" s="135" t="s">
        <v>477</v>
      </c>
      <c r="O91" s="193"/>
      <c r="P91" s="145">
        <v>1640</v>
      </c>
      <c r="Q91" s="143">
        <f t="shared" si="10"/>
        <v>2630</v>
      </c>
      <c r="R91" s="144">
        <f t="shared" si="11"/>
        <v>4313200</v>
      </c>
      <c r="S91" s="135" t="s">
        <v>1211</v>
      </c>
      <c r="T91" s="193"/>
      <c r="U91" s="145">
        <f t="shared" si="8"/>
        <v>0</v>
      </c>
      <c r="V91" s="144">
        <f t="shared" si="9"/>
        <v>0</v>
      </c>
      <c r="W91" s="193"/>
      <c r="X91" s="147"/>
    </row>
    <row r="92" spans="2:24" x14ac:dyDescent="0.35">
      <c r="B92" s="137" t="s">
        <v>485</v>
      </c>
      <c r="C92" s="147" t="s">
        <v>398</v>
      </c>
      <c r="D92" s="139" t="s">
        <v>399</v>
      </c>
      <c r="E92" s="147" t="s">
        <v>248</v>
      </c>
      <c r="F92" s="147" t="s">
        <v>106</v>
      </c>
      <c r="G92" s="141">
        <v>2068</v>
      </c>
      <c r="H92" s="142">
        <v>2630</v>
      </c>
      <c r="I92" s="144">
        <f t="shared" si="7"/>
        <v>5438840</v>
      </c>
      <c r="J92" s="193"/>
      <c r="K92" s="141">
        <f>G92</f>
        <v>2068</v>
      </c>
      <c r="L92" s="143">
        <f t="shared" si="12"/>
        <v>2630</v>
      </c>
      <c r="M92" s="144">
        <f t="shared" si="13"/>
        <v>5438840</v>
      </c>
      <c r="N92" s="135" t="s">
        <v>655</v>
      </c>
      <c r="O92" s="193"/>
      <c r="P92" s="145">
        <v>0</v>
      </c>
      <c r="Q92" s="143">
        <f t="shared" si="10"/>
        <v>2630</v>
      </c>
      <c r="R92" s="144">
        <f t="shared" si="11"/>
        <v>0</v>
      </c>
      <c r="S92" s="135" t="s">
        <v>146</v>
      </c>
      <c r="T92" s="193"/>
      <c r="U92" s="145">
        <f t="shared" si="8"/>
        <v>0</v>
      </c>
      <c r="V92" s="144">
        <f t="shared" si="9"/>
        <v>0</v>
      </c>
      <c r="W92" s="193"/>
      <c r="X92" s="147"/>
    </row>
    <row r="93" spans="2:24" x14ac:dyDescent="0.35">
      <c r="B93" s="137" t="s">
        <v>486</v>
      </c>
      <c r="C93" s="147" t="s">
        <v>160</v>
      </c>
      <c r="D93" s="147" t="s">
        <v>213</v>
      </c>
      <c r="E93" s="147" t="s">
        <v>383</v>
      </c>
      <c r="F93" s="147" t="s">
        <v>106</v>
      </c>
      <c r="G93" s="141">
        <v>4500</v>
      </c>
      <c r="H93" s="142">
        <v>2630</v>
      </c>
      <c r="I93" s="144">
        <f t="shared" si="7"/>
        <v>11835000</v>
      </c>
      <c r="J93" s="193"/>
      <c r="K93" s="141">
        <v>2700</v>
      </c>
      <c r="L93" s="143">
        <f t="shared" si="12"/>
        <v>2630</v>
      </c>
      <c r="M93" s="144">
        <f t="shared" si="13"/>
        <v>7101000</v>
      </c>
      <c r="N93" s="135" t="s">
        <v>513</v>
      </c>
      <c r="O93" s="193"/>
      <c r="P93" s="145">
        <v>1800</v>
      </c>
      <c r="Q93" s="143">
        <f t="shared" si="10"/>
        <v>2630</v>
      </c>
      <c r="R93" s="144">
        <f t="shared" si="11"/>
        <v>4734000</v>
      </c>
      <c r="S93" s="135" t="s">
        <v>1211</v>
      </c>
      <c r="T93" s="193"/>
      <c r="U93" s="145">
        <f t="shared" si="8"/>
        <v>0</v>
      </c>
      <c r="V93" s="144">
        <f t="shared" si="9"/>
        <v>0</v>
      </c>
      <c r="W93" s="193"/>
      <c r="X93" s="147"/>
    </row>
    <row r="94" spans="2:24" x14ac:dyDescent="0.35">
      <c r="B94" s="137" t="s">
        <v>491</v>
      </c>
      <c r="C94" s="147" t="s">
        <v>230</v>
      </c>
      <c r="D94" s="139" t="s">
        <v>492</v>
      </c>
      <c r="E94" s="147" t="s">
        <v>206</v>
      </c>
      <c r="F94" s="147" t="s">
        <v>106</v>
      </c>
      <c r="G94" s="141">
        <v>4500</v>
      </c>
      <c r="H94" s="142">
        <v>2630</v>
      </c>
      <c r="I94" s="144">
        <f t="shared" si="7"/>
        <v>11835000</v>
      </c>
      <c r="J94" s="193"/>
      <c r="K94" s="141">
        <v>2460</v>
      </c>
      <c r="L94" s="143">
        <f t="shared" si="12"/>
        <v>2630</v>
      </c>
      <c r="M94" s="144">
        <f t="shared" si="13"/>
        <v>6469800</v>
      </c>
      <c r="N94" s="135" t="s">
        <v>513</v>
      </c>
      <c r="O94" s="193"/>
      <c r="P94" s="145">
        <f>1640+400</f>
        <v>2040</v>
      </c>
      <c r="Q94" s="143">
        <f t="shared" si="10"/>
        <v>2630</v>
      </c>
      <c r="R94" s="144">
        <f t="shared" si="11"/>
        <v>5365200</v>
      </c>
      <c r="S94" s="135" t="s">
        <v>1212</v>
      </c>
      <c r="T94" s="193"/>
      <c r="U94" s="145">
        <f t="shared" si="8"/>
        <v>0</v>
      </c>
      <c r="V94" s="144">
        <f t="shared" si="9"/>
        <v>0</v>
      </c>
      <c r="W94" s="193"/>
      <c r="X94" s="147"/>
    </row>
    <row r="95" spans="2:24" x14ac:dyDescent="0.35">
      <c r="B95" s="137" t="s">
        <v>496</v>
      </c>
      <c r="C95" s="147" t="s">
        <v>393</v>
      </c>
      <c r="D95" s="147" t="s">
        <v>394</v>
      </c>
      <c r="E95" s="147" t="s">
        <v>248</v>
      </c>
      <c r="F95" s="147" t="s">
        <v>106</v>
      </c>
      <c r="G95" s="141">
        <v>2049</v>
      </c>
      <c r="H95" s="142">
        <v>2630</v>
      </c>
      <c r="I95" s="144">
        <f t="shared" si="7"/>
        <v>5388870</v>
      </c>
      <c r="J95" s="193"/>
      <c r="K95" s="141">
        <v>0</v>
      </c>
      <c r="L95" s="143">
        <f t="shared" si="12"/>
        <v>2630</v>
      </c>
      <c r="M95" s="144">
        <f t="shared" si="13"/>
        <v>0</v>
      </c>
      <c r="N95" s="135" t="s">
        <v>146</v>
      </c>
      <c r="O95" s="193"/>
      <c r="P95" s="145">
        <v>2049</v>
      </c>
      <c r="Q95" s="143">
        <f t="shared" si="10"/>
        <v>2630</v>
      </c>
      <c r="R95" s="144">
        <f t="shared" si="11"/>
        <v>5388870</v>
      </c>
      <c r="S95" s="135" t="s">
        <v>1213</v>
      </c>
      <c r="T95" s="193"/>
      <c r="U95" s="145">
        <f t="shared" si="8"/>
        <v>0</v>
      </c>
      <c r="V95" s="144">
        <f t="shared" si="9"/>
        <v>0</v>
      </c>
      <c r="W95" s="193"/>
      <c r="X95" s="147"/>
    </row>
    <row r="96" spans="2:24" x14ac:dyDescent="0.35">
      <c r="B96" s="137" t="s">
        <v>497</v>
      </c>
      <c r="C96" s="147" t="s">
        <v>180</v>
      </c>
      <c r="D96" s="139" t="s">
        <v>384</v>
      </c>
      <c r="E96" s="147" t="s">
        <v>248</v>
      </c>
      <c r="F96" s="147" t="s">
        <v>106</v>
      </c>
      <c r="G96" s="141">
        <v>2059</v>
      </c>
      <c r="H96" s="142">
        <v>2630</v>
      </c>
      <c r="I96" s="144">
        <f t="shared" si="7"/>
        <v>5415170</v>
      </c>
      <c r="J96" s="193"/>
      <c r="K96" s="141">
        <f>G96</f>
        <v>2059</v>
      </c>
      <c r="L96" s="143">
        <f t="shared" si="12"/>
        <v>2630</v>
      </c>
      <c r="M96" s="144">
        <f t="shared" si="13"/>
        <v>5415170</v>
      </c>
      <c r="N96" s="135" t="s">
        <v>615</v>
      </c>
      <c r="O96" s="193"/>
      <c r="P96" s="145">
        <v>0</v>
      </c>
      <c r="Q96" s="143">
        <f t="shared" si="10"/>
        <v>2630</v>
      </c>
      <c r="R96" s="144">
        <f t="shared" si="11"/>
        <v>0</v>
      </c>
      <c r="S96" s="135" t="s">
        <v>146</v>
      </c>
      <c r="T96" s="193"/>
      <c r="U96" s="145">
        <f t="shared" si="8"/>
        <v>0</v>
      </c>
      <c r="V96" s="144">
        <f t="shared" si="9"/>
        <v>0</v>
      </c>
      <c r="W96" s="193"/>
      <c r="X96" s="147"/>
    </row>
    <row r="97" spans="2:24" x14ac:dyDescent="0.35">
      <c r="B97" s="137" t="s">
        <v>498</v>
      </c>
      <c r="C97" s="147" t="s">
        <v>398</v>
      </c>
      <c r="D97" s="139" t="s">
        <v>499</v>
      </c>
      <c r="E97" s="147" t="s">
        <v>182</v>
      </c>
      <c r="F97" s="147" t="s">
        <v>183</v>
      </c>
      <c r="G97" s="141">
        <v>4100</v>
      </c>
      <c r="H97" s="142">
        <v>2650</v>
      </c>
      <c r="I97" s="144">
        <f t="shared" si="7"/>
        <v>10865000</v>
      </c>
      <c r="J97" s="193"/>
      <c r="K97" s="141">
        <v>4100</v>
      </c>
      <c r="L97" s="143">
        <f t="shared" si="12"/>
        <v>2650</v>
      </c>
      <c r="M97" s="144">
        <f t="shared" si="13"/>
        <v>10865000</v>
      </c>
      <c r="N97" s="135" t="s">
        <v>659</v>
      </c>
      <c r="O97" s="193"/>
      <c r="P97" s="145">
        <v>0</v>
      </c>
      <c r="Q97" s="143">
        <f t="shared" si="10"/>
        <v>2650</v>
      </c>
      <c r="R97" s="144">
        <f t="shared" si="11"/>
        <v>0</v>
      </c>
      <c r="S97" s="135" t="s">
        <v>146</v>
      </c>
      <c r="T97" s="193"/>
      <c r="U97" s="145">
        <f t="shared" si="8"/>
        <v>0</v>
      </c>
      <c r="V97" s="144">
        <f t="shared" si="9"/>
        <v>0</v>
      </c>
      <c r="W97" s="193"/>
      <c r="X97" s="147"/>
    </row>
    <row r="98" spans="2:24" x14ac:dyDescent="0.35">
      <c r="B98" s="137" t="s">
        <v>502</v>
      </c>
      <c r="C98" s="147" t="s">
        <v>393</v>
      </c>
      <c r="D98" s="139" t="s">
        <v>503</v>
      </c>
      <c r="E98" s="147" t="s">
        <v>182</v>
      </c>
      <c r="F98" s="147" t="s">
        <v>183</v>
      </c>
      <c r="G98" s="141">
        <v>4100</v>
      </c>
      <c r="H98" s="142">
        <v>2650</v>
      </c>
      <c r="I98" s="144">
        <f t="shared" si="7"/>
        <v>10865000</v>
      </c>
      <c r="J98" s="193"/>
      <c r="K98" s="141">
        <v>4100</v>
      </c>
      <c r="L98" s="143">
        <f t="shared" si="12"/>
        <v>2650</v>
      </c>
      <c r="M98" s="144">
        <f t="shared" si="13"/>
        <v>10865000</v>
      </c>
      <c r="N98" s="135" t="s">
        <v>659</v>
      </c>
      <c r="O98" s="193"/>
      <c r="P98" s="145">
        <v>0</v>
      </c>
      <c r="Q98" s="143">
        <f t="shared" si="10"/>
        <v>2650</v>
      </c>
      <c r="R98" s="144">
        <f t="shared" si="11"/>
        <v>0</v>
      </c>
      <c r="S98" s="135" t="s">
        <v>146</v>
      </c>
      <c r="T98" s="193"/>
      <c r="U98" s="145">
        <f t="shared" si="8"/>
        <v>0</v>
      </c>
      <c r="V98" s="144">
        <f t="shared" si="9"/>
        <v>0</v>
      </c>
      <c r="W98" s="193"/>
      <c r="X98" s="147"/>
    </row>
    <row r="99" spans="2:24" x14ac:dyDescent="0.35">
      <c r="B99" s="137" t="s">
        <v>505</v>
      </c>
      <c r="C99" s="147" t="s">
        <v>180</v>
      </c>
      <c r="D99" s="139" t="s">
        <v>507</v>
      </c>
      <c r="E99" s="147" t="s">
        <v>182</v>
      </c>
      <c r="F99" s="147" t="s">
        <v>319</v>
      </c>
      <c r="G99" s="141">
        <v>4100</v>
      </c>
      <c r="H99" s="142">
        <v>2650</v>
      </c>
      <c r="I99" s="144">
        <f t="shared" si="7"/>
        <v>10865000</v>
      </c>
      <c r="J99" s="193"/>
      <c r="K99" s="141">
        <v>4100</v>
      </c>
      <c r="L99" s="143">
        <f t="shared" si="12"/>
        <v>2650</v>
      </c>
      <c r="M99" s="144">
        <f t="shared" si="13"/>
        <v>10865000</v>
      </c>
      <c r="N99" s="135" t="s">
        <v>634</v>
      </c>
      <c r="O99" s="193"/>
      <c r="P99" s="145">
        <v>0</v>
      </c>
      <c r="Q99" s="143">
        <f t="shared" si="10"/>
        <v>2650</v>
      </c>
      <c r="R99" s="144">
        <f t="shared" si="11"/>
        <v>0</v>
      </c>
      <c r="S99" s="135" t="s">
        <v>146</v>
      </c>
      <c r="T99" s="193"/>
      <c r="U99" s="145">
        <f t="shared" si="8"/>
        <v>0</v>
      </c>
      <c r="V99" s="144">
        <f t="shared" si="9"/>
        <v>0</v>
      </c>
      <c r="W99" s="193"/>
      <c r="X99" s="147"/>
    </row>
    <row r="100" spans="2:24" x14ac:dyDescent="0.35">
      <c r="B100" s="137" t="s">
        <v>506</v>
      </c>
      <c r="C100" s="147" t="s">
        <v>175</v>
      </c>
      <c r="D100" s="139" t="s">
        <v>510</v>
      </c>
      <c r="E100" s="147" t="s">
        <v>182</v>
      </c>
      <c r="F100" s="147" t="s">
        <v>319</v>
      </c>
      <c r="G100" s="141">
        <v>4100</v>
      </c>
      <c r="H100" s="142">
        <v>2650</v>
      </c>
      <c r="I100" s="144">
        <f t="shared" si="7"/>
        <v>10865000</v>
      </c>
      <c r="J100" s="193"/>
      <c r="K100" s="141">
        <v>4100</v>
      </c>
      <c r="L100" s="143">
        <f t="shared" si="12"/>
        <v>2650</v>
      </c>
      <c r="M100" s="144">
        <f t="shared" si="13"/>
        <v>10865000</v>
      </c>
      <c r="N100" s="135" t="s">
        <v>634</v>
      </c>
      <c r="O100" s="193"/>
      <c r="P100" s="145">
        <v>0</v>
      </c>
      <c r="Q100" s="143">
        <f t="shared" si="10"/>
        <v>2650</v>
      </c>
      <c r="R100" s="144">
        <f t="shared" si="11"/>
        <v>0</v>
      </c>
      <c r="S100" s="135" t="s">
        <v>146</v>
      </c>
      <c r="T100" s="193"/>
      <c r="U100" s="145">
        <f t="shared" si="8"/>
        <v>0</v>
      </c>
      <c r="V100" s="144">
        <f t="shared" si="9"/>
        <v>0</v>
      </c>
      <c r="W100" s="193"/>
      <c r="X100" s="147"/>
    </row>
    <row r="101" spans="2:24" x14ac:dyDescent="0.35">
      <c r="B101" s="137" t="s">
        <v>512</v>
      </c>
      <c r="C101" s="147" t="s">
        <v>175</v>
      </c>
      <c r="D101" s="139" t="s">
        <v>390</v>
      </c>
      <c r="E101" s="147" t="s">
        <v>248</v>
      </c>
      <c r="F101" s="147" t="s">
        <v>106</v>
      </c>
      <c r="G101" s="141">
        <v>2056</v>
      </c>
      <c r="H101" s="142">
        <v>2630</v>
      </c>
      <c r="I101" s="144">
        <f t="shared" si="7"/>
        <v>5407280</v>
      </c>
      <c r="J101" s="193"/>
      <c r="K101" s="141">
        <v>0</v>
      </c>
      <c r="L101" s="143">
        <f t="shared" si="12"/>
        <v>2630</v>
      </c>
      <c r="M101" s="144">
        <f t="shared" si="13"/>
        <v>0</v>
      </c>
      <c r="N101" s="135" t="s">
        <v>146</v>
      </c>
      <c r="O101" s="193"/>
      <c r="P101" s="145">
        <v>2056</v>
      </c>
      <c r="Q101" s="143">
        <f t="shared" si="10"/>
        <v>2630</v>
      </c>
      <c r="R101" s="144">
        <f t="shared" si="11"/>
        <v>5407280</v>
      </c>
      <c r="S101" s="135" t="s">
        <v>1213</v>
      </c>
      <c r="T101" s="193"/>
      <c r="U101" s="145">
        <f t="shared" si="8"/>
        <v>0</v>
      </c>
      <c r="V101" s="144">
        <f t="shared" si="9"/>
        <v>0</v>
      </c>
      <c r="W101" s="193"/>
      <c r="X101" s="147"/>
    </row>
    <row r="102" spans="2:24" x14ac:dyDescent="0.35">
      <c r="B102" s="137" t="s">
        <v>514</v>
      </c>
      <c r="C102" s="147" t="s">
        <v>515</v>
      </c>
      <c r="D102" s="139" t="s">
        <v>516</v>
      </c>
      <c r="E102" s="147" t="s">
        <v>206</v>
      </c>
      <c r="F102" s="147" t="s">
        <v>106</v>
      </c>
      <c r="G102" s="141">
        <v>4100</v>
      </c>
      <c r="H102" s="142">
        <v>2630</v>
      </c>
      <c r="I102" s="144">
        <f t="shared" si="7"/>
        <v>10783000</v>
      </c>
      <c r="J102" s="193"/>
      <c r="K102" s="141">
        <v>2460</v>
      </c>
      <c r="L102" s="143">
        <f t="shared" si="12"/>
        <v>2630</v>
      </c>
      <c r="M102" s="144">
        <f t="shared" si="13"/>
        <v>6469800</v>
      </c>
      <c r="N102" s="135" t="s">
        <v>620</v>
      </c>
      <c r="O102" s="193"/>
      <c r="P102" s="145">
        <v>1640</v>
      </c>
      <c r="Q102" s="143">
        <f t="shared" si="10"/>
        <v>2630</v>
      </c>
      <c r="R102" s="144">
        <f t="shared" si="11"/>
        <v>4313200</v>
      </c>
      <c r="S102" s="135" t="s">
        <v>695</v>
      </c>
      <c r="T102" s="193"/>
      <c r="U102" s="145">
        <f t="shared" si="8"/>
        <v>0</v>
      </c>
      <c r="V102" s="144">
        <f t="shared" si="9"/>
        <v>0</v>
      </c>
      <c r="W102" s="193"/>
      <c r="X102" s="147"/>
    </row>
    <row r="103" spans="2:24" x14ac:dyDescent="0.35">
      <c r="B103" s="137" t="s">
        <v>525</v>
      </c>
      <c r="C103" s="147" t="s">
        <v>331</v>
      </c>
      <c r="D103" s="139" t="s">
        <v>526</v>
      </c>
      <c r="E103" s="147" t="s">
        <v>182</v>
      </c>
      <c r="F103" s="147" t="s">
        <v>319</v>
      </c>
      <c r="G103" s="141">
        <v>4100</v>
      </c>
      <c r="H103" s="142">
        <v>2650</v>
      </c>
      <c r="I103" s="144">
        <f t="shared" si="7"/>
        <v>10865000</v>
      </c>
      <c r="J103" s="193"/>
      <c r="K103" s="141">
        <v>4100</v>
      </c>
      <c r="L103" s="143">
        <f t="shared" si="12"/>
        <v>2650</v>
      </c>
      <c r="M103" s="144">
        <f t="shared" si="13"/>
        <v>10865000</v>
      </c>
      <c r="N103" s="135" t="s">
        <v>1214</v>
      </c>
      <c r="O103" s="193"/>
      <c r="P103" s="145">
        <v>0</v>
      </c>
      <c r="Q103" s="143">
        <f t="shared" si="10"/>
        <v>2650</v>
      </c>
      <c r="R103" s="144">
        <f t="shared" si="11"/>
        <v>0</v>
      </c>
      <c r="S103" s="135" t="s">
        <v>146</v>
      </c>
      <c r="T103" s="193"/>
      <c r="U103" s="145">
        <f t="shared" si="8"/>
        <v>0</v>
      </c>
      <c r="V103" s="144">
        <f t="shared" si="9"/>
        <v>0</v>
      </c>
      <c r="W103" s="193"/>
      <c r="X103" s="147"/>
    </row>
    <row r="104" spans="2:24" x14ac:dyDescent="0.35">
      <c r="B104" s="137" t="s">
        <v>528</v>
      </c>
      <c r="C104" s="147" t="s">
        <v>224</v>
      </c>
      <c r="D104" s="147" t="s">
        <v>213</v>
      </c>
      <c r="E104" s="147" t="s">
        <v>248</v>
      </c>
      <c r="F104" s="147" t="s">
        <v>106</v>
      </c>
      <c r="G104" s="141">
        <v>2040</v>
      </c>
      <c r="H104" s="142">
        <v>2630</v>
      </c>
      <c r="I104" s="144">
        <f t="shared" si="7"/>
        <v>5365200</v>
      </c>
      <c r="J104" s="193"/>
      <c r="K104" s="141">
        <f>G104</f>
        <v>2040</v>
      </c>
      <c r="L104" s="143">
        <f>H104</f>
        <v>2630</v>
      </c>
      <c r="M104" s="144">
        <f>K104*L104</f>
        <v>5365200</v>
      </c>
      <c r="N104" s="135" t="s">
        <v>615</v>
      </c>
      <c r="O104" s="193"/>
      <c r="P104" s="145">
        <v>0</v>
      </c>
      <c r="Q104" s="143">
        <f t="shared" si="10"/>
        <v>2630</v>
      </c>
      <c r="R104" s="144">
        <f t="shared" si="11"/>
        <v>0</v>
      </c>
      <c r="S104" s="135" t="s">
        <v>146</v>
      </c>
      <c r="T104" s="193"/>
      <c r="U104" s="145">
        <f t="shared" si="8"/>
        <v>0</v>
      </c>
      <c r="V104" s="144">
        <f t="shared" si="9"/>
        <v>0</v>
      </c>
      <c r="W104" s="193"/>
      <c r="X104" s="147"/>
    </row>
    <row r="105" spans="2:24" x14ac:dyDescent="0.35">
      <c r="B105" s="137" t="s">
        <v>529</v>
      </c>
      <c r="C105" s="147" t="s">
        <v>189</v>
      </c>
      <c r="D105" s="139" t="s">
        <v>530</v>
      </c>
      <c r="E105" s="147" t="s">
        <v>564</v>
      </c>
      <c r="F105" s="147" t="s">
        <v>106</v>
      </c>
      <c r="G105" s="141">
        <f>4200+3100</f>
        <v>7300</v>
      </c>
      <c r="H105" s="142">
        <v>2630</v>
      </c>
      <c r="I105" s="144">
        <f t="shared" si="7"/>
        <v>19199000</v>
      </c>
      <c r="J105" s="193"/>
      <c r="K105" s="141">
        <f>2460+100</f>
        <v>2560</v>
      </c>
      <c r="L105" s="143">
        <f t="shared" si="12"/>
        <v>2630</v>
      </c>
      <c r="M105" s="144">
        <f t="shared" si="13"/>
        <v>6732800</v>
      </c>
      <c r="N105" s="135" t="s">
        <v>544</v>
      </c>
      <c r="O105" s="193"/>
      <c r="P105" s="145">
        <v>4740</v>
      </c>
      <c r="Q105" s="143">
        <f t="shared" si="10"/>
        <v>2630</v>
      </c>
      <c r="R105" s="144">
        <f t="shared" si="11"/>
        <v>12466200</v>
      </c>
      <c r="S105" s="135" t="s">
        <v>937</v>
      </c>
      <c r="T105" s="193"/>
      <c r="U105" s="145">
        <f t="shared" si="8"/>
        <v>0</v>
      </c>
      <c r="V105" s="144">
        <f t="shared" si="9"/>
        <v>0</v>
      </c>
      <c r="W105" s="193"/>
      <c r="X105" s="147"/>
    </row>
    <row r="106" spans="2:24" x14ac:dyDescent="0.35">
      <c r="B106" s="137" t="s">
        <v>533</v>
      </c>
      <c r="C106" s="147" t="s">
        <v>164</v>
      </c>
      <c r="D106" s="147" t="s">
        <v>213</v>
      </c>
      <c r="E106" s="147" t="s">
        <v>206</v>
      </c>
      <c r="F106" s="147" t="s">
        <v>106</v>
      </c>
      <c r="G106" s="141">
        <v>4100</v>
      </c>
      <c r="H106" s="142">
        <v>2630</v>
      </c>
      <c r="I106" s="144">
        <f t="shared" si="7"/>
        <v>10783000</v>
      </c>
      <c r="J106" s="193"/>
      <c r="K106" s="141">
        <v>2460</v>
      </c>
      <c r="L106" s="143">
        <f t="shared" si="12"/>
        <v>2630</v>
      </c>
      <c r="M106" s="144">
        <f t="shared" si="13"/>
        <v>6469800</v>
      </c>
      <c r="N106" s="135" t="s">
        <v>545</v>
      </c>
      <c r="O106" s="193"/>
      <c r="P106" s="145">
        <v>1640</v>
      </c>
      <c r="Q106" s="143">
        <f t="shared" si="10"/>
        <v>2630</v>
      </c>
      <c r="R106" s="144">
        <f t="shared" si="11"/>
        <v>4313200</v>
      </c>
      <c r="S106" s="135" t="s">
        <v>675</v>
      </c>
      <c r="T106" s="193"/>
      <c r="U106" s="145">
        <f t="shared" si="8"/>
        <v>0</v>
      </c>
      <c r="V106" s="144">
        <f t="shared" si="9"/>
        <v>0</v>
      </c>
      <c r="W106" s="193"/>
      <c r="X106" s="147"/>
    </row>
    <row r="107" spans="2:24" x14ac:dyDescent="0.35">
      <c r="B107" s="137" t="s">
        <v>534</v>
      </c>
      <c r="C107" s="147" t="s">
        <v>203</v>
      </c>
      <c r="D107" s="147" t="s">
        <v>213</v>
      </c>
      <c r="E107" s="147" t="s">
        <v>206</v>
      </c>
      <c r="F107" s="147" t="s">
        <v>106</v>
      </c>
      <c r="G107" s="141">
        <v>4100</v>
      </c>
      <c r="H107" s="142">
        <v>2630</v>
      </c>
      <c r="I107" s="144">
        <f t="shared" si="7"/>
        <v>10783000</v>
      </c>
      <c r="J107" s="193"/>
      <c r="K107" s="141">
        <v>2460</v>
      </c>
      <c r="L107" s="143">
        <f t="shared" si="12"/>
        <v>2630</v>
      </c>
      <c r="M107" s="144">
        <f t="shared" si="13"/>
        <v>6469800</v>
      </c>
      <c r="N107" s="135" t="s">
        <v>546</v>
      </c>
      <c r="O107" s="193"/>
      <c r="P107" s="145">
        <v>1640</v>
      </c>
      <c r="Q107" s="143">
        <f t="shared" si="10"/>
        <v>2630</v>
      </c>
      <c r="R107" s="144">
        <f t="shared" si="11"/>
        <v>4313200</v>
      </c>
      <c r="S107" s="135" t="s">
        <v>675</v>
      </c>
      <c r="T107" s="193"/>
      <c r="U107" s="145">
        <f t="shared" si="8"/>
        <v>0</v>
      </c>
      <c r="V107" s="144">
        <f t="shared" si="9"/>
        <v>0</v>
      </c>
      <c r="W107" s="193"/>
      <c r="X107" s="147"/>
    </row>
    <row r="108" spans="2:24" x14ac:dyDescent="0.35">
      <c r="B108" s="137" t="s">
        <v>537</v>
      </c>
      <c r="C108" s="147" t="s">
        <v>194</v>
      </c>
      <c r="D108" s="139" t="s">
        <v>540</v>
      </c>
      <c r="E108" s="147" t="s">
        <v>206</v>
      </c>
      <c r="F108" s="147" t="s">
        <v>106</v>
      </c>
      <c r="G108" s="141">
        <v>4100</v>
      </c>
      <c r="H108" s="142">
        <v>2630</v>
      </c>
      <c r="I108" s="144">
        <f t="shared" si="7"/>
        <v>10783000</v>
      </c>
      <c r="J108" s="193"/>
      <c r="K108" s="141">
        <v>2460</v>
      </c>
      <c r="L108" s="143">
        <f t="shared" si="12"/>
        <v>2630</v>
      </c>
      <c r="M108" s="144">
        <f t="shared" si="13"/>
        <v>6469800</v>
      </c>
      <c r="N108" s="135" t="s">
        <v>554</v>
      </c>
      <c r="O108" s="193"/>
      <c r="P108" s="145">
        <v>1540</v>
      </c>
      <c r="Q108" s="143">
        <f t="shared" si="10"/>
        <v>2630</v>
      </c>
      <c r="R108" s="144">
        <f t="shared" si="11"/>
        <v>4050200</v>
      </c>
      <c r="S108" s="135" t="s">
        <v>785</v>
      </c>
      <c r="T108" s="193"/>
      <c r="U108" s="145">
        <f t="shared" si="8"/>
        <v>100</v>
      </c>
      <c r="V108" s="144">
        <f t="shared" si="9"/>
        <v>263000</v>
      </c>
      <c r="W108" s="193"/>
      <c r="X108" s="147" t="s">
        <v>786</v>
      </c>
    </row>
    <row r="109" spans="2:24" x14ac:dyDescent="0.35">
      <c r="B109" s="137" t="s">
        <v>538</v>
      </c>
      <c r="C109" s="147" t="s">
        <v>232</v>
      </c>
      <c r="D109" s="147" t="s">
        <v>213</v>
      </c>
      <c r="E109" s="147" t="s">
        <v>248</v>
      </c>
      <c r="F109" s="147" t="s">
        <v>106</v>
      </c>
      <c r="G109" s="141">
        <v>2033</v>
      </c>
      <c r="H109" s="142">
        <v>2630</v>
      </c>
      <c r="I109" s="144">
        <f t="shared" si="7"/>
        <v>5346790</v>
      </c>
      <c r="J109" s="193"/>
      <c r="K109" s="141">
        <f>G109</f>
        <v>2033</v>
      </c>
      <c r="L109" s="143">
        <f>H109</f>
        <v>2630</v>
      </c>
      <c r="M109" s="144">
        <f>K109*L109</f>
        <v>5346790</v>
      </c>
      <c r="N109" s="135" t="s">
        <v>615</v>
      </c>
      <c r="O109" s="193"/>
      <c r="P109" s="145">
        <v>0</v>
      </c>
      <c r="Q109" s="143">
        <f t="shared" si="10"/>
        <v>2630</v>
      </c>
      <c r="R109" s="144">
        <f t="shared" si="11"/>
        <v>0</v>
      </c>
      <c r="S109" s="135" t="s">
        <v>146</v>
      </c>
      <c r="T109" s="193"/>
      <c r="U109" s="145">
        <f t="shared" si="8"/>
        <v>0</v>
      </c>
      <c r="V109" s="144">
        <f t="shared" si="9"/>
        <v>0</v>
      </c>
      <c r="W109" s="193"/>
      <c r="X109" s="147"/>
    </row>
    <row r="110" spans="2:24" x14ac:dyDescent="0.35">
      <c r="B110" s="137" t="s">
        <v>539</v>
      </c>
      <c r="C110" s="147" t="s">
        <v>201</v>
      </c>
      <c r="D110" s="147" t="s">
        <v>213</v>
      </c>
      <c r="E110" s="147" t="s">
        <v>248</v>
      </c>
      <c r="F110" s="147" t="s">
        <v>106</v>
      </c>
      <c r="G110" s="141">
        <v>2009</v>
      </c>
      <c r="H110" s="142">
        <v>2630</v>
      </c>
      <c r="I110" s="144">
        <f t="shared" si="7"/>
        <v>5283670</v>
      </c>
      <c r="J110" s="193"/>
      <c r="K110" s="141">
        <f>G110</f>
        <v>2009</v>
      </c>
      <c r="L110" s="143">
        <f>H110</f>
        <v>2630</v>
      </c>
      <c r="M110" s="144">
        <f>K110*L110</f>
        <v>5283670</v>
      </c>
      <c r="N110" s="135" t="s">
        <v>615</v>
      </c>
      <c r="O110" s="193"/>
      <c r="P110" s="145">
        <v>0</v>
      </c>
      <c r="Q110" s="143">
        <f t="shared" si="10"/>
        <v>2630</v>
      </c>
      <c r="R110" s="144">
        <f t="shared" si="11"/>
        <v>0</v>
      </c>
      <c r="S110" s="135" t="s">
        <v>146</v>
      </c>
      <c r="T110" s="193"/>
      <c r="U110" s="145">
        <f t="shared" si="8"/>
        <v>0</v>
      </c>
      <c r="V110" s="144">
        <f t="shared" si="9"/>
        <v>0</v>
      </c>
      <c r="W110" s="193"/>
      <c r="X110" s="147"/>
    </row>
    <row r="111" spans="2:24" x14ac:dyDescent="0.35">
      <c r="B111" s="137" t="s">
        <v>549</v>
      </c>
      <c r="C111" s="147" t="s">
        <v>232</v>
      </c>
      <c r="D111" s="139" t="s">
        <v>550</v>
      </c>
      <c r="E111" s="147" t="s">
        <v>182</v>
      </c>
      <c r="F111" s="147" t="s">
        <v>319</v>
      </c>
      <c r="G111" s="141">
        <v>4100</v>
      </c>
      <c r="H111" s="142">
        <v>2700</v>
      </c>
      <c r="I111" s="144">
        <f t="shared" si="7"/>
        <v>11070000</v>
      </c>
      <c r="J111" s="193"/>
      <c r="K111" s="141">
        <f>G111</f>
        <v>4100</v>
      </c>
      <c r="L111" s="143">
        <f t="shared" si="12"/>
        <v>2700</v>
      </c>
      <c r="M111" s="144">
        <f t="shared" si="13"/>
        <v>11070000</v>
      </c>
      <c r="N111" s="135" t="s">
        <v>740</v>
      </c>
      <c r="O111" s="193"/>
      <c r="P111" s="145">
        <v>0</v>
      </c>
      <c r="Q111" s="143">
        <f t="shared" si="10"/>
        <v>2700</v>
      </c>
      <c r="R111" s="144">
        <f t="shared" si="11"/>
        <v>0</v>
      </c>
      <c r="S111" s="135" t="s">
        <v>146</v>
      </c>
      <c r="T111" s="193"/>
      <c r="U111" s="145">
        <f t="shared" si="8"/>
        <v>0</v>
      </c>
      <c r="V111" s="144">
        <f t="shared" si="9"/>
        <v>0</v>
      </c>
      <c r="W111" s="193"/>
      <c r="X111" s="147"/>
    </row>
    <row r="112" spans="2:24" x14ac:dyDescent="0.35">
      <c r="B112" s="137" t="s">
        <v>551</v>
      </c>
      <c r="C112" s="147" t="s">
        <v>201</v>
      </c>
      <c r="D112" s="139" t="s">
        <v>552</v>
      </c>
      <c r="E112" s="147" t="s">
        <v>182</v>
      </c>
      <c r="F112" s="147" t="s">
        <v>183</v>
      </c>
      <c r="G112" s="141">
        <v>4100</v>
      </c>
      <c r="H112" s="142">
        <v>2700</v>
      </c>
      <c r="I112" s="144">
        <f t="shared" si="7"/>
        <v>11070000</v>
      </c>
      <c r="J112" s="193"/>
      <c r="K112" s="141">
        <f>G112</f>
        <v>4100</v>
      </c>
      <c r="L112" s="143">
        <f t="shared" si="12"/>
        <v>2700</v>
      </c>
      <c r="M112" s="144">
        <f t="shared" si="13"/>
        <v>11070000</v>
      </c>
      <c r="N112" s="135" t="s">
        <v>911</v>
      </c>
      <c r="O112" s="193"/>
      <c r="P112" s="145">
        <v>0</v>
      </c>
      <c r="Q112" s="143">
        <f t="shared" si="10"/>
        <v>2700</v>
      </c>
      <c r="R112" s="144">
        <f t="shared" si="11"/>
        <v>0</v>
      </c>
      <c r="S112" s="135" t="s">
        <v>146</v>
      </c>
      <c r="T112" s="193"/>
      <c r="U112" s="145">
        <f t="shared" si="8"/>
        <v>0</v>
      </c>
      <c r="V112" s="144">
        <f t="shared" si="9"/>
        <v>0</v>
      </c>
      <c r="W112" s="193"/>
      <c r="X112" s="147"/>
    </row>
    <row r="113" spans="2:24" x14ac:dyDescent="0.35">
      <c r="B113" s="137" t="s">
        <v>559</v>
      </c>
      <c r="C113" s="147" t="s">
        <v>224</v>
      </c>
      <c r="D113" s="139" t="s">
        <v>560</v>
      </c>
      <c r="E113" s="147" t="s">
        <v>182</v>
      </c>
      <c r="F113" s="147" t="s">
        <v>319</v>
      </c>
      <c r="G113" s="141">
        <v>4100</v>
      </c>
      <c r="H113" s="142">
        <v>2700</v>
      </c>
      <c r="I113" s="144">
        <f t="shared" si="7"/>
        <v>11070000</v>
      </c>
      <c r="J113" s="193"/>
      <c r="K113" s="141">
        <f>G113</f>
        <v>4100</v>
      </c>
      <c r="L113" s="143">
        <f>H113</f>
        <v>2700</v>
      </c>
      <c r="M113" s="144">
        <f>K113*L113</f>
        <v>11070000</v>
      </c>
      <c r="N113" s="135" t="s">
        <v>740</v>
      </c>
      <c r="O113" s="193"/>
      <c r="P113" s="145">
        <v>0</v>
      </c>
      <c r="Q113" s="143">
        <f t="shared" si="10"/>
        <v>2700</v>
      </c>
      <c r="R113" s="144">
        <f t="shared" si="11"/>
        <v>0</v>
      </c>
      <c r="S113" s="135" t="s">
        <v>146</v>
      </c>
      <c r="T113" s="193"/>
      <c r="U113" s="145">
        <f t="shared" si="8"/>
        <v>0</v>
      </c>
      <c r="V113" s="144">
        <f t="shared" si="9"/>
        <v>0</v>
      </c>
      <c r="W113" s="193"/>
      <c r="X113" s="147"/>
    </row>
    <row r="114" spans="2:24" x14ac:dyDescent="0.35">
      <c r="B114" s="137" t="s">
        <v>563</v>
      </c>
      <c r="C114" s="147" t="s">
        <v>170</v>
      </c>
      <c r="D114" s="139" t="s">
        <v>565</v>
      </c>
      <c r="E114" s="147" t="s">
        <v>564</v>
      </c>
      <c r="F114" s="147" t="s">
        <v>106</v>
      </c>
      <c r="G114" s="141">
        <f>4200+2200</f>
        <v>6400</v>
      </c>
      <c r="H114" s="142">
        <v>2680</v>
      </c>
      <c r="I114" s="144">
        <f t="shared" si="7"/>
        <v>17152000</v>
      </c>
      <c r="J114" s="193"/>
      <c r="K114" s="141">
        <v>2520</v>
      </c>
      <c r="L114" s="143">
        <f t="shared" si="12"/>
        <v>2680</v>
      </c>
      <c r="M114" s="144">
        <f t="shared" si="13"/>
        <v>6753600</v>
      </c>
      <c r="N114" s="135" t="s">
        <v>614</v>
      </c>
      <c r="O114" s="193"/>
      <c r="P114" s="145">
        <f>1680+2200</f>
        <v>3880</v>
      </c>
      <c r="Q114" s="143">
        <f t="shared" si="10"/>
        <v>2680</v>
      </c>
      <c r="R114" s="144">
        <f t="shared" si="11"/>
        <v>10398400</v>
      </c>
      <c r="S114" s="135" t="s">
        <v>937</v>
      </c>
      <c r="T114" s="193"/>
      <c r="U114" s="145">
        <f t="shared" si="8"/>
        <v>0</v>
      </c>
      <c r="V114" s="144">
        <f t="shared" si="9"/>
        <v>0</v>
      </c>
      <c r="W114" s="193"/>
      <c r="X114" s="147"/>
    </row>
    <row r="115" spans="2:24" x14ac:dyDescent="0.35">
      <c r="B115" s="211" t="s">
        <v>568</v>
      </c>
      <c r="C115" s="147" t="s">
        <v>336</v>
      </c>
      <c r="D115" s="139" t="s">
        <v>464</v>
      </c>
      <c r="E115" s="213" t="s">
        <v>248</v>
      </c>
      <c r="F115" s="213" t="s">
        <v>106</v>
      </c>
      <c r="G115" s="141">
        <v>1792</v>
      </c>
      <c r="H115" s="142">
        <v>2680</v>
      </c>
      <c r="I115" s="144">
        <f t="shared" si="7"/>
        <v>4802560</v>
      </c>
      <c r="J115" s="193"/>
      <c r="K115" s="141">
        <v>1792</v>
      </c>
      <c r="L115" s="143">
        <f t="shared" si="12"/>
        <v>2680</v>
      </c>
      <c r="M115" s="144">
        <f t="shared" si="13"/>
        <v>4802560</v>
      </c>
      <c r="N115" s="135" t="s">
        <v>1756</v>
      </c>
      <c r="O115" s="193"/>
      <c r="P115" s="145">
        <v>0</v>
      </c>
      <c r="Q115" s="143">
        <f t="shared" si="10"/>
        <v>2680</v>
      </c>
      <c r="R115" s="144">
        <f t="shared" si="11"/>
        <v>0</v>
      </c>
      <c r="S115" s="135" t="s">
        <v>146</v>
      </c>
      <c r="T115" s="193"/>
      <c r="U115" s="145">
        <f t="shared" si="8"/>
        <v>0</v>
      </c>
      <c r="V115" s="144">
        <f t="shared" si="9"/>
        <v>0</v>
      </c>
      <c r="W115" s="193"/>
      <c r="X115" s="147"/>
    </row>
    <row r="116" spans="2:24" x14ac:dyDescent="0.35">
      <c r="B116" s="212"/>
      <c r="C116" s="147" t="s">
        <v>202</v>
      </c>
      <c r="D116" s="139" t="s">
        <v>470</v>
      </c>
      <c r="E116" s="214"/>
      <c r="F116" s="214"/>
      <c r="G116" s="141">
        <v>1754</v>
      </c>
      <c r="H116" s="142">
        <v>2680</v>
      </c>
      <c r="I116" s="144">
        <f t="shared" si="7"/>
        <v>4700720</v>
      </c>
      <c r="J116" s="193"/>
      <c r="K116" s="141">
        <v>1754</v>
      </c>
      <c r="L116" s="143">
        <f t="shared" si="12"/>
        <v>2680</v>
      </c>
      <c r="M116" s="144">
        <f t="shared" si="13"/>
        <v>4700720</v>
      </c>
      <c r="N116" s="135" t="s">
        <v>1756</v>
      </c>
      <c r="O116" s="193"/>
      <c r="P116" s="145">
        <v>0</v>
      </c>
      <c r="Q116" s="143">
        <f t="shared" si="10"/>
        <v>2680</v>
      </c>
      <c r="R116" s="144">
        <f t="shared" si="11"/>
        <v>0</v>
      </c>
      <c r="S116" s="135" t="s">
        <v>146</v>
      </c>
      <c r="T116" s="193"/>
      <c r="U116" s="145">
        <f t="shared" si="8"/>
        <v>0</v>
      </c>
      <c r="V116" s="144">
        <f t="shared" si="9"/>
        <v>0</v>
      </c>
      <c r="W116" s="193"/>
      <c r="X116" s="147"/>
    </row>
    <row r="117" spans="2:24" x14ac:dyDescent="0.35">
      <c r="B117" s="137" t="s">
        <v>569</v>
      </c>
      <c r="C117" s="147" t="s">
        <v>570</v>
      </c>
      <c r="D117" s="139" t="s">
        <v>571</v>
      </c>
      <c r="E117" s="147" t="s">
        <v>182</v>
      </c>
      <c r="F117" s="147" t="s">
        <v>319</v>
      </c>
      <c r="G117" s="141">
        <v>4100</v>
      </c>
      <c r="H117" s="142">
        <v>2700</v>
      </c>
      <c r="I117" s="144">
        <f t="shared" si="7"/>
        <v>11070000</v>
      </c>
      <c r="J117" s="193"/>
      <c r="K117" s="141">
        <f>G117</f>
        <v>4100</v>
      </c>
      <c r="L117" s="143">
        <f t="shared" si="12"/>
        <v>2700</v>
      </c>
      <c r="M117" s="144">
        <f t="shared" si="13"/>
        <v>11070000</v>
      </c>
      <c r="N117" s="135" t="s">
        <v>741</v>
      </c>
      <c r="O117" s="193"/>
      <c r="P117" s="145">
        <v>0</v>
      </c>
      <c r="Q117" s="143">
        <f t="shared" si="10"/>
        <v>2700</v>
      </c>
      <c r="R117" s="144">
        <f t="shared" si="11"/>
        <v>0</v>
      </c>
      <c r="S117" s="135" t="s">
        <v>146</v>
      </c>
      <c r="T117" s="193"/>
      <c r="U117" s="145">
        <f t="shared" si="8"/>
        <v>0</v>
      </c>
      <c r="V117" s="144">
        <f t="shared" si="9"/>
        <v>0</v>
      </c>
      <c r="W117" s="193"/>
      <c r="X117" s="147"/>
    </row>
    <row r="118" spans="2:24" x14ac:dyDescent="0.35">
      <c r="B118" s="137" t="s">
        <v>578</v>
      </c>
      <c r="C118" s="147" t="s">
        <v>154</v>
      </c>
      <c r="D118" s="139" t="s">
        <v>579</v>
      </c>
      <c r="E118" s="147" t="s">
        <v>564</v>
      </c>
      <c r="F118" s="147" t="s">
        <v>106</v>
      </c>
      <c r="G118" s="141">
        <f>4200+2000</f>
        <v>6200</v>
      </c>
      <c r="H118" s="142">
        <v>2680</v>
      </c>
      <c r="I118" s="144">
        <f t="shared" si="7"/>
        <v>16616000</v>
      </c>
      <c r="J118" s="193"/>
      <c r="K118" s="141">
        <v>2520</v>
      </c>
      <c r="L118" s="143">
        <f>H118</f>
        <v>2680</v>
      </c>
      <c r="M118" s="144">
        <f>K118*L118</f>
        <v>6753600</v>
      </c>
      <c r="N118" s="135" t="s">
        <v>614</v>
      </c>
      <c r="O118" s="193"/>
      <c r="P118" s="145">
        <v>3680</v>
      </c>
      <c r="Q118" s="143">
        <f t="shared" si="10"/>
        <v>2680</v>
      </c>
      <c r="R118" s="144">
        <f t="shared" si="11"/>
        <v>9862400</v>
      </c>
      <c r="S118" s="135" t="s">
        <v>937</v>
      </c>
      <c r="T118" s="193"/>
      <c r="U118" s="145">
        <f t="shared" si="8"/>
        <v>0</v>
      </c>
      <c r="V118" s="144">
        <f t="shared" si="9"/>
        <v>0</v>
      </c>
      <c r="W118" s="193"/>
      <c r="X118" s="147"/>
    </row>
    <row r="119" spans="2:24" x14ac:dyDescent="0.35">
      <c r="B119" s="137" t="s">
        <v>580</v>
      </c>
      <c r="C119" s="147" t="s">
        <v>393</v>
      </c>
      <c r="D119" s="139" t="s">
        <v>503</v>
      </c>
      <c r="E119" s="147" t="s">
        <v>248</v>
      </c>
      <c r="F119" s="147" t="s">
        <v>106</v>
      </c>
      <c r="G119" s="141">
        <v>1764</v>
      </c>
      <c r="H119" s="142">
        <v>2680</v>
      </c>
      <c r="I119" s="144">
        <f t="shared" si="7"/>
        <v>4727520</v>
      </c>
      <c r="J119" s="193"/>
      <c r="K119" s="141">
        <f>G119</f>
        <v>1764</v>
      </c>
      <c r="L119" s="143">
        <f>H119</f>
        <v>2680</v>
      </c>
      <c r="M119" s="144">
        <f>K119*L119</f>
        <v>4727520</v>
      </c>
      <c r="N119" s="135" t="s">
        <v>656</v>
      </c>
      <c r="O119" s="193"/>
      <c r="P119" s="145">
        <v>0</v>
      </c>
      <c r="Q119" s="143">
        <f t="shared" si="10"/>
        <v>2680</v>
      </c>
      <c r="R119" s="144">
        <f t="shared" si="11"/>
        <v>0</v>
      </c>
      <c r="S119" s="135" t="s">
        <v>146</v>
      </c>
      <c r="T119" s="193"/>
      <c r="U119" s="145">
        <f t="shared" si="8"/>
        <v>0</v>
      </c>
      <c r="V119" s="144">
        <f t="shared" si="9"/>
        <v>0</v>
      </c>
      <c r="W119" s="193"/>
      <c r="X119" s="147"/>
    </row>
    <row r="120" spans="2:24" x14ac:dyDescent="0.35">
      <c r="B120" s="137" t="s">
        <v>581</v>
      </c>
      <c r="C120" s="147" t="s">
        <v>180</v>
      </c>
      <c r="D120" s="139" t="s">
        <v>507</v>
      </c>
      <c r="E120" s="147" t="s">
        <v>248</v>
      </c>
      <c r="F120" s="147" t="s">
        <v>106</v>
      </c>
      <c r="G120" s="141">
        <v>1763</v>
      </c>
      <c r="H120" s="142">
        <v>2680</v>
      </c>
      <c r="I120" s="144">
        <f t="shared" si="7"/>
        <v>4724840</v>
      </c>
      <c r="J120" s="193"/>
      <c r="K120" s="141">
        <f>G120</f>
        <v>1763</v>
      </c>
      <c r="L120" s="143">
        <f>H120</f>
        <v>2680</v>
      </c>
      <c r="M120" s="144">
        <f>K120*L120</f>
        <v>4724840</v>
      </c>
      <c r="N120" s="135" t="s">
        <v>656</v>
      </c>
      <c r="O120" s="193"/>
      <c r="P120" s="145">
        <v>0</v>
      </c>
      <c r="Q120" s="143">
        <f t="shared" si="10"/>
        <v>2680</v>
      </c>
      <c r="R120" s="144">
        <f t="shared" si="11"/>
        <v>0</v>
      </c>
      <c r="S120" s="135" t="s">
        <v>146</v>
      </c>
      <c r="T120" s="193"/>
      <c r="U120" s="145">
        <f t="shared" si="8"/>
        <v>0</v>
      </c>
      <c r="V120" s="144">
        <f t="shared" si="9"/>
        <v>0</v>
      </c>
      <c r="W120" s="193"/>
      <c r="X120" s="147"/>
    </row>
    <row r="121" spans="2:24" x14ac:dyDescent="0.35">
      <c r="B121" s="137" t="s">
        <v>582</v>
      </c>
      <c r="C121" s="147" t="s">
        <v>175</v>
      </c>
      <c r="D121" s="139" t="s">
        <v>510</v>
      </c>
      <c r="E121" s="147" t="s">
        <v>248</v>
      </c>
      <c r="F121" s="147" t="s">
        <v>106</v>
      </c>
      <c r="G121" s="141">
        <v>1763</v>
      </c>
      <c r="H121" s="142">
        <v>2680</v>
      </c>
      <c r="I121" s="144">
        <f t="shared" si="7"/>
        <v>4724840</v>
      </c>
      <c r="J121" s="193"/>
      <c r="K121" s="141">
        <f>G121</f>
        <v>1763</v>
      </c>
      <c r="L121" s="143">
        <f>H121</f>
        <v>2680</v>
      </c>
      <c r="M121" s="144">
        <f>K121*L121</f>
        <v>4724840</v>
      </c>
      <c r="N121" s="135" t="s">
        <v>656</v>
      </c>
      <c r="O121" s="193"/>
      <c r="P121" s="145">
        <v>0</v>
      </c>
      <c r="Q121" s="143">
        <f t="shared" si="10"/>
        <v>2680</v>
      </c>
      <c r="R121" s="144">
        <f t="shared" si="11"/>
        <v>0</v>
      </c>
      <c r="S121" s="135" t="s">
        <v>146</v>
      </c>
      <c r="T121" s="193"/>
      <c r="U121" s="145">
        <f t="shared" si="8"/>
        <v>0</v>
      </c>
      <c r="V121" s="144">
        <f t="shared" si="9"/>
        <v>0</v>
      </c>
      <c r="W121" s="193"/>
      <c r="X121" s="147"/>
    </row>
    <row r="122" spans="2:24" x14ac:dyDescent="0.35">
      <c r="B122" s="137" t="s">
        <v>583</v>
      </c>
      <c r="C122" s="147" t="s">
        <v>398</v>
      </c>
      <c r="D122" s="139" t="s">
        <v>499</v>
      </c>
      <c r="E122" s="147" t="s">
        <v>248</v>
      </c>
      <c r="F122" s="147" t="s">
        <v>106</v>
      </c>
      <c r="G122" s="141">
        <v>1757</v>
      </c>
      <c r="H122" s="142">
        <v>2680</v>
      </c>
      <c r="I122" s="144">
        <f t="shared" si="7"/>
        <v>4708760</v>
      </c>
      <c r="J122" s="193"/>
      <c r="K122" s="141">
        <v>1757</v>
      </c>
      <c r="L122" s="143">
        <f t="shared" si="12"/>
        <v>2680</v>
      </c>
      <c r="M122" s="144">
        <f t="shared" si="13"/>
        <v>4708760</v>
      </c>
      <c r="N122" s="135" t="s">
        <v>1756</v>
      </c>
      <c r="O122" s="193"/>
      <c r="P122" s="145">
        <v>0</v>
      </c>
      <c r="Q122" s="143">
        <f t="shared" si="10"/>
        <v>2680</v>
      </c>
      <c r="R122" s="144">
        <f t="shared" si="11"/>
        <v>0</v>
      </c>
      <c r="S122" s="135" t="s">
        <v>146</v>
      </c>
      <c r="T122" s="193"/>
      <c r="U122" s="145">
        <f t="shared" si="8"/>
        <v>0</v>
      </c>
      <c r="V122" s="144">
        <f t="shared" si="9"/>
        <v>0</v>
      </c>
      <c r="W122" s="193"/>
      <c r="X122" s="147"/>
    </row>
    <row r="123" spans="2:24" x14ac:dyDescent="0.35">
      <c r="B123" s="137" t="s">
        <v>589</v>
      </c>
      <c r="C123" s="147" t="s">
        <v>336</v>
      </c>
      <c r="D123" s="139" t="s">
        <v>590</v>
      </c>
      <c r="E123" s="147" t="s">
        <v>182</v>
      </c>
      <c r="F123" s="147" t="s">
        <v>319</v>
      </c>
      <c r="G123" s="141">
        <v>4700</v>
      </c>
      <c r="H123" s="142">
        <v>2700</v>
      </c>
      <c r="I123" s="144">
        <f t="shared" si="7"/>
        <v>12690000</v>
      </c>
      <c r="J123" s="193"/>
      <c r="K123" s="141">
        <f>G123</f>
        <v>4700</v>
      </c>
      <c r="L123" s="143">
        <f>H123</f>
        <v>2700</v>
      </c>
      <c r="M123" s="144">
        <f>K123*L123</f>
        <v>12690000</v>
      </c>
      <c r="N123" s="135" t="s">
        <v>742</v>
      </c>
      <c r="O123" s="193"/>
      <c r="P123" s="145">
        <v>0</v>
      </c>
      <c r="Q123" s="143">
        <f t="shared" si="10"/>
        <v>2700</v>
      </c>
      <c r="R123" s="144">
        <f t="shared" si="11"/>
        <v>0</v>
      </c>
      <c r="S123" s="135" t="s">
        <v>146</v>
      </c>
      <c r="T123" s="193"/>
      <c r="U123" s="145">
        <f t="shared" si="8"/>
        <v>0</v>
      </c>
      <c r="V123" s="144">
        <f t="shared" si="9"/>
        <v>0</v>
      </c>
      <c r="W123" s="193"/>
      <c r="X123" s="147"/>
    </row>
    <row r="124" spans="2:24" x14ac:dyDescent="0.35">
      <c r="B124" s="137" t="s">
        <v>593</v>
      </c>
      <c r="C124" s="147" t="s">
        <v>202</v>
      </c>
      <c r="D124" s="139" t="s">
        <v>594</v>
      </c>
      <c r="E124" s="147" t="s">
        <v>182</v>
      </c>
      <c r="F124" s="147" t="s">
        <v>319</v>
      </c>
      <c r="G124" s="141">
        <v>4100</v>
      </c>
      <c r="H124" s="142">
        <v>2700</v>
      </c>
      <c r="I124" s="144">
        <f t="shared" si="7"/>
        <v>11070000</v>
      </c>
      <c r="J124" s="193"/>
      <c r="K124" s="141">
        <f>G124</f>
        <v>4100</v>
      </c>
      <c r="L124" s="143">
        <f>H124</f>
        <v>2700</v>
      </c>
      <c r="M124" s="144">
        <f>K124*L124</f>
        <v>11070000</v>
      </c>
      <c r="N124" s="135" t="s">
        <v>741</v>
      </c>
      <c r="O124" s="193"/>
      <c r="P124" s="145">
        <v>0</v>
      </c>
      <c r="Q124" s="143">
        <f t="shared" si="10"/>
        <v>2700</v>
      </c>
      <c r="R124" s="144">
        <f t="shared" si="11"/>
        <v>0</v>
      </c>
      <c r="S124" s="135" t="s">
        <v>146</v>
      </c>
      <c r="T124" s="193"/>
      <c r="U124" s="145">
        <f t="shared" si="8"/>
        <v>0</v>
      </c>
      <c r="V124" s="144">
        <f t="shared" si="9"/>
        <v>0</v>
      </c>
      <c r="W124" s="193"/>
      <c r="X124" s="147"/>
    </row>
    <row r="125" spans="2:24" x14ac:dyDescent="0.35">
      <c r="B125" s="137" t="s">
        <v>596</v>
      </c>
      <c r="C125" s="147" t="s">
        <v>393</v>
      </c>
      <c r="D125" s="139" t="s">
        <v>597</v>
      </c>
      <c r="E125" s="147" t="s">
        <v>206</v>
      </c>
      <c r="F125" s="147" t="s">
        <v>106</v>
      </c>
      <c r="G125" s="141">
        <v>4100</v>
      </c>
      <c r="H125" s="142">
        <v>2680</v>
      </c>
      <c r="I125" s="144">
        <f t="shared" si="7"/>
        <v>10988000</v>
      </c>
      <c r="J125" s="193"/>
      <c r="K125" s="141">
        <v>2460</v>
      </c>
      <c r="L125" s="143">
        <f t="shared" si="12"/>
        <v>2680</v>
      </c>
      <c r="M125" s="144">
        <f t="shared" si="13"/>
        <v>6592800</v>
      </c>
      <c r="N125" s="135" t="s">
        <v>612</v>
      </c>
      <c r="O125" s="193"/>
      <c r="P125" s="145">
        <v>1640</v>
      </c>
      <c r="Q125" s="143">
        <f t="shared" si="10"/>
        <v>2680</v>
      </c>
      <c r="R125" s="144">
        <f t="shared" si="11"/>
        <v>4395200</v>
      </c>
      <c r="S125" s="135" t="s">
        <v>834</v>
      </c>
      <c r="T125" s="193"/>
      <c r="U125" s="145">
        <f t="shared" si="8"/>
        <v>0</v>
      </c>
      <c r="V125" s="144">
        <f t="shared" si="9"/>
        <v>0</v>
      </c>
      <c r="W125" s="193"/>
      <c r="X125" s="147"/>
    </row>
    <row r="126" spans="2:24" x14ac:dyDescent="0.35">
      <c r="B126" s="137" t="s">
        <v>600</v>
      </c>
      <c r="C126" s="147" t="s">
        <v>180</v>
      </c>
      <c r="D126" s="139" t="s">
        <v>601</v>
      </c>
      <c r="E126" s="147" t="s">
        <v>564</v>
      </c>
      <c r="F126" s="147" t="s">
        <v>106</v>
      </c>
      <c r="G126" s="141">
        <f>4200+1600</f>
        <v>5800</v>
      </c>
      <c r="H126" s="142">
        <v>2680</v>
      </c>
      <c r="I126" s="144">
        <f t="shared" si="7"/>
        <v>15544000</v>
      </c>
      <c r="J126" s="193"/>
      <c r="K126" s="141">
        <v>2520</v>
      </c>
      <c r="L126" s="143">
        <f t="shared" si="12"/>
        <v>2680</v>
      </c>
      <c r="M126" s="144">
        <f t="shared" si="13"/>
        <v>6753600</v>
      </c>
      <c r="N126" s="135" t="s">
        <v>612</v>
      </c>
      <c r="O126" s="193"/>
      <c r="P126" s="145">
        <f>1680+1600</f>
        <v>3280</v>
      </c>
      <c r="Q126" s="143">
        <f t="shared" si="10"/>
        <v>2680</v>
      </c>
      <c r="R126" s="144">
        <f t="shared" si="11"/>
        <v>8790400</v>
      </c>
      <c r="S126" s="135" t="s">
        <v>937</v>
      </c>
      <c r="T126" s="193"/>
      <c r="U126" s="145">
        <f t="shared" si="8"/>
        <v>0</v>
      </c>
      <c r="V126" s="144">
        <f t="shared" si="9"/>
        <v>0</v>
      </c>
      <c r="W126" s="193"/>
      <c r="X126" s="147"/>
    </row>
    <row r="127" spans="2:24" x14ac:dyDescent="0.35">
      <c r="B127" s="137" t="s">
        <v>603</v>
      </c>
      <c r="C127" s="147" t="s">
        <v>98</v>
      </c>
      <c r="D127" s="139" t="s">
        <v>604</v>
      </c>
      <c r="E127" s="147" t="s">
        <v>383</v>
      </c>
      <c r="F127" s="147" t="s">
        <v>106</v>
      </c>
      <c r="G127" s="141">
        <v>4500</v>
      </c>
      <c r="H127" s="142">
        <v>2680</v>
      </c>
      <c r="I127" s="144">
        <f t="shared" si="7"/>
        <v>12060000</v>
      </c>
      <c r="J127" s="193"/>
      <c r="K127" s="141">
        <v>2700</v>
      </c>
      <c r="L127" s="143">
        <f t="shared" si="12"/>
        <v>2680</v>
      </c>
      <c r="M127" s="144">
        <f t="shared" si="13"/>
        <v>7236000</v>
      </c>
      <c r="N127" s="135" t="s">
        <v>613</v>
      </c>
      <c r="O127" s="193"/>
      <c r="P127" s="145">
        <v>1800</v>
      </c>
      <c r="Q127" s="143">
        <f t="shared" si="10"/>
        <v>2680</v>
      </c>
      <c r="R127" s="144">
        <f t="shared" si="11"/>
        <v>4824000</v>
      </c>
      <c r="S127" s="135" t="s">
        <v>834</v>
      </c>
      <c r="T127" s="193"/>
      <c r="U127" s="145">
        <f t="shared" si="8"/>
        <v>0</v>
      </c>
      <c r="V127" s="144">
        <f t="shared" si="9"/>
        <v>0</v>
      </c>
      <c r="W127" s="193"/>
      <c r="X127" s="147"/>
    </row>
    <row r="128" spans="2:24" x14ac:dyDescent="0.35">
      <c r="B128" s="137" t="s">
        <v>606</v>
      </c>
      <c r="C128" s="147" t="s">
        <v>175</v>
      </c>
      <c r="D128" s="139" t="s">
        <v>607</v>
      </c>
      <c r="E128" s="147" t="s">
        <v>206</v>
      </c>
      <c r="F128" s="147" t="s">
        <v>106</v>
      </c>
      <c r="G128" s="141">
        <v>4100</v>
      </c>
      <c r="H128" s="142">
        <v>2680</v>
      </c>
      <c r="I128" s="144">
        <f t="shared" si="7"/>
        <v>10988000</v>
      </c>
      <c r="J128" s="193"/>
      <c r="K128" s="141">
        <v>2460</v>
      </c>
      <c r="L128" s="143">
        <f t="shared" si="12"/>
        <v>2680</v>
      </c>
      <c r="M128" s="144">
        <f t="shared" si="13"/>
        <v>6592800</v>
      </c>
      <c r="N128" s="135" t="s">
        <v>612</v>
      </c>
      <c r="O128" s="193"/>
      <c r="P128" s="145">
        <v>1470</v>
      </c>
      <c r="Q128" s="143">
        <f t="shared" si="10"/>
        <v>2680</v>
      </c>
      <c r="R128" s="144">
        <f t="shared" si="11"/>
        <v>3939600</v>
      </c>
      <c r="S128" s="135" t="s">
        <v>834</v>
      </c>
      <c r="T128" s="193"/>
      <c r="U128" s="145">
        <f t="shared" si="8"/>
        <v>170</v>
      </c>
      <c r="V128" s="144">
        <f t="shared" si="9"/>
        <v>455600</v>
      </c>
      <c r="W128" s="193"/>
      <c r="X128" s="147" t="s">
        <v>835</v>
      </c>
    </row>
    <row r="129" spans="2:24" x14ac:dyDescent="0.35">
      <c r="B129" s="137" t="s">
        <v>616</v>
      </c>
      <c r="C129" s="147" t="s">
        <v>160</v>
      </c>
      <c r="D129" s="139" t="s">
        <v>617</v>
      </c>
      <c r="E129" s="147" t="s">
        <v>206</v>
      </c>
      <c r="F129" s="147" t="s">
        <v>106</v>
      </c>
      <c r="G129" s="141">
        <v>4100</v>
      </c>
      <c r="H129" s="142">
        <v>2680</v>
      </c>
      <c r="I129" s="144">
        <f t="shared" si="7"/>
        <v>10988000</v>
      </c>
      <c r="J129" s="193"/>
      <c r="K129" s="141">
        <v>2460</v>
      </c>
      <c r="L129" s="143">
        <f t="shared" si="12"/>
        <v>2680</v>
      </c>
      <c r="M129" s="144">
        <f t="shared" si="13"/>
        <v>6592800</v>
      </c>
      <c r="N129" s="135" t="s">
        <v>631</v>
      </c>
      <c r="O129" s="193"/>
      <c r="P129" s="145">
        <v>1640</v>
      </c>
      <c r="Q129" s="143">
        <f t="shared" si="10"/>
        <v>2680</v>
      </c>
      <c r="R129" s="144">
        <f t="shared" si="11"/>
        <v>4395200</v>
      </c>
      <c r="S129" s="135" t="s">
        <v>832</v>
      </c>
      <c r="T129" s="193"/>
      <c r="U129" s="145">
        <f t="shared" si="8"/>
        <v>0</v>
      </c>
      <c r="V129" s="144">
        <f t="shared" si="9"/>
        <v>0</v>
      </c>
      <c r="W129" s="193"/>
      <c r="X129" s="147"/>
    </row>
    <row r="130" spans="2:24" x14ac:dyDescent="0.35">
      <c r="B130" s="137" t="s">
        <v>621</v>
      </c>
      <c r="C130" s="147" t="s">
        <v>515</v>
      </c>
      <c r="D130" s="139" t="s">
        <v>516</v>
      </c>
      <c r="E130" s="147" t="s">
        <v>248</v>
      </c>
      <c r="F130" s="147" t="s">
        <v>106</v>
      </c>
      <c r="G130" s="141">
        <v>1791</v>
      </c>
      <c r="H130" s="142">
        <v>2680</v>
      </c>
      <c r="I130" s="144">
        <f t="shared" si="7"/>
        <v>4799880</v>
      </c>
      <c r="J130" s="193"/>
      <c r="K130" s="141">
        <v>1791</v>
      </c>
      <c r="L130" s="143">
        <f t="shared" si="12"/>
        <v>2680</v>
      </c>
      <c r="M130" s="144">
        <f t="shared" si="13"/>
        <v>4799880</v>
      </c>
      <c r="N130" s="135" t="s">
        <v>1757</v>
      </c>
      <c r="O130" s="193"/>
      <c r="P130" s="145">
        <v>0</v>
      </c>
      <c r="Q130" s="143">
        <f t="shared" si="10"/>
        <v>2680</v>
      </c>
      <c r="R130" s="144">
        <f t="shared" si="11"/>
        <v>0</v>
      </c>
      <c r="S130" s="135" t="s">
        <v>146</v>
      </c>
      <c r="T130" s="193"/>
      <c r="U130" s="145">
        <f t="shared" si="8"/>
        <v>0</v>
      </c>
      <c r="V130" s="144">
        <f t="shared" si="9"/>
        <v>0</v>
      </c>
      <c r="W130" s="193"/>
      <c r="X130" s="147"/>
    </row>
    <row r="131" spans="2:24" x14ac:dyDescent="0.35">
      <c r="B131" s="137" t="s">
        <v>622</v>
      </c>
      <c r="C131" s="147" t="s">
        <v>164</v>
      </c>
      <c r="D131" s="147" t="s">
        <v>213</v>
      </c>
      <c r="E131" s="147" t="s">
        <v>248</v>
      </c>
      <c r="F131" s="147" t="s">
        <v>106</v>
      </c>
      <c r="G131" s="141">
        <v>2035</v>
      </c>
      <c r="H131" s="142">
        <v>2680</v>
      </c>
      <c r="I131" s="144">
        <f t="shared" si="7"/>
        <v>5453800</v>
      </c>
      <c r="J131" s="193"/>
      <c r="K131" s="141">
        <v>2035</v>
      </c>
      <c r="L131" s="143">
        <f t="shared" si="12"/>
        <v>2680</v>
      </c>
      <c r="M131" s="144">
        <f t="shared" si="13"/>
        <v>5453800</v>
      </c>
      <c r="N131" s="135" t="s">
        <v>1757</v>
      </c>
      <c r="O131" s="193"/>
      <c r="P131" s="145">
        <v>0</v>
      </c>
      <c r="Q131" s="143">
        <f t="shared" si="10"/>
        <v>2680</v>
      </c>
      <c r="R131" s="144">
        <f t="shared" si="11"/>
        <v>0</v>
      </c>
      <c r="S131" s="135" t="s">
        <v>146</v>
      </c>
      <c r="T131" s="193"/>
      <c r="U131" s="145">
        <f t="shared" si="8"/>
        <v>0</v>
      </c>
      <c r="V131" s="144">
        <f t="shared" si="9"/>
        <v>0</v>
      </c>
      <c r="W131" s="193"/>
      <c r="X131" s="147"/>
    </row>
    <row r="132" spans="2:24" x14ac:dyDescent="0.35">
      <c r="B132" s="137" t="s">
        <v>623</v>
      </c>
      <c r="C132" s="147" t="s">
        <v>398</v>
      </c>
      <c r="D132" s="139" t="s">
        <v>624</v>
      </c>
      <c r="E132" s="147" t="s">
        <v>206</v>
      </c>
      <c r="F132" s="147" t="s">
        <v>106</v>
      </c>
      <c r="G132" s="141">
        <v>4100</v>
      </c>
      <c r="H132" s="142">
        <v>2680</v>
      </c>
      <c r="I132" s="144">
        <f t="shared" si="7"/>
        <v>10988000</v>
      </c>
      <c r="J132" s="193"/>
      <c r="K132" s="141">
        <v>2460</v>
      </c>
      <c r="L132" s="143">
        <f>H132</f>
        <v>2680</v>
      </c>
      <c r="M132" s="144">
        <f>K132*L132</f>
        <v>6592800</v>
      </c>
      <c r="N132" s="135" t="s">
        <v>631</v>
      </c>
      <c r="O132" s="193"/>
      <c r="P132" s="145">
        <v>1640</v>
      </c>
      <c r="Q132" s="143">
        <f>H132</f>
        <v>2680</v>
      </c>
      <c r="R132" s="144">
        <f>P132*Q132</f>
        <v>4395200</v>
      </c>
      <c r="S132" s="135" t="s">
        <v>832</v>
      </c>
      <c r="T132" s="193"/>
      <c r="U132" s="145">
        <f t="shared" si="8"/>
        <v>0</v>
      </c>
      <c r="V132" s="144">
        <f t="shared" si="9"/>
        <v>0</v>
      </c>
      <c r="W132" s="193"/>
      <c r="X132" s="147"/>
    </row>
    <row r="133" spans="2:24" x14ac:dyDescent="0.35">
      <c r="B133" s="137" t="s">
        <v>627</v>
      </c>
      <c r="C133" s="147" t="s">
        <v>515</v>
      </c>
      <c r="D133" s="147" t="s">
        <v>628</v>
      </c>
      <c r="E133" s="147" t="s">
        <v>114</v>
      </c>
      <c r="F133" s="147" t="s">
        <v>106</v>
      </c>
      <c r="G133" s="141">
        <v>4100</v>
      </c>
      <c r="H133" s="142">
        <v>2680</v>
      </c>
      <c r="I133" s="144">
        <f t="shared" si="7"/>
        <v>10988000</v>
      </c>
      <c r="J133" s="193"/>
      <c r="K133" s="141">
        <v>2460</v>
      </c>
      <c r="L133" s="143">
        <f t="shared" si="12"/>
        <v>2680</v>
      </c>
      <c r="M133" s="144">
        <f t="shared" si="13"/>
        <v>6592800</v>
      </c>
      <c r="N133" s="135" t="s">
        <v>640</v>
      </c>
      <c r="O133" s="193"/>
      <c r="P133" s="145">
        <v>1640</v>
      </c>
      <c r="Q133" s="143">
        <f t="shared" si="10"/>
        <v>2680</v>
      </c>
      <c r="R133" s="144">
        <f t="shared" si="11"/>
        <v>4395200</v>
      </c>
      <c r="S133" s="135" t="s">
        <v>858</v>
      </c>
      <c r="T133" s="193"/>
      <c r="U133" s="145">
        <f t="shared" si="8"/>
        <v>0</v>
      </c>
      <c r="V133" s="144">
        <f t="shared" si="9"/>
        <v>0</v>
      </c>
      <c r="W133" s="193"/>
      <c r="X133" s="147"/>
    </row>
    <row r="134" spans="2:24" x14ac:dyDescent="0.35">
      <c r="B134" s="137" t="s">
        <v>632</v>
      </c>
      <c r="C134" s="147" t="s">
        <v>331</v>
      </c>
      <c r="D134" s="139" t="s">
        <v>526</v>
      </c>
      <c r="E134" s="147" t="s">
        <v>248</v>
      </c>
      <c r="F134" s="147" t="s">
        <v>106</v>
      </c>
      <c r="G134" s="141">
        <v>1893</v>
      </c>
      <c r="H134" s="142">
        <v>2680</v>
      </c>
      <c r="I134" s="144">
        <f t="shared" si="7"/>
        <v>5073240</v>
      </c>
      <c r="J134" s="193"/>
      <c r="K134" s="141">
        <v>1893</v>
      </c>
      <c r="L134" s="143">
        <f t="shared" si="12"/>
        <v>2680</v>
      </c>
      <c r="M134" s="144">
        <f t="shared" si="13"/>
        <v>5073240</v>
      </c>
      <c r="N134" s="135" t="s">
        <v>694</v>
      </c>
      <c r="O134" s="193"/>
      <c r="P134" s="145">
        <v>0</v>
      </c>
      <c r="Q134" s="143">
        <f t="shared" si="10"/>
        <v>2680</v>
      </c>
      <c r="R134" s="144">
        <f t="shared" si="11"/>
        <v>0</v>
      </c>
      <c r="S134" s="135" t="s">
        <v>146</v>
      </c>
      <c r="T134" s="193"/>
      <c r="U134" s="145">
        <f t="shared" si="8"/>
        <v>0</v>
      </c>
      <c r="V134" s="144">
        <f t="shared" si="9"/>
        <v>0</v>
      </c>
      <c r="W134" s="193"/>
      <c r="X134" s="147"/>
    </row>
    <row r="135" spans="2:24" x14ac:dyDescent="0.35">
      <c r="B135" s="137" t="s">
        <v>633</v>
      </c>
      <c r="C135" s="147" t="s">
        <v>203</v>
      </c>
      <c r="D135" s="147" t="s">
        <v>213</v>
      </c>
      <c r="E135" s="147" t="s">
        <v>248</v>
      </c>
      <c r="F135" s="147" t="s">
        <v>106</v>
      </c>
      <c r="G135" s="141">
        <v>2026</v>
      </c>
      <c r="H135" s="142">
        <v>2680</v>
      </c>
      <c r="I135" s="144">
        <f t="shared" si="7"/>
        <v>5429680</v>
      </c>
      <c r="J135" s="193"/>
      <c r="K135" s="141">
        <v>2026</v>
      </c>
      <c r="L135" s="143">
        <f t="shared" si="12"/>
        <v>2680</v>
      </c>
      <c r="M135" s="144">
        <f t="shared" si="13"/>
        <v>5429680</v>
      </c>
      <c r="N135" s="135" t="s">
        <v>694</v>
      </c>
      <c r="O135" s="193"/>
      <c r="P135" s="145">
        <v>0</v>
      </c>
      <c r="Q135" s="143">
        <f t="shared" si="10"/>
        <v>2680</v>
      </c>
      <c r="R135" s="144">
        <f t="shared" si="11"/>
        <v>0</v>
      </c>
      <c r="S135" s="135" t="s">
        <v>146</v>
      </c>
      <c r="T135" s="193"/>
      <c r="U135" s="145">
        <f t="shared" si="8"/>
        <v>0</v>
      </c>
      <c r="V135" s="144">
        <f t="shared" si="9"/>
        <v>0</v>
      </c>
      <c r="W135" s="193"/>
      <c r="X135" s="147"/>
    </row>
    <row r="136" spans="2:24" x14ac:dyDescent="0.35">
      <c r="B136" s="137" t="s">
        <v>635</v>
      </c>
      <c r="C136" s="147" t="s">
        <v>164</v>
      </c>
      <c r="D136" s="139" t="s">
        <v>636</v>
      </c>
      <c r="E136" s="147" t="s">
        <v>182</v>
      </c>
      <c r="F136" s="147" t="s">
        <v>319</v>
      </c>
      <c r="G136" s="141">
        <v>4100</v>
      </c>
      <c r="H136" s="142">
        <v>2700</v>
      </c>
      <c r="I136" s="144">
        <f t="shared" ref="I136:I199" si="14">G136*H136</f>
        <v>11070000</v>
      </c>
      <c r="J136" s="193"/>
      <c r="K136" s="141">
        <f>G136</f>
        <v>4100</v>
      </c>
      <c r="L136" s="143">
        <f t="shared" si="12"/>
        <v>2700</v>
      </c>
      <c r="M136" s="144">
        <f t="shared" si="13"/>
        <v>11070000</v>
      </c>
      <c r="N136" s="135" t="s">
        <v>742</v>
      </c>
      <c r="O136" s="193"/>
      <c r="P136" s="145">
        <v>0</v>
      </c>
      <c r="Q136" s="143">
        <f t="shared" si="10"/>
        <v>2700</v>
      </c>
      <c r="R136" s="144">
        <f t="shared" si="11"/>
        <v>0</v>
      </c>
      <c r="S136" s="135" t="s">
        <v>146</v>
      </c>
      <c r="T136" s="193"/>
      <c r="U136" s="145">
        <f t="shared" ref="U136:U199" si="15">G136-K136-P136</f>
        <v>0</v>
      </c>
      <c r="V136" s="144">
        <f t="shared" ref="V136:V199" si="16">I136-M136-R136</f>
        <v>0</v>
      </c>
      <c r="W136" s="193"/>
      <c r="X136" s="147"/>
    </row>
    <row r="137" spans="2:24" x14ac:dyDescent="0.35">
      <c r="B137" s="137" t="s">
        <v>641</v>
      </c>
      <c r="C137" s="147" t="s">
        <v>230</v>
      </c>
      <c r="D137" s="139" t="s">
        <v>642</v>
      </c>
      <c r="E137" s="147" t="s">
        <v>182</v>
      </c>
      <c r="F137" s="147" t="s">
        <v>183</v>
      </c>
      <c r="G137" s="141">
        <v>4100</v>
      </c>
      <c r="H137" s="142">
        <v>2700</v>
      </c>
      <c r="I137" s="144">
        <f t="shared" si="14"/>
        <v>11070000</v>
      </c>
      <c r="J137" s="193"/>
      <c r="K137" s="141">
        <v>4100</v>
      </c>
      <c r="L137" s="143">
        <v>2700</v>
      </c>
      <c r="M137" s="144">
        <v>11070000</v>
      </c>
      <c r="N137" s="135" t="s">
        <v>910</v>
      </c>
      <c r="O137" s="193"/>
      <c r="P137" s="145">
        <v>0</v>
      </c>
      <c r="Q137" s="143">
        <f t="shared" si="10"/>
        <v>2700</v>
      </c>
      <c r="R137" s="144">
        <f t="shared" si="11"/>
        <v>0</v>
      </c>
      <c r="S137" s="135" t="s">
        <v>146</v>
      </c>
      <c r="T137" s="193"/>
      <c r="U137" s="145">
        <f t="shared" si="15"/>
        <v>0</v>
      </c>
      <c r="V137" s="144">
        <f t="shared" si="16"/>
        <v>0</v>
      </c>
      <c r="W137" s="193"/>
      <c r="X137" s="147"/>
    </row>
    <row r="138" spans="2:24" x14ac:dyDescent="0.35">
      <c r="B138" s="137" t="s">
        <v>647</v>
      </c>
      <c r="C138" s="147" t="s">
        <v>331</v>
      </c>
      <c r="D138" s="139" t="s">
        <v>649</v>
      </c>
      <c r="E138" s="147" t="s">
        <v>182</v>
      </c>
      <c r="F138" s="147" t="s">
        <v>106</v>
      </c>
      <c r="G138" s="141">
        <v>4100</v>
      </c>
      <c r="H138" s="142">
        <v>2680</v>
      </c>
      <c r="I138" s="144">
        <f t="shared" si="14"/>
        <v>10988000</v>
      </c>
      <c r="J138" s="193"/>
      <c r="K138" s="141">
        <v>2460</v>
      </c>
      <c r="L138" s="143">
        <f t="shared" ref="L138:L201" si="17">H138</f>
        <v>2680</v>
      </c>
      <c r="M138" s="144">
        <f t="shared" ref="M138:M201" si="18">K138*L138</f>
        <v>6592800</v>
      </c>
      <c r="N138" s="135" t="s">
        <v>833</v>
      </c>
      <c r="O138" s="193"/>
      <c r="P138" s="145">
        <v>1640</v>
      </c>
      <c r="Q138" s="143">
        <f t="shared" ref="Q138:Q199" si="19">H138</f>
        <v>2680</v>
      </c>
      <c r="R138" s="144">
        <f t="shared" ref="R138:R199" si="20">P138*Q138</f>
        <v>4395200</v>
      </c>
      <c r="S138" s="135" t="s">
        <v>859</v>
      </c>
      <c r="T138" s="193"/>
      <c r="U138" s="145">
        <f t="shared" si="15"/>
        <v>0</v>
      </c>
      <c r="V138" s="144">
        <f t="shared" si="16"/>
        <v>0</v>
      </c>
      <c r="W138" s="193"/>
      <c r="X138" s="147"/>
    </row>
    <row r="139" spans="2:24" x14ac:dyDescent="0.35">
      <c r="B139" s="137" t="s">
        <v>650</v>
      </c>
      <c r="C139" s="147" t="s">
        <v>224</v>
      </c>
      <c r="D139" s="139" t="s">
        <v>560</v>
      </c>
      <c r="E139" s="147" t="s">
        <v>248</v>
      </c>
      <c r="F139" s="147" t="s">
        <v>106</v>
      </c>
      <c r="G139" s="141">
        <v>1757</v>
      </c>
      <c r="H139" s="142">
        <v>2680</v>
      </c>
      <c r="I139" s="144">
        <f t="shared" si="14"/>
        <v>4708760</v>
      </c>
      <c r="J139" s="193"/>
      <c r="K139" s="141">
        <f>G139</f>
        <v>1757</v>
      </c>
      <c r="L139" s="143">
        <f>H139</f>
        <v>2680</v>
      </c>
      <c r="M139" s="144">
        <f>K139*L139</f>
        <v>4708760</v>
      </c>
      <c r="N139" s="135" t="s">
        <v>708</v>
      </c>
      <c r="O139" s="193"/>
      <c r="P139" s="145">
        <v>0</v>
      </c>
      <c r="Q139" s="143">
        <f t="shared" si="19"/>
        <v>2680</v>
      </c>
      <c r="R139" s="144">
        <f t="shared" si="20"/>
        <v>0</v>
      </c>
      <c r="S139" s="135" t="s">
        <v>146</v>
      </c>
      <c r="T139" s="193"/>
      <c r="U139" s="145">
        <f t="shared" si="15"/>
        <v>0</v>
      </c>
      <c r="V139" s="144">
        <f t="shared" si="16"/>
        <v>0</v>
      </c>
      <c r="W139" s="193"/>
      <c r="X139" s="147"/>
    </row>
    <row r="140" spans="2:24" x14ac:dyDescent="0.35">
      <c r="B140" s="137" t="s">
        <v>651</v>
      </c>
      <c r="C140" s="147" t="s">
        <v>232</v>
      </c>
      <c r="D140" s="139" t="s">
        <v>550</v>
      </c>
      <c r="E140" s="147" t="s">
        <v>248</v>
      </c>
      <c r="F140" s="147" t="s">
        <v>106</v>
      </c>
      <c r="G140" s="141">
        <v>1903</v>
      </c>
      <c r="H140" s="142">
        <v>2680</v>
      </c>
      <c r="I140" s="144">
        <f t="shared" si="14"/>
        <v>5100040</v>
      </c>
      <c r="J140" s="193"/>
      <c r="K140" s="141">
        <f>G140</f>
        <v>1903</v>
      </c>
      <c r="L140" s="143">
        <f t="shared" si="17"/>
        <v>2680</v>
      </c>
      <c r="M140" s="144">
        <f t="shared" si="18"/>
        <v>5100040</v>
      </c>
      <c r="N140" s="135" t="s">
        <v>708</v>
      </c>
      <c r="O140" s="193"/>
      <c r="P140" s="145">
        <v>0</v>
      </c>
      <c r="Q140" s="143">
        <f t="shared" si="19"/>
        <v>2680</v>
      </c>
      <c r="R140" s="144">
        <f t="shared" si="20"/>
        <v>0</v>
      </c>
      <c r="S140" s="135" t="s">
        <v>146</v>
      </c>
      <c r="T140" s="193"/>
      <c r="U140" s="145">
        <f t="shared" si="15"/>
        <v>0</v>
      </c>
      <c r="V140" s="144">
        <f t="shared" si="16"/>
        <v>0</v>
      </c>
      <c r="W140" s="193"/>
      <c r="X140" s="147"/>
    </row>
    <row r="141" spans="2:24" x14ac:dyDescent="0.35">
      <c r="B141" s="137" t="s">
        <v>652</v>
      </c>
      <c r="C141" s="147" t="s">
        <v>203</v>
      </c>
      <c r="D141" s="139" t="s">
        <v>653</v>
      </c>
      <c r="E141" s="147" t="s">
        <v>206</v>
      </c>
      <c r="F141" s="147" t="s">
        <v>106</v>
      </c>
      <c r="G141" s="141">
        <v>4100</v>
      </c>
      <c r="H141" s="142">
        <v>2680</v>
      </c>
      <c r="I141" s="144">
        <f t="shared" si="14"/>
        <v>10988000</v>
      </c>
      <c r="J141" s="193"/>
      <c r="K141" s="141">
        <v>2460</v>
      </c>
      <c r="L141" s="143">
        <f t="shared" si="17"/>
        <v>2680</v>
      </c>
      <c r="M141" s="144">
        <f>K141*L141</f>
        <v>6592800</v>
      </c>
      <c r="N141" s="135" t="s">
        <v>833</v>
      </c>
      <c r="O141" s="193"/>
      <c r="P141" s="145">
        <v>1640</v>
      </c>
      <c r="Q141" s="143">
        <f t="shared" si="19"/>
        <v>2680</v>
      </c>
      <c r="R141" s="144">
        <f t="shared" si="20"/>
        <v>4395200</v>
      </c>
      <c r="S141" s="135" t="s">
        <v>832</v>
      </c>
      <c r="T141" s="193"/>
      <c r="U141" s="145">
        <f t="shared" si="15"/>
        <v>0</v>
      </c>
      <c r="V141" s="144">
        <f t="shared" si="16"/>
        <v>0</v>
      </c>
      <c r="W141" s="193"/>
      <c r="X141" s="147"/>
    </row>
    <row r="142" spans="2:24" x14ac:dyDescent="0.35">
      <c r="B142" s="137" t="s">
        <v>660</v>
      </c>
      <c r="C142" s="147" t="s">
        <v>202</v>
      </c>
      <c r="D142" s="139" t="s">
        <v>594</v>
      </c>
      <c r="E142" s="147" t="s">
        <v>248</v>
      </c>
      <c r="F142" s="147" t="s">
        <v>106</v>
      </c>
      <c r="G142" s="141">
        <v>1788</v>
      </c>
      <c r="H142" s="142">
        <v>2680</v>
      </c>
      <c r="I142" s="144">
        <f t="shared" si="14"/>
        <v>4791840</v>
      </c>
      <c r="J142" s="193"/>
      <c r="K142" s="141">
        <f>G142</f>
        <v>1788</v>
      </c>
      <c r="L142" s="143">
        <f>H142</f>
        <v>2680</v>
      </c>
      <c r="M142" s="144">
        <f>K142*L142</f>
        <v>4791840</v>
      </c>
      <c r="N142" s="135" t="s">
        <v>708</v>
      </c>
      <c r="O142" s="193"/>
      <c r="P142" s="145">
        <v>0</v>
      </c>
      <c r="Q142" s="143">
        <f t="shared" si="19"/>
        <v>2680</v>
      </c>
      <c r="R142" s="144">
        <f t="shared" si="20"/>
        <v>0</v>
      </c>
      <c r="S142" s="135" t="s">
        <v>146</v>
      </c>
      <c r="T142" s="193"/>
      <c r="U142" s="145">
        <f t="shared" si="15"/>
        <v>0</v>
      </c>
      <c r="V142" s="144">
        <f t="shared" si="16"/>
        <v>0</v>
      </c>
      <c r="W142" s="193"/>
      <c r="X142" s="147"/>
    </row>
    <row r="143" spans="2:24" x14ac:dyDescent="0.35">
      <c r="B143" s="137" t="s">
        <v>661</v>
      </c>
      <c r="C143" s="147" t="s">
        <v>194</v>
      </c>
      <c r="D143" s="139" t="s">
        <v>540</v>
      </c>
      <c r="E143" s="147" t="s">
        <v>248</v>
      </c>
      <c r="F143" s="147" t="s">
        <v>106</v>
      </c>
      <c r="G143" s="141">
        <v>1758</v>
      </c>
      <c r="H143" s="142">
        <v>2680</v>
      </c>
      <c r="I143" s="144">
        <f t="shared" si="14"/>
        <v>4711440</v>
      </c>
      <c r="J143" s="193"/>
      <c r="K143" s="141">
        <f>G143</f>
        <v>1758</v>
      </c>
      <c r="L143" s="143">
        <f>H143</f>
        <v>2680</v>
      </c>
      <c r="M143" s="144">
        <f>K143*L143</f>
        <v>4711440</v>
      </c>
      <c r="N143" s="135" t="s">
        <v>708</v>
      </c>
      <c r="O143" s="193"/>
      <c r="P143" s="145">
        <v>0</v>
      </c>
      <c r="Q143" s="143">
        <f t="shared" si="19"/>
        <v>2680</v>
      </c>
      <c r="R143" s="144">
        <f t="shared" si="20"/>
        <v>0</v>
      </c>
      <c r="S143" s="135" t="s">
        <v>146</v>
      </c>
      <c r="T143" s="193"/>
      <c r="U143" s="145">
        <f t="shared" si="15"/>
        <v>0</v>
      </c>
      <c r="V143" s="144">
        <f t="shared" si="16"/>
        <v>0</v>
      </c>
      <c r="W143" s="193"/>
      <c r="X143" s="147"/>
    </row>
    <row r="144" spans="2:24" x14ac:dyDescent="0.35">
      <c r="B144" s="137" t="s">
        <v>662</v>
      </c>
      <c r="C144" s="147" t="s">
        <v>224</v>
      </c>
      <c r="D144" s="139" t="s">
        <v>663</v>
      </c>
      <c r="E144" s="147" t="s">
        <v>182</v>
      </c>
      <c r="F144" s="147" t="s">
        <v>106</v>
      </c>
      <c r="G144" s="141">
        <v>4100</v>
      </c>
      <c r="H144" s="142">
        <v>2680</v>
      </c>
      <c r="I144" s="144">
        <f t="shared" si="14"/>
        <v>10988000</v>
      </c>
      <c r="J144" s="193"/>
      <c r="K144" s="141">
        <v>2460</v>
      </c>
      <c r="L144" s="143">
        <f t="shared" si="17"/>
        <v>2680</v>
      </c>
      <c r="M144" s="144">
        <f t="shared" si="18"/>
        <v>6592800</v>
      </c>
      <c r="N144" s="135" t="s">
        <v>683</v>
      </c>
      <c r="O144" s="193"/>
      <c r="P144" s="145">
        <v>1640</v>
      </c>
      <c r="Q144" s="143">
        <f>H144</f>
        <v>2680</v>
      </c>
      <c r="R144" s="144">
        <f>P144*Q144</f>
        <v>4395200</v>
      </c>
      <c r="S144" s="135" t="s">
        <v>859</v>
      </c>
      <c r="T144" s="193"/>
      <c r="U144" s="145">
        <f t="shared" si="15"/>
        <v>0</v>
      </c>
      <c r="V144" s="144">
        <f t="shared" si="16"/>
        <v>0</v>
      </c>
      <c r="W144" s="193"/>
      <c r="X144" s="147"/>
    </row>
    <row r="145" spans="2:24" x14ac:dyDescent="0.35">
      <c r="B145" s="137" t="s">
        <v>667</v>
      </c>
      <c r="C145" s="147" t="s">
        <v>668</v>
      </c>
      <c r="D145" s="139" t="s">
        <v>669</v>
      </c>
      <c r="E145" s="147" t="s">
        <v>415</v>
      </c>
      <c r="F145" s="147" t="s">
        <v>106</v>
      </c>
      <c r="G145" s="141">
        <v>4400</v>
      </c>
      <c r="H145" s="142">
        <v>2680</v>
      </c>
      <c r="I145" s="144">
        <f t="shared" si="14"/>
        <v>11792000</v>
      </c>
      <c r="J145" s="193"/>
      <c r="K145" s="141">
        <v>2640</v>
      </c>
      <c r="L145" s="143">
        <f t="shared" si="17"/>
        <v>2680</v>
      </c>
      <c r="M145" s="144">
        <f t="shared" si="18"/>
        <v>7075200</v>
      </c>
      <c r="N145" s="135" t="s">
        <v>683</v>
      </c>
      <c r="O145" s="193"/>
      <c r="P145" s="145">
        <v>1760</v>
      </c>
      <c r="Q145" s="143">
        <f t="shared" si="19"/>
        <v>2680</v>
      </c>
      <c r="R145" s="144">
        <f t="shared" si="20"/>
        <v>4716800</v>
      </c>
      <c r="S145" s="135" t="s">
        <v>917</v>
      </c>
      <c r="T145" s="193"/>
      <c r="U145" s="145">
        <f t="shared" si="15"/>
        <v>0</v>
      </c>
      <c r="V145" s="144">
        <f t="shared" si="16"/>
        <v>0</v>
      </c>
      <c r="W145" s="193"/>
      <c r="X145" s="147"/>
    </row>
    <row r="146" spans="2:24" x14ac:dyDescent="0.35">
      <c r="B146" s="137" t="s">
        <v>673</v>
      </c>
      <c r="C146" s="147" t="s">
        <v>201</v>
      </c>
      <c r="D146" s="139" t="s">
        <v>552</v>
      </c>
      <c r="E146" s="147" t="s">
        <v>248</v>
      </c>
      <c r="F146" s="147" t="s">
        <v>106</v>
      </c>
      <c r="G146" s="141">
        <v>1772</v>
      </c>
      <c r="H146" s="142">
        <v>2680</v>
      </c>
      <c r="I146" s="144">
        <f t="shared" si="14"/>
        <v>4748960</v>
      </c>
      <c r="J146" s="193"/>
      <c r="K146" s="141">
        <f>G146</f>
        <v>1772</v>
      </c>
      <c r="L146" s="143">
        <f t="shared" si="17"/>
        <v>2680</v>
      </c>
      <c r="M146" s="144">
        <f t="shared" si="18"/>
        <v>4748960</v>
      </c>
      <c r="N146" s="135" t="s">
        <v>773</v>
      </c>
      <c r="O146" s="193"/>
      <c r="P146" s="145">
        <v>0</v>
      </c>
      <c r="Q146" s="143">
        <f t="shared" si="19"/>
        <v>2680</v>
      </c>
      <c r="R146" s="144">
        <f t="shared" si="20"/>
        <v>0</v>
      </c>
      <c r="S146" s="135" t="s">
        <v>146</v>
      </c>
      <c r="T146" s="193"/>
      <c r="U146" s="145">
        <f t="shared" si="15"/>
        <v>0</v>
      </c>
      <c r="V146" s="144">
        <f t="shared" si="16"/>
        <v>0</v>
      </c>
      <c r="W146" s="193"/>
      <c r="X146" s="147"/>
    </row>
    <row r="147" spans="2:24" x14ac:dyDescent="0.35">
      <c r="B147" s="137" t="s">
        <v>674</v>
      </c>
      <c r="C147" s="147" t="s">
        <v>570</v>
      </c>
      <c r="D147" s="139" t="s">
        <v>571</v>
      </c>
      <c r="E147" s="147" t="s">
        <v>248</v>
      </c>
      <c r="F147" s="147" t="s">
        <v>106</v>
      </c>
      <c r="G147" s="141">
        <v>1795</v>
      </c>
      <c r="H147" s="142">
        <v>2680</v>
      </c>
      <c r="I147" s="144">
        <f t="shared" si="14"/>
        <v>4810600</v>
      </c>
      <c r="J147" s="193"/>
      <c r="K147" s="141">
        <f>G147</f>
        <v>1795</v>
      </c>
      <c r="L147" s="143">
        <f t="shared" si="17"/>
        <v>2680</v>
      </c>
      <c r="M147" s="144">
        <f t="shared" si="18"/>
        <v>4810600</v>
      </c>
      <c r="N147" s="135" t="s">
        <v>773</v>
      </c>
      <c r="O147" s="193"/>
      <c r="P147" s="145">
        <v>0</v>
      </c>
      <c r="Q147" s="143">
        <f t="shared" si="19"/>
        <v>2680</v>
      </c>
      <c r="R147" s="144">
        <f t="shared" si="20"/>
        <v>0</v>
      </c>
      <c r="S147" s="135" t="s">
        <v>146</v>
      </c>
      <c r="T147" s="193"/>
      <c r="U147" s="145">
        <f t="shared" si="15"/>
        <v>0</v>
      </c>
      <c r="V147" s="144">
        <f t="shared" si="16"/>
        <v>0</v>
      </c>
      <c r="W147" s="193"/>
      <c r="X147" s="147"/>
    </row>
    <row r="148" spans="2:24" x14ac:dyDescent="0.35">
      <c r="B148" s="137" t="s">
        <v>676</v>
      </c>
      <c r="C148" s="147" t="s">
        <v>570</v>
      </c>
      <c r="D148" s="139" t="s">
        <v>678</v>
      </c>
      <c r="E148" s="147" t="s">
        <v>182</v>
      </c>
      <c r="F148" s="147" t="s">
        <v>183</v>
      </c>
      <c r="G148" s="141">
        <v>4100</v>
      </c>
      <c r="H148" s="142">
        <v>2700</v>
      </c>
      <c r="I148" s="144">
        <f t="shared" si="14"/>
        <v>11070000</v>
      </c>
      <c r="J148" s="193"/>
      <c r="K148" s="141">
        <v>4100</v>
      </c>
      <c r="L148" s="143">
        <f t="shared" si="17"/>
        <v>2700</v>
      </c>
      <c r="M148" s="144">
        <f t="shared" si="18"/>
        <v>11070000</v>
      </c>
      <c r="N148" s="135" t="s">
        <v>910</v>
      </c>
      <c r="O148" s="193"/>
      <c r="P148" s="145">
        <v>0</v>
      </c>
      <c r="Q148" s="143">
        <f t="shared" si="19"/>
        <v>2700</v>
      </c>
      <c r="R148" s="144">
        <f t="shared" si="20"/>
        <v>0</v>
      </c>
      <c r="S148" s="135" t="s">
        <v>146</v>
      </c>
      <c r="T148" s="193"/>
      <c r="U148" s="145">
        <f t="shared" si="15"/>
        <v>0</v>
      </c>
      <c r="V148" s="144">
        <f t="shared" si="16"/>
        <v>0</v>
      </c>
      <c r="W148" s="193"/>
      <c r="X148" s="147"/>
    </row>
    <row r="149" spans="2:24" x14ac:dyDescent="0.35">
      <c r="B149" s="137" t="s">
        <v>677</v>
      </c>
      <c r="C149" s="147" t="s">
        <v>232</v>
      </c>
      <c r="D149" s="139" t="s">
        <v>682</v>
      </c>
      <c r="E149" s="147" t="s">
        <v>182</v>
      </c>
      <c r="F149" s="147" t="s">
        <v>183</v>
      </c>
      <c r="G149" s="141">
        <v>4600</v>
      </c>
      <c r="H149" s="142">
        <v>2700</v>
      </c>
      <c r="I149" s="144">
        <f t="shared" si="14"/>
        <v>12420000</v>
      </c>
      <c r="J149" s="193"/>
      <c r="K149" s="141">
        <v>4600</v>
      </c>
      <c r="L149" s="143">
        <f t="shared" si="17"/>
        <v>2700</v>
      </c>
      <c r="M149" s="144">
        <f t="shared" si="18"/>
        <v>12420000</v>
      </c>
      <c r="N149" s="135" t="s">
        <v>1106</v>
      </c>
      <c r="O149" s="193"/>
      <c r="P149" s="145">
        <v>0</v>
      </c>
      <c r="Q149" s="143">
        <f t="shared" si="19"/>
        <v>2700</v>
      </c>
      <c r="R149" s="144">
        <f t="shared" si="20"/>
        <v>0</v>
      </c>
      <c r="S149" s="135" t="s">
        <v>146</v>
      </c>
      <c r="T149" s="193"/>
      <c r="U149" s="145">
        <f t="shared" si="15"/>
        <v>0</v>
      </c>
      <c r="V149" s="144">
        <f t="shared" si="16"/>
        <v>0</v>
      </c>
      <c r="W149" s="193"/>
      <c r="X149" s="147"/>
    </row>
    <row r="150" spans="2:24" x14ac:dyDescent="0.35">
      <c r="B150" s="137" t="s">
        <v>684</v>
      </c>
      <c r="C150" s="147" t="s">
        <v>202</v>
      </c>
      <c r="D150" s="139" t="s">
        <v>685</v>
      </c>
      <c r="E150" s="147" t="s">
        <v>206</v>
      </c>
      <c r="F150" s="147" t="s">
        <v>319</v>
      </c>
      <c r="G150" s="141">
        <v>4100</v>
      </c>
      <c r="H150" s="142">
        <v>2700</v>
      </c>
      <c r="I150" s="144">
        <f t="shared" si="14"/>
        <v>11070000</v>
      </c>
      <c r="J150" s="193"/>
      <c r="K150" s="141">
        <v>4100</v>
      </c>
      <c r="L150" s="143">
        <f t="shared" si="17"/>
        <v>2700</v>
      </c>
      <c r="M150" s="144">
        <f t="shared" si="18"/>
        <v>11070000</v>
      </c>
      <c r="N150" s="135" t="s">
        <v>909</v>
      </c>
      <c r="O150" s="193"/>
      <c r="P150" s="145">
        <v>0</v>
      </c>
      <c r="Q150" s="143">
        <f t="shared" si="19"/>
        <v>2700</v>
      </c>
      <c r="R150" s="144">
        <f t="shared" si="20"/>
        <v>0</v>
      </c>
      <c r="S150" s="135" t="s">
        <v>146</v>
      </c>
      <c r="T150" s="193"/>
      <c r="U150" s="145">
        <f t="shared" si="15"/>
        <v>0</v>
      </c>
      <c r="V150" s="144">
        <f t="shared" si="16"/>
        <v>0</v>
      </c>
      <c r="W150" s="193"/>
      <c r="X150" s="147"/>
    </row>
    <row r="151" spans="2:24" x14ac:dyDescent="0.35">
      <c r="B151" s="137" t="s">
        <v>690</v>
      </c>
      <c r="C151" s="147" t="s">
        <v>201</v>
      </c>
      <c r="D151" s="174" t="s">
        <v>691</v>
      </c>
      <c r="E151" s="147" t="s">
        <v>182</v>
      </c>
      <c r="F151" s="147" t="s">
        <v>183</v>
      </c>
      <c r="G151" s="141">
        <v>4400</v>
      </c>
      <c r="H151" s="142">
        <v>2700</v>
      </c>
      <c r="I151" s="144">
        <f t="shared" si="14"/>
        <v>11880000</v>
      </c>
      <c r="J151" s="193"/>
      <c r="K151" s="141">
        <v>4400</v>
      </c>
      <c r="L151" s="143">
        <f t="shared" si="17"/>
        <v>2700</v>
      </c>
      <c r="M151" s="144">
        <f t="shared" si="18"/>
        <v>11880000</v>
      </c>
      <c r="N151" s="135" t="s">
        <v>1758</v>
      </c>
      <c r="O151" s="193"/>
      <c r="P151" s="145">
        <v>0</v>
      </c>
      <c r="Q151" s="143">
        <f t="shared" si="19"/>
        <v>2700</v>
      </c>
      <c r="R151" s="144">
        <f t="shared" si="20"/>
        <v>0</v>
      </c>
      <c r="S151" s="135" t="s">
        <v>146</v>
      </c>
      <c r="T151" s="193"/>
      <c r="U151" s="145">
        <f t="shared" si="15"/>
        <v>0</v>
      </c>
      <c r="V151" s="144">
        <f t="shared" si="16"/>
        <v>0</v>
      </c>
      <c r="W151" s="193"/>
      <c r="X151" s="147"/>
    </row>
    <row r="152" spans="2:24" x14ac:dyDescent="0.35">
      <c r="B152" s="137" t="s">
        <v>697</v>
      </c>
      <c r="C152" s="147" t="s">
        <v>194</v>
      </c>
      <c r="D152" s="174" t="s">
        <v>698</v>
      </c>
      <c r="E152" s="147" t="s">
        <v>114</v>
      </c>
      <c r="F152" s="147" t="s">
        <v>319</v>
      </c>
      <c r="G152" s="141">
        <v>4100</v>
      </c>
      <c r="H152" s="142">
        <v>2700</v>
      </c>
      <c r="I152" s="144">
        <f t="shared" si="14"/>
        <v>11070000</v>
      </c>
      <c r="J152" s="193"/>
      <c r="K152" s="141">
        <v>4100</v>
      </c>
      <c r="L152" s="143">
        <f t="shared" si="17"/>
        <v>2700</v>
      </c>
      <c r="M152" s="144">
        <f t="shared" si="18"/>
        <v>11070000</v>
      </c>
      <c r="N152" s="135" t="s">
        <v>920</v>
      </c>
      <c r="O152" s="193"/>
      <c r="P152" s="145">
        <v>0</v>
      </c>
      <c r="Q152" s="143">
        <f t="shared" si="19"/>
        <v>2700</v>
      </c>
      <c r="R152" s="144">
        <f t="shared" si="20"/>
        <v>0</v>
      </c>
      <c r="S152" s="135" t="s">
        <v>146</v>
      </c>
      <c r="T152" s="193"/>
      <c r="U152" s="145">
        <f t="shared" si="15"/>
        <v>0</v>
      </c>
      <c r="V152" s="144">
        <f t="shared" si="16"/>
        <v>0</v>
      </c>
      <c r="W152" s="193"/>
      <c r="X152" s="147"/>
    </row>
    <row r="153" spans="2:24" x14ac:dyDescent="0.35">
      <c r="B153" s="137" t="s">
        <v>700</v>
      </c>
      <c r="C153" s="147" t="s">
        <v>701</v>
      </c>
      <c r="D153" s="139" t="s">
        <v>702</v>
      </c>
      <c r="E153" s="147" t="s">
        <v>182</v>
      </c>
      <c r="F153" s="147" t="s">
        <v>106</v>
      </c>
      <c r="G153" s="141">
        <v>4100</v>
      </c>
      <c r="H153" s="142">
        <v>2680</v>
      </c>
      <c r="I153" s="144">
        <f t="shared" si="14"/>
        <v>10988000</v>
      </c>
      <c r="J153" s="193"/>
      <c r="K153" s="141">
        <v>2460</v>
      </c>
      <c r="L153" s="143">
        <f t="shared" si="17"/>
        <v>2680</v>
      </c>
      <c r="M153" s="144">
        <f t="shared" si="18"/>
        <v>6592800</v>
      </c>
      <c r="N153" s="135" t="s">
        <v>748</v>
      </c>
      <c r="O153" s="193"/>
      <c r="P153" s="145">
        <v>1640</v>
      </c>
      <c r="Q153" s="143">
        <f>H153</f>
        <v>2680</v>
      </c>
      <c r="R153" s="144">
        <f>P153*Q153</f>
        <v>4395200</v>
      </c>
      <c r="S153" s="135" t="s">
        <v>1038</v>
      </c>
      <c r="T153" s="193"/>
      <c r="U153" s="145">
        <f t="shared" si="15"/>
        <v>0</v>
      </c>
      <c r="V153" s="144">
        <f t="shared" si="16"/>
        <v>0</v>
      </c>
      <c r="W153" s="193"/>
      <c r="X153" s="147"/>
    </row>
    <row r="154" spans="2:24" x14ac:dyDescent="0.35">
      <c r="B154" s="137" t="s">
        <v>713</v>
      </c>
      <c r="C154" s="147" t="s">
        <v>160</v>
      </c>
      <c r="D154" s="139" t="s">
        <v>617</v>
      </c>
      <c r="E154" s="147" t="s">
        <v>248</v>
      </c>
      <c r="F154" s="147" t="s">
        <v>106</v>
      </c>
      <c r="G154" s="141">
        <v>1796</v>
      </c>
      <c r="H154" s="142">
        <v>2680</v>
      </c>
      <c r="I154" s="144">
        <f t="shared" si="14"/>
        <v>4813280</v>
      </c>
      <c r="J154" s="193"/>
      <c r="K154" s="141">
        <f>G154</f>
        <v>1796</v>
      </c>
      <c r="L154" s="143">
        <f t="shared" si="17"/>
        <v>2680</v>
      </c>
      <c r="M154" s="144">
        <f t="shared" si="18"/>
        <v>4813280</v>
      </c>
      <c r="N154" s="135" t="s">
        <v>827</v>
      </c>
      <c r="O154" s="193"/>
      <c r="P154" s="145">
        <v>0</v>
      </c>
      <c r="Q154" s="143">
        <f t="shared" si="19"/>
        <v>2680</v>
      </c>
      <c r="R154" s="144">
        <f t="shared" si="20"/>
        <v>0</v>
      </c>
      <c r="S154" s="135" t="s">
        <v>146</v>
      </c>
      <c r="T154" s="193"/>
      <c r="U154" s="145">
        <f t="shared" si="15"/>
        <v>0</v>
      </c>
      <c r="V154" s="144">
        <f t="shared" si="16"/>
        <v>0</v>
      </c>
      <c r="W154" s="193"/>
      <c r="X154" s="147"/>
    </row>
    <row r="155" spans="2:24" x14ac:dyDescent="0.35">
      <c r="B155" s="137" t="s">
        <v>714</v>
      </c>
      <c r="C155" s="147" t="s">
        <v>175</v>
      </c>
      <c r="D155" s="139" t="s">
        <v>607</v>
      </c>
      <c r="E155" s="147" t="s">
        <v>248</v>
      </c>
      <c r="F155" s="147" t="s">
        <v>106</v>
      </c>
      <c r="G155" s="141">
        <v>1788</v>
      </c>
      <c r="H155" s="142">
        <v>2680</v>
      </c>
      <c r="I155" s="144">
        <f t="shared" si="14"/>
        <v>4791840</v>
      </c>
      <c r="J155" s="193"/>
      <c r="K155" s="141">
        <f>G155</f>
        <v>1788</v>
      </c>
      <c r="L155" s="143">
        <f>H155</f>
        <v>2680</v>
      </c>
      <c r="M155" s="144">
        <f>K155*L155</f>
        <v>4791840</v>
      </c>
      <c r="N155" s="135" t="s">
        <v>827</v>
      </c>
      <c r="O155" s="193"/>
      <c r="P155" s="145">
        <v>0</v>
      </c>
      <c r="Q155" s="143">
        <f t="shared" si="19"/>
        <v>2680</v>
      </c>
      <c r="R155" s="144">
        <f t="shared" si="20"/>
        <v>0</v>
      </c>
      <c r="S155" s="135" t="s">
        <v>146</v>
      </c>
      <c r="T155" s="193"/>
      <c r="U155" s="145">
        <f t="shared" si="15"/>
        <v>0</v>
      </c>
      <c r="V155" s="144">
        <f t="shared" si="16"/>
        <v>0</v>
      </c>
      <c r="W155" s="193"/>
      <c r="X155" s="147"/>
    </row>
    <row r="156" spans="2:24" x14ac:dyDescent="0.35">
      <c r="B156" s="137" t="s">
        <v>715</v>
      </c>
      <c r="C156" s="147" t="s">
        <v>398</v>
      </c>
      <c r="D156" s="139" t="s">
        <v>624</v>
      </c>
      <c r="E156" s="147" t="s">
        <v>248</v>
      </c>
      <c r="F156" s="147" t="s">
        <v>106</v>
      </c>
      <c r="G156" s="141">
        <v>1781</v>
      </c>
      <c r="H156" s="142">
        <v>2680</v>
      </c>
      <c r="I156" s="144">
        <f t="shared" si="14"/>
        <v>4773080</v>
      </c>
      <c r="J156" s="193"/>
      <c r="K156" s="141">
        <f>G156</f>
        <v>1781</v>
      </c>
      <c r="L156" s="143">
        <f t="shared" si="17"/>
        <v>2680</v>
      </c>
      <c r="M156" s="144">
        <f t="shared" si="18"/>
        <v>4773080</v>
      </c>
      <c r="N156" s="135" t="s">
        <v>791</v>
      </c>
      <c r="O156" s="193"/>
      <c r="P156" s="145">
        <v>0</v>
      </c>
      <c r="Q156" s="143">
        <f t="shared" si="19"/>
        <v>2680</v>
      </c>
      <c r="R156" s="144">
        <f t="shared" si="20"/>
        <v>0</v>
      </c>
      <c r="S156" s="135" t="s">
        <v>146</v>
      </c>
      <c r="T156" s="193"/>
      <c r="U156" s="145">
        <f t="shared" si="15"/>
        <v>0</v>
      </c>
      <c r="V156" s="144">
        <f t="shared" si="16"/>
        <v>0</v>
      </c>
      <c r="W156" s="193"/>
      <c r="X156" s="147"/>
    </row>
    <row r="157" spans="2:24" x14ac:dyDescent="0.35">
      <c r="B157" s="137" t="s">
        <v>716</v>
      </c>
      <c r="C157" s="147" t="s">
        <v>393</v>
      </c>
      <c r="D157" s="139" t="s">
        <v>597</v>
      </c>
      <c r="E157" s="147" t="s">
        <v>248</v>
      </c>
      <c r="F157" s="147" t="s">
        <v>106</v>
      </c>
      <c r="G157" s="141">
        <v>1950</v>
      </c>
      <c r="H157" s="142">
        <v>2680</v>
      </c>
      <c r="I157" s="144">
        <f t="shared" si="14"/>
        <v>5226000</v>
      </c>
      <c r="J157" s="193"/>
      <c r="K157" s="141">
        <f>G157</f>
        <v>1950</v>
      </c>
      <c r="L157" s="143">
        <f>H157</f>
        <v>2680</v>
      </c>
      <c r="M157" s="144">
        <f>K157*L157</f>
        <v>5226000</v>
      </c>
      <c r="N157" s="135" t="s">
        <v>827</v>
      </c>
      <c r="O157" s="193"/>
      <c r="P157" s="145">
        <v>0</v>
      </c>
      <c r="Q157" s="143">
        <f t="shared" si="19"/>
        <v>2680</v>
      </c>
      <c r="R157" s="144">
        <f t="shared" si="20"/>
        <v>0</v>
      </c>
      <c r="S157" s="135" t="s">
        <v>146</v>
      </c>
      <c r="T157" s="193"/>
      <c r="U157" s="145">
        <f t="shared" si="15"/>
        <v>0</v>
      </c>
      <c r="V157" s="144">
        <f t="shared" si="16"/>
        <v>0</v>
      </c>
      <c r="W157" s="193"/>
      <c r="X157" s="147"/>
    </row>
    <row r="158" spans="2:24" x14ac:dyDescent="0.35">
      <c r="B158" s="137" t="s">
        <v>717</v>
      </c>
      <c r="C158" s="147" t="s">
        <v>164</v>
      </c>
      <c r="D158" s="174" t="s">
        <v>718</v>
      </c>
      <c r="E158" s="147" t="s">
        <v>114</v>
      </c>
      <c r="F158" s="147" t="s">
        <v>106</v>
      </c>
      <c r="G158" s="141">
        <v>4100</v>
      </c>
      <c r="H158" s="142">
        <v>2680</v>
      </c>
      <c r="I158" s="144">
        <f t="shared" si="14"/>
        <v>10988000</v>
      </c>
      <c r="J158" s="193"/>
      <c r="K158" s="141">
        <v>2460</v>
      </c>
      <c r="L158" s="143">
        <f>H158</f>
        <v>2680</v>
      </c>
      <c r="M158" s="144">
        <f>K158*L158</f>
        <v>6592800</v>
      </c>
      <c r="N158" s="135" t="s">
        <v>748</v>
      </c>
      <c r="O158" s="193"/>
      <c r="P158" s="145">
        <v>1584.97</v>
      </c>
      <c r="Q158" s="143">
        <f t="shared" si="19"/>
        <v>2680</v>
      </c>
      <c r="R158" s="144">
        <f t="shared" si="20"/>
        <v>4247719.5999999996</v>
      </c>
      <c r="S158" s="135" t="s">
        <v>1038</v>
      </c>
      <c r="T158" s="193"/>
      <c r="U158" s="145">
        <f t="shared" si="15"/>
        <v>55.029999999999973</v>
      </c>
      <c r="V158" s="144">
        <f t="shared" si="16"/>
        <v>147480.40000000037</v>
      </c>
      <c r="W158" s="193"/>
      <c r="X158" s="147" t="s">
        <v>1039</v>
      </c>
    </row>
    <row r="159" spans="2:24" x14ac:dyDescent="0.35">
      <c r="B159" s="137" t="s">
        <v>721</v>
      </c>
      <c r="C159" s="147" t="s">
        <v>736</v>
      </c>
      <c r="D159" s="174" t="s">
        <v>722</v>
      </c>
      <c r="E159" s="147" t="s">
        <v>182</v>
      </c>
      <c r="F159" s="147" t="s">
        <v>106</v>
      </c>
      <c r="G159" s="141">
        <v>4600</v>
      </c>
      <c r="H159" s="142">
        <v>2680</v>
      </c>
      <c r="I159" s="144">
        <f t="shared" si="14"/>
        <v>12328000</v>
      </c>
      <c r="J159" s="193"/>
      <c r="K159" s="141">
        <v>2460</v>
      </c>
      <c r="L159" s="143">
        <f>H159</f>
        <v>2680</v>
      </c>
      <c r="M159" s="144">
        <f>K159*L159</f>
        <v>6592800</v>
      </c>
      <c r="N159" s="135" t="s">
        <v>748</v>
      </c>
      <c r="O159" s="193"/>
      <c r="P159" s="145">
        <f>1640+500</f>
        <v>2140</v>
      </c>
      <c r="Q159" s="143">
        <f t="shared" si="19"/>
        <v>2680</v>
      </c>
      <c r="R159" s="144">
        <f t="shared" si="20"/>
        <v>5735200</v>
      </c>
      <c r="S159" s="135" t="s">
        <v>1229</v>
      </c>
      <c r="T159" s="193"/>
      <c r="U159" s="145">
        <f t="shared" si="15"/>
        <v>0</v>
      </c>
      <c r="V159" s="144">
        <f t="shared" si="16"/>
        <v>0</v>
      </c>
      <c r="W159" s="193"/>
      <c r="X159" s="147"/>
    </row>
    <row r="160" spans="2:24" x14ac:dyDescent="0.35">
      <c r="B160" s="137" t="s">
        <v>726</v>
      </c>
      <c r="C160" s="147" t="s">
        <v>393</v>
      </c>
      <c r="D160" s="174" t="s">
        <v>725</v>
      </c>
      <c r="E160" s="147" t="s">
        <v>182</v>
      </c>
      <c r="F160" s="147" t="s">
        <v>106</v>
      </c>
      <c r="G160" s="141">
        <v>4100</v>
      </c>
      <c r="H160" s="142">
        <v>2680</v>
      </c>
      <c r="I160" s="144">
        <f t="shared" si="14"/>
        <v>10988000</v>
      </c>
      <c r="J160" s="193"/>
      <c r="K160" s="141">
        <v>2460</v>
      </c>
      <c r="L160" s="143">
        <v>2680</v>
      </c>
      <c r="M160" s="144">
        <v>6592800</v>
      </c>
      <c r="N160" s="135" t="s">
        <v>749</v>
      </c>
      <c r="O160" s="193"/>
      <c r="P160" s="145">
        <v>1640</v>
      </c>
      <c r="Q160" s="143">
        <f t="shared" si="19"/>
        <v>2680</v>
      </c>
      <c r="R160" s="144">
        <f t="shared" si="20"/>
        <v>4395200</v>
      </c>
      <c r="S160" s="135" t="s">
        <v>1165</v>
      </c>
      <c r="T160" s="193"/>
      <c r="U160" s="145">
        <f t="shared" si="15"/>
        <v>0</v>
      </c>
      <c r="V160" s="144">
        <f t="shared" si="16"/>
        <v>0</v>
      </c>
      <c r="W160" s="193"/>
      <c r="X160" s="147"/>
    </row>
    <row r="161" spans="2:24" x14ac:dyDescent="0.35">
      <c r="B161" s="137" t="s">
        <v>729</v>
      </c>
      <c r="C161" s="147" t="s">
        <v>230</v>
      </c>
      <c r="D161" s="174" t="s">
        <v>728</v>
      </c>
      <c r="E161" s="147" t="s">
        <v>182</v>
      </c>
      <c r="F161" s="147" t="s">
        <v>106</v>
      </c>
      <c r="G161" s="141">
        <v>4100</v>
      </c>
      <c r="H161" s="142">
        <v>2680</v>
      </c>
      <c r="I161" s="144">
        <f t="shared" si="14"/>
        <v>10988000</v>
      </c>
      <c r="J161" s="193"/>
      <c r="K161" s="141">
        <v>2460</v>
      </c>
      <c r="L161" s="143">
        <v>2680</v>
      </c>
      <c r="M161" s="144">
        <v>6592800</v>
      </c>
      <c r="N161" s="135" t="s">
        <v>749</v>
      </c>
      <c r="O161" s="193"/>
      <c r="P161" s="145">
        <v>1640</v>
      </c>
      <c r="Q161" s="143">
        <f t="shared" si="19"/>
        <v>2680</v>
      </c>
      <c r="R161" s="144">
        <f t="shared" si="20"/>
        <v>4395200</v>
      </c>
      <c r="S161" s="135" t="s">
        <v>1166</v>
      </c>
      <c r="T161" s="193"/>
      <c r="U161" s="145">
        <f t="shared" si="15"/>
        <v>0</v>
      </c>
      <c r="V161" s="144">
        <f t="shared" si="16"/>
        <v>0</v>
      </c>
      <c r="W161" s="193"/>
      <c r="X161" s="147"/>
    </row>
    <row r="162" spans="2:24" x14ac:dyDescent="0.35">
      <c r="B162" s="137" t="s">
        <v>732</v>
      </c>
      <c r="C162" s="147" t="s">
        <v>733</v>
      </c>
      <c r="D162" s="174" t="s">
        <v>731</v>
      </c>
      <c r="E162" s="147" t="s">
        <v>182</v>
      </c>
      <c r="F162" s="147" t="s">
        <v>106</v>
      </c>
      <c r="G162" s="141">
        <v>4100</v>
      </c>
      <c r="H162" s="142">
        <v>2680</v>
      </c>
      <c r="I162" s="144">
        <f t="shared" si="14"/>
        <v>10988000</v>
      </c>
      <c r="J162" s="193"/>
      <c r="K162" s="141">
        <v>2460</v>
      </c>
      <c r="L162" s="143">
        <v>2680</v>
      </c>
      <c r="M162" s="144">
        <v>6592800</v>
      </c>
      <c r="N162" s="135" t="s">
        <v>749</v>
      </c>
      <c r="O162" s="193"/>
      <c r="P162" s="145">
        <v>1640</v>
      </c>
      <c r="Q162" s="143">
        <f t="shared" si="19"/>
        <v>2680</v>
      </c>
      <c r="R162" s="144">
        <f t="shared" si="20"/>
        <v>4395200</v>
      </c>
      <c r="S162" s="135" t="s">
        <v>1165</v>
      </c>
      <c r="T162" s="193"/>
      <c r="U162" s="145">
        <f t="shared" si="15"/>
        <v>0</v>
      </c>
      <c r="V162" s="144">
        <f t="shared" si="16"/>
        <v>0</v>
      </c>
      <c r="W162" s="193"/>
      <c r="X162" s="147"/>
    </row>
    <row r="163" spans="2:24" x14ac:dyDescent="0.35">
      <c r="B163" s="137" t="s">
        <v>737</v>
      </c>
      <c r="C163" s="147" t="s">
        <v>160</v>
      </c>
      <c r="D163" s="139" t="s">
        <v>738</v>
      </c>
      <c r="E163" s="147" t="s">
        <v>182</v>
      </c>
      <c r="F163" s="147" t="s">
        <v>106</v>
      </c>
      <c r="G163" s="141">
        <v>4100</v>
      </c>
      <c r="H163" s="142">
        <v>2680</v>
      </c>
      <c r="I163" s="144">
        <f t="shared" si="14"/>
        <v>10988000</v>
      </c>
      <c r="J163" s="193"/>
      <c r="K163" s="141">
        <v>2460</v>
      </c>
      <c r="L163" s="143">
        <v>2680</v>
      </c>
      <c r="M163" s="144">
        <v>6592800</v>
      </c>
      <c r="N163" s="135" t="s">
        <v>749</v>
      </c>
      <c r="O163" s="193"/>
      <c r="P163" s="145">
        <v>1640</v>
      </c>
      <c r="Q163" s="143">
        <f>H163</f>
        <v>2680</v>
      </c>
      <c r="R163" s="144">
        <f>P163*Q163</f>
        <v>4395200</v>
      </c>
      <c r="S163" s="135" t="s">
        <v>1038</v>
      </c>
      <c r="T163" s="193"/>
      <c r="U163" s="145">
        <f t="shared" si="15"/>
        <v>0</v>
      </c>
      <c r="V163" s="144">
        <f t="shared" si="16"/>
        <v>0</v>
      </c>
      <c r="W163" s="193"/>
      <c r="X163" s="147"/>
    </row>
    <row r="164" spans="2:24" x14ac:dyDescent="0.35">
      <c r="B164" s="137" t="s">
        <v>743</v>
      </c>
      <c r="C164" s="147" t="s">
        <v>203</v>
      </c>
      <c r="D164" s="139" t="s">
        <v>744</v>
      </c>
      <c r="E164" s="147" t="s">
        <v>383</v>
      </c>
      <c r="F164" s="147" t="s">
        <v>106</v>
      </c>
      <c r="G164" s="141">
        <v>4400</v>
      </c>
      <c r="H164" s="142">
        <v>2680</v>
      </c>
      <c r="I164" s="144">
        <f t="shared" si="14"/>
        <v>11792000</v>
      </c>
      <c r="J164" s="193"/>
      <c r="K164" s="141">
        <v>2640</v>
      </c>
      <c r="L164" s="143">
        <f t="shared" si="17"/>
        <v>2680</v>
      </c>
      <c r="M164" s="144">
        <f t="shared" si="18"/>
        <v>7075200</v>
      </c>
      <c r="N164" s="135" t="s">
        <v>763</v>
      </c>
      <c r="O164" s="193"/>
      <c r="P164" s="145">
        <v>1760</v>
      </c>
      <c r="Q164" s="143">
        <f>H164</f>
        <v>2680</v>
      </c>
      <c r="R164" s="144">
        <f>P164*Q164</f>
        <v>4716800</v>
      </c>
      <c r="S164" s="135" t="s">
        <v>1067</v>
      </c>
      <c r="T164" s="193"/>
      <c r="U164" s="145">
        <f t="shared" si="15"/>
        <v>0</v>
      </c>
      <c r="V164" s="144">
        <f t="shared" si="16"/>
        <v>0</v>
      </c>
      <c r="W164" s="193"/>
      <c r="X164" s="147"/>
    </row>
    <row r="165" spans="2:24" x14ac:dyDescent="0.35">
      <c r="B165" s="137" t="s">
        <v>750</v>
      </c>
      <c r="C165" s="147" t="s">
        <v>758</v>
      </c>
      <c r="D165" s="139" t="s">
        <v>759</v>
      </c>
      <c r="E165" s="147" t="s">
        <v>182</v>
      </c>
      <c r="F165" s="147" t="s">
        <v>183</v>
      </c>
      <c r="G165" s="141">
        <v>4100</v>
      </c>
      <c r="H165" s="142">
        <v>2700</v>
      </c>
      <c r="I165" s="144">
        <f t="shared" si="14"/>
        <v>11070000</v>
      </c>
      <c r="J165" s="193"/>
      <c r="K165" s="141">
        <v>4100</v>
      </c>
      <c r="L165" s="143">
        <f t="shared" si="17"/>
        <v>2700</v>
      </c>
      <c r="M165" s="144">
        <f t="shared" si="18"/>
        <v>11070000</v>
      </c>
      <c r="N165" s="135" t="s">
        <v>1107</v>
      </c>
      <c r="O165" s="193"/>
      <c r="P165" s="145">
        <v>0</v>
      </c>
      <c r="Q165" s="143">
        <f t="shared" si="19"/>
        <v>2700</v>
      </c>
      <c r="R165" s="144">
        <f t="shared" si="20"/>
        <v>0</v>
      </c>
      <c r="S165" s="135" t="s">
        <v>146</v>
      </c>
      <c r="T165" s="193"/>
      <c r="U165" s="145">
        <f t="shared" si="15"/>
        <v>0</v>
      </c>
      <c r="V165" s="144">
        <f t="shared" si="16"/>
        <v>0</v>
      </c>
      <c r="W165" s="193"/>
      <c r="X165" s="147"/>
    </row>
    <row r="166" spans="2:24" x14ac:dyDescent="0.35">
      <c r="B166" s="137" t="s">
        <v>751</v>
      </c>
      <c r="C166" s="147" t="s">
        <v>175</v>
      </c>
      <c r="D166" s="139" t="s">
        <v>752</v>
      </c>
      <c r="E166" s="147" t="s">
        <v>383</v>
      </c>
      <c r="F166" s="147" t="s">
        <v>106</v>
      </c>
      <c r="G166" s="141">
        <v>4400</v>
      </c>
      <c r="H166" s="142">
        <v>2680</v>
      </c>
      <c r="I166" s="144">
        <f t="shared" si="14"/>
        <v>11792000</v>
      </c>
      <c r="J166" s="193"/>
      <c r="K166" s="141">
        <v>2640</v>
      </c>
      <c r="L166" s="143">
        <f>H166</f>
        <v>2680</v>
      </c>
      <c r="M166" s="144">
        <f>K166*L166</f>
        <v>7075200</v>
      </c>
      <c r="N166" s="135" t="s">
        <v>764</v>
      </c>
      <c r="O166" s="193"/>
      <c r="P166" s="145">
        <v>1760</v>
      </c>
      <c r="Q166" s="143">
        <f t="shared" si="19"/>
        <v>2680</v>
      </c>
      <c r="R166" s="144">
        <f t="shared" si="20"/>
        <v>4716800</v>
      </c>
      <c r="S166" s="135" t="s">
        <v>1231</v>
      </c>
      <c r="T166" s="193"/>
      <c r="U166" s="145">
        <f t="shared" si="15"/>
        <v>0</v>
      </c>
      <c r="V166" s="144">
        <f t="shared" si="16"/>
        <v>0</v>
      </c>
      <c r="W166" s="193"/>
      <c r="X166" s="147"/>
    </row>
    <row r="167" spans="2:24" x14ac:dyDescent="0.35">
      <c r="B167" s="137" t="s">
        <v>757</v>
      </c>
      <c r="C167" s="147" t="s">
        <v>398</v>
      </c>
      <c r="D167" s="139" t="s">
        <v>755</v>
      </c>
      <c r="E167" s="147" t="s">
        <v>383</v>
      </c>
      <c r="F167" s="147" t="s">
        <v>106</v>
      </c>
      <c r="G167" s="141">
        <v>4400</v>
      </c>
      <c r="H167" s="142">
        <v>2680</v>
      </c>
      <c r="I167" s="144">
        <f t="shared" si="14"/>
        <v>11792000</v>
      </c>
      <c r="J167" s="193"/>
      <c r="K167" s="141">
        <v>2640</v>
      </c>
      <c r="L167" s="143">
        <f t="shared" si="17"/>
        <v>2680</v>
      </c>
      <c r="M167" s="144">
        <f t="shared" si="18"/>
        <v>7075200</v>
      </c>
      <c r="N167" s="135" t="s">
        <v>764</v>
      </c>
      <c r="O167" s="193"/>
      <c r="P167" s="145">
        <v>1760</v>
      </c>
      <c r="Q167" s="143">
        <f t="shared" si="19"/>
        <v>2680</v>
      </c>
      <c r="R167" s="144">
        <f t="shared" si="20"/>
        <v>4716800</v>
      </c>
      <c r="S167" s="135" t="s">
        <v>1165</v>
      </c>
      <c r="T167" s="193"/>
      <c r="U167" s="145">
        <f t="shared" si="15"/>
        <v>0</v>
      </c>
      <c r="V167" s="144">
        <f t="shared" si="16"/>
        <v>0</v>
      </c>
      <c r="W167" s="193"/>
      <c r="X167" s="147"/>
    </row>
    <row r="168" spans="2:24" x14ac:dyDescent="0.35">
      <c r="B168" s="137" t="s">
        <v>765</v>
      </c>
      <c r="C168" s="147" t="s">
        <v>515</v>
      </c>
      <c r="D168" s="147" t="s">
        <v>628</v>
      </c>
      <c r="E168" s="147" t="s">
        <v>248</v>
      </c>
      <c r="F168" s="147" t="s">
        <v>106</v>
      </c>
      <c r="G168" s="141">
        <v>1587</v>
      </c>
      <c r="H168" s="142">
        <v>2680</v>
      </c>
      <c r="I168" s="144">
        <f t="shared" si="14"/>
        <v>4253160</v>
      </c>
      <c r="J168" s="193"/>
      <c r="K168" s="141">
        <f>G168</f>
        <v>1587</v>
      </c>
      <c r="L168" s="143">
        <f>H168</f>
        <v>2680</v>
      </c>
      <c r="M168" s="144">
        <f>K168*L168</f>
        <v>4253160</v>
      </c>
      <c r="N168" s="135" t="s">
        <v>827</v>
      </c>
      <c r="O168" s="193"/>
      <c r="P168" s="145">
        <v>0</v>
      </c>
      <c r="Q168" s="143">
        <f t="shared" si="19"/>
        <v>2680</v>
      </c>
      <c r="R168" s="144">
        <f t="shared" si="20"/>
        <v>0</v>
      </c>
      <c r="S168" s="135" t="s">
        <v>146</v>
      </c>
      <c r="T168" s="193"/>
      <c r="U168" s="145">
        <f t="shared" si="15"/>
        <v>0</v>
      </c>
      <c r="V168" s="144">
        <f t="shared" si="16"/>
        <v>0</v>
      </c>
      <c r="W168" s="193"/>
      <c r="X168" s="147"/>
    </row>
    <row r="169" spans="2:24" x14ac:dyDescent="0.35">
      <c r="B169" s="137" t="s">
        <v>766</v>
      </c>
      <c r="C169" s="147" t="s">
        <v>98</v>
      </c>
      <c r="D169" s="139" t="s">
        <v>767</v>
      </c>
      <c r="E169" s="147" t="s">
        <v>415</v>
      </c>
      <c r="F169" s="147" t="s">
        <v>106</v>
      </c>
      <c r="G169" s="141">
        <v>4400</v>
      </c>
      <c r="H169" s="142">
        <v>2680</v>
      </c>
      <c r="I169" s="144">
        <f t="shared" si="14"/>
        <v>11792000</v>
      </c>
      <c r="J169" s="193"/>
      <c r="K169" s="141">
        <v>2640</v>
      </c>
      <c r="L169" s="143">
        <f t="shared" si="17"/>
        <v>2680</v>
      </c>
      <c r="M169" s="144">
        <f t="shared" si="18"/>
        <v>7075200</v>
      </c>
      <c r="N169" s="135" t="s">
        <v>784</v>
      </c>
      <c r="O169" s="193"/>
      <c r="P169" s="145">
        <v>1760</v>
      </c>
      <c r="Q169" s="143">
        <f t="shared" si="19"/>
        <v>2680</v>
      </c>
      <c r="R169" s="144">
        <f t="shared" si="20"/>
        <v>4716800</v>
      </c>
      <c r="S169" s="135" t="s">
        <v>1067</v>
      </c>
      <c r="T169" s="193"/>
      <c r="U169" s="145">
        <f t="shared" si="15"/>
        <v>0</v>
      </c>
      <c r="V169" s="144">
        <f t="shared" si="16"/>
        <v>0</v>
      </c>
      <c r="W169" s="193"/>
      <c r="X169" s="147"/>
    </row>
    <row r="170" spans="2:24" x14ac:dyDescent="0.35">
      <c r="B170" s="137" t="s">
        <v>770</v>
      </c>
      <c r="C170" s="147" t="s">
        <v>515</v>
      </c>
      <c r="D170" s="139" t="s">
        <v>771</v>
      </c>
      <c r="E170" s="147" t="s">
        <v>182</v>
      </c>
      <c r="F170" s="147" t="s">
        <v>183</v>
      </c>
      <c r="G170" s="141">
        <v>4100</v>
      </c>
      <c r="H170" s="142">
        <v>2700</v>
      </c>
      <c r="I170" s="144">
        <f t="shared" si="14"/>
        <v>11070000</v>
      </c>
      <c r="J170" s="193"/>
      <c r="K170" s="141">
        <v>4100</v>
      </c>
      <c r="L170" s="143">
        <f t="shared" si="17"/>
        <v>2700</v>
      </c>
      <c r="M170" s="144">
        <f t="shared" si="18"/>
        <v>11070000</v>
      </c>
      <c r="N170" s="135" t="s">
        <v>1107</v>
      </c>
      <c r="O170" s="193"/>
      <c r="P170" s="145">
        <v>0</v>
      </c>
      <c r="Q170" s="143">
        <f t="shared" si="19"/>
        <v>2700</v>
      </c>
      <c r="R170" s="144">
        <f t="shared" si="20"/>
        <v>0</v>
      </c>
      <c r="S170" s="135" t="s">
        <v>146</v>
      </c>
      <c r="T170" s="193"/>
      <c r="U170" s="145">
        <f t="shared" si="15"/>
        <v>0</v>
      </c>
      <c r="V170" s="144">
        <f t="shared" si="16"/>
        <v>0</v>
      </c>
      <c r="W170" s="193"/>
      <c r="X170" s="147"/>
    </row>
    <row r="171" spans="2:24" x14ac:dyDescent="0.35">
      <c r="B171" s="137" t="s">
        <v>782</v>
      </c>
      <c r="C171" s="147" t="s">
        <v>331</v>
      </c>
      <c r="D171" s="139" t="s">
        <v>649</v>
      </c>
      <c r="E171" s="147" t="s">
        <v>248</v>
      </c>
      <c r="F171" s="147" t="s">
        <v>106</v>
      </c>
      <c r="G171" s="141">
        <v>1728</v>
      </c>
      <c r="H171" s="142">
        <v>2680</v>
      </c>
      <c r="I171" s="144">
        <f t="shared" si="14"/>
        <v>4631040</v>
      </c>
      <c r="J171" s="193"/>
      <c r="K171" s="141">
        <v>1728</v>
      </c>
      <c r="L171" s="143">
        <f t="shared" si="17"/>
        <v>2680</v>
      </c>
      <c r="M171" s="144">
        <f t="shared" si="18"/>
        <v>4631040</v>
      </c>
      <c r="N171" s="135" t="s">
        <v>1040</v>
      </c>
      <c r="O171" s="193"/>
      <c r="P171" s="145">
        <v>0</v>
      </c>
      <c r="Q171" s="143">
        <f t="shared" si="19"/>
        <v>2680</v>
      </c>
      <c r="R171" s="144">
        <f t="shared" si="20"/>
        <v>0</v>
      </c>
      <c r="S171" s="135" t="s">
        <v>146</v>
      </c>
      <c r="T171" s="193"/>
      <c r="U171" s="145">
        <f t="shared" si="15"/>
        <v>0</v>
      </c>
      <c r="V171" s="144">
        <f t="shared" si="16"/>
        <v>0</v>
      </c>
      <c r="W171" s="193"/>
      <c r="X171" s="147"/>
    </row>
    <row r="172" spans="2:24" x14ac:dyDescent="0.35">
      <c r="B172" s="137" t="s">
        <v>783</v>
      </c>
      <c r="C172" s="147" t="s">
        <v>224</v>
      </c>
      <c r="D172" s="139" t="s">
        <v>663</v>
      </c>
      <c r="E172" s="147" t="s">
        <v>248</v>
      </c>
      <c r="F172" s="147" t="s">
        <v>106</v>
      </c>
      <c r="G172" s="141">
        <v>1676</v>
      </c>
      <c r="H172" s="142">
        <v>2680</v>
      </c>
      <c r="I172" s="144">
        <f t="shared" si="14"/>
        <v>4491680</v>
      </c>
      <c r="J172" s="193"/>
      <c r="K172" s="141">
        <v>1676</v>
      </c>
      <c r="L172" s="143">
        <f t="shared" si="17"/>
        <v>2680</v>
      </c>
      <c r="M172" s="144">
        <f t="shared" si="18"/>
        <v>4491680</v>
      </c>
      <c r="N172" s="135" t="s">
        <v>1040</v>
      </c>
      <c r="O172" s="193"/>
      <c r="P172" s="145">
        <v>0</v>
      </c>
      <c r="Q172" s="143">
        <f t="shared" si="19"/>
        <v>2680</v>
      </c>
      <c r="R172" s="144">
        <f t="shared" si="20"/>
        <v>0</v>
      </c>
      <c r="S172" s="135" t="s">
        <v>146</v>
      </c>
      <c r="T172" s="193"/>
      <c r="U172" s="145">
        <f t="shared" si="15"/>
        <v>0</v>
      </c>
      <c r="V172" s="144">
        <f t="shared" si="16"/>
        <v>0</v>
      </c>
      <c r="W172" s="193"/>
      <c r="X172" s="147"/>
    </row>
    <row r="173" spans="2:24" x14ac:dyDescent="0.35">
      <c r="B173" s="137" t="s">
        <v>788</v>
      </c>
      <c r="C173" s="147" t="s">
        <v>180</v>
      </c>
      <c r="D173" s="139" t="s">
        <v>601</v>
      </c>
      <c r="E173" s="147" t="s">
        <v>248</v>
      </c>
      <c r="F173" s="147" t="s">
        <v>106</v>
      </c>
      <c r="G173" s="141">
        <v>1685</v>
      </c>
      <c r="H173" s="142">
        <v>2680</v>
      </c>
      <c r="I173" s="144">
        <f t="shared" si="14"/>
        <v>4515800</v>
      </c>
      <c r="J173" s="193"/>
      <c r="K173" s="141">
        <f>G173</f>
        <v>1685</v>
      </c>
      <c r="L173" s="143">
        <f t="shared" si="17"/>
        <v>2680</v>
      </c>
      <c r="M173" s="144">
        <f t="shared" si="18"/>
        <v>4515800</v>
      </c>
      <c r="N173" s="135" t="s">
        <v>872</v>
      </c>
      <c r="O173" s="193"/>
      <c r="P173" s="145">
        <v>0</v>
      </c>
      <c r="Q173" s="143">
        <f t="shared" si="19"/>
        <v>2680</v>
      </c>
      <c r="R173" s="144">
        <f t="shared" si="20"/>
        <v>0</v>
      </c>
      <c r="S173" s="135" t="s">
        <v>146</v>
      </c>
      <c r="T173" s="193"/>
      <c r="U173" s="145">
        <f t="shared" si="15"/>
        <v>0</v>
      </c>
      <c r="V173" s="144">
        <f t="shared" si="16"/>
        <v>0</v>
      </c>
      <c r="W173" s="193"/>
      <c r="X173" s="147"/>
    </row>
    <row r="174" spans="2:24" x14ac:dyDescent="0.35">
      <c r="B174" s="137" t="s">
        <v>789</v>
      </c>
      <c r="C174" s="147" t="s">
        <v>170</v>
      </c>
      <c r="D174" s="139" t="s">
        <v>565</v>
      </c>
      <c r="E174" s="147" t="s">
        <v>248</v>
      </c>
      <c r="F174" s="147" t="s">
        <v>106</v>
      </c>
      <c r="G174" s="141">
        <v>1685</v>
      </c>
      <c r="H174" s="142">
        <v>2680</v>
      </c>
      <c r="I174" s="144">
        <f t="shared" si="14"/>
        <v>4515800</v>
      </c>
      <c r="J174" s="193"/>
      <c r="K174" s="141">
        <f>G174</f>
        <v>1685</v>
      </c>
      <c r="L174" s="143">
        <f t="shared" si="17"/>
        <v>2680</v>
      </c>
      <c r="M174" s="144">
        <f t="shared" si="18"/>
        <v>4515800</v>
      </c>
      <c r="N174" s="135" t="s">
        <v>872</v>
      </c>
      <c r="O174" s="193"/>
      <c r="P174" s="145">
        <v>0</v>
      </c>
      <c r="Q174" s="143">
        <f t="shared" si="19"/>
        <v>2680</v>
      </c>
      <c r="R174" s="144">
        <f t="shared" si="20"/>
        <v>0</v>
      </c>
      <c r="S174" s="135" t="s">
        <v>146</v>
      </c>
      <c r="T174" s="193"/>
      <c r="U174" s="145">
        <f t="shared" si="15"/>
        <v>0</v>
      </c>
      <c r="V174" s="144">
        <f t="shared" si="16"/>
        <v>0</v>
      </c>
      <c r="W174" s="193"/>
      <c r="X174" s="147"/>
    </row>
    <row r="175" spans="2:24" x14ac:dyDescent="0.35">
      <c r="B175" s="137" t="s">
        <v>790</v>
      </c>
      <c r="C175" s="147" t="s">
        <v>331</v>
      </c>
      <c r="D175" s="139" t="s">
        <v>801</v>
      </c>
      <c r="E175" s="147" t="s">
        <v>564</v>
      </c>
      <c r="F175" s="147" t="s">
        <v>106</v>
      </c>
      <c r="G175" s="141">
        <v>4200</v>
      </c>
      <c r="H175" s="142">
        <v>2680</v>
      </c>
      <c r="I175" s="144">
        <f t="shared" si="14"/>
        <v>11256000</v>
      </c>
      <c r="J175" s="193"/>
      <c r="K175" s="141">
        <v>2520</v>
      </c>
      <c r="L175" s="143">
        <f t="shared" si="17"/>
        <v>2680</v>
      </c>
      <c r="M175" s="144">
        <f t="shared" si="18"/>
        <v>6753600</v>
      </c>
      <c r="N175" s="135" t="s">
        <v>826</v>
      </c>
      <c r="O175" s="193"/>
      <c r="P175" s="145">
        <v>1680</v>
      </c>
      <c r="Q175" s="143">
        <f t="shared" si="19"/>
        <v>2680</v>
      </c>
      <c r="R175" s="144">
        <f t="shared" si="20"/>
        <v>4502400</v>
      </c>
      <c r="S175" s="135" t="s">
        <v>1165</v>
      </c>
      <c r="T175" s="193"/>
      <c r="U175" s="145">
        <f t="shared" si="15"/>
        <v>0</v>
      </c>
      <c r="V175" s="144">
        <f t="shared" si="16"/>
        <v>0</v>
      </c>
      <c r="W175" s="193"/>
      <c r="X175" s="147"/>
    </row>
    <row r="176" spans="2:24" x14ac:dyDescent="0.35">
      <c r="B176" s="137" t="s">
        <v>792</v>
      </c>
      <c r="C176" s="147" t="s">
        <v>189</v>
      </c>
      <c r="D176" s="139" t="s">
        <v>530</v>
      </c>
      <c r="E176" s="147" t="s">
        <v>248</v>
      </c>
      <c r="F176" s="147" t="s">
        <v>106</v>
      </c>
      <c r="G176" s="141">
        <v>1671</v>
      </c>
      <c r="H176" s="142">
        <v>2680</v>
      </c>
      <c r="I176" s="144">
        <f t="shared" si="14"/>
        <v>4478280</v>
      </c>
      <c r="J176" s="193"/>
      <c r="K176" s="141">
        <f>G176</f>
        <v>1671</v>
      </c>
      <c r="L176" s="143">
        <f>H176</f>
        <v>2680</v>
      </c>
      <c r="M176" s="144">
        <f>K176*L176</f>
        <v>4478280</v>
      </c>
      <c r="N176" s="135" t="s">
        <v>872</v>
      </c>
      <c r="O176" s="193"/>
      <c r="P176" s="145">
        <v>0</v>
      </c>
      <c r="Q176" s="143">
        <f t="shared" si="19"/>
        <v>2680</v>
      </c>
      <c r="R176" s="144">
        <f t="shared" si="20"/>
        <v>0</v>
      </c>
      <c r="S176" s="135" t="s">
        <v>146</v>
      </c>
      <c r="T176" s="193"/>
      <c r="U176" s="145">
        <f t="shared" si="15"/>
        <v>0</v>
      </c>
      <c r="V176" s="144">
        <f t="shared" si="16"/>
        <v>0</v>
      </c>
      <c r="W176" s="193"/>
      <c r="X176" s="147"/>
    </row>
    <row r="177" spans="2:24" x14ac:dyDescent="0.35">
      <c r="B177" s="137" t="s">
        <v>795</v>
      </c>
      <c r="C177" s="147" t="s">
        <v>796</v>
      </c>
      <c r="D177" s="147" t="s">
        <v>797</v>
      </c>
      <c r="E177" s="147" t="s">
        <v>182</v>
      </c>
      <c r="F177" s="147" t="s">
        <v>319</v>
      </c>
      <c r="G177" s="141">
        <v>4100</v>
      </c>
      <c r="H177" s="142">
        <v>2650</v>
      </c>
      <c r="I177" s="144">
        <f t="shared" si="14"/>
        <v>10865000</v>
      </c>
      <c r="J177" s="193"/>
      <c r="K177" s="141">
        <v>4100</v>
      </c>
      <c r="L177" s="143">
        <f t="shared" si="17"/>
        <v>2650</v>
      </c>
      <c r="M177" s="144">
        <f t="shared" si="18"/>
        <v>10865000</v>
      </c>
      <c r="N177" s="135" t="s">
        <v>1036</v>
      </c>
      <c r="O177" s="193"/>
      <c r="P177" s="145">
        <v>0</v>
      </c>
      <c r="Q177" s="143">
        <f t="shared" si="19"/>
        <v>2650</v>
      </c>
      <c r="R177" s="144">
        <f t="shared" si="20"/>
        <v>0</v>
      </c>
      <c r="S177" s="135" t="s">
        <v>146</v>
      </c>
      <c r="T177" s="193"/>
      <c r="U177" s="145">
        <f t="shared" si="15"/>
        <v>0</v>
      </c>
      <c r="V177" s="144">
        <f t="shared" si="16"/>
        <v>0</v>
      </c>
      <c r="W177" s="193"/>
      <c r="X177" s="147"/>
    </row>
    <row r="178" spans="2:24" x14ac:dyDescent="0.35">
      <c r="B178" s="137" t="s">
        <v>798</v>
      </c>
      <c r="C178" s="147" t="s">
        <v>224</v>
      </c>
      <c r="D178" s="147" t="s">
        <v>799</v>
      </c>
      <c r="E178" s="147" t="s">
        <v>383</v>
      </c>
      <c r="F178" s="147" t="s">
        <v>106</v>
      </c>
      <c r="G178" s="141">
        <v>4400</v>
      </c>
      <c r="H178" s="142">
        <v>2680</v>
      </c>
      <c r="I178" s="144">
        <f t="shared" si="14"/>
        <v>11792000</v>
      </c>
      <c r="J178" s="193"/>
      <c r="K178" s="141">
        <v>2640</v>
      </c>
      <c r="L178" s="143">
        <f t="shared" si="17"/>
        <v>2680</v>
      </c>
      <c r="M178" s="144">
        <f t="shared" si="18"/>
        <v>7075200</v>
      </c>
      <c r="N178" s="135" t="s">
        <v>819</v>
      </c>
      <c r="O178" s="193"/>
      <c r="P178" s="145">
        <v>1760</v>
      </c>
      <c r="Q178" s="143">
        <f t="shared" si="19"/>
        <v>2680</v>
      </c>
      <c r="R178" s="144">
        <f t="shared" si="20"/>
        <v>4716800</v>
      </c>
      <c r="S178" s="135" t="s">
        <v>1166</v>
      </c>
      <c r="T178" s="193"/>
      <c r="U178" s="145">
        <f t="shared" si="15"/>
        <v>0</v>
      </c>
      <c r="V178" s="144">
        <f t="shared" si="16"/>
        <v>0</v>
      </c>
      <c r="W178" s="193"/>
      <c r="X178" s="147"/>
    </row>
    <row r="179" spans="2:24" x14ac:dyDescent="0.35">
      <c r="B179" s="137" t="s">
        <v>804</v>
      </c>
      <c r="C179" s="147" t="s">
        <v>170</v>
      </c>
      <c r="D179" s="139" t="s">
        <v>805</v>
      </c>
      <c r="E179" s="147" t="s">
        <v>383</v>
      </c>
      <c r="F179" s="147" t="s">
        <v>106</v>
      </c>
      <c r="G179" s="141">
        <v>4400</v>
      </c>
      <c r="H179" s="142">
        <v>2680</v>
      </c>
      <c r="I179" s="144">
        <f t="shared" si="14"/>
        <v>11792000</v>
      </c>
      <c r="J179" s="193"/>
      <c r="K179" s="141">
        <v>2640</v>
      </c>
      <c r="L179" s="143">
        <f t="shared" si="17"/>
        <v>2680</v>
      </c>
      <c r="M179" s="144">
        <f t="shared" si="18"/>
        <v>7075200</v>
      </c>
      <c r="N179" s="135" t="s">
        <v>819</v>
      </c>
      <c r="O179" s="193"/>
      <c r="P179" s="145">
        <v>1760</v>
      </c>
      <c r="Q179" s="143">
        <f>H179</f>
        <v>2680</v>
      </c>
      <c r="R179" s="144">
        <f>P179*Q179</f>
        <v>4716800</v>
      </c>
      <c r="S179" s="135" t="s">
        <v>1166</v>
      </c>
      <c r="T179" s="193"/>
      <c r="U179" s="145">
        <f t="shared" si="15"/>
        <v>0</v>
      </c>
      <c r="V179" s="144">
        <f t="shared" si="16"/>
        <v>0</v>
      </c>
      <c r="W179" s="193"/>
      <c r="X179" s="147"/>
    </row>
    <row r="180" spans="2:24" x14ac:dyDescent="0.35">
      <c r="B180" s="137" t="s">
        <v>808</v>
      </c>
      <c r="C180" s="147" t="s">
        <v>809</v>
      </c>
      <c r="D180" s="139" t="s">
        <v>810</v>
      </c>
      <c r="E180" s="147" t="s">
        <v>182</v>
      </c>
      <c r="F180" s="147" t="s">
        <v>183</v>
      </c>
      <c r="G180" s="141">
        <v>4100</v>
      </c>
      <c r="H180" s="142">
        <v>2650</v>
      </c>
      <c r="I180" s="144">
        <f t="shared" si="14"/>
        <v>10865000</v>
      </c>
      <c r="J180" s="193"/>
      <c r="K180" s="141">
        <v>4100</v>
      </c>
      <c r="L180" s="143">
        <f t="shared" si="17"/>
        <v>2650</v>
      </c>
      <c r="M180" s="144">
        <f t="shared" si="18"/>
        <v>10865000</v>
      </c>
      <c r="N180" s="135" t="s">
        <v>1759</v>
      </c>
      <c r="O180" s="193"/>
      <c r="P180" s="145">
        <v>0</v>
      </c>
      <c r="Q180" s="143">
        <f t="shared" si="19"/>
        <v>2650</v>
      </c>
      <c r="R180" s="144">
        <f t="shared" si="20"/>
        <v>0</v>
      </c>
      <c r="S180" s="135" t="s">
        <v>146</v>
      </c>
      <c r="T180" s="193"/>
      <c r="U180" s="145">
        <f t="shared" si="15"/>
        <v>0</v>
      </c>
      <c r="V180" s="144">
        <f t="shared" si="16"/>
        <v>0</v>
      </c>
      <c r="W180" s="193"/>
      <c r="X180" s="147"/>
    </row>
    <row r="181" spans="2:24" x14ac:dyDescent="0.35">
      <c r="B181" s="137" t="s">
        <v>813</v>
      </c>
      <c r="C181" s="147" t="s">
        <v>180</v>
      </c>
      <c r="D181" s="139" t="s">
        <v>814</v>
      </c>
      <c r="E181" s="147" t="s">
        <v>383</v>
      </c>
      <c r="F181" s="147" t="s">
        <v>106</v>
      </c>
      <c r="G181" s="141">
        <v>4400</v>
      </c>
      <c r="H181" s="142">
        <v>2680</v>
      </c>
      <c r="I181" s="144">
        <f t="shared" si="14"/>
        <v>11792000</v>
      </c>
      <c r="J181" s="193"/>
      <c r="K181" s="141">
        <v>2640</v>
      </c>
      <c r="L181" s="143">
        <f>H181</f>
        <v>2680</v>
      </c>
      <c r="M181" s="144">
        <f>K181*L181</f>
        <v>7075200</v>
      </c>
      <c r="N181" s="135" t="s">
        <v>820</v>
      </c>
      <c r="O181" s="193"/>
      <c r="P181" s="145">
        <v>1760</v>
      </c>
      <c r="Q181" s="143">
        <f>H181</f>
        <v>2680</v>
      </c>
      <c r="R181" s="144">
        <f>P181*Q181</f>
        <v>4716800</v>
      </c>
      <c r="S181" s="135" t="s">
        <v>1166</v>
      </c>
      <c r="T181" s="193"/>
      <c r="U181" s="145">
        <f t="shared" si="15"/>
        <v>0</v>
      </c>
      <c r="V181" s="144">
        <f t="shared" si="16"/>
        <v>0</v>
      </c>
      <c r="W181" s="193"/>
      <c r="X181" s="147"/>
    </row>
    <row r="182" spans="2:24" x14ac:dyDescent="0.35">
      <c r="B182" s="137" t="s">
        <v>816</v>
      </c>
      <c r="C182" s="147" t="s">
        <v>189</v>
      </c>
      <c r="D182" s="139" t="s">
        <v>817</v>
      </c>
      <c r="E182" s="147" t="s">
        <v>383</v>
      </c>
      <c r="F182" s="147" t="s">
        <v>106</v>
      </c>
      <c r="G182" s="141">
        <v>4400</v>
      </c>
      <c r="H182" s="142">
        <v>2680</v>
      </c>
      <c r="I182" s="144">
        <f t="shared" si="14"/>
        <v>11792000</v>
      </c>
      <c r="J182" s="193"/>
      <c r="K182" s="141">
        <v>2640</v>
      </c>
      <c r="L182" s="143">
        <f t="shared" si="17"/>
        <v>2680</v>
      </c>
      <c r="M182" s="144">
        <f t="shared" si="18"/>
        <v>7075200</v>
      </c>
      <c r="N182" s="135" t="s">
        <v>820</v>
      </c>
      <c r="O182" s="193"/>
      <c r="P182" s="145">
        <v>1760</v>
      </c>
      <c r="Q182" s="143">
        <f>H182</f>
        <v>2680</v>
      </c>
      <c r="R182" s="144">
        <f>P182*Q182</f>
        <v>4716800</v>
      </c>
      <c r="S182" s="135" t="s">
        <v>1166</v>
      </c>
      <c r="T182" s="193"/>
      <c r="U182" s="145">
        <f t="shared" si="15"/>
        <v>0</v>
      </c>
      <c r="V182" s="144">
        <f t="shared" si="16"/>
        <v>0</v>
      </c>
      <c r="W182" s="193"/>
      <c r="X182" s="147"/>
    </row>
    <row r="183" spans="2:24" x14ac:dyDescent="0.35">
      <c r="B183" s="137" t="s">
        <v>823</v>
      </c>
      <c r="C183" s="147" t="s">
        <v>154</v>
      </c>
      <c r="D183" s="139" t="s">
        <v>579</v>
      </c>
      <c r="E183" s="147" t="s">
        <v>248</v>
      </c>
      <c r="F183" s="147" t="s">
        <v>106</v>
      </c>
      <c r="G183" s="141">
        <v>1686</v>
      </c>
      <c r="H183" s="142">
        <v>2680</v>
      </c>
      <c r="I183" s="144">
        <f t="shared" si="14"/>
        <v>4518480</v>
      </c>
      <c r="J183" s="193"/>
      <c r="K183" s="141">
        <f>G183</f>
        <v>1686</v>
      </c>
      <c r="L183" s="143">
        <f t="shared" si="17"/>
        <v>2680</v>
      </c>
      <c r="M183" s="144">
        <f t="shared" si="18"/>
        <v>4518480</v>
      </c>
      <c r="N183" s="135" t="s">
        <v>938</v>
      </c>
      <c r="O183" s="193"/>
      <c r="P183" s="145">
        <v>0</v>
      </c>
      <c r="Q183" s="143">
        <f t="shared" si="19"/>
        <v>2680</v>
      </c>
      <c r="R183" s="144">
        <f t="shared" si="20"/>
        <v>0</v>
      </c>
      <c r="S183" s="135" t="s">
        <v>146</v>
      </c>
      <c r="T183" s="193"/>
      <c r="U183" s="145">
        <f t="shared" si="15"/>
        <v>0</v>
      </c>
      <c r="V183" s="144">
        <f t="shared" si="16"/>
        <v>0</v>
      </c>
      <c r="W183" s="193"/>
      <c r="X183" s="147"/>
    </row>
    <row r="184" spans="2:24" x14ac:dyDescent="0.35">
      <c r="B184" s="137" t="s">
        <v>824</v>
      </c>
      <c r="C184" s="147" t="s">
        <v>668</v>
      </c>
      <c r="D184" s="139" t="s">
        <v>669</v>
      </c>
      <c r="E184" s="147" t="s">
        <v>248</v>
      </c>
      <c r="F184" s="147" t="s">
        <v>106</v>
      </c>
      <c r="G184" s="141">
        <v>1676</v>
      </c>
      <c r="H184" s="142">
        <v>2680</v>
      </c>
      <c r="I184" s="144">
        <f t="shared" si="14"/>
        <v>4491680</v>
      </c>
      <c r="J184" s="193"/>
      <c r="K184" s="141">
        <f>G184</f>
        <v>1676</v>
      </c>
      <c r="L184" s="143">
        <f>H184</f>
        <v>2680</v>
      </c>
      <c r="M184" s="144">
        <f>K184*L184</f>
        <v>4491680</v>
      </c>
      <c r="N184" s="135" t="s">
        <v>938</v>
      </c>
      <c r="O184" s="193"/>
      <c r="P184" s="145">
        <v>0</v>
      </c>
      <c r="Q184" s="143">
        <f t="shared" si="19"/>
        <v>2680</v>
      </c>
      <c r="R184" s="144">
        <f t="shared" si="20"/>
        <v>0</v>
      </c>
      <c r="S184" s="135" t="s">
        <v>146</v>
      </c>
      <c r="T184" s="193"/>
      <c r="U184" s="145">
        <f t="shared" si="15"/>
        <v>0</v>
      </c>
      <c r="V184" s="144">
        <f t="shared" si="16"/>
        <v>0</v>
      </c>
      <c r="W184" s="193"/>
      <c r="X184" s="147"/>
    </row>
    <row r="185" spans="2:24" x14ac:dyDescent="0.35">
      <c r="B185" s="137" t="s">
        <v>825</v>
      </c>
      <c r="C185" s="147" t="s">
        <v>570</v>
      </c>
      <c r="D185" s="147" t="s">
        <v>213</v>
      </c>
      <c r="E185" s="147" t="s">
        <v>248</v>
      </c>
      <c r="F185" s="147" t="s">
        <v>106</v>
      </c>
      <c r="G185" s="141">
        <v>1917</v>
      </c>
      <c r="H185" s="142">
        <v>2680</v>
      </c>
      <c r="I185" s="144">
        <f t="shared" si="14"/>
        <v>5137560</v>
      </c>
      <c r="J185" s="193"/>
      <c r="K185" s="141">
        <f>G185</f>
        <v>1917</v>
      </c>
      <c r="L185" s="143">
        <f>H185</f>
        <v>2680</v>
      </c>
      <c r="M185" s="144">
        <f>K185*L185</f>
        <v>5137560</v>
      </c>
      <c r="N185" s="135" t="s">
        <v>938</v>
      </c>
      <c r="O185" s="193"/>
      <c r="P185" s="145">
        <v>0</v>
      </c>
      <c r="Q185" s="143">
        <f t="shared" si="19"/>
        <v>2680</v>
      </c>
      <c r="R185" s="144">
        <f t="shared" si="20"/>
        <v>0</v>
      </c>
      <c r="S185" s="135" t="s">
        <v>146</v>
      </c>
      <c r="T185" s="193"/>
      <c r="U185" s="145">
        <f t="shared" si="15"/>
        <v>0</v>
      </c>
      <c r="V185" s="144">
        <f t="shared" si="16"/>
        <v>0</v>
      </c>
      <c r="W185" s="193"/>
      <c r="X185" s="147"/>
    </row>
    <row r="186" spans="2:24" x14ac:dyDescent="0.35">
      <c r="B186" s="137" t="s">
        <v>828</v>
      </c>
      <c r="C186" s="147" t="s">
        <v>154</v>
      </c>
      <c r="D186" s="174" t="s">
        <v>829</v>
      </c>
      <c r="E186" s="147" t="s">
        <v>182</v>
      </c>
      <c r="F186" s="147" t="s">
        <v>319</v>
      </c>
      <c r="G186" s="141">
        <v>4100</v>
      </c>
      <c r="H186" s="142">
        <v>2650</v>
      </c>
      <c r="I186" s="144">
        <f t="shared" si="14"/>
        <v>10865000</v>
      </c>
      <c r="J186" s="193"/>
      <c r="K186" s="141">
        <f>G186</f>
        <v>4100</v>
      </c>
      <c r="L186" s="143">
        <f>H186</f>
        <v>2650</v>
      </c>
      <c r="M186" s="144">
        <f>K186*L186</f>
        <v>10865000</v>
      </c>
      <c r="N186" s="135" t="s">
        <v>1204</v>
      </c>
      <c r="O186" s="193"/>
      <c r="P186" s="145">
        <v>0</v>
      </c>
      <c r="Q186" s="143">
        <f t="shared" si="19"/>
        <v>2650</v>
      </c>
      <c r="R186" s="144">
        <f t="shared" si="20"/>
        <v>0</v>
      </c>
      <c r="S186" s="135" t="s">
        <v>146</v>
      </c>
      <c r="T186" s="193"/>
      <c r="U186" s="145">
        <f t="shared" si="15"/>
        <v>0</v>
      </c>
      <c r="V186" s="144">
        <f t="shared" si="16"/>
        <v>0</v>
      </c>
      <c r="W186" s="193"/>
      <c r="X186" s="147"/>
    </row>
    <row r="187" spans="2:24" x14ac:dyDescent="0.35">
      <c r="B187" s="137" t="s">
        <v>836</v>
      </c>
      <c r="C187" s="147" t="s">
        <v>668</v>
      </c>
      <c r="D187" s="139" t="s">
        <v>837</v>
      </c>
      <c r="E187" s="147" t="s">
        <v>182</v>
      </c>
      <c r="F187" s="147" t="s">
        <v>319</v>
      </c>
      <c r="G187" s="141">
        <v>4100</v>
      </c>
      <c r="H187" s="142">
        <v>2650</v>
      </c>
      <c r="I187" s="144">
        <f t="shared" si="14"/>
        <v>10865000</v>
      </c>
      <c r="J187" s="193"/>
      <c r="K187" s="141">
        <f>G187</f>
        <v>4100</v>
      </c>
      <c r="L187" s="143">
        <f t="shared" si="17"/>
        <v>2650</v>
      </c>
      <c r="M187" s="144">
        <f t="shared" si="18"/>
        <v>10865000</v>
      </c>
      <c r="N187" s="135" t="s">
        <v>1204</v>
      </c>
      <c r="O187" s="193"/>
      <c r="P187" s="145">
        <v>0</v>
      </c>
      <c r="Q187" s="143">
        <f t="shared" si="19"/>
        <v>2650</v>
      </c>
      <c r="R187" s="144">
        <f t="shared" si="20"/>
        <v>0</v>
      </c>
      <c r="S187" s="135" t="s">
        <v>146</v>
      </c>
      <c r="T187" s="193"/>
      <c r="U187" s="145">
        <f t="shared" si="15"/>
        <v>0</v>
      </c>
      <c r="V187" s="144">
        <f t="shared" si="16"/>
        <v>0</v>
      </c>
      <c r="W187" s="193"/>
      <c r="X187" s="147"/>
    </row>
    <row r="188" spans="2:24" x14ac:dyDescent="0.35">
      <c r="B188" s="137" t="s">
        <v>840</v>
      </c>
      <c r="C188" s="147" t="s">
        <v>841</v>
      </c>
      <c r="D188" s="139" t="s">
        <v>842</v>
      </c>
      <c r="E188" s="147" t="s">
        <v>114</v>
      </c>
      <c r="F188" s="147" t="s">
        <v>319</v>
      </c>
      <c r="G188" s="141">
        <v>4100</v>
      </c>
      <c r="H188" s="142">
        <v>2650</v>
      </c>
      <c r="I188" s="144">
        <f t="shared" si="14"/>
        <v>10865000</v>
      </c>
      <c r="J188" s="193"/>
      <c r="K188" s="141">
        <v>4100</v>
      </c>
      <c r="L188" s="143">
        <f t="shared" si="17"/>
        <v>2650</v>
      </c>
      <c r="M188" s="144">
        <f t="shared" si="18"/>
        <v>10865000</v>
      </c>
      <c r="N188" s="135" t="s">
        <v>1167</v>
      </c>
      <c r="O188" s="193"/>
      <c r="P188" s="145">
        <v>0</v>
      </c>
      <c r="Q188" s="143">
        <f t="shared" si="19"/>
        <v>2650</v>
      </c>
      <c r="R188" s="144">
        <f t="shared" si="20"/>
        <v>0</v>
      </c>
      <c r="S188" s="135" t="s">
        <v>146</v>
      </c>
      <c r="T188" s="193"/>
      <c r="U188" s="145">
        <f t="shared" si="15"/>
        <v>0</v>
      </c>
      <c r="V188" s="144">
        <f t="shared" si="16"/>
        <v>0</v>
      </c>
      <c r="W188" s="193"/>
      <c r="X188" s="147"/>
    </row>
    <row r="189" spans="2:24" x14ac:dyDescent="0.35">
      <c r="B189" s="137" t="s">
        <v>847</v>
      </c>
      <c r="C189" s="147" t="s">
        <v>160</v>
      </c>
      <c r="D189" s="139" t="s">
        <v>738</v>
      </c>
      <c r="E189" s="147" t="s">
        <v>248</v>
      </c>
      <c r="F189" s="147" t="s">
        <v>106</v>
      </c>
      <c r="G189" s="141">
        <v>1683</v>
      </c>
      <c r="H189" s="142">
        <v>2680</v>
      </c>
      <c r="I189" s="144">
        <f t="shared" si="14"/>
        <v>4510440</v>
      </c>
      <c r="J189" s="193"/>
      <c r="K189" s="141">
        <f>G189</f>
        <v>1683</v>
      </c>
      <c r="L189" s="143">
        <f>H189</f>
        <v>2680</v>
      </c>
      <c r="M189" s="144">
        <f>K189*L189</f>
        <v>4510440</v>
      </c>
      <c r="N189" s="135" t="s">
        <v>938</v>
      </c>
      <c r="O189" s="193"/>
      <c r="P189" s="145">
        <v>0</v>
      </c>
      <c r="Q189" s="143">
        <f t="shared" si="19"/>
        <v>2680</v>
      </c>
      <c r="R189" s="144">
        <f t="shared" si="20"/>
        <v>0</v>
      </c>
      <c r="S189" s="135" t="s">
        <v>146</v>
      </c>
      <c r="T189" s="193"/>
      <c r="U189" s="145">
        <f t="shared" si="15"/>
        <v>0</v>
      </c>
      <c r="V189" s="144">
        <f t="shared" si="16"/>
        <v>0</v>
      </c>
      <c r="W189" s="193"/>
      <c r="X189" s="147"/>
    </row>
    <row r="190" spans="2:24" x14ac:dyDescent="0.35">
      <c r="B190" s="137" t="s">
        <v>848</v>
      </c>
      <c r="C190" s="147" t="s">
        <v>701</v>
      </c>
      <c r="D190" s="139" t="s">
        <v>702</v>
      </c>
      <c r="E190" s="147" t="s">
        <v>248</v>
      </c>
      <c r="F190" s="147" t="s">
        <v>106</v>
      </c>
      <c r="G190" s="141">
        <v>1738</v>
      </c>
      <c r="H190" s="142">
        <v>2680</v>
      </c>
      <c r="I190" s="144">
        <f t="shared" si="14"/>
        <v>4657840</v>
      </c>
      <c r="J190" s="193"/>
      <c r="K190" s="141">
        <f>G190</f>
        <v>1738</v>
      </c>
      <c r="L190" s="143">
        <f>H190</f>
        <v>2680</v>
      </c>
      <c r="M190" s="144">
        <f>K190*L190</f>
        <v>4657840</v>
      </c>
      <c r="N190" s="135" t="s">
        <v>938</v>
      </c>
      <c r="O190" s="193"/>
      <c r="P190" s="145">
        <v>0</v>
      </c>
      <c r="Q190" s="143">
        <f t="shared" si="19"/>
        <v>2680</v>
      </c>
      <c r="R190" s="144">
        <f t="shared" si="20"/>
        <v>0</v>
      </c>
      <c r="S190" s="135" t="s">
        <v>146</v>
      </c>
      <c r="T190" s="193"/>
      <c r="U190" s="145">
        <f t="shared" si="15"/>
        <v>0</v>
      </c>
      <c r="V190" s="144">
        <f t="shared" si="16"/>
        <v>0</v>
      </c>
      <c r="W190" s="193"/>
      <c r="X190" s="147"/>
    </row>
    <row r="191" spans="2:24" x14ac:dyDescent="0.35">
      <c r="B191" s="137" t="s">
        <v>849</v>
      </c>
      <c r="C191" s="147" t="s">
        <v>202</v>
      </c>
      <c r="D191" s="147" t="s">
        <v>850</v>
      </c>
      <c r="E191" s="147" t="s">
        <v>182</v>
      </c>
      <c r="F191" s="147" t="s">
        <v>319</v>
      </c>
      <c r="G191" s="141">
        <v>4100</v>
      </c>
      <c r="H191" s="142">
        <v>2650</v>
      </c>
      <c r="I191" s="144">
        <f t="shared" si="14"/>
        <v>10865000</v>
      </c>
      <c r="J191" s="193"/>
      <c r="K191" s="141">
        <v>4100</v>
      </c>
      <c r="L191" s="143">
        <f>H191</f>
        <v>2650</v>
      </c>
      <c r="M191" s="144">
        <f>K191*L191</f>
        <v>10865000</v>
      </c>
      <c r="N191" s="135" t="s">
        <v>1167</v>
      </c>
      <c r="O191" s="193"/>
      <c r="P191" s="145">
        <v>0</v>
      </c>
      <c r="Q191" s="143">
        <f t="shared" si="19"/>
        <v>2650</v>
      </c>
      <c r="R191" s="144">
        <f t="shared" si="20"/>
        <v>0</v>
      </c>
      <c r="S191" s="135" t="s">
        <v>146</v>
      </c>
      <c r="T191" s="193"/>
      <c r="U191" s="145">
        <f t="shared" si="15"/>
        <v>0</v>
      </c>
      <c r="V191" s="144">
        <f t="shared" si="16"/>
        <v>0</v>
      </c>
      <c r="W191" s="193"/>
      <c r="X191" s="147"/>
    </row>
    <row r="192" spans="2:24" x14ac:dyDescent="0.35">
      <c r="B192" s="137" t="s">
        <v>853</v>
      </c>
      <c r="C192" s="147" t="s">
        <v>202</v>
      </c>
      <c r="D192" s="139" t="s">
        <v>685</v>
      </c>
      <c r="E192" s="147" t="s">
        <v>248</v>
      </c>
      <c r="F192" s="147" t="s">
        <v>106</v>
      </c>
      <c r="G192" s="141">
        <v>1670</v>
      </c>
      <c r="H192" s="142">
        <v>2680</v>
      </c>
      <c r="I192" s="144">
        <f t="shared" si="14"/>
        <v>4475600</v>
      </c>
      <c r="J192" s="193"/>
      <c r="K192" s="141">
        <v>1670</v>
      </c>
      <c r="L192" s="143">
        <f t="shared" si="17"/>
        <v>2680</v>
      </c>
      <c r="M192" s="144">
        <f t="shared" si="18"/>
        <v>4475600</v>
      </c>
      <c r="N192" s="135" t="s">
        <v>1760</v>
      </c>
      <c r="O192" s="193"/>
      <c r="P192" s="145">
        <v>0</v>
      </c>
      <c r="Q192" s="143">
        <f t="shared" si="19"/>
        <v>2680</v>
      </c>
      <c r="R192" s="144">
        <f t="shared" si="20"/>
        <v>0</v>
      </c>
      <c r="S192" s="135" t="s">
        <v>146</v>
      </c>
      <c r="T192" s="193"/>
      <c r="U192" s="145">
        <f t="shared" si="15"/>
        <v>0</v>
      </c>
      <c r="V192" s="144">
        <f t="shared" si="16"/>
        <v>0</v>
      </c>
      <c r="W192" s="193"/>
      <c r="X192" s="147"/>
    </row>
    <row r="193" spans="2:24" x14ac:dyDescent="0.35">
      <c r="B193" s="137" t="s">
        <v>855</v>
      </c>
      <c r="C193" s="147" t="s">
        <v>160</v>
      </c>
      <c r="D193" s="147" t="s">
        <v>213</v>
      </c>
      <c r="E193" s="147" t="s">
        <v>415</v>
      </c>
      <c r="F193" s="147" t="s">
        <v>106</v>
      </c>
      <c r="G193" s="141">
        <v>4400</v>
      </c>
      <c r="H193" s="142">
        <v>2680</v>
      </c>
      <c r="I193" s="144">
        <f t="shared" si="14"/>
        <v>11792000</v>
      </c>
      <c r="J193" s="193"/>
      <c r="K193" s="141">
        <v>2640</v>
      </c>
      <c r="L193" s="143">
        <f t="shared" si="17"/>
        <v>2680</v>
      </c>
      <c r="M193" s="144">
        <f t="shared" si="18"/>
        <v>7075200</v>
      </c>
      <c r="N193" s="135" t="s">
        <v>907</v>
      </c>
      <c r="O193" s="193"/>
      <c r="P193" s="145">
        <v>1760</v>
      </c>
      <c r="Q193" s="143">
        <f t="shared" si="19"/>
        <v>2680</v>
      </c>
      <c r="R193" s="144">
        <f t="shared" si="20"/>
        <v>4716800</v>
      </c>
      <c r="S193" s="135" t="s">
        <v>1389</v>
      </c>
      <c r="T193" s="193"/>
      <c r="U193" s="145">
        <f t="shared" si="15"/>
        <v>0</v>
      </c>
      <c r="V193" s="144">
        <f t="shared" si="16"/>
        <v>0</v>
      </c>
      <c r="W193" s="193"/>
      <c r="X193" s="147"/>
    </row>
    <row r="194" spans="2:24" x14ac:dyDescent="0.35">
      <c r="B194" s="137" t="s">
        <v>860</v>
      </c>
      <c r="C194" s="147" t="s">
        <v>201</v>
      </c>
      <c r="D194" s="147" t="s">
        <v>691</v>
      </c>
      <c r="E194" s="147" t="s">
        <v>248</v>
      </c>
      <c r="F194" s="147" t="s">
        <v>106</v>
      </c>
      <c r="G194" s="141">
        <v>1601</v>
      </c>
      <c r="H194" s="142">
        <v>2680</v>
      </c>
      <c r="I194" s="144">
        <f t="shared" si="14"/>
        <v>4290680</v>
      </c>
      <c r="J194" s="193"/>
      <c r="K194" s="141">
        <f>G194</f>
        <v>1601</v>
      </c>
      <c r="L194" s="143">
        <f t="shared" si="17"/>
        <v>2680</v>
      </c>
      <c r="M194" s="144">
        <f t="shared" si="18"/>
        <v>4290680</v>
      </c>
      <c r="N194" s="135" t="s">
        <v>1760</v>
      </c>
      <c r="O194" s="193"/>
      <c r="P194" s="145">
        <v>0</v>
      </c>
      <c r="Q194" s="143">
        <f t="shared" si="19"/>
        <v>2680</v>
      </c>
      <c r="R194" s="144">
        <f t="shared" si="20"/>
        <v>0</v>
      </c>
      <c r="S194" s="135" t="s">
        <v>146</v>
      </c>
      <c r="T194" s="193"/>
      <c r="U194" s="145">
        <f t="shared" si="15"/>
        <v>0</v>
      </c>
      <c r="V194" s="144">
        <f t="shared" si="16"/>
        <v>0</v>
      </c>
      <c r="W194" s="193"/>
      <c r="X194" s="147"/>
    </row>
    <row r="195" spans="2:24" x14ac:dyDescent="0.35">
      <c r="B195" s="137" t="s">
        <v>861</v>
      </c>
      <c r="C195" s="147" t="s">
        <v>230</v>
      </c>
      <c r="D195" s="147" t="s">
        <v>728</v>
      </c>
      <c r="E195" s="147" t="s">
        <v>248</v>
      </c>
      <c r="F195" s="147" t="s">
        <v>106</v>
      </c>
      <c r="G195" s="141">
        <v>1594</v>
      </c>
      <c r="H195" s="142">
        <v>2680</v>
      </c>
      <c r="I195" s="144">
        <f t="shared" si="14"/>
        <v>4271920</v>
      </c>
      <c r="J195" s="193"/>
      <c r="K195" s="141">
        <f t="shared" ref="K195:K196" si="21">G195</f>
        <v>1594</v>
      </c>
      <c r="L195" s="143">
        <f t="shared" ref="L195:L196" si="22">H195</f>
        <v>2680</v>
      </c>
      <c r="M195" s="144">
        <f t="shared" ref="M195:M196" si="23">K195*L195</f>
        <v>4271920</v>
      </c>
      <c r="N195" s="135" t="s">
        <v>1760</v>
      </c>
      <c r="O195" s="193"/>
      <c r="P195" s="145">
        <v>0</v>
      </c>
      <c r="Q195" s="143">
        <f t="shared" si="19"/>
        <v>2680</v>
      </c>
      <c r="R195" s="144">
        <f t="shared" si="20"/>
        <v>0</v>
      </c>
      <c r="S195" s="135" t="s">
        <v>146</v>
      </c>
      <c r="T195" s="193"/>
      <c r="U195" s="145">
        <f t="shared" si="15"/>
        <v>0</v>
      </c>
      <c r="V195" s="144">
        <f t="shared" si="16"/>
        <v>0</v>
      </c>
      <c r="W195" s="193"/>
      <c r="X195" s="147"/>
    </row>
    <row r="196" spans="2:24" x14ac:dyDescent="0.35">
      <c r="B196" s="137" t="s">
        <v>862</v>
      </c>
      <c r="C196" s="147" t="s">
        <v>232</v>
      </c>
      <c r="D196" s="147" t="s">
        <v>682</v>
      </c>
      <c r="E196" s="147" t="s">
        <v>248</v>
      </c>
      <c r="F196" s="147" t="s">
        <v>106</v>
      </c>
      <c r="G196" s="141">
        <v>1601</v>
      </c>
      <c r="H196" s="142">
        <v>2680</v>
      </c>
      <c r="I196" s="144">
        <f t="shared" si="14"/>
        <v>4290680</v>
      </c>
      <c r="J196" s="193"/>
      <c r="K196" s="141">
        <f t="shared" si="21"/>
        <v>1601</v>
      </c>
      <c r="L196" s="143">
        <f t="shared" si="22"/>
        <v>2680</v>
      </c>
      <c r="M196" s="144">
        <f t="shared" si="23"/>
        <v>4290680</v>
      </c>
      <c r="N196" s="135" t="s">
        <v>1760</v>
      </c>
      <c r="O196" s="193"/>
      <c r="P196" s="145">
        <v>0</v>
      </c>
      <c r="Q196" s="143">
        <f t="shared" si="19"/>
        <v>2680</v>
      </c>
      <c r="R196" s="144">
        <f t="shared" si="20"/>
        <v>0</v>
      </c>
      <c r="S196" s="135" t="s">
        <v>146</v>
      </c>
      <c r="T196" s="193"/>
      <c r="U196" s="145">
        <f t="shared" si="15"/>
        <v>0</v>
      </c>
      <c r="V196" s="144">
        <f t="shared" si="16"/>
        <v>0</v>
      </c>
      <c r="W196" s="193"/>
      <c r="X196" s="147"/>
    </row>
    <row r="197" spans="2:24" x14ac:dyDescent="0.35">
      <c r="B197" s="137" t="s">
        <v>863</v>
      </c>
      <c r="C197" s="147" t="s">
        <v>701</v>
      </c>
      <c r="D197" s="147" t="s">
        <v>213</v>
      </c>
      <c r="E197" s="147" t="s">
        <v>415</v>
      </c>
      <c r="F197" s="147" t="s">
        <v>106</v>
      </c>
      <c r="G197" s="141">
        <v>4400</v>
      </c>
      <c r="H197" s="142">
        <v>2680</v>
      </c>
      <c r="I197" s="144">
        <f t="shared" si="14"/>
        <v>11792000</v>
      </c>
      <c r="J197" s="193"/>
      <c r="K197" s="141">
        <v>2640</v>
      </c>
      <c r="L197" s="143">
        <f>H197</f>
        <v>2680</v>
      </c>
      <c r="M197" s="144">
        <f>K197*L197</f>
        <v>7075200</v>
      </c>
      <c r="N197" s="135" t="s">
        <v>907</v>
      </c>
      <c r="O197" s="193"/>
      <c r="P197" s="145">
        <v>1760</v>
      </c>
      <c r="Q197" s="143">
        <f>H197</f>
        <v>2680</v>
      </c>
      <c r="R197" s="144">
        <f>P197*Q197</f>
        <v>4716800</v>
      </c>
      <c r="S197" s="135" t="s">
        <v>1389</v>
      </c>
      <c r="T197" s="193"/>
      <c r="U197" s="145">
        <f t="shared" si="15"/>
        <v>0</v>
      </c>
      <c r="V197" s="144">
        <f t="shared" si="16"/>
        <v>0</v>
      </c>
      <c r="W197" s="193"/>
      <c r="X197" s="147"/>
    </row>
    <row r="198" spans="2:24" x14ac:dyDescent="0.35">
      <c r="B198" s="137" t="s">
        <v>865</v>
      </c>
      <c r="C198" s="147" t="s">
        <v>164</v>
      </c>
      <c r="D198" s="174" t="s">
        <v>718</v>
      </c>
      <c r="E198" s="147" t="s">
        <v>248</v>
      </c>
      <c r="F198" s="147" t="s">
        <v>106</v>
      </c>
      <c r="G198" s="141">
        <v>1658</v>
      </c>
      <c r="H198" s="142">
        <v>2680</v>
      </c>
      <c r="I198" s="144">
        <f t="shared" si="14"/>
        <v>4443440</v>
      </c>
      <c r="J198" s="193"/>
      <c r="K198" s="141">
        <f t="shared" ref="K198:K199" si="24">G198</f>
        <v>1658</v>
      </c>
      <c r="L198" s="143">
        <f t="shared" ref="L198:L199" si="25">H198</f>
        <v>2680</v>
      </c>
      <c r="M198" s="144">
        <f t="shared" ref="M198:M199" si="26">K198*L198</f>
        <v>4443440</v>
      </c>
      <c r="N198" s="135" t="s">
        <v>1760</v>
      </c>
      <c r="O198" s="193"/>
      <c r="P198" s="145">
        <v>0</v>
      </c>
      <c r="Q198" s="143">
        <f t="shared" si="19"/>
        <v>2680</v>
      </c>
      <c r="R198" s="144">
        <f t="shared" si="20"/>
        <v>0</v>
      </c>
      <c r="S198" s="135" t="s">
        <v>146</v>
      </c>
      <c r="T198" s="193"/>
      <c r="U198" s="145">
        <f t="shared" si="15"/>
        <v>0</v>
      </c>
      <c r="V198" s="144">
        <f t="shared" si="16"/>
        <v>0</v>
      </c>
      <c r="W198" s="193"/>
      <c r="X198" s="147"/>
    </row>
    <row r="199" spans="2:24" x14ac:dyDescent="0.35">
      <c r="B199" s="137" t="s">
        <v>866</v>
      </c>
      <c r="C199" s="147" t="s">
        <v>194</v>
      </c>
      <c r="D199" s="174" t="s">
        <v>698</v>
      </c>
      <c r="E199" s="147" t="s">
        <v>248</v>
      </c>
      <c r="F199" s="147" t="s">
        <v>106</v>
      </c>
      <c r="G199" s="141">
        <v>1664</v>
      </c>
      <c r="H199" s="142">
        <v>2680</v>
      </c>
      <c r="I199" s="144">
        <f t="shared" si="14"/>
        <v>4459520</v>
      </c>
      <c r="J199" s="193"/>
      <c r="K199" s="141">
        <f t="shared" si="24"/>
        <v>1664</v>
      </c>
      <c r="L199" s="143">
        <f t="shared" si="25"/>
        <v>2680</v>
      </c>
      <c r="M199" s="144">
        <f t="shared" si="26"/>
        <v>4459520</v>
      </c>
      <c r="N199" s="135" t="s">
        <v>1760</v>
      </c>
      <c r="O199" s="193"/>
      <c r="P199" s="145">
        <v>0</v>
      </c>
      <c r="Q199" s="143">
        <f t="shared" si="19"/>
        <v>2680</v>
      </c>
      <c r="R199" s="144">
        <f t="shared" si="20"/>
        <v>0</v>
      </c>
      <c r="S199" s="135" t="s">
        <v>146</v>
      </c>
      <c r="T199" s="193"/>
      <c r="U199" s="145">
        <f t="shared" si="15"/>
        <v>0</v>
      </c>
      <c r="V199" s="144">
        <f t="shared" si="16"/>
        <v>0</v>
      </c>
      <c r="W199" s="193"/>
      <c r="X199" s="147"/>
    </row>
    <row r="200" spans="2:24" x14ac:dyDescent="0.35">
      <c r="B200" s="137" t="s">
        <v>868</v>
      </c>
      <c r="C200" s="147" t="s">
        <v>164</v>
      </c>
      <c r="D200" s="147" t="s">
        <v>213</v>
      </c>
      <c r="E200" s="147" t="s">
        <v>415</v>
      </c>
      <c r="F200" s="147" t="s">
        <v>106</v>
      </c>
      <c r="G200" s="141">
        <v>4400</v>
      </c>
      <c r="H200" s="142">
        <v>2680</v>
      </c>
      <c r="I200" s="144">
        <f t="shared" ref="I200:I260" si="27">G200*H200</f>
        <v>11792000</v>
      </c>
      <c r="J200" s="193"/>
      <c r="K200" s="141">
        <v>2640</v>
      </c>
      <c r="L200" s="143">
        <f>H200</f>
        <v>2680</v>
      </c>
      <c r="M200" s="144">
        <f>K200*L200</f>
        <v>7075200</v>
      </c>
      <c r="N200" s="135" t="s">
        <v>908</v>
      </c>
      <c r="O200" s="193"/>
      <c r="P200" s="145">
        <v>1760</v>
      </c>
      <c r="Q200" s="143">
        <f>H200</f>
        <v>2680</v>
      </c>
      <c r="R200" s="144">
        <f>P200*Q200</f>
        <v>4716800</v>
      </c>
      <c r="S200" s="135" t="s">
        <v>1389</v>
      </c>
      <c r="T200" s="193"/>
      <c r="U200" s="145">
        <f t="shared" ref="U200:U260" si="28">G200-K200-P200</f>
        <v>0</v>
      </c>
      <c r="V200" s="144">
        <f t="shared" ref="V200:V260" si="29">I200-M200-R200</f>
        <v>0</v>
      </c>
      <c r="W200" s="193"/>
      <c r="X200" s="147"/>
    </row>
    <row r="201" spans="2:24" x14ac:dyDescent="0.35">
      <c r="B201" s="137" t="s">
        <v>873</v>
      </c>
      <c r="C201" s="147" t="s">
        <v>194</v>
      </c>
      <c r="D201" s="147" t="s">
        <v>213</v>
      </c>
      <c r="E201" s="147" t="s">
        <v>415</v>
      </c>
      <c r="F201" s="147" t="s">
        <v>106</v>
      </c>
      <c r="G201" s="141">
        <v>4400</v>
      </c>
      <c r="H201" s="142">
        <v>2680</v>
      </c>
      <c r="I201" s="144">
        <f t="shared" si="27"/>
        <v>11792000</v>
      </c>
      <c r="J201" s="193"/>
      <c r="K201" s="141">
        <v>2640</v>
      </c>
      <c r="L201" s="143">
        <f t="shared" si="17"/>
        <v>2680</v>
      </c>
      <c r="M201" s="144">
        <f t="shared" si="18"/>
        <v>7075200</v>
      </c>
      <c r="N201" s="135" t="s">
        <v>915</v>
      </c>
      <c r="O201" s="193"/>
      <c r="P201" s="145">
        <v>1760</v>
      </c>
      <c r="Q201" s="143">
        <f>H201</f>
        <v>2680</v>
      </c>
      <c r="R201" s="144">
        <f>P201*Q201</f>
        <v>4716800</v>
      </c>
      <c r="S201" s="135" t="s">
        <v>1389</v>
      </c>
      <c r="T201" s="193"/>
      <c r="U201" s="145">
        <f t="shared" si="28"/>
        <v>0</v>
      </c>
      <c r="V201" s="144">
        <f t="shared" si="29"/>
        <v>0</v>
      </c>
      <c r="W201" s="193"/>
      <c r="X201" s="147"/>
    </row>
    <row r="202" spans="2:24" x14ac:dyDescent="0.35">
      <c r="B202" s="137" t="s">
        <v>876</v>
      </c>
      <c r="C202" s="147" t="s">
        <v>230</v>
      </c>
      <c r="D202" s="139" t="s">
        <v>877</v>
      </c>
      <c r="E202" s="147" t="s">
        <v>114</v>
      </c>
      <c r="F202" s="147" t="s">
        <v>106</v>
      </c>
      <c r="G202" s="141">
        <v>4100</v>
      </c>
      <c r="H202" s="142">
        <v>2680</v>
      </c>
      <c r="I202" s="144">
        <f t="shared" si="27"/>
        <v>10988000</v>
      </c>
      <c r="J202" s="193"/>
      <c r="K202" s="141">
        <v>2460</v>
      </c>
      <c r="L202" s="143">
        <f t="shared" ref="L202:L257" si="30">H202</f>
        <v>2680</v>
      </c>
      <c r="M202" s="144">
        <f t="shared" ref="M202:M257" si="31">K202*L202</f>
        <v>6592800</v>
      </c>
      <c r="N202" s="135" t="s">
        <v>915</v>
      </c>
      <c r="O202" s="193"/>
      <c r="P202" s="145">
        <v>1410</v>
      </c>
      <c r="Q202" s="143">
        <f t="shared" ref="Q202:Q262" si="32">H202</f>
        <v>2680</v>
      </c>
      <c r="R202" s="144">
        <f t="shared" ref="R202:R262" si="33">P202*Q202</f>
        <v>3778800</v>
      </c>
      <c r="S202" s="135" t="s">
        <v>1418</v>
      </c>
      <c r="T202" s="193"/>
      <c r="U202" s="145">
        <f t="shared" si="28"/>
        <v>230</v>
      </c>
      <c r="V202" s="144">
        <f t="shared" si="29"/>
        <v>616400</v>
      </c>
      <c r="W202" s="193"/>
      <c r="X202" s="147"/>
    </row>
    <row r="203" spans="2:24" x14ac:dyDescent="0.35">
      <c r="B203" s="137" t="s">
        <v>883</v>
      </c>
      <c r="C203" s="147" t="s">
        <v>232</v>
      </c>
      <c r="D203" s="147" t="s">
        <v>213</v>
      </c>
      <c r="E203" s="147" t="s">
        <v>182</v>
      </c>
      <c r="F203" s="147" t="s">
        <v>106</v>
      </c>
      <c r="G203" s="141">
        <v>4100</v>
      </c>
      <c r="H203" s="142">
        <v>2680</v>
      </c>
      <c r="I203" s="144">
        <f t="shared" si="27"/>
        <v>10988000</v>
      </c>
      <c r="J203" s="193"/>
      <c r="K203" s="141">
        <v>2460</v>
      </c>
      <c r="L203" s="143">
        <f t="shared" si="30"/>
        <v>2680</v>
      </c>
      <c r="M203" s="144">
        <f t="shared" si="31"/>
        <v>6592800</v>
      </c>
      <c r="N203" s="135" t="s">
        <v>915</v>
      </c>
      <c r="O203" s="193"/>
      <c r="P203" s="145">
        <v>1640</v>
      </c>
      <c r="Q203" s="143">
        <f t="shared" si="32"/>
        <v>2680</v>
      </c>
      <c r="R203" s="144">
        <f t="shared" si="33"/>
        <v>4395200</v>
      </c>
      <c r="S203" s="135" t="s">
        <v>1389</v>
      </c>
      <c r="T203" s="193"/>
      <c r="U203" s="145">
        <f t="shared" si="28"/>
        <v>0</v>
      </c>
      <c r="V203" s="144">
        <f t="shared" si="29"/>
        <v>0</v>
      </c>
      <c r="W203" s="193"/>
      <c r="X203" s="147"/>
    </row>
    <row r="204" spans="2:24" x14ac:dyDescent="0.35">
      <c r="B204" s="137" t="s">
        <v>884</v>
      </c>
      <c r="C204" s="147" t="s">
        <v>733</v>
      </c>
      <c r="D204" s="147" t="s">
        <v>213</v>
      </c>
      <c r="E204" s="147" t="s">
        <v>182</v>
      </c>
      <c r="F204" s="147" t="s">
        <v>106</v>
      </c>
      <c r="G204" s="141">
        <v>4100</v>
      </c>
      <c r="H204" s="142">
        <v>2680</v>
      </c>
      <c r="I204" s="144">
        <f t="shared" si="27"/>
        <v>10988000</v>
      </c>
      <c r="J204" s="193"/>
      <c r="K204" s="141">
        <v>2460</v>
      </c>
      <c r="L204" s="143">
        <f>H204</f>
        <v>2680</v>
      </c>
      <c r="M204" s="144">
        <f>K204*L204</f>
        <v>6592800</v>
      </c>
      <c r="N204" s="135" t="s">
        <v>914</v>
      </c>
      <c r="O204" s="193"/>
      <c r="P204" s="145">
        <v>1640</v>
      </c>
      <c r="Q204" s="143">
        <f t="shared" si="32"/>
        <v>2680</v>
      </c>
      <c r="R204" s="144">
        <f t="shared" si="33"/>
        <v>4395200</v>
      </c>
      <c r="S204" s="135" t="s">
        <v>1604</v>
      </c>
      <c r="T204" s="193"/>
      <c r="U204" s="145">
        <f t="shared" si="28"/>
        <v>0</v>
      </c>
      <c r="V204" s="144">
        <f t="shared" si="29"/>
        <v>0</v>
      </c>
      <c r="W204" s="193"/>
      <c r="X204" s="147"/>
    </row>
    <row r="205" spans="2:24" x14ac:dyDescent="0.35">
      <c r="B205" s="137" t="s">
        <v>885</v>
      </c>
      <c r="C205" s="147" t="s">
        <v>201</v>
      </c>
      <c r="D205" s="147" t="s">
        <v>213</v>
      </c>
      <c r="E205" s="147" t="s">
        <v>182</v>
      </c>
      <c r="F205" s="147" t="s">
        <v>106</v>
      </c>
      <c r="G205" s="141">
        <v>4100</v>
      </c>
      <c r="H205" s="142">
        <v>2680</v>
      </c>
      <c r="I205" s="144">
        <f t="shared" si="27"/>
        <v>10988000</v>
      </c>
      <c r="J205" s="193"/>
      <c r="K205" s="141">
        <v>2460</v>
      </c>
      <c r="L205" s="143">
        <f>H205</f>
        <v>2680</v>
      </c>
      <c r="M205" s="144">
        <f>K205*L205</f>
        <v>6592800</v>
      </c>
      <c r="N205" s="135" t="s">
        <v>914</v>
      </c>
      <c r="O205" s="193"/>
      <c r="P205" s="145">
        <v>1640</v>
      </c>
      <c r="Q205" s="143">
        <f t="shared" ref="Q205:Q207" si="34">H205</f>
        <v>2680</v>
      </c>
      <c r="R205" s="144">
        <f t="shared" ref="R205:R207" si="35">P205*Q205</f>
        <v>4395200</v>
      </c>
      <c r="S205" s="135" t="s">
        <v>1604</v>
      </c>
      <c r="T205" s="193"/>
      <c r="U205" s="145">
        <f t="shared" si="28"/>
        <v>0</v>
      </c>
      <c r="V205" s="144">
        <f t="shared" si="29"/>
        <v>0</v>
      </c>
      <c r="W205" s="193"/>
      <c r="X205" s="147"/>
    </row>
    <row r="206" spans="2:24" x14ac:dyDescent="0.35">
      <c r="B206" s="137" t="s">
        <v>886</v>
      </c>
      <c r="C206" s="147" t="s">
        <v>393</v>
      </c>
      <c r="D206" s="147" t="s">
        <v>213</v>
      </c>
      <c r="E206" s="147" t="s">
        <v>182</v>
      </c>
      <c r="F206" s="147" t="s">
        <v>106</v>
      </c>
      <c r="G206" s="141">
        <v>4100</v>
      </c>
      <c r="H206" s="142">
        <v>2680</v>
      </c>
      <c r="I206" s="144">
        <f t="shared" si="27"/>
        <v>10988000</v>
      </c>
      <c r="J206" s="193"/>
      <c r="K206" s="141">
        <v>2460</v>
      </c>
      <c r="L206" s="143">
        <f>H206</f>
        <v>2680</v>
      </c>
      <c r="M206" s="144">
        <f>K206*L206</f>
        <v>6592800</v>
      </c>
      <c r="N206" s="135" t="s">
        <v>914</v>
      </c>
      <c r="O206" s="193"/>
      <c r="P206" s="145">
        <v>1640</v>
      </c>
      <c r="Q206" s="143">
        <f t="shared" si="34"/>
        <v>2680</v>
      </c>
      <c r="R206" s="144">
        <f t="shared" si="35"/>
        <v>4395200</v>
      </c>
      <c r="S206" s="135" t="s">
        <v>1604</v>
      </c>
      <c r="T206" s="193"/>
      <c r="U206" s="145">
        <f t="shared" si="28"/>
        <v>0</v>
      </c>
      <c r="V206" s="144">
        <f t="shared" si="29"/>
        <v>0</v>
      </c>
      <c r="W206" s="193"/>
      <c r="X206" s="147"/>
    </row>
    <row r="207" spans="2:24" x14ac:dyDescent="0.35">
      <c r="B207" s="137" t="s">
        <v>892</v>
      </c>
      <c r="C207" s="147" t="s">
        <v>515</v>
      </c>
      <c r="D207" s="147" t="s">
        <v>213</v>
      </c>
      <c r="E207" s="147" t="s">
        <v>182</v>
      </c>
      <c r="F207" s="147" t="s">
        <v>106</v>
      </c>
      <c r="G207" s="141">
        <v>4100</v>
      </c>
      <c r="H207" s="142">
        <v>2680</v>
      </c>
      <c r="I207" s="144">
        <f t="shared" si="27"/>
        <v>10988000</v>
      </c>
      <c r="J207" s="193"/>
      <c r="K207" s="141">
        <v>2460</v>
      </c>
      <c r="L207" s="143">
        <f t="shared" si="30"/>
        <v>2680</v>
      </c>
      <c r="M207" s="144">
        <f t="shared" si="31"/>
        <v>6592800</v>
      </c>
      <c r="N207" s="135" t="s">
        <v>912</v>
      </c>
      <c r="O207" s="193"/>
      <c r="P207" s="145">
        <v>1640</v>
      </c>
      <c r="Q207" s="143">
        <f t="shared" si="34"/>
        <v>2680</v>
      </c>
      <c r="R207" s="144">
        <f t="shared" si="35"/>
        <v>4395200</v>
      </c>
      <c r="S207" s="135" t="s">
        <v>1604</v>
      </c>
      <c r="T207" s="193"/>
      <c r="U207" s="145">
        <f t="shared" si="28"/>
        <v>0</v>
      </c>
      <c r="V207" s="144">
        <f t="shared" si="29"/>
        <v>0</v>
      </c>
      <c r="W207" s="193"/>
      <c r="X207" s="147"/>
    </row>
    <row r="208" spans="2:24" x14ac:dyDescent="0.35">
      <c r="B208" s="137" t="s">
        <v>893</v>
      </c>
      <c r="C208" s="147" t="s">
        <v>758</v>
      </c>
      <c r="D208" s="139" t="s">
        <v>895</v>
      </c>
      <c r="E208" s="147" t="s">
        <v>182</v>
      </c>
      <c r="F208" s="147" t="s">
        <v>106</v>
      </c>
      <c r="G208" s="141">
        <v>4100</v>
      </c>
      <c r="H208" s="142">
        <v>2680</v>
      </c>
      <c r="I208" s="144">
        <f t="shared" si="27"/>
        <v>10988000</v>
      </c>
      <c r="J208" s="193"/>
      <c r="K208" s="141">
        <v>2460</v>
      </c>
      <c r="L208" s="143">
        <f>H208</f>
        <v>2680</v>
      </c>
      <c r="M208" s="144">
        <f>K208*L208</f>
        <v>6592800</v>
      </c>
      <c r="N208" s="135" t="s">
        <v>912</v>
      </c>
      <c r="O208" s="193"/>
      <c r="P208" s="145">
        <v>1640</v>
      </c>
      <c r="Q208" s="143">
        <f t="shared" si="32"/>
        <v>2680</v>
      </c>
      <c r="R208" s="144">
        <f t="shared" si="33"/>
        <v>4395200</v>
      </c>
      <c r="S208" s="135" t="s">
        <v>1419</v>
      </c>
      <c r="T208" s="193"/>
      <c r="U208" s="145">
        <f t="shared" si="28"/>
        <v>0</v>
      </c>
      <c r="V208" s="144">
        <f t="shared" si="29"/>
        <v>0</v>
      </c>
      <c r="W208" s="193"/>
      <c r="X208" s="147"/>
    </row>
    <row r="209" spans="2:24" x14ac:dyDescent="0.35">
      <c r="B209" s="137" t="s">
        <v>897</v>
      </c>
      <c r="C209" s="147" t="s">
        <v>203</v>
      </c>
      <c r="D209" s="147" t="s">
        <v>213</v>
      </c>
      <c r="E209" s="147" t="s">
        <v>182</v>
      </c>
      <c r="F209" s="147" t="s">
        <v>106</v>
      </c>
      <c r="G209" s="141">
        <v>4100</v>
      </c>
      <c r="H209" s="142">
        <v>2680</v>
      </c>
      <c r="I209" s="144">
        <f t="shared" si="27"/>
        <v>10988000</v>
      </c>
      <c r="J209" s="193"/>
      <c r="K209" s="141">
        <v>2460</v>
      </c>
      <c r="L209" s="143">
        <f>H209</f>
        <v>2680</v>
      </c>
      <c r="M209" s="144">
        <f>K209*L209</f>
        <v>6592800</v>
      </c>
      <c r="N209" s="135" t="s">
        <v>912</v>
      </c>
      <c r="O209" s="193"/>
      <c r="P209" s="145">
        <v>1640</v>
      </c>
      <c r="Q209" s="143">
        <f t="shared" ref="Q209" si="36">H209</f>
        <v>2680</v>
      </c>
      <c r="R209" s="144">
        <f t="shared" ref="R209" si="37">P209*Q209</f>
        <v>4395200</v>
      </c>
      <c r="S209" s="135" t="s">
        <v>1604</v>
      </c>
      <c r="T209" s="193"/>
      <c r="U209" s="145">
        <f t="shared" si="28"/>
        <v>0</v>
      </c>
      <c r="V209" s="144">
        <f t="shared" si="29"/>
        <v>0</v>
      </c>
      <c r="W209" s="193"/>
      <c r="X209" s="147"/>
    </row>
    <row r="210" spans="2:24" x14ac:dyDescent="0.35">
      <c r="B210" s="137" t="s">
        <v>903</v>
      </c>
      <c r="C210" s="147" t="s">
        <v>515</v>
      </c>
      <c r="D210" s="147" t="s">
        <v>771</v>
      </c>
      <c r="E210" s="147" t="s">
        <v>248</v>
      </c>
      <c r="F210" s="147" t="s">
        <v>106</v>
      </c>
      <c r="G210" s="141">
        <v>1605</v>
      </c>
      <c r="H210" s="142">
        <v>2680</v>
      </c>
      <c r="I210" s="144">
        <f t="shared" si="27"/>
        <v>4301400</v>
      </c>
      <c r="J210" s="193"/>
      <c r="K210" s="141">
        <f>G210</f>
        <v>1605</v>
      </c>
      <c r="L210" s="143">
        <f>H210</f>
        <v>2680</v>
      </c>
      <c r="M210" s="144">
        <f>K210*L210</f>
        <v>4301400</v>
      </c>
      <c r="N210" s="135" t="s">
        <v>1054</v>
      </c>
      <c r="O210" s="193"/>
      <c r="P210" s="145">
        <v>0</v>
      </c>
      <c r="Q210" s="143">
        <f t="shared" si="32"/>
        <v>2680</v>
      </c>
      <c r="R210" s="144">
        <f t="shared" si="33"/>
        <v>0</v>
      </c>
      <c r="S210" s="135" t="s">
        <v>146</v>
      </c>
      <c r="T210" s="193"/>
      <c r="U210" s="145">
        <f t="shared" si="28"/>
        <v>0</v>
      </c>
      <c r="V210" s="144">
        <f t="shared" si="29"/>
        <v>0</v>
      </c>
      <c r="W210" s="193"/>
      <c r="X210" s="147"/>
    </row>
    <row r="211" spans="2:24" x14ac:dyDescent="0.35">
      <c r="B211" s="137" t="s">
        <v>904</v>
      </c>
      <c r="C211" s="147" t="s">
        <v>758</v>
      </c>
      <c r="D211" s="147" t="s">
        <v>759</v>
      </c>
      <c r="E211" s="147" t="s">
        <v>248</v>
      </c>
      <c r="F211" s="147" t="s">
        <v>106</v>
      </c>
      <c r="G211" s="141">
        <v>1608</v>
      </c>
      <c r="H211" s="142">
        <v>2680</v>
      </c>
      <c r="I211" s="144">
        <f t="shared" si="27"/>
        <v>4309440</v>
      </c>
      <c r="J211" s="193"/>
      <c r="K211" s="141">
        <f>G211</f>
        <v>1608</v>
      </c>
      <c r="L211" s="143">
        <f>H211</f>
        <v>2680</v>
      </c>
      <c r="M211" s="144">
        <f>K211*L211</f>
        <v>4309440</v>
      </c>
      <c r="N211" s="135" t="s">
        <v>1054</v>
      </c>
      <c r="O211" s="193"/>
      <c r="P211" s="145">
        <v>0</v>
      </c>
      <c r="Q211" s="143">
        <f t="shared" si="32"/>
        <v>2680</v>
      </c>
      <c r="R211" s="144">
        <f t="shared" si="33"/>
        <v>0</v>
      </c>
      <c r="S211" s="135" t="s">
        <v>146</v>
      </c>
      <c r="T211" s="193"/>
      <c r="U211" s="145">
        <f t="shared" si="28"/>
        <v>0</v>
      </c>
      <c r="V211" s="144">
        <f t="shared" si="29"/>
        <v>0</v>
      </c>
      <c r="W211" s="193"/>
      <c r="X211" s="147"/>
    </row>
    <row r="212" spans="2:24" x14ac:dyDescent="0.35">
      <c r="B212" s="137" t="s">
        <v>905</v>
      </c>
      <c r="C212" s="147" t="s">
        <v>393</v>
      </c>
      <c r="D212" s="147" t="s">
        <v>725</v>
      </c>
      <c r="E212" s="147" t="s">
        <v>248</v>
      </c>
      <c r="F212" s="147" t="s">
        <v>106</v>
      </c>
      <c r="G212" s="141">
        <v>1580</v>
      </c>
      <c r="H212" s="142">
        <v>2680</v>
      </c>
      <c r="I212" s="144">
        <f t="shared" si="27"/>
        <v>4234400</v>
      </c>
      <c r="J212" s="193"/>
      <c r="K212" s="141">
        <f>G212</f>
        <v>1580</v>
      </c>
      <c r="L212" s="143">
        <f>H212</f>
        <v>2680</v>
      </c>
      <c r="M212" s="144">
        <f>K212*L212</f>
        <v>4234400</v>
      </c>
      <c r="N212" s="135" t="s">
        <v>1054</v>
      </c>
      <c r="O212" s="193"/>
      <c r="P212" s="145">
        <v>0</v>
      </c>
      <c r="Q212" s="143">
        <f t="shared" si="32"/>
        <v>2680</v>
      </c>
      <c r="R212" s="144">
        <f t="shared" si="33"/>
        <v>0</v>
      </c>
      <c r="S212" s="135" t="s">
        <v>146</v>
      </c>
      <c r="T212" s="193"/>
      <c r="U212" s="145">
        <f t="shared" si="28"/>
        <v>0</v>
      </c>
      <c r="V212" s="144">
        <f t="shared" si="29"/>
        <v>0</v>
      </c>
      <c r="W212" s="193"/>
      <c r="X212" s="147"/>
    </row>
    <row r="213" spans="2:24" x14ac:dyDescent="0.35">
      <c r="B213" s="137" t="s">
        <v>921</v>
      </c>
      <c r="C213" s="147" t="s">
        <v>796</v>
      </c>
      <c r="D213" s="147" t="s">
        <v>213</v>
      </c>
      <c r="E213" s="147" t="s">
        <v>383</v>
      </c>
      <c r="F213" s="147" t="s">
        <v>106</v>
      </c>
      <c r="G213" s="141">
        <v>4400</v>
      </c>
      <c r="H213" s="142">
        <v>2550</v>
      </c>
      <c r="I213" s="144">
        <f t="shared" si="27"/>
        <v>11220000</v>
      </c>
      <c r="J213" s="193"/>
      <c r="K213" s="141">
        <v>2640</v>
      </c>
      <c r="L213" s="143">
        <f t="shared" si="30"/>
        <v>2550</v>
      </c>
      <c r="M213" s="144">
        <f t="shared" si="31"/>
        <v>6732000</v>
      </c>
      <c r="N213" s="135" t="s">
        <v>942</v>
      </c>
      <c r="O213" s="193"/>
      <c r="P213" s="145">
        <v>1760</v>
      </c>
      <c r="Q213" s="143">
        <f t="shared" si="32"/>
        <v>2550</v>
      </c>
      <c r="R213" s="144">
        <f t="shared" si="33"/>
        <v>4488000</v>
      </c>
      <c r="S213" s="135" t="s">
        <v>1231</v>
      </c>
      <c r="T213" s="193"/>
      <c r="U213" s="145">
        <f t="shared" si="28"/>
        <v>0</v>
      </c>
      <c r="V213" s="144">
        <f t="shared" si="29"/>
        <v>0</v>
      </c>
      <c r="W213" s="193"/>
      <c r="X213" s="147"/>
    </row>
    <row r="214" spans="2:24" x14ac:dyDescent="0.35">
      <c r="B214" s="137" t="s">
        <v>926</v>
      </c>
      <c r="C214" s="147" t="s">
        <v>809</v>
      </c>
      <c r="D214" s="147" t="s">
        <v>213</v>
      </c>
      <c r="E214" s="147" t="s">
        <v>383</v>
      </c>
      <c r="F214" s="147" t="s">
        <v>106</v>
      </c>
      <c r="G214" s="141">
        <v>4400</v>
      </c>
      <c r="H214" s="142">
        <v>2550</v>
      </c>
      <c r="I214" s="144">
        <f t="shared" si="27"/>
        <v>11220000</v>
      </c>
      <c r="J214" s="193"/>
      <c r="K214" s="141">
        <v>2640</v>
      </c>
      <c r="L214" s="143">
        <f t="shared" si="30"/>
        <v>2550</v>
      </c>
      <c r="M214" s="144">
        <f t="shared" si="31"/>
        <v>6732000</v>
      </c>
      <c r="N214" s="135" t="s">
        <v>942</v>
      </c>
      <c r="O214" s="193"/>
      <c r="P214" s="145">
        <v>1760</v>
      </c>
      <c r="Q214" s="143">
        <f>H214</f>
        <v>2550</v>
      </c>
      <c r="R214" s="144">
        <f>P214*Q214</f>
        <v>4488000</v>
      </c>
      <c r="S214" s="135" t="s">
        <v>1231</v>
      </c>
      <c r="T214" s="193"/>
      <c r="U214" s="145">
        <f t="shared" si="28"/>
        <v>0</v>
      </c>
      <c r="V214" s="144">
        <f t="shared" si="29"/>
        <v>0</v>
      </c>
      <c r="W214" s="193"/>
      <c r="X214" s="147"/>
    </row>
    <row r="215" spans="2:24" x14ac:dyDescent="0.35">
      <c r="B215" s="137" t="s">
        <v>927</v>
      </c>
      <c r="C215" s="147" t="s">
        <v>736</v>
      </c>
      <c r="D215" s="147" t="s">
        <v>213</v>
      </c>
      <c r="E215" s="147" t="s">
        <v>383</v>
      </c>
      <c r="F215" s="147" t="s">
        <v>106</v>
      </c>
      <c r="G215" s="141">
        <v>4400</v>
      </c>
      <c r="H215" s="142">
        <v>2550</v>
      </c>
      <c r="I215" s="144">
        <f t="shared" si="27"/>
        <v>11220000</v>
      </c>
      <c r="J215" s="193"/>
      <c r="K215" s="141">
        <v>2640</v>
      </c>
      <c r="L215" s="143">
        <f t="shared" si="30"/>
        <v>2550</v>
      </c>
      <c r="M215" s="144">
        <f t="shared" si="31"/>
        <v>6732000</v>
      </c>
      <c r="N215" s="135" t="s">
        <v>943</v>
      </c>
      <c r="O215" s="193"/>
      <c r="P215" s="145">
        <v>1760</v>
      </c>
      <c r="Q215" s="143">
        <f>H215</f>
        <v>2550</v>
      </c>
      <c r="R215" s="144">
        <f>P215*Q215</f>
        <v>4488000</v>
      </c>
      <c r="S215" s="135" t="s">
        <v>1231</v>
      </c>
      <c r="T215" s="193"/>
      <c r="U215" s="145">
        <f t="shared" si="28"/>
        <v>0</v>
      </c>
      <c r="V215" s="144">
        <f t="shared" si="29"/>
        <v>0</v>
      </c>
      <c r="W215" s="193"/>
      <c r="X215" s="147"/>
    </row>
    <row r="216" spans="2:24" x14ac:dyDescent="0.35">
      <c r="B216" s="137" t="s">
        <v>931</v>
      </c>
      <c r="C216" s="147" t="s">
        <v>98</v>
      </c>
      <c r="D216" s="147" t="s">
        <v>932</v>
      </c>
      <c r="E216" s="147" t="s">
        <v>114</v>
      </c>
      <c r="F216" s="147" t="s">
        <v>106</v>
      </c>
      <c r="G216" s="141">
        <v>4100</v>
      </c>
      <c r="H216" s="142">
        <v>2550</v>
      </c>
      <c r="I216" s="144">
        <f t="shared" si="27"/>
        <v>10455000</v>
      </c>
      <c r="J216" s="193"/>
      <c r="K216" s="141">
        <v>2460</v>
      </c>
      <c r="L216" s="143">
        <f t="shared" si="30"/>
        <v>2550</v>
      </c>
      <c r="M216" s="144">
        <f t="shared" si="31"/>
        <v>6273000</v>
      </c>
      <c r="N216" s="135" t="s">
        <v>943</v>
      </c>
      <c r="O216" s="193"/>
      <c r="P216" s="145">
        <v>1640</v>
      </c>
      <c r="Q216" s="143">
        <f t="shared" si="32"/>
        <v>2550</v>
      </c>
      <c r="R216" s="144">
        <f t="shared" si="33"/>
        <v>4182000</v>
      </c>
      <c r="S216" s="135" t="s">
        <v>1419</v>
      </c>
      <c r="T216" s="193"/>
      <c r="U216" s="145">
        <f t="shared" si="28"/>
        <v>0</v>
      </c>
      <c r="V216" s="144">
        <f t="shared" si="29"/>
        <v>0</v>
      </c>
      <c r="W216" s="193"/>
      <c r="X216" s="147"/>
    </row>
    <row r="217" spans="2:24" x14ac:dyDescent="0.35">
      <c r="B217" s="137" t="s">
        <v>934</v>
      </c>
      <c r="C217" s="147" t="s">
        <v>733</v>
      </c>
      <c r="D217" s="147" t="s">
        <v>731</v>
      </c>
      <c r="E217" s="147" t="s">
        <v>248</v>
      </c>
      <c r="F217" s="147" t="s">
        <v>106</v>
      </c>
      <c r="G217" s="141">
        <v>1571</v>
      </c>
      <c r="H217" s="142">
        <v>2550</v>
      </c>
      <c r="I217" s="144">
        <f t="shared" si="27"/>
        <v>4006050</v>
      </c>
      <c r="J217" s="193"/>
      <c r="K217" s="141">
        <f>G217</f>
        <v>1571</v>
      </c>
      <c r="L217" s="143">
        <f t="shared" si="30"/>
        <v>2550</v>
      </c>
      <c r="M217" s="144">
        <f t="shared" si="31"/>
        <v>4006050</v>
      </c>
      <c r="N217" s="135" t="s">
        <v>1053</v>
      </c>
      <c r="O217" s="193"/>
      <c r="P217" s="145">
        <v>0</v>
      </c>
      <c r="Q217" s="143">
        <f t="shared" si="32"/>
        <v>2550</v>
      </c>
      <c r="R217" s="144">
        <f t="shared" si="33"/>
        <v>0</v>
      </c>
      <c r="S217" s="135" t="s">
        <v>146</v>
      </c>
      <c r="T217" s="193"/>
      <c r="U217" s="145">
        <f t="shared" si="28"/>
        <v>0</v>
      </c>
      <c r="V217" s="144">
        <f t="shared" si="29"/>
        <v>0</v>
      </c>
      <c r="W217" s="193"/>
      <c r="X217" s="147"/>
    </row>
    <row r="218" spans="2:24" x14ac:dyDescent="0.35">
      <c r="B218" s="137" t="s">
        <v>935</v>
      </c>
      <c r="C218" s="147" t="s">
        <v>203</v>
      </c>
      <c r="D218" s="147" t="s">
        <v>744</v>
      </c>
      <c r="E218" s="147" t="s">
        <v>248</v>
      </c>
      <c r="F218" s="147" t="s">
        <v>106</v>
      </c>
      <c r="G218" s="141">
        <v>1598</v>
      </c>
      <c r="H218" s="142">
        <v>2550</v>
      </c>
      <c r="I218" s="144">
        <f t="shared" si="27"/>
        <v>4074900</v>
      </c>
      <c r="J218" s="193"/>
      <c r="K218" s="141">
        <f>G218</f>
        <v>1598</v>
      </c>
      <c r="L218" s="143">
        <f t="shared" si="30"/>
        <v>2550</v>
      </c>
      <c r="M218" s="144">
        <f t="shared" si="31"/>
        <v>4074900</v>
      </c>
      <c r="N218" s="135" t="s">
        <v>1053</v>
      </c>
      <c r="O218" s="193"/>
      <c r="P218" s="145">
        <v>0</v>
      </c>
      <c r="Q218" s="143">
        <f t="shared" si="32"/>
        <v>2550</v>
      </c>
      <c r="R218" s="144">
        <f t="shared" si="33"/>
        <v>0</v>
      </c>
      <c r="S218" s="135" t="s">
        <v>146</v>
      </c>
      <c r="T218" s="193"/>
      <c r="U218" s="145">
        <f t="shared" si="28"/>
        <v>0</v>
      </c>
      <c r="V218" s="144">
        <f t="shared" si="29"/>
        <v>0</v>
      </c>
      <c r="W218" s="193"/>
      <c r="X218" s="147"/>
    </row>
    <row r="219" spans="2:24" x14ac:dyDescent="0.35">
      <c r="B219" s="137" t="s">
        <v>936</v>
      </c>
      <c r="C219" s="147" t="s">
        <v>98</v>
      </c>
      <c r="D219" s="139" t="s">
        <v>767</v>
      </c>
      <c r="E219" s="147" t="s">
        <v>248</v>
      </c>
      <c r="F219" s="147" t="s">
        <v>106</v>
      </c>
      <c r="G219" s="141">
        <v>1757</v>
      </c>
      <c r="H219" s="142">
        <v>2550</v>
      </c>
      <c r="I219" s="144">
        <f t="shared" si="27"/>
        <v>4480350</v>
      </c>
      <c r="J219" s="193"/>
      <c r="K219" s="141">
        <f>G219</f>
        <v>1757</v>
      </c>
      <c r="L219" s="143">
        <f t="shared" si="30"/>
        <v>2550</v>
      </c>
      <c r="M219" s="144">
        <f t="shared" si="31"/>
        <v>4480350</v>
      </c>
      <c r="N219" s="135" t="s">
        <v>1053</v>
      </c>
      <c r="O219" s="193"/>
      <c r="P219" s="145">
        <v>0</v>
      </c>
      <c r="Q219" s="143">
        <f t="shared" si="32"/>
        <v>2550</v>
      </c>
      <c r="R219" s="144">
        <f t="shared" si="33"/>
        <v>0</v>
      </c>
      <c r="S219" s="135" t="s">
        <v>146</v>
      </c>
      <c r="T219" s="193"/>
      <c r="U219" s="145">
        <f t="shared" si="28"/>
        <v>0</v>
      </c>
      <c r="V219" s="144">
        <f t="shared" si="29"/>
        <v>0</v>
      </c>
      <c r="W219" s="193"/>
      <c r="X219" s="147"/>
    </row>
    <row r="220" spans="2:24" x14ac:dyDescent="0.35">
      <c r="B220" s="137" t="s">
        <v>939</v>
      </c>
      <c r="C220" s="147" t="s">
        <v>331</v>
      </c>
      <c r="D220" s="147" t="s">
        <v>801</v>
      </c>
      <c r="E220" s="147" t="s">
        <v>248</v>
      </c>
      <c r="F220" s="147" t="s">
        <v>106</v>
      </c>
      <c r="G220" s="141">
        <v>1708</v>
      </c>
      <c r="H220" s="142">
        <v>2550</v>
      </c>
      <c r="I220" s="144">
        <f t="shared" si="27"/>
        <v>4355400</v>
      </c>
      <c r="J220" s="193"/>
      <c r="K220" s="141">
        <v>1708</v>
      </c>
      <c r="L220" s="143">
        <f t="shared" si="30"/>
        <v>2550</v>
      </c>
      <c r="M220" s="144">
        <f t="shared" si="31"/>
        <v>4355400</v>
      </c>
      <c r="N220" s="135" t="s">
        <v>1240</v>
      </c>
      <c r="O220" s="193"/>
      <c r="P220" s="145">
        <v>0</v>
      </c>
      <c r="Q220" s="143">
        <f t="shared" si="32"/>
        <v>2550</v>
      </c>
      <c r="R220" s="144">
        <f t="shared" si="33"/>
        <v>0</v>
      </c>
      <c r="S220" s="135" t="s">
        <v>146</v>
      </c>
      <c r="T220" s="193"/>
      <c r="U220" s="145">
        <f t="shared" si="28"/>
        <v>0</v>
      </c>
      <c r="V220" s="144">
        <f t="shared" si="29"/>
        <v>0</v>
      </c>
      <c r="W220" s="193"/>
      <c r="X220" s="147"/>
    </row>
    <row r="221" spans="2:24" x14ac:dyDescent="0.35">
      <c r="B221" s="137" t="s">
        <v>940</v>
      </c>
      <c r="C221" s="147" t="s">
        <v>736</v>
      </c>
      <c r="D221" s="147" t="s">
        <v>722</v>
      </c>
      <c r="E221" s="147" t="s">
        <v>248</v>
      </c>
      <c r="F221" s="147" t="s">
        <v>106</v>
      </c>
      <c r="G221" s="141">
        <v>1582</v>
      </c>
      <c r="H221" s="142">
        <v>2550</v>
      </c>
      <c r="I221" s="144">
        <f t="shared" si="27"/>
        <v>4034100</v>
      </c>
      <c r="J221" s="193"/>
      <c r="K221" s="141">
        <v>1582</v>
      </c>
      <c r="L221" s="143">
        <f t="shared" si="30"/>
        <v>2550</v>
      </c>
      <c r="M221" s="144">
        <f t="shared" si="31"/>
        <v>4034100</v>
      </c>
      <c r="N221" s="135" t="s">
        <v>1240</v>
      </c>
      <c r="O221" s="193"/>
      <c r="P221" s="145">
        <v>0</v>
      </c>
      <c r="Q221" s="143">
        <f t="shared" si="32"/>
        <v>2550</v>
      </c>
      <c r="R221" s="144">
        <f t="shared" si="33"/>
        <v>0</v>
      </c>
      <c r="S221" s="135" t="s">
        <v>146</v>
      </c>
      <c r="T221" s="193"/>
      <c r="U221" s="145">
        <f t="shared" si="28"/>
        <v>0</v>
      </c>
      <c r="V221" s="144">
        <f t="shared" si="29"/>
        <v>0</v>
      </c>
      <c r="W221" s="193"/>
      <c r="X221" s="147"/>
    </row>
    <row r="222" spans="2:24" x14ac:dyDescent="0.35">
      <c r="B222" s="137" t="s">
        <v>945</v>
      </c>
      <c r="C222" s="147" t="s">
        <v>946</v>
      </c>
      <c r="D222" s="139" t="s">
        <v>947</v>
      </c>
      <c r="E222" s="147" t="s">
        <v>182</v>
      </c>
      <c r="F222" s="147" t="s">
        <v>319</v>
      </c>
      <c r="G222" s="141">
        <v>4100</v>
      </c>
      <c r="H222" s="142">
        <v>2650</v>
      </c>
      <c r="I222" s="144">
        <f t="shared" si="27"/>
        <v>10865000</v>
      </c>
      <c r="J222" s="193"/>
      <c r="K222" s="141">
        <f>G222</f>
        <v>4100</v>
      </c>
      <c r="L222" s="143">
        <f t="shared" si="30"/>
        <v>2650</v>
      </c>
      <c r="M222" s="144">
        <f t="shared" si="31"/>
        <v>10865000</v>
      </c>
      <c r="N222" s="135" t="s">
        <v>1205</v>
      </c>
      <c r="O222" s="193"/>
      <c r="P222" s="145">
        <v>0</v>
      </c>
      <c r="Q222" s="143">
        <f t="shared" si="32"/>
        <v>2650</v>
      </c>
      <c r="R222" s="144">
        <f t="shared" si="33"/>
        <v>0</v>
      </c>
      <c r="S222" s="135" t="s">
        <v>146</v>
      </c>
      <c r="T222" s="193"/>
      <c r="U222" s="145">
        <f t="shared" si="28"/>
        <v>0</v>
      </c>
      <c r="V222" s="144">
        <f t="shared" si="29"/>
        <v>0</v>
      </c>
      <c r="W222" s="193"/>
      <c r="X222" s="147"/>
    </row>
    <row r="223" spans="2:24" x14ac:dyDescent="0.35">
      <c r="B223" s="137" t="s">
        <v>950</v>
      </c>
      <c r="C223" s="147" t="s">
        <v>952</v>
      </c>
      <c r="D223" s="139" t="s">
        <v>951</v>
      </c>
      <c r="E223" s="147" t="s">
        <v>182</v>
      </c>
      <c r="F223" s="147" t="s">
        <v>319</v>
      </c>
      <c r="G223" s="141">
        <v>4100</v>
      </c>
      <c r="H223" s="142">
        <v>2650</v>
      </c>
      <c r="I223" s="144">
        <f t="shared" si="27"/>
        <v>10865000</v>
      </c>
      <c r="J223" s="193"/>
      <c r="K223" s="141">
        <f>G223</f>
        <v>4100</v>
      </c>
      <c r="L223" s="143">
        <f t="shared" si="30"/>
        <v>2650</v>
      </c>
      <c r="M223" s="144">
        <f t="shared" si="31"/>
        <v>10865000</v>
      </c>
      <c r="N223" s="135" t="s">
        <v>1205</v>
      </c>
      <c r="O223" s="193"/>
      <c r="P223" s="145">
        <v>0</v>
      </c>
      <c r="Q223" s="143">
        <f t="shared" si="32"/>
        <v>2650</v>
      </c>
      <c r="R223" s="144">
        <f t="shared" si="33"/>
        <v>0</v>
      </c>
      <c r="S223" s="135" t="s">
        <v>146</v>
      </c>
      <c r="T223" s="193"/>
      <c r="U223" s="145">
        <f t="shared" si="28"/>
        <v>0</v>
      </c>
      <c r="V223" s="144">
        <f t="shared" si="29"/>
        <v>0</v>
      </c>
      <c r="W223" s="193"/>
      <c r="X223" s="147"/>
    </row>
    <row r="224" spans="2:24" x14ac:dyDescent="0.35">
      <c r="B224" s="137" t="s">
        <v>956</v>
      </c>
      <c r="C224" s="147" t="s">
        <v>331</v>
      </c>
      <c r="D224" s="139" t="s">
        <v>957</v>
      </c>
      <c r="E224" s="147" t="s">
        <v>182</v>
      </c>
      <c r="F224" s="147" t="s">
        <v>106</v>
      </c>
      <c r="G224" s="141">
        <v>4200</v>
      </c>
      <c r="H224" s="142">
        <v>2550</v>
      </c>
      <c r="I224" s="144">
        <f t="shared" si="27"/>
        <v>10710000</v>
      </c>
      <c r="J224" s="193"/>
      <c r="K224" s="141">
        <v>2520</v>
      </c>
      <c r="L224" s="143">
        <f t="shared" si="30"/>
        <v>2550</v>
      </c>
      <c r="M224" s="144">
        <f t="shared" si="31"/>
        <v>6426000</v>
      </c>
      <c r="N224" s="135" t="s">
        <v>1028</v>
      </c>
      <c r="O224" s="193"/>
      <c r="P224" s="145">
        <v>1540</v>
      </c>
      <c r="Q224" s="143">
        <f t="shared" si="32"/>
        <v>2550</v>
      </c>
      <c r="R224" s="144">
        <f t="shared" si="33"/>
        <v>3927000</v>
      </c>
      <c r="S224" s="135" t="s">
        <v>1387</v>
      </c>
      <c r="T224" s="193"/>
      <c r="U224" s="145">
        <f t="shared" si="28"/>
        <v>140</v>
      </c>
      <c r="V224" s="144">
        <f t="shared" si="29"/>
        <v>357000</v>
      </c>
      <c r="W224" s="193"/>
      <c r="X224" s="147"/>
    </row>
    <row r="225" spans="2:24" x14ac:dyDescent="0.35">
      <c r="B225" s="137" t="s">
        <v>960</v>
      </c>
      <c r="C225" s="147" t="s">
        <v>961</v>
      </c>
      <c r="D225" s="139" t="s">
        <v>962</v>
      </c>
      <c r="E225" s="147" t="s">
        <v>182</v>
      </c>
      <c r="F225" s="147" t="s">
        <v>106</v>
      </c>
      <c r="G225" s="141">
        <v>4200</v>
      </c>
      <c r="H225" s="142">
        <v>2550</v>
      </c>
      <c r="I225" s="144">
        <f t="shared" si="27"/>
        <v>10710000</v>
      </c>
      <c r="J225" s="193"/>
      <c r="K225" s="141">
        <v>2520</v>
      </c>
      <c r="L225" s="143">
        <f t="shared" si="30"/>
        <v>2550</v>
      </c>
      <c r="M225" s="144">
        <f t="shared" si="31"/>
        <v>6426000</v>
      </c>
      <c r="N225" s="135" t="s">
        <v>1028</v>
      </c>
      <c r="O225" s="193"/>
      <c r="P225" s="145">
        <v>1680</v>
      </c>
      <c r="Q225" s="143">
        <f t="shared" si="32"/>
        <v>2550</v>
      </c>
      <c r="R225" s="144">
        <f t="shared" si="33"/>
        <v>4284000</v>
      </c>
      <c r="S225" s="135" t="s">
        <v>1419</v>
      </c>
      <c r="T225" s="193"/>
      <c r="U225" s="145">
        <f t="shared" si="28"/>
        <v>0</v>
      </c>
      <c r="V225" s="144">
        <f t="shared" si="29"/>
        <v>0</v>
      </c>
      <c r="W225" s="193"/>
      <c r="X225" s="147"/>
    </row>
    <row r="226" spans="2:24" x14ac:dyDescent="0.35">
      <c r="B226" s="137" t="s">
        <v>966</v>
      </c>
      <c r="C226" s="147" t="s">
        <v>967</v>
      </c>
      <c r="D226" s="139" t="s">
        <v>965</v>
      </c>
      <c r="E226" s="147" t="s">
        <v>182</v>
      </c>
      <c r="F226" s="147" t="s">
        <v>106</v>
      </c>
      <c r="G226" s="141">
        <v>4200</v>
      </c>
      <c r="H226" s="142">
        <v>2550</v>
      </c>
      <c r="I226" s="144">
        <f t="shared" si="27"/>
        <v>10710000</v>
      </c>
      <c r="J226" s="193"/>
      <c r="K226" s="141">
        <v>2520</v>
      </c>
      <c r="L226" s="143">
        <f t="shared" si="30"/>
        <v>2550</v>
      </c>
      <c r="M226" s="144">
        <f t="shared" si="31"/>
        <v>6426000</v>
      </c>
      <c r="N226" s="135" t="s">
        <v>1029</v>
      </c>
      <c r="O226" s="193"/>
      <c r="P226" s="145">
        <v>1680</v>
      </c>
      <c r="Q226" s="143">
        <f>H226</f>
        <v>2550</v>
      </c>
      <c r="R226" s="144">
        <f>P226*Q226</f>
        <v>4284000</v>
      </c>
      <c r="S226" s="135" t="s">
        <v>1419</v>
      </c>
      <c r="T226" s="193"/>
      <c r="U226" s="145">
        <f t="shared" si="28"/>
        <v>0</v>
      </c>
      <c r="V226" s="144">
        <f t="shared" si="29"/>
        <v>0</v>
      </c>
      <c r="W226" s="193"/>
      <c r="X226" s="147"/>
    </row>
    <row r="227" spans="2:24" x14ac:dyDescent="0.35">
      <c r="B227" s="137" t="s">
        <v>970</v>
      </c>
      <c r="C227" s="147" t="s">
        <v>971</v>
      </c>
      <c r="D227" s="139" t="s">
        <v>972</v>
      </c>
      <c r="E227" s="147" t="s">
        <v>383</v>
      </c>
      <c r="F227" s="147" t="s">
        <v>106</v>
      </c>
      <c r="G227" s="141">
        <v>4500</v>
      </c>
      <c r="H227" s="142">
        <v>2550</v>
      </c>
      <c r="I227" s="144">
        <f t="shared" si="27"/>
        <v>11475000</v>
      </c>
      <c r="J227" s="193"/>
      <c r="K227" s="141">
        <v>2700</v>
      </c>
      <c r="L227" s="143">
        <f t="shared" si="30"/>
        <v>2550</v>
      </c>
      <c r="M227" s="144">
        <f t="shared" si="31"/>
        <v>6885000</v>
      </c>
      <c r="N227" s="135" t="s">
        <v>1026</v>
      </c>
      <c r="O227" s="193"/>
      <c r="P227" s="145">
        <v>1800</v>
      </c>
      <c r="Q227" s="143">
        <f t="shared" si="32"/>
        <v>2550</v>
      </c>
      <c r="R227" s="144">
        <f t="shared" si="33"/>
        <v>4590000</v>
      </c>
      <c r="S227" s="135" t="s">
        <v>1605</v>
      </c>
      <c r="T227" s="193"/>
      <c r="U227" s="145">
        <f t="shared" si="28"/>
        <v>0</v>
      </c>
      <c r="V227" s="144">
        <f t="shared" si="29"/>
        <v>0</v>
      </c>
      <c r="W227" s="193"/>
      <c r="X227" s="147"/>
    </row>
    <row r="228" spans="2:24" x14ac:dyDescent="0.35">
      <c r="B228" s="137" t="s">
        <v>975</v>
      </c>
      <c r="C228" s="147" t="s">
        <v>976</v>
      </c>
      <c r="D228" s="147" t="s">
        <v>977</v>
      </c>
      <c r="E228" s="147" t="s">
        <v>415</v>
      </c>
      <c r="F228" s="147" t="s">
        <v>106</v>
      </c>
      <c r="G228" s="141">
        <v>4500</v>
      </c>
      <c r="H228" s="142">
        <v>2550</v>
      </c>
      <c r="I228" s="144">
        <f t="shared" si="27"/>
        <v>11475000</v>
      </c>
      <c r="J228" s="193"/>
      <c r="K228" s="141">
        <v>2700</v>
      </c>
      <c r="L228" s="143">
        <f t="shared" si="30"/>
        <v>2550</v>
      </c>
      <c r="M228" s="144">
        <f t="shared" si="31"/>
        <v>6885000</v>
      </c>
      <c r="N228" s="135" t="s">
        <v>1026</v>
      </c>
      <c r="O228" s="193"/>
      <c r="P228" s="145">
        <v>1800</v>
      </c>
      <c r="Q228" s="143">
        <f t="shared" si="32"/>
        <v>2550</v>
      </c>
      <c r="R228" s="144">
        <f t="shared" si="33"/>
        <v>4590000</v>
      </c>
      <c r="S228" s="135" t="s">
        <v>1387</v>
      </c>
      <c r="T228" s="193"/>
      <c r="U228" s="145">
        <f t="shared" si="28"/>
        <v>0</v>
      </c>
      <c r="V228" s="144">
        <f t="shared" si="29"/>
        <v>0</v>
      </c>
      <c r="W228" s="193"/>
      <c r="X228" s="147"/>
    </row>
    <row r="229" spans="2:24" x14ac:dyDescent="0.35">
      <c r="B229" s="137" t="s">
        <v>980</v>
      </c>
      <c r="C229" s="147" t="s">
        <v>981</v>
      </c>
      <c r="D229" s="147" t="s">
        <v>982</v>
      </c>
      <c r="E229" s="147" t="s">
        <v>383</v>
      </c>
      <c r="F229" s="147" t="s">
        <v>106</v>
      </c>
      <c r="G229" s="141">
        <v>4500</v>
      </c>
      <c r="H229" s="142">
        <v>2550</v>
      </c>
      <c r="I229" s="144">
        <f t="shared" si="27"/>
        <v>11475000</v>
      </c>
      <c r="J229" s="193"/>
      <c r="K229" s="141">
        <v>2700</v>
      </c>
      <c r="L229" s="143">
        <f t="shared" si="30"/>
        <v>2550</v>
      </c>
      <c r="M229" s="144">
        <f t="shared" si="31"/>
        <v>6885000</v>
      </c>
      <c r="N229" s="135" t="s">
        <v>1026</v>
      </c>
      <c r="O229" s="193"/>
      <c r="P229" s="145">
        <v>1800</v>
      </c>
      <c r="Q229" s="143">
        <f t="shared" ref="Q229:Q230" si="38">H229</f>
        <v>2550</v>
      </c>
      <c r="R229" s="144">
        <f t="shared" ref="R229:R230" si="39">P229*Q229</f>
        <v>4590000</v>
      </c>
      <c r="S229" s="135" t="s">
        <v>1605</v>
      </c>
      <c r="T229" s="193"/>
      <c r="U229" s="145">
        <f t="shared" si="28"/>
        <v>0</v>
      </c>
      <c r="V229" s="144">
        <f t="shared" si="29"/>
        <v>0</v>
      </c>
      <c r="W229" s="193"/>
      <c r="X229" s="147"/>
    </row>
    <row r="230" spans="2:24" x14ac:dyDescent="0.35">
      <c r="B230" s="137" t="s">
        <v>985</v>
      </c>
      <c r="C230" s="147" t="s">
        <v>986</v>
      </c>
      <c r="D230" s="139" t="s">
        <v>987</v>
      </c>
      <c r="E230" s="147" t="s">
        <v>383</v>
      </c>
      <c r="F230" s="147" t="s">
        <v>106</v>
      </c>
      <c r="G230" s="141">
        <v>4500</v>
      </c>
      <c r="H230" s="142">
        <v>2550</v>
      </c>
      <c r="I230" s="144">
        <f t="shared" si="27"/>
        <v>11475000</v>
      </c>
      <c r="J230" s="193"/>
      <c r="K230" s="141">
        <v>2700</v>
      </c>
      <c r="L230" s="143">
        <f t="shared" si="30"/>
        <v>2550</v>
      </c>
      <c r="M230" s="144">
        <f t="shared" si="31"/>
        <v>6885000</v>
      </c>
      <c r="N230" s="135" t="s">
        <v>1027</v>
      </c>
      <c r="O230" s="193"/>
      <c r="P230" s="145">
        <v>1800</v>
      </c>
      <c r="Q230" s="143">
        <f t="shared" si="38"/>
        <v>2550</v>
      </c>
      <c r="R230" s="144">
        <f t="shared" si="39"/>
        <v>4590000</v>
      </c>
      <c r="S230" s="135" t="s">
        <v>1605</v>
      </c>
      <c r="T230" s="193"/>
      <c r="U230" s="145">
        <f t="shared" si="28"/>
        <v>0</v>
      </c>
      <c r="V230" s="144">
        <f t="shared" si="29"/>
        <v>0</v>
      </c>
      <c r="W230" s="193"/>
      <c r="X230" s="147"/>
    </row>
    <row r="231" spans="2:24" x14ac:dyDescent="0.35">
      <c r="B231" s="137" t="s">
        <v>990</v>
      </c>
      <c r="C231" s="147" t="s">
        <v>398</v>
      </c>
      <c r="D231" s="139" t="s">
        <v>991</v>
      </c>
      <c r="E231" s="147" t="s">
        <v>182</v>
      </c>
      <c r="F231" s="147" t="s">
        <v>106</v>
      </c>
      <c r="G231" s="141">
        <v>4200</v>
      </c>
      <c r="H231" s="142">
        <v>2550</v>
      </c>
      <c r="I231" s="144">
        <f t="shared" si="27"/>
        <v>10710000</v>
      </c>
      <c r="J231" s="193"/>
      <c r="K231" s="141">
        <v>2520</v>
      </c>
      <c r="L231" s="143">
        <f>H231</f>
        <v>2550</v>
      </c>
      <c r="M231" s="144">
        <f>K231*L231</f>
        <v>6426000</v>
      </c>
      <c r="N231" s="135" t="s">
        <v>1029</v>
      </c>
      <c r="O231" s="193"/>
      <c r="P231" s="145">
        <v>1680</v>
      </c>
      <c r="Q231" s="143">
        <f t="shared" si="32"/>
        <v>2550</v>
      </c>
      <c r="R231" s="144">
        <f t="shared" si="33"/>
        <v>4284000</v>
      </c>
      <c r="S231" s="135" t="s">
        <v>1418</v>
      </c>
      <c r="T231" s="193"/>
      <c r="U231" s="145">
        <f t="shared" si="28"/>
        <v>0</v>
      </c>
      <c r="V231" s="144">
        <f t="shared" si="29"/>
        <v>0</v>
      </c>
      <c r="W231" s="193"/>
      <c r="X231" s="147"/>
    </row>
    <row r="232" spans="2:24" x14ac:dyDescent="0.35">
      <c r="B232" s="137" t="s">
        <v>993</v>
      </c>
      <c r="C232" s="147" t="s">
        <v>994</v>
      </c>
      <c r="D232" s="139" t="s">
        <v>997</v>
      </c>
      <c r="E232" s="147" t="s">
        <v>383</v>
      </c>
      <c r="F232" s="147" t="s">
        <v>106</v>
      </c>
      <c r="G232" s="141">
        <v>4500</v>
      </c>
      <c r="H232" s="142">
        <v>2550</v>
      </c>
      <c r="I232" s="144">
        <f t="shared" si="27"/>
        <v>11475000</v>
      </c>
      <c r="J232" s="193"/>
      <c r="K232" s="141">
        <v>2700</v>
      </c>
      <c r="L232" s="143">
        <f>H232</f>
        <v>2550</v>
      </c>
      <c r="M232" s="144">
        <f>K232*L232</f>
        <v>6885000</v>
      </c>
      <c r="N232" s="135" t="s">
        <v>1027</v>
      </c>
      <c r="O232" s="193"/>
      <c r="P232" s="145">
        <v>1800</v>
      </c>
      <c r="Q232" s="143">
        <f t="shared" si="32"/>
        <v>2550</v>
      </c>
      <c r="R232" s="144">
        <f t="shared" si="33"/>
        <v>4590000</v>
      </c>
      <c r="S232" s="135" t="s">
        <v>1375</v>
      </c>
      <c r="T232" s="193"/>
      <c r="U232" s="145">
        <f t="shared" si="28"/>
        <v>0</v>
      </c>
      <c r="V232" s="144">
        <f t="shared" si="29"/>
        <v>0</v>
      </c>
      <c r="W232" s="193"/>
      <c r="X232" s="147"/>
    </row>
    <row r="233" spans="2:24" x14ac:dyDescent="0.35">
      <c r="B233" s="137" t="s">
        <v>998</v>
      </c>
      <c r="C233" s="147" t="s">
        <v>999</v>
      </c>
      <c r="D233" s="139" t="s">
        <v>1000</v>
      </c>
      <c r="E233" s="147" t="s">
        <v>383</v>
      </c>
      <c r="F233" s="147" t="s">
        <v>106</v>
      </c>
      <c r="G233" s="141">
        <v>4500</v>
      </c>
      <c r="H233" s="142">
        <v>2550</v>
      </c>
      <c r="I233" s="144">
        <f t="shared" si="27"/>
        <v>11475000</v>
      </c>
      <c r="J233" s="193"/>
      <c r="K233" s="141">
        <v>2700</v>
      </c>
      <c r="L233" s="143">
        <f>H233</f>
        <v>2550</v>
      </c>
      <c r="M233" s="144">
        <f>K233*L233</f>
        <v>6885000</v>
      </c>
      <c r="N233" s="135" t="s">
        <v>1027</v>
      </c>
      <c r="O233" s="193"/>
      <c r="P233" s="145">
        <v>1800</v>
      </c>
      <c r="Q233" s="143">
        <f t="shared" si="32"/>
        <v>2550</v>
      </c>
      <c r="R233" s="144">
        <f t="shared" si="33"/>
        <v>4590000</v>
      </c>
      <c r="S233" s="135" t="s">
        <v>1375</v>
      </c>
      <c r="T233" s="193"/>
      <c r="U233" s="145">
        <f t="shared" si="28"/>
        <v>0</v>
      </c>
      <c r="V233" s="144">
        <f t="shared" si="29"/>
        <v>0</v>
      </c>
      <c r="W233" s="193"/>
      <c r="X233" s="147"/>
    </row>
    <row r="234" spans="2:24" x14ac:dyDescent="0.35">
      <c r="B234" s="137" t="s">
        <v>1003</v>
      </c>
      <c r="C234" s="147" t="s">
        <v>180</v>
      </c>
      <c r="D234" s="139" t="s">
        <v>1004</v>
      </c>
      <c r="E234" s="147" t="s">
        <v>564</v>
      </c>
      <c r="F234" s="147" t="s">
        <v>106</v>
      </c>
      <c r="G234" s="141">
        <v>4200</v>
      </c>
      <c r="H234" s="142">
        <v>2550</v>
      </c>
      <c r="I234" s="144">
        <f t="shared" si="27"/>
        <v>10710000</v>
      </c>
      <c r="J234" s="193"/>
      <c r="K234" s="141">
        <v>2520</v>
      </c>
      <c r="L234" s="143">
        <f t="shared" si="30"/>
        <v>2550</v>
      </c>
      <c r="M234" s="144">
        <f t="shared" si="31"/>
        <v>6426000</v>
      </c>
      <c r="N234" s="135" t="s">
        <v>1025</v>
      </c>
      <c r="O234" s="193"/>
      <c r="P234" s="145">
        <v>1620</v>
      </c>
      <c r="Q234" s="143">
        <f t="shared" si="32"/>
        <v>2550</v>
      </c>
      <c r="R234" s="144">
        <f t="shared" si="33"/>
        <v>4131000</v>
      </c>
      <c r="S234" s="135" t="s">
        <v>1612</v>
      </c>
      <c r="T234" s="193"/>
      <c r="U234" s="145">
        <f t="shared" si="28"/>
        <v>60</v>
      </c>
      <c r="V234" s="144">
        <f t="shared" si="29"/>
        <v>153000</v>
      </c>
      <c r="W234" s="193"/>
      <c r="X234" s="147"/>
    </row>
    <row r="235" spans="2:24" x14ac:dyDescent="0.35">
      <c r="B235" s="137" t="s">
        <v>1007</v>
      </c>
      <c r="C235" s="147" t="s">
        <v>189</v>
      </c>
      <c r="D235" s="139" t="s">
        <v>1008</v>
      </c>
      <c r="E235" s="147" t="s">
        <v>564</v>
      </c>
      <c r="F235" s="147" t="s">
        <v>106</v>
      </c>
      <c r="G235" s="141">
        <v>4200</v>
      </c>
      <c r="H235" s="142">
        <v>2550</v>
      </c>
      <c r="I235" s="144">
        <f t="shared" si="27"/>
        <v>10710000</v>
      </c>
      <c r="J235" s="193"/>
      <c r="K235" s="141">
        <v>2520</v>
      </c>
      <c r="L235" s="143">
        <f t="shared" si="30"/>
        <v>2550</v>
      </c>
      <c r="M235" s="144">
        <f t="shared" si="31"/>
        <v>6426000</v>
      </c>
      <c r="N235" s="135" t="s">
        <v>1025</v>
      </c>
      <c r="O235" s="193"/>
      <c r="P235" s="145">
        <v>1680</v>
      </c>
      <c r="Q235" s="143">
        <f t="shared" si="32"/>
        <v>2550</v>
      </c>
      <c r="R235" s="144">
        <f t="shared" si="33"/>
        <v>4284000</v>
      </c>
      <c r="S235" s="135" t="s">
        <v>1581</v>
      </c>
      <c r="T235" s="193"/>
      <c r="U235" s="145">
        <f t="shared" si="28"/>
        <v>0</v>
      </c>
      <c r="V235" s="144">
        <f t="shared" si="29"/>
        <v>0</v>
      </c>
      <c r="W235" s="193"/>
      <c r="X235" s="147"/>
    </row>
    <row r="236" spans="2:24" x14ac:dyDescent="0.35">
      <c r="B236" s="137" t="s">
        <v>1010</v>
      </c>
      <c r="C236" s="147" t="s">
        <v>170</v>
      </c>
      <c r="D236" s="139" t="s">
        <v>1011</v>
      </c>
      <c r="E236" s="147" t="s">
        <v>182</v>
      </c>
      <c r="F236" s="147" t="s">
        <v>106</v>
      </c>
      <c r="G236" s="141">
        <v>4200</v>
      </c>
      <c r="H236" s="142">
        <v>2550</v>
      </c>
      <c r="I236" s="144">
        <f t="shared" si="27"/>
        <v>10710000</v>
      </c>
      <c r="J236" s="193"/>
      <c r="K236" s="141">
        <v>2520</v>
      </c>
      <c r="L236" s="143">
        <f t="shared" si="30"/>
        <v>2550</v>
      </c>
      <c r="M236" s="144">
        <f t="shared" si="31"/>
        <v>6426000</v>
      </c>
      <c r="N236" s="135" t="s">
        <v>1025</v>
      </c>
      <c r="O236" s="193"/>
      <c r="P236" s="145">
        <v>1680</v>
      </c>
      <c r="Q236" s="143">
        <f>H236</f>
        <v>2550</v>
      </c>
      <c r="R236" s="144">
        <f>P236*Q236</f>
        <v>4284000</v>
      </c>
      <c r="S236" s="135" t="s">
        <v>1418</v>
      </c>
      <c r="T236" s="193"/>
      <c r="U236" s="145">
        <f t="shared" si="28"/>
        <v>0</v>
      </c>
      <c r="V236" s="144">
        <f t="shared" si="29"/>
        <v>0</v>
      </c>
      <c r="W236" s="193"/>
      <c r="X236" s="147"/>
    </row>
    <row r="237" spans="2:24" x14ac:dyDescent="0.35">
      <c r="B237" s="137" t="s">
        <v>1013</v>
      </c>
      <c r="C237" s="147" t="s">
        <v>398</v>
      </c>
      <c r="D237" s="139" t="s">
        <v>755</v>
      </c>
      <c r="E237" s="147" t="s">
        <v>248</v>
      </c>
      <c r="F237" s="147" t="s">
        <v>106</v>
      </c>
      <c r="G237" s="141">
        <v>1723</v>
      </c>
      <c r="H237" s="142">
        <v>2550</v>
      </c>
      <c r="I237" s="144">
        <f t="shared" si="27"/>
        <v>4393650</v>
      </c>
      <c r="J237" s="193"/>
      <c r="K237" s="141">
        <v>1723</v>
      </c>
      <c r="L237" s="143">
        <f t="shared" si="30"/>
        <v>2550</v>
      </c>
      <c r="M237" s="144">
        <f t="shared" si="31"/>
        <v>4393650</v>
      </c>
      <c r="N237" s="135" t="s">
        <v>1068</v>
      </c>
      <c r="O237" s="193"/>
      <c r="P237" s="145">
        <v>0</v>
      </c>
      <c r="Q237" s="143">
        <f t="shared" si="32"/>
        <v>2550</v>
      </c>
      <c r="R237" s="144">
        <f t="shared" si="33"/>
        <v>0</v>
      </c>
      <c r="S237" s="135" t="s">
        <v>146</v>
      </c>
      <c r="T237" s="193"/>
      <c r="U237" s="145">
        <f t="shared" si="28"/>
        <v>0</v>
      </c>
      <c r="V237" s="144">
        <f t="shared" si="29"/>
        <v>0</v>
      </c>
      <c r="W237" s="193"/>
      <c r="X237" s="147"/>
    </row>
    <row r="238" spans="2:24" x14ac:dyDescent="0.35">
      <c r="B238" s="137" t="s">
        <v>1014</v>
      </c>
      <c r="C238" s="147" t="s">
        <v>175</v>
      </c>
      <c r="D238" s="139" t="s">
        <v>752</v>
      </c>
      <c r="E238" s="147" t="s">
        <v>248</v>
      </c>
      <c r="F238" s="147" t="s">
        <v>106</v>
      </c>
      <c r="G238" s="141">
        <v>1640</v>
      </c>
      <c r="H238" s="142">
        <v>2550</v>
      </c>
      <c r="I238" s="144">
        <f t="shared" si="27"/>
        <v>4182000</v>
      </c>
      <c r="J238" s="193"/>
      <c r="K238" s="141">
        <v>1640</v>
      </c>
      <c r="L238" s="143">
        <f t="shared" si="30"/>
        <v>2550</v>
      </c>
      <c r="M238" s="144">
        <f t="shared" si="31"/>
        <v>4182000</v>
      </c>
      <c r="N238" s="135" t="s">
        <v>1068</v>
      </c>
      <c r="O238" s="193"/>
      <c r="P238" s="145">
        <v>0</v>
      </c>
      <c r="Q238" s="143">
        <f t="shared" si="32"/>
        <v>2550</v>
      </c>
      <c r="R238" s="144">
        <f t="shared" si="33"/>
        <v>0</v>
      </c>
      <c r="S238" s="135" t="s">
        <v>146</v>
      </c>
      <c r="T238" s="193"/>
      <c r="U238" s="145">
        <f t="shared" si="28"/>
        <v>0</v>
      </c>
      <c r="V238" s="144">
        <f t="shared" si="29"/>
        <v>0</v>
      </c>
      <c r="W238" s="193"/>
      <c r="X238" s="147"/>
    </row>
    <row r="239" spans="2:24" x14ac:dyDescent="0.35">
      <c r="B239" s="137" t="s">
        <v>1015</v>
      </c>
      <c r="C239" s="147" t="s">
        <v>1016</v>
      </c>
      <c r="D239" s="174" t="s">
        <v>1017</v>
      </c>
      <c r="E239" s="147" t="s">
        <v>182</v>
      </c>
      <c r="F239" s="147" t="s">
        <v>106</v>
      </c>
      <c r="G239" s="141">
        <v>4200</v>
      </c>
      <c r="H239" s="142">
        <v>2550</v>
      </c>
      <c r="I239" s="144">
        <f t="shared" si="27"/>
        <v>10710000</v>
      </c>
      <c r="J239" s="193"/>
      <c r="K239" s="141">
        <v>2520</v>
      </c>
      <c r="L239" s="143">
        <f>H239</f>
        <v>2550</v>
      </c>
      <c r="M239" s="144">
        <f>K239*L239</f>
        <v>6426000</v>
      </c>
      <c r="N239" s="135" t="s">
        <v>1029</v>
      </c>
      <c r="O239" s="193"/>
      <c r="P239" s="145">
        <v>1680</v>
      </c>
      <c r="Q239" s="143">
        <f>H239</f>
        <v>2550</v>
      </c>
      <c r="R239" s="144">
        <f>P239*Q239</f>
        <v>4284000</v>
      </c>
      <c r="S239" s="135" t="s">
        <v>1418</v>
      </c>
      <c r="T239" s="193"/>
      <c r="U239" s="145">
        <f t="shared" si="28"/>
        <v>0</v>
      </c>
      <c r="V239" s="144">
        <f t="shared" si="29"/>
        <v>0</v>
      </c>
      <c r="W239" s="193"/>
      <c r="X239" s="147"/>
    </row>
    <row r="240" spans="2:24" x14ac:dyDescent="0.35">
      <c r="B240" s="137" t="s">
        <v>1019</v>
      </c>
      <c r="C240" s="147" t="s">
        <v>1021</v>
      </c>
      <c r="D240" s="139" t="s">
        <v>1020</v>
      </c>
      <c r="E240" s="147" t="s">
        <v>182</v>
      </c>
      <c r="F240" s="147" t="s">
        <v>106</v>
      </c>
      <c r="G240" s="141">
        <v>4200</v>
      </c>
      <c r="H240" s="142">
        <v>2550</v>
      </c>
      <c r="I240" s="144">
        <f t="shared" si="27"/>
        <v>10710000</v>
      </c>
      <c r="J240" s="193"/>
      <c r="K240" s="141">
        <v>2520</v>
      </c>
      <c r="L240" s="143">
        <f>H240</f>
        <v>2550</v>
      </c>
      <c r="M240" s="144">
        <f>K240*L240</f>
        <v>6426000</v>
      </c>
      <c r="N240" s="135" t="s">
        <v>1037</v>
      </c>
      <c r="O240" s="193"/>
      <c r="P240" s="145">
        <v>1680</v>
      </c>
      <c r="Q240" s="143">
        <f t="shared" si="32"/>
        <v>2550</v>
      </c>
      <c r="R240" s="144">
        <f t="shared" si="33"/>
        <v>4284000</v>
      </c>
      <c r="S240" s="135" t="s">
        <v>1613</v>
      </c>
      <c r="T240" s="193"/>
      <c r="U240" s="145">
        <f t="shared" si="28"/>
        <v>0</v>
      </c>
      <c r="V240" s="144">
        <f t="shared" si="29"/>
        <v>0</v>
      </c>
      <c r="W240" s="193"/>
      <c r="X240" s="147"/>
    </row>
    <row r="241" spans="2:24" x14ac:dyDescent="0.35">
      <c r="B241" s="137" t="s">
        <v>1031</v>
      </c>
      <c r="C241" s="147" t="s">
        <v>224</v>
      </c>
      <c r="D241" s="139" t="s">
        <v>1032</v>
      </c>
      <c r="E241" s="147" t="s">
        <v>182</v>
      </c>
      <c r="F241" s="147" t="s">
        <v>319</v>
      </c>
      <c r="G241" s="141">
        <v>4100</v>
      </c>
      <c r="H241" s="142">
        <v>2650</v>
      </c>
      <c r="I241" s="144">
        <f>G241*H241</f>
        <v>10865000</v>
      </c>
      <c r="J241" s="193"/>
      <c r="K241" s="141">
        <v>4100</v>
      </c>
      <c r="L241" s="143">
        <f>H241</f>
        <v>2650</v>
      </c>
      <c r="M241" s="144">
        <f>K241*L241</f>
        <v>10865000</v>
      </c>
      <c r="N241" s="135" t="s">
        <v>1244</v>
      </c>
      <c r="O241" s="193"/>
      <c r="P241" s="145">
        <v>0</v>
      </c>
      <c r="Q241" s="143">
        <f>H241</f>
        <v>2650</v>
      </c>
      <c r="R241" s="144">
        <f>P241*Q241</f>
        <v>0</v>
      </c>
      <c r="S241" s="135" t="s">
        <v>146</v>
      </c>
      <c r="T241" s="193"/>
      <c r="U241" s="145">
        <f>G241-K241-P241</f>
        <v>0</v>
      </c>
      <c r="V241" s="144">
        <f>I241-M241-R241</f>
        <v>0</v>
      </c>
      <c r="W241" s="193"/>
      <c r="X241" s="147"/>
    </row>
    <row r="242" spans="2:24" x14ac:dyDescent="0.35">
      <c r="B242" s="137" t="s">
        <v>1041</v>
      </c>
      <c r="C242" s="147" t="s">
        <v>202</v>
      </c>
      <c r="D242" s="139" t="s">
        <v>1042</v>
      </c>
      <c r="E242" s="147" t="s">
        <v>182</v>
      </c>
      <c r="F242" s="147" t="s">
        <v>319</v>
      </c>
      <c r="G242" s="141">
        <v>4100</v>
      </c>
      <c r="H242" s="142">
        <v>2650</v>
      </c>
      <c r="I242" s="144">
        <f t="shared" si="27"/>
        <v>10865000</v>
      </c>
      <c r="J242" s="193"/>
      <c r="K242" s="141">
        <v>4100</v>
      </c>
      <c r="L242" s="143">
        <f t="shared" si="30"/>
        <v>2650</v>
      </c>
      <c r="M242" s="144">
        <f t="shared" si="31"/>
        <v>10865000</v>
      </c>
      <c r="N242" s="135" t="s">
        <v>1244</v>
      </c>
      <c r="O242" s="193"/>
      <c r="P242" s="145">
        <v>0</v>
      </c>
      <c r="Q242" s="143">
        <f t="shared" si="32"/>
        <v>2650</v>
      </c>
      <c r="R242" s="144">
        <f t="shared" si="33"/>
        <v>0</v>
      </c>
      <c r="S242" s="135" t="s">
        <v>146</v>
      </c>
      <c r="T242" s="193"/>
      <c r="U242" s="145">
        <f t="shared" si="28"/>
        <v>0</v>
      </c>
      <c r="V242" s="144">
        <f t="shared" si="29"/>
        <v>0</v>
      </c>
      <c r="W242" s="193"/>
      <c r="X242" s="147"/>
    </row>
    <row r="243" spans="2:24" x14ac:dyDescent="0.35">
      <c r="B243" s="137" t="s">
        <v>1045</v>
      </c>
      <c r="C243" s="147" t="s">
        <v>841</v>
      </c>
      <c r="D243" s="139" t="s">
        <v>1046</v>
      </c>
      <c r="E243" s="147" t="s">
        <v>206</v>
      </c>
      <c r="F243" s="147" t="s">
        <v>106</v>
      </c>
      <c r="G243" s="141">
        <v>4200</v>
      </c>
      <c r="H243" s="142">
        <v>2550</v>
      </c>
      <c r="I243" s="144">
        <f t="shared" si="27"/>
        <v>10710000</v>
      </c>
      <c r="J243" s="193"/>
      <c r="K243" s="141">
        <v>2520</v>
      </c>
      <c r="L243" s="143">
        <f t="shared" si="30"/>
        <v>2550</v>
      </c>
      <c r="M243" s="144">
        <f t="shared" si="31"/>
        <v>6426000</v>
      </c>
      <c r="N243" s="135" t="s">
        <v>1056</v>
      </c>
      <c r="O243" s="193"/>
      <c r="P243" s="145">
        <v>1680</v>
      </c>
      <c r="Q243" s="143">
        <f t="shared" si="32"/>
        <v>2550</v>
      </c>
      <c r="R243" s="144">
        <f t="shared" si="33"/>
        <v>4284000</v>
      </c>
      <c r="S243" s="135" t="s">
        <v>1581</v>
      </c>
      <c r="T243" s="193"/>
      <c r="U243" s="145">
        <f t="shared" si="28"/>
        <v>0</v>
      </c>
      <c r="V243" s="144">
        <f t="shared" si="29"/>
        <v>0</v>
      </c>
      <c r="W243" s="193"/>
      <c r="X243" s="147"/>
    </row>
    <row r="244" spans="2:24" x14ac:dyDescent="0.35">
      <c r="B244" s="137" t="s">
        <v>1049</v>
      </c>
      <c r="C244" s="147" t="s">
        <v>758</v>
      </c>
      <c r="D244" s="139" t="s">
        <v>1050</v>
      </c>
      <c r="E244" s="147" t="s">
        <v>114</v>
      </c>
      <c r="F244" s="147" t="s">
        <v>106</v>
      </c>
      <c r="G244" s="141">
        <v>4200</v>
      </c>
      <c r="H244" s="142">
        <v>2550</v>
      </c>
      <c r="I244" s="144">
        <f t="shared" si="27"/>
        <v>10710000</v>
      </c>
      <c r="J244" s="193"/>
      <c r="K244" s="141">
        <v>2520</v>
      </c>
      <c r="L244" s="143">
        <f t="shared" si="30"/>
        <v>2550</v>
      </c>
      <c r="M244" s="144">
        <f t="shared" si="31"/>
        <v>6426000</v>
      </c>
      <c r="N244" s="135" t="s">
        <v>1056</v>
      </c>
      <c r="O244" s="193"/>
      <c r="P244" s="145">
        <v>1680</v>
      </c>
      <c r="Q244" s="143">
        <f t="shared" ref="Q244" si="40">H244</f>
        <v>2550</v>
      </c>
      <c r="R244" s="144">
        <f t="shared" ref="R244" si="41">P244*Q244</f>
        <v>4284000</v>
      </c>
      <c r="S244" s="135" t="s">
        <v>1581</v>
      </c>
      <c r="T244" s="193"/>
      <c r="U244" s="145">
        <f t="shared" si="28"/>
        <v>0</v>
      </c>
      <c r="V244" s="144">
        <f t="shared" si="29"/>
        <v>0</v>
      </c>
      <c r="W244" s="193"/>
      <c r="X244" s="147"/>
    </row>
    <row r="245" spans="2:24" x14ac:dyDescent="0.35">
      <c r="B245" s="137" t="s">
        <v>1058</v>
      </c>
      <c r="C245" s="147" t="s">
        <v>203</v>
      </c>
      <c r="D245" s="147" t="s">
        <v>213</v>
      </c>
      <c r="E245" s="147" t="s">
        <v>248</v>
      </c>
      <c r="F245" s="147" t="s">
        <v>106</v>
      </c>
      <c r="G245" s="141">
        <v>1600</v>
      </c>
      <c r="H245" s="142">
        <v>2550</v>
      </c>
      <c r="I245" s="144">
        <f t="shared" si="27"/>
        <v>4080000</v>
      </c>
      <c r="J245" s="193"/>
      <c r="K245" s="141">
        <f>G245</f>
        <v>1600</v>
      </c>
      <c r="L245" s="143">
        <f t="shared" si="30"/>
        <v>2550</v>
      </c>
      <c r="M245" s="144">
        <f t="shared" si="31"/>
        <v>4080000</v>
      </c>
      <c r="N245" s="135" t="s">
        <v>1228</v>
      </c>
      <c r="O245" s="193"/>
      <c r="P245" s="145">
        <v>0</v>
      </c>
      <c r="Q245" s="143">
        <f t="shared" si="32"/>
        <v>2550</v>
      </c>
      <c r="R245" s="144">
        <f t="shared" si="33"/>
        <v>0</v>
      </c>
      <c r="S245" s="135" t="s">
        <v>146</v>
      </c>
      <c r="T245" s="193"/>
      <c r="U245" s="145">
        <f t="shared" si="28"/>
        <v>0</v>
      </c>
      <c r="V245" s="144">
        <f t="shared" si="29"/>
        <v>0</v>
      </c>
      <c r="W245" s="193"/>
      <c r="X245" s="147"/>
    </row>
    <row r="246" spans="2:24" x14ac:dyDescent="0.35">
      <c r="B246" s="137" t="s">
        <v>1059</v>
      </c>
      <c r="C246" s="147" t="s">
        <v>758</v>
      </c>
      <c r="D246" s="139" t="s">
        <v>895</v>
      </c>
      <c r="E246" s="147" t="s">
        <v>248</v>
      </c>
      <c r="F246" s="147" t="s">
        <v>106</v>
      </c>
      <c r="G246" s="141">
        <v>1400</v>
      </c>
      <c r="H246" s="142">
        <v>2550</v>
      </c>
      <c r="I246" s="144">
        <f t="shared" si="27"/>
        <v>3570000</v>
      </c>
      <c r="J246" s="193"/>
      <c r="K246" s="141">
        <f>G246</f>
        <v>1400</v>
      </c>
      <c r="L246" s="143">
        <f>H246</f>
        <v>2550</v>
      </c>
      <c r="M246" s="144">
        <f>K246*L246</f>
        <v>3570000</v>
      </c>
      <c r="N246" s="135" t="s">
        <v>1228</v>
      </c>
      <c r="O246" s="193"/>
      <c r="P246" s="145">
        <v>0</v>
      </c>
      <c r="Q246" s="143">
        <f t="shared" si="32"/>
        <v>2550</v>
      </c>
      <c r="R246" s="144">
        <f t="shared" si="33"/>
        <v>0</v>
      </c>
      <c r="S246" s="135" t="s">
        <v>146</v>
      </c>
      <c r="T246" s="193"/>
      <c r="U246" s="145">
        <f t="shared" si="28"/>
        <v>0</v>
      </c>
      <c r="V246" s="144">
        <f t="shared" si="29"/>
        <v>0</v>
      </c>
      <c r="W246" s="193"/>
      <c r="X246" s="147"/>
    </row>
    <row r="247" spans="2:24" x14ac:dyDescent="0.35">
      <c r="B247" s="137" t="s">
        <v>1060</v>
      </c>
      <c r="C247" s="147" t="s">
        <v>203</v>
      </c>
      <c r="D247" s="139" t="s">
        <v>1061</v>
      </c>
      <c r="E247" s="147" t="s">
        <v>114</v>
      </c>
      <c r="F247" s="147" t="s">
        <v>106</v>
      </c>
      <c r="G247" s="141">
        <v>4200</v>
      </c>
      <c r="H247" s="142">
        <v>2550</v>
      </c>
      <c r="I247" s="144">
        <f t="shared" si="27"/>
        <v>10710000</v>
      </c>
      <c r="J247" s="193"/>
      <c r="K247" s="141">
        <v>2520</v>
      </c>
      <c r="L247" s="143">
        <f t="shared" si="30"/>
        <v>2550</v>
      </c>
      <c r="M247" s="144">
        <f t="shared" si="31"/>
        <v>6426000</v>
      </c>
      <c r="N247" s="135" t="s">
        <v>1069</v>
      </c>
      <c r="O247" s="193"/>
      <c r="P247" s="145">
        <v>1560</v>
      </c>
      <c r="Q247" s="143">
        <f t="shared" si="32"/>
        <v>2550</v>
      </c>
      <c r="R247" s="144">
        <f t="shared" si="33"/>
        <v>3978000</v>
      </c>
      <c r="S247" s="135" t="s">
        <v>1611</v>
      </c>
      <c r="T247" s="193"/>
      <c r="U247" s="145">
        <f t="shared" si="28"/>
        <v>120</v>
      </c>
      <c r="V247" s="144">
        <f t="shared" si="29"/>
        <v>306000</v>
      </c>
      <c r="W247" s="193"/>
      <c r="X247" s="147"/>
    </row>
    <row r="248" spans="2:24" x14ac:dyDescent="0.35">
      <c r="B248" s="137" t="s">
        <v>1065</v>
      </c>
      <c r="C248" s="147" t="s">
        <v>961</v>
      </c>
      <c r="D248" s="147" t="s">
        <v>962</v>
      </c>
      <c r="E248" s="147" t="s">
        <v>248</v>
      </c>
      <c r="F248" s="147" t="s">
        <v>106</v>
      </c>
      <c r="G248" s="141">
        <v>1400</v>
      </c>
      <c r="H248" s="142">
        <v>2550</v>
      </c>
      <c r="I248" s="144">
        <f t="shared" si="27"/>
        <v>3570000</v>
      </c>
      <c r="J248" s="193"/>
      <c r="K248" s="141">
        <v>0</v>
      </c>
      <c r="L248" s="143">
        <f t="shared" si="30"/>
        <v>2550</v>
      </c>
      <c r="M248" s="144">
        <f t="shared" si="31"/>
        <v>0</v>
      </c>
      <c r="N248" s="135" t="s">
        <v>146</v>
      </c>
      <c r="O248" s="193"/>
      <c r="P248" s="145">
        <v>1400</v>
      </c>
      <c r="Q248" s="143">
        <f t="shared" si="32"/>
        <v>2550</v>
      </c>
      <c r="R248" s="144">
        <f t="shared" si="33"/>
        <v>3570000</v>
      </c>
      <c r="S248" s="135" t="s">
        <v>1614</v>
      </c>
      <c r="T248" s="193"/>
      <c r="U248" s="145">
        <f t="shared" si="28"/>
        <v>0</v>
      </c>
      <c r="V248" s="144">
        <f t="shared" si="29"/>
        <v>0</v>
      </c>
      <c r="W248" s="193"/>
      <c r="X248" s="147"/>
    </row>
    <row r="249" spans="2:24" x14ac:dyDescent="0.35">
      <c r="B249" s="137" t="s">
        <v>1066</v>
      </c>
      <c r="C249" s="147" t="s">
        <v>967</v>
      </c>
      <c r="D249" s="139" t="s">
        <v>965</v>
      </c>
      <c r="E249" s="147" t="s">
        <v>248</v>
      </c>
      <c r="F249" s="147" t="s">
        <v>106</v>
      </c>
      <c r="G249" s="141">
        <v>1400</v>
      </c>
      <c r="H249" s="142">
        <v>2550</v>
      </c>
      <c r="I249" s="144">
        <f t="shared" si="27"/>
        <v>3570000</v>
      </c>
      <c r="J249" s="193"/>
      <c r="K249" s="141">
        <f>G249</f>
        <v>1400</v>
      </c>
      <c r="L249" s="143">
        <f t="shared" si="30"/>
        <v>2550</v>
      </c>
      <c r="M249" s="144">
        <f t="shared" si="31"/>
        <v>3570000</v>
      </c>
      <c r="N249" s="135" t="s">
        <v>1228</v>
      </c>
      <c r="O249" s="193"/>
      <c r="P249" s="145">
        <v>0</v>
      </c>
      <c r="Q249" s="143">
        <f t="shared" si="32"/>
        <v>2550</v>
      </c>
      <c r="R249" s="144">
        <f t="shared" si="33"/>
        <v>0</v>
      </c>
      <c r="S249" s="135" t="s">
        <v>146</v>
      </c>
      <c r="T249" s="193"/>
      <c r="U249" s="145">
        <f t="shared" si="28"/>
        <v>0</v>
      </c>
      <c r="V249" s="144">
        <f t="shared" si="29"/>
        <v>0</v>
      </c>
      <c r="W249" s="193"/>
      <c r="X249" s="147"/>
    </row>
    <row r="250" spans="2:24" x14ac:dyDescent="0.35">
      <c r="B250" s="137" t="s">
        <v>1070</v>
      </c>
      <c r="C250" s="147" t="s">
        <v>515</v>
      </c>
      <c r="D250" s="139" t="s">
        <v>1071</v>
      </c>
      <c r="E250" s="147" t="s">
        <v>114</v>
      </c>
      <c r="F250" s="147" t="s">
        <v>106</v>
      </c>
      <c r="G250" s="141">
        <v>4200</v>
      </c>
      <c r="H250" s="142">
        <v>2550</v>
      </c>
      <c r="I250" s="144">
        <f t="shared" si="27"/>
        <v>10710000</v>
      </c>
      <c r="J250" s="193"/>
      <c r="K250" s="141">
        <v>2520</v>
      </c>
      <c r="L250" s="143">
        <f>H250</f>
        <v>2550</v>
      </c>
      <c r="M250" s="144">
        <f>K250*L250</f>
        <v>6426000</v>
      </c>
      <c r="N250" s="135" t="s">
        <v>1108</v>
      </c>
      <c r="O250" s="193"/>
      <c r="P250" s="145">
        <v>1680</v>
      </c>
      <c r="Q250" s="143">
        <f t="shared" ref="Q250:Q251" si="42">H250</f>
        <v>2550</v>
      </c>
      <c r="R250" s="144">
        <f t="shared" ref="R250:R251" si="43">P250*Q250</f>
        <v>4284000</v>
      </c>
      <c r="S250" s="135" t="s">
        <v>1581</v>
      </c>
      <c r="T250" s="193"/>
      <c r="U250" s="145">
        <f t="shared" si="28"/>
        <v>0</v>
      </c>
      <c r="V250" s="144">
        <f t="shared" si="29"/>
        <v>0</v>
      </c>
      <c r="W250" s="193"/>
      <c r="X250" s="147"/>
    </row>
    <row r="251" spans="2:24" x14ac:dyDescent="0.35">
      <c r="B251" s="137" t="s">
        <v>1074</v>
      </c>
      <c r="C251" s="147" t="s">
        <v>733</v>
      </c>
      <c r="D251" s="139" t="s">
        <v>1075</v>
      </c>
      <c r="E251" s="147" t="s">
        <v>182</v>
      </c>
      <c r="F251" s="147" t="s">
        <v>106</v>
      </c>
      <c r="G251" s="141">
        <v>4200</v>
      </c>
      <c r="H251" s="142">
        <v>2550</v>
      </c>
      <c r="I251" s="144">
        <f t="shared" si="27"/>
        <v>10710000</v>
      </c>
      <c r="J251" s="193"/>
      <c r="K251" s="141">
        <v>2520</v>
      </c>
      <c r="L251" s="143">
        <f t="shared" si="30"/>
        <v>2550</v>
      </c>
      <c r="M251" s="144">
        <f t="shared" si="31"/>
        <v>6426000</v>
      </c>
      <c r="N251" s="135" t="s">
        <v>1108</v>
      </c>
      <c r="O251" s="193"/>
      <c r="P251" s="145">
        <v>1510</v>
      </c>
      <c r="Q251" s="143">
        <f t="shared" si="42"/>
        <v>2550</v>
      </c>
      <c r="R251" s="144">
        <f t="shared" si="43"/>
        <v>3850500</v>
      </c>
      <c r="S251" s="135" t="s">
        <v>1611</v>
      </c>
      <c r="T251" s="193"/>
      <c r="U251" s="145">
        <f t="shared" si="28"/>
        <v>170</v>
      </c>
      <c r="V251" s="144">
        <f t="shared" si="29"/>
        <v>433500</v>
      </c>
      <c r="W251" s="193"/>
      <c r="X251" s="147"/>
    </row>
    <row r="252" spans="2:24" x14ac:dyDescent="0.35">
      <c r="B252" s="137" t="s">
        <v>1077</v>
      </c>
      <c r="C252" s="147" t="s">
        <v>393</v>
      </c>
      <c r="D252" s="139" t="s">
        <v>1078</v>
      </c>
      <c r="E252" s="147" t="s">
        <v>114</v>
      </c>
      <c r="F252" s="147" t="s">
        <v>106</v>
      </c>
      <c r="G252" s="141">
        <v>4200</v>
      </c>
      <c r="H252" s="142">
        <v>2550</v>
      </c>
      <c r="I252" s="144">
        <f t="shared" si="27"/>
        <v>10710000</v>
      </c>
      <c r="J252" s="193"/>
      <c r="K252" s="141">
        <v>2520</v>
      </c>
      <c r="L252" s="143">
        <f>H252</f>
        <v>2550</v>
      </c>
      <c r="M252" s="144">
        <f>K252*L252</f>
        <v>6426000</v>
      </c>
      <c r="N252" s="135" t="s">
        <v>1108</v>
      </c>
      <c r="O252" s="193"/>
      <c r="P252" s="145">
        <v>1680</v>
      </c>
      <c r="Q252" s="143">
        <f t="shared" si="32"/>
        <v>2550</v>
      </c>
      <c r="R252" s="144">
        <f t="shared" si="33"/>
        <v>4284000</v>
      </c>
      <c r="S252" s="135" t="s">
        <v>1581</v>
      </c>
      <c r="T252" s="193"/>
      <c r="U252" s="145">
        <f t="shared" si="28"/>
        <v>0</v>
      </c>
      <c r="V252" s="144">
        <f t="shared" si="29"/>
        <v>0</v>
      </c>
      <c r="W252" s="193"/>
      <c r="X252" s="147"/>
    </row>
    <row r="253" spans="2:24" x14ac:dyDescent="0.35">
      <c r="B253" s="137" t="s">
        <v>1079</v>
      </c>
      <c r="C253" s="147" t="s">
        <v>961</v>
      </c>
      <c r="D253" s="139" t="s">
        <v>1080</v>
      </c>
      <c r="E253" s="147" t="s">
        <v>182</v>
      </c>
      <c r="F253" s="147" t="s">
        <v>319</v>
      </c>
      <c r="G253" s="141">
        <v>4100</v>
      </c>
      <c r="H253" s="142">
        <v>2650</v>
      </c>
      <c r="I253" s="144">
        <f t="shared" si="27"/>
        <v>10865000</v>
      </c>
      <c r="J253" s="193"/>
      <c r="K253" s="141">
        <v>4100</v>
      </c>
      <c r="L253" s="143">
        <f t="shared" si="30"/>
        <v>2650</v>
      </c>
      <c r="M253" s="144">
        <f t="shared" si="31"/>
        <v>10865000</v>
      </c>
      <c r="N253" s="135" t="s">
        <v>1411</v>
      </c>
      <c r="O253" s="193"/>
      <c r="P253" s="145">
        <v>0</v>
      </c>
      <c r="Q253" s="143">
        <f t="shared" si="32"/>
        <v>2650</v>
      </c>
      <c r="R253" s="144">
        <f t="shared" si="33"/>
        <v>0</v>
      </c>
      <c r="S253" s="135" t="s">
        <v>146</v>
      </c>
      <c r="T253" s="193"/>
      <c r="U253" s="145">
        <f t="shared" si="28"/>
        <v>0</v>
      </c>
      <c r="V253" s="144">
        <f t="shared" si="29"/>
        <v>0</v>
      </c>
      <c r="W253" s="193"/>
      <c r="X253" s="147"/>
    </row>
    <row r="254" spans="2:24" x14ac:dyDescent="0.35">
      <c r="B254" s="137" t="s">
        <v>1083</v>
      </c>
      <c r="C254" s="147" t="s">
        <v>232</v>
      </c>
      <c r="D254" s="139" t="s">
        <v>1084</v>
      </c>
      <c r="E254" s="147" t="s">
        <v>182</v>
      </c>
      <c r="F254" s="147" t="s">
        <v>319</v>
      </c>
      <c r="G254" s="141">
        <v>4100</v>
      </c>
      <c r="H254" s="142">
        <v>2650</v>
      </c>
      <c r="I254" s="144">
        <f t="shared" si="27"/>
        <v>10865000</v>
      </c>
      <c r="J254" s="193"/>
      <c r="K254" s="141">
        <v>4100</v>
      </c>
      <c r="L254" s="143">
        <f t="shared" si="30"/>
        <v>2650</v>
      </c>
      <c r="M254" s="144">
        <f t="shared" si="31"/>
        <v>10865000</v>
      </c>
      <c r="N254" s="135" t="s">
        <v>1464</v>
      </c>
      <c r="O254" s="193"/>
      <c r="P254" s="145">
        <v>0</v>
      </c>
      <c r="Q254" s="143">
        <f t="shared" si="32"/>
        <v>2650</v>
      </c>
      <c r="R254" s="144">
        <f t="shared" si="33"/>
        <v>0</v>
      </c>
      <c r="S254" s="135" t="s">
        <v>146</v>
      </c>
      <c r="T254" s="193"/>
      <c r="U254" s="145">
        <f t="shared" si="28"/>
        <v>0</v>
      </c>
      <c r="V254" s="144">
        <f t="shared" si="29"/>
        <v>0</v>
      </c>
      <c r="W254" s="193"/>
      <c r="X254" s="147"/>
    </row>
    <row r="255" spans="2:24" x14ac:dyDescent="0.35">
      <c r="B255" s="137" t="s">
        <v>1086</v>
      </c>
      <c r="C255" s="147" t="s">
        <v>967</v>
      </c>
      <c r="D255" s="139" t="s">
        <v>1087</v>
      </c>
      <c r="E255" s="147" t="s">
        <v>182</v>
      </c>
      <c r="F255" s="147" t="s">
        <v>319</v>
      </c>
      <c r="G255" s="141">
        <v>4100</v>
      </c>
      <c r="H255" s="142">
        <v>2650</v>
      </c>
      <c r="I255" s="144">
        <f t="shared" si="27"/>
        <v>10865000</v>
      </c>
      <c r="J255" s="193"/>
      <c r="K255" s="141">
        <v>4100</v>
      </c>
      <c r="L255" s="143">
        <f>H255</f>
        <v>2650</v>
      </c>
      <c r="M255" s="144">
        <f>K255*L255</f>
        <v>10865000</v>
      </c>
      <c r="N255" s="135" t="s">
        <v>1411</v>
      </c>
      <c r="O255" s="193"/>
      <c r="P255" s="145">
        <v>0</v>
      </c>
      <c r="Q255" s="143">
        <f t="shared" si="32"/>
        <v>2650</v>
      </c>
      <c r="R255" s="144">
        <f t="shared" si="33"/>
        <v>0</v>
      </c>
      <c r="S255" s="135" t="s">
        <v>146</v>
      </c>
      <c r="T255" s="193"/>
      <c r="U255" s="145">
        <f t="shared" si="28"/>
        <v>0</v>
      </c>
      <c r="V255" s="144">
        <f t="shared" si="29"/>
        <v>0</v>
      </c>
      <c r="W255" s="193"/>
      <c r="X255" s="147"/>
    </row>
    <row r="256" spans="2:24" x14ac:dyDescent="0.35">
      <c r="B256" s="137" t="s">
        <v>1090</v>
      </c>
      <c r="C256" s="147" t="s">
        <v>201</v>
      </c>
      <c r="D256" s="139" t="s">
        <v>1091</v>
      </c>
      <c r="E256" s="147" t="s">
        <v>182</v>
      </c>
      <c r="F256" s="147" t="s">
        <v>319</v>
      </c>
      <c r="G256" s="141">
        <v>4100</v>
      </c>
      <c r="H256" s="142">
        <v>2650</v>
      </c>
      <c r="I256" s="144">
        <f t="shared" si="27"/>
        <v>10865000</v>
      </c>
      <c r="J256" s="193"/>
      <c r="K256" s="141">
        <f t="shared" ref="K256:K262" si="44">G256</f>
        <v>4100</v>
      </c>
      <c r="L256" s="143">
        <f t="shared" si="30"/>
        <v>2650</v>
      </c>
      <c r="M256" s="144">
        <f t="shared" si="31"/>
        <v>10865000</v>
      </c>
      <c r="N256" s="135" t="s">
        <v>1362</v>
      </c>
      <c r="O256" s="193"/>
      <c r="P256" s="145">
        <v>0</v>
      </c>
      <c r="Q256" s="143">
        <f t="shared" si="32"/>
        <v>2650</v>
      </c>
      <c r="R256" s="144">
        <f t="shared" si="33"/>
        <v>0</v>
      </c>
      <c r="S256" s="135" t="s">
        <v>146</v>
      </c>
      <c r="T256" s="193"/>
      <c r="U256" s="145">
        <f t="shared" si="28"/>
        <v>0</v>
      </c>
      <c r="V256" s="144">
        <f t="shared" si="29"/>
        <v>0</v>
      </c>
      <c r="W256" s="193"/>
      <c r="X256" s="147"/>
    </row>
    <row r="257" spans="2:24" x14ac:dyDescent="0.35">
      <c r="B257" s="137" t="s">
        <v>1094</v>
      </c>
      <c r="C257" s="147" t="s">
        <v>98</v>
      </c>
      <c r="D257" s="147" t="s">
        <v>932</v>
      </c>
      <c r="E257" s="147" t="s">
        <v>248</v>
      </c>
      <c r="F257" s="147" t="s">
        <v>106</v>
      </c>
      <c r="G257" s="141">
        <v>1550</v>
      </c>
      <c r="H257" s="142">
        <v>2550</v>
      </c>
      <c r="I257" s="144">
        <f t="shared" si="27"/>
        <v>3952500</v>
      </c>
      <c r="J257" s="193"/>
      <c r="K257" s="141">
        <f t="shared" si="44"/>
        <v>1550</v>
      </c>
      <c r="L257" s="143">
        <f t="shared" si="30"/>
        <v>2550</v>
      </c>
      <c r="M257" s="144">
        <f t="shared" si="31"/>
        <v>3952500</v>
      </c>
      <c r="N257" s="135" t="s">
        <v>1230</v>
      </c>
      <c r="O257" s="193"/>
      <c r="P257" s="145">
        <v>0</v>
      </c>
      <c r="Q257" s="143">
        <f t="shared" si="32"/>
        <v>2550</v>
      </c>
      <c r="R257" s="144">
        <f t="shared" si="33"/>
        <v>0</v>
      </c>
      <c r="S257" s="135" t="s">
        <v>146</v>
      </c>
      <c r="T257" s="193"/>
      <c r="U257" s="145">
        <f t="shared" si="28"/>
        <v>0</v>
      </c>
      <c r="V257" s="144">
        <f t="shared" si="29"/>
        <v>0</v>
      </c>
      <c r="W257" s="193"/>
      <c r="X257" s="147"/>
    </row>
    <row r="258" spans="2:24" x14ac:dyDescent="0.35">
      <c r="B258" s="137" t="s">
        <v>1095</v>
      </c>
      <c r="C258" s="147" t="s">
        <v>398</v>
      </c>
      <c r="D258" s="147" t="s">
        <v>991</v>
      </c>
      <c r="E258" s="147" t="s">
        <v>248</v>
      </c>
      <c r="F258" s="147" t="s">
        <v>106</v>
      </c>
      <c r="G258" s="141">
        <v>1400</v>
      </c>
      <c r="H258" s="142">
        <v>2550</v>
      </c>
      <c r="I258" s="144">
        <f t="shared" si="27"/>
        <v>3570000</v>
      </c>
      <c r="J258" s="193"/>
      <c r="K258" s="141">
        <f t="shared" si="44"/>
        <v>1400</v>
      </c>
      <c r="L258" s="143">
        <f t="shared" ref="L258:L264" si="45">H258</f>
        <v>2550</v>
      </c>
      <c r="M258" s="144">
        <f t="shared" ref="M258:M264" si="46">K258*L258</f>
        <v>3570000</v>
      </c>
      <c r="N258" s="135" t="s">
        <v>1230</v>
      </c>
      <c r="O258" s="193"/>
      <c r="P258" s="145">
        <v>0</v>
      </c>
      <c r="Q258" s="143">
        <f t="shared" si="32"/>
        <v>2550</v>
      </c>
      <c r="R258" s="144">
        <f t="shared" si="33"/>
        <v>0</v>
      </c>
      <c r="S258" s="135" t="s">
        <v>146</v>
      </c>
      <c r="T258" s="193"/>
      <c r="U258" s="145">
        <f t="shared" si="28"/>
        <v>0</v>
      </c>
      <c r="V258" s="144">
        <f t="shared" si="29"/>
        <v>0</v>
      </c>
      <c r="W258" s="193"/>
      <c r="X258" s="147"/>
    </row>
    <row r="259" spans="2:24" x14ac:dyDescent="0.35">
      <c r="B259" s="137" t="s">
        <v>1096</v>
      </c>
      <c r="C259" s="147" t="s">
        <v>946</v>
      </c>
      <c r="D259" s="147" t="s">
        <v>947</v>
      </c>
      <c r="E259" s="147" t="s">
        <v>248</v>
      </c>
      <c r="F259" s="147" t="s">
        <v>106</v>
      </c>
      <c r="G259" s="141">
        <v>1400</v>
      </c>
      <c r="H259" s="142">
        <v>2550</v>
      </c>
      <c r="I259" s="144">
        <f t="shared" si="27"/>
        <v>3570000</v>
      </c>
      <c r="J259" s="193"/>
      <c r="K259" s="141">
        <f t="shared" si="44"/>
        <v>1400</v>
      </c>
      <c r="L259" s="143">
        <f t="shared" si="45"/>
        <v>2550</v>
      </c>
      <c r="M259" s="144">
        <f t="shared" si="46"/>
        <v>3570000</v>
      </c>
      <c r="N259" s="135" t="s">
        <v>1230</v>
      </c>
      <c r="O259" s="193"/>
      <c r="P259" s="145">
        <v>0</v>
      </c>
      <c r="Q259" s="143">
        <f t="shared" si="32"/>
        <v>2550</v>
      </c>
      <c r="R259" s="144">
        <f t="shared" si="33"/>
        <v>0</v>
      </c>
      <c r="S259" s="135" t="s">
        <v>146</v>
      </c>
      <c r="T259" s="193"/>
      <c r="U259" s="151">
        <f t="shared" si="28"/>
        <v>0</v>
      </c>
      <c r="V259" s="152">
        <f t="shared" si="29"/>
        <v>0</v>
      </c>
      <c r="W259" s="193"/>
      <c r="X259" s="147"/>
    </row>
    <row r="260" spans="2:24" x14ac:dyDescent="0.35">
      <c r="B260" s="137" t="s">
        <v>1097</v>
      </c>
      <c r="C260" s="147" t="s">
        <v>170</v>
      </c>
      <c r="D260" s="147" t="s">
        <v>1011</v>
      </c>
      <c r="E260" s="147" t="s">
        <v>248</v>
      </c>
      <c r="F260" s="147" t="s">
        <v>106</v>
      </c>
      <c r="G260" s="141">
        <v>1400</v>
      </c>
      <c r="H260" s="142">
        <v>2550</v>
      </c>
      <c r="I260" s="144">
        <f t="shared" si="27"/>
        <v>3570000</v>
      </c>
      <c r="J260" s="193"/>
      <c r="K260" s="141">
        <f t="shared" si="44"/>
        <v>1400</v>
      </c>
      <c r="L260" s="143">
        <f t="shared" si="45"/>
        <v>2550</v>
      </c>
      <c r="M260" s="144">
        <f t="shared" si="46"/>
        <v>3570000</v>
      </c>
      <c r="N260" s="135" t="s">
        <v>1230</v>
      </c>
      <c r="O260" s="193"/>
      <c r="P260" s="145">
        <v>0</v>
      </c>
      <c r="Q260" s="143">
        <f t="shared" si="32"/>
        <v>2550</v>
      </c>
      <c r="R260" s="144">
        <f t="shared" si="33"/>
        <v>0</v>
      </c>
      <c r="S260" s="135" t="s">
        <v>146</v>
      </c>
      <c r="T260" s="193"/>
      <c r="U260" s="145">
        <f t="shared" si="28"/>
        <v>0</v>
      </c>
      <c r="V260" s="144">
        <f t="shared" si="29"/>
        <v>0</v>
      </c>
      <c r="W260" s="193"/>
      <c r="X260" s="147"/>
    </row>
    <row r="261" spans="2:24" x14ac:dyDescent="0.35">
      <c r="B261" s="137" t="s">
        <v>1098</v>
      </c>
      <c r="C261" s="147" t="s">
        <v>1016</v>
      </c>
      <c r="D261" s="147" t="s">
        <v>1017</v>
      </c>
      <c r="E261" s="147" t="s">
        <v>248</v>
      </c>
      <c r="F261" s="147" t="s">
        <v>106</v>
      </c>
      <c r="G261" s="141">
        <v>1400</v>
      </c>
      <c r="H261" s="142">
        <v>2550</v>
      </c>
      <c r="I261" s="144">
        <f t="shared" ref="I261:I324" si="47">G261*H261</f>
        <v>3570000</v>
      </c>
      <c r="J261" s="193"/>
      <c r="K261" s="141">
        <f t="shared" si="44"/>
        <v>1400</v>
      </c>
      <c r="L261" s="143">
        <f t="shared" si="45"/>
        <v>2550</v>
      </c>
      <c r="M261" s="144">
        <f t="shared" si="46"/>
        <v>3570000</v>
      </c>
      <c r="N261" s="135" t="s">
        <v>1230</v>
      </c>
      <c r="O261" s="193"/>
      <c r="P261" s="145">
        <v>0</v>
      </c>
      <c r="Q261" s="143">
        <f t="shared" si="32"/>
        <v>2550</v>
      </c>
      <c r="R261" s="144">
        <f t="shared" si="33"/>
        <v>0</v>
      </c>
      <c r="S261" s="135" t="s">
        <v>146</v>
      </c>
      <c r="T261" s="193"/>
      <c r="U261" s="145">
        <f t="shared" ref="U261:U324" si="48">G261-K261-P261</f>
        <v>0</v>
      </c>
      <c r="V261" s="144">
        <f t="shared" ref="V261:V324" si="49">I261-M261-R261</f>
        <v>0</v>
      </c>
      <c r="W261" s="193"/>
      <c r="X261" s="147"/>
    </row>
    <row r="262" spans="2:24" x14ac:dyDescent="0.35">
      <c r="B262" s="137" t="s">
        <v>1104</v>
      </c>
      <c r="C262" s="147" t="s">
        <v>952</v>
      </c>
      <c r="D262" s="147" t="s">
        <v>951</v>
      </c>
      <c r="E262" s="147" t="s">
        <v>248</v>
      </c>
      <c r="F262" s="147" t="s">
        <v>106</v>
      </c>
      <c r="G262" s="141">
        <v>1400</v>
      </c>
      <c r="H262" s="142">
        <v>2550</v>
      </c>
      <c r="I262" s="144">
        <f t="shared" si="47"/>
        <v>3570000</v>
      </c>
      <c r="J262" s="193"/>
      <c r="K262" s="141">
        <f t="shared" si="44"/>
        <v>1400</v>
      </c>
      <c r="L262" s="143">
        <f t="shared" si="45"/>
        <v>2550</v>
      </c>
      <c r="M262" s="144">
        <f t="shared" si="46"/>
        <v>3570000</v>
      </c>
      <c r="N262" s="135" t="s">
        <v>1230</v>
      </c>
      <c r="O262" s="193"/>
      <c r="P262" s="145">
        <v>0</v>
      </c>
      <c r="Q262" s="143">
        <f t="shared" si="32"/>
        <v>2550</v>
      </c>
      <c r="R262" s="144">
        <f t="shared" si="33"/>
        <v>0</v>
      </c>
      <c r="S262" s="135" t="s">
        <v>146</v>
      </c>
      <c r="T262" s="193"/>
      <c r="U262" s="145">
        <f t="shared" si="48"/>
        <v>0</v>
      </c>
      <c r="V262" s="144">
        <f t="shared" si="49"/>
        <v>0</v>
      </c>
      <c r="W262" s="193"/>
      <c r="X262" s="147"/>
    </row>
    <row r="263" spans="2:24" x14ac:dyDescent="0.35">
      <c r="B263" s="137" t="s">
        <v>1109</v>
      </c>
      <c r="C263" s="147" t="s">
        <v>946</v>
      </c>
      <c r="D263" s="139" t="s">
        <v>1110</v>
      </c>
      <c r="E263" s="147" t="s">
        <v>114</v>
      </c>
      <c r="F263" s="147" t="s">
        <v>319</v>
      </c>
      <c r="G263" s="141">
        <v>4100</v>
      </c>
      <c r="H263" s="142">
        <v>2550</v>
      </c>
      <c r="I263" s="144">
        <f t="shared" si="47"/>
        <v>10455000</v>
      </c>
      <c r="J263" s="193"/>
      <c r="K263" s="141">
        <f t="shared" ref="K263:K269" si="50">G263</f>
        <v>4100</v>
      </c>
      <c r="L263" s="143">
        <f t="shared" si="45"/>
        <v>2550</v>
      </c>
      <c r="M263" s="144">
        <f t="shared" si="46"/>
        <v>10455000</v>
      </c>
      <c r="N263" s="135" t="s">
        <v>1362</v>
      </c>
      <c r="O263" s="193"/>
      <c r="P263" s="145">
        <v>0</v>
      </c>
      <c r="Q263" s="143">
        <f t="shared" ref="Q263:Q326" si="51">H263</f>
        <v>2550</v>
      </c>
      <c r="R263" s="144">
        <f t="shared" ref="R263:R326" si="52">P263*Q263</f>
        <v>0</v>
      </c>
      <c r="S263" s="135" t="s">
        <v>146</v>
      </c>
      <c r="T263" s="193"/>
      <c r="U263" s="145">
        <f t="shared" si="48"/>
        <v>0</v>
      </c>
      <c r="V263" s="144">
        <f t="shared" si="49"/>
        <v>0</v>
      </c>
      <c r="W263" s="193"/>
      <c r="X263" s="147"/>
    </row>
    <row r="264" spans="2:24" x14ac:dyDescent="0.35">
      <c r="B264" s="137" t="s">
        <v>1113</v>
      </c>
      <c r="C264" s="147" t="s">
        <v>154</v>
      </c>
      <c r="D264" s="139" t="s">
        <v>1116</v>
      </c>
      <c r="E264" s="147" t="s">
        <v>114</v>
      </c>
      <c r="F264" s="147" t="s">
        <v>319</v>
      </c>
      <c r="G264" s="141">
        <v>4100</v>
      </c>
      <c r="H264" s="142">
        <v>2550</v>
      </c>
      <c r="I264" s="144">
        <f t="shared" si="47"/>
        <v>10455000</v>
      </c>
      <c r="J264" s="193"/>
      <c r="K264" s="141">
        <f t="shared" si="50"/>
        <v>4100</v>
      </c>
      <c r="L264" s="143">
        <f t="shared" si="45"/>
        <v>2550</v>
      </c>
      <c r="M264" s="144">
        <f t="shared" si="46"/>
        <v>10455000</v>
      </c>
      <c r="N264" s="135" t="s">
        <v>1364</v>
      </c>
      <c r="O264" s="193"/>
      <c r="P264" s="145">
        <v>0</v>
      </c>
      <c r="Q264" s="143">
        <f t="shared" si="51"/>
        <v>2550</v>
      </c>
      <c r="R264" s="144">
        <f t="shared" si="52"/>
        <v>0</v>
      </c>
      <c r="S264" s="135" t="s">
        <v>146</v>
      </c>
      <c r="T264" s="193"/>
      <c r="U264" s="145">
        <f t="shared" si="48"/>
        <v>0</v>
      </c>
      <c r="V264" s="144">
        <f t="shared" si="49"/>
        <v>0</v>
      </c>
      <c r="W264" s="193"/>
      <c r="X264" s="147"/>
    </row>
    <row r="265" spans="2:24" x14ac:dyDescent="0.35">
      <c r="B265" s="137" t="s">
        <v>1114</v>
      </c>
      <c r="C265" s="147" t="s">
        <v>170</v>
      </c>
      <c r="D265" s="139" t="s">
        <v>1118</v>
      </c>
      <c r="E265" s="147" t="s">
        <v>114</v>
      </c>
      <c r="F265" s="147" t="s">
        <v>319</v>
      </c>
      <c r="G265" s="141">
        <v>4100</v>
      </c>
      <c r="H265" s="142">
        <v>2550</v>
      </c>
      <c r="I265" s="144">
        <f t="shared" si="47"/>
        <v>10455000</v>
      </c>
      <c r="J265" s="193"/>
      <c r="K265" s="141">
        <f t="shared" si="50"/>
        <v>4100</v>
      </c>
      <c r="L265" s="143">
        <f>H265</f>
        <v>2550</v>
      </c>
      <c r="M265" s="144">
        <f>K265*L265</f>
        <v>10455000</v>
      </c>
      <c r="N265" s="135" t="s">
        <v>1365</v>
      </c>
      <c r="O265" s="193"/>
      <c r="P265" s="145">
        <v>0</v>
      </c>
      <c r="Q265" s="143">
        <f t="shared" si="51"/>
        <v>2550</v>
      </c>
      <c r="R265" s="144">
        <f t="shared" si="52"/>
        <v>0</v>
      </c>
      <c r="S265" s="135" t="s">
        <v>146</v>
      </c>
      <c r="T265" s="193"/>
      <c r="U265" s="145">
        <f t="shared" si="48"/>
        <v>0</v>
      </c>
      <c r="V265" s="144">
        <f t="shared" si="49"/>
        <v>0</v>
      </c>
      <c r="W265" s="193"/>
      <c r="X265" s="147"/>
    </row>
    <row r="266" spans="2:24" x14ac:dyDescent="0.35">
      <c r="B266" s="137" t="s">
        <v>1115</v>
      </c>
      <c r="C266" s="147" t="s">
        <v>398</v>
      </c>
      <c r="D266" s="139" t="s">
        <v>1120</v>
      </c>
      <c r="E266" s="147" t="s">
        <v>114</v>
      </c>
      <c r="F266" s="147" t="s">
        <v>319</v>
      </c>
      <c r="G266" s="141">
        <v>4100</v>
      </c>
      <c r="H266" s="142">
        <v>2550</v>
      </c>
      <c r="I266" s="144">
        <f t="shared" si="47"/>
        <v>10455000</v>
      </c>
      <c r="J266" s="193"/>
      <c r="K266" s="141">
        <f t="shared" si="50"/>
        <v>4100</v>
      </c>
      <c r="L266" s="143">
        <f t="shared" ref="L266:L325" si="53">H266</f>
        <v>2550</v>
      </c>
      <c r="M266" s="144">
        <f t="shared" ref="M266:M325" si="54">K266*L266</f>
        <v>10455000</v>
      </c>
      <c r="N266" s="135" t="s">
        <v>1365</v>
      </c>
      <c r="O266" s="193"/>
      <c r="P266" s="145">
        <v>0</v>
      </c>
      <c r="Q266" s="143">
        <f t="shared" si="51"/>
        <v>2550</v>
      </c>
      <c r="R266" s="144">
        <f t="shared" si="52"/>
        <v>0</v>
      </c>
      <c r="S266" s="135" t="s">
        <v>146</v>
      </c>
      <c r="T266" s="193"/>
      <c r="U266" s="145">
        <f t="shared" si="48"/>
        <v>0</v>
      </c>
      <c r="V266" s="144">
        <f t="shared" si="49"/>
        <v>0</v>
      </c>
      <c r="W266" s="193"/>
      <c r="X266" s="147"/>
    </row>
    <row r="267" spans="2:24" x14ac:dyDescent="0.35">
      <c r="B267" s="137" t="s">
        <v>1123</v>
      </c>
      <c r="C267" s="147" t="s">
        <v>98</v>
      </c>
      <c r="D267" s="139" t="s">
        <v>1127</v>
      </c>
      <c r="E267" s="147" t="s">
        <v>114</v>
      </c>
      <c r="F267" s="147" t="s">
        <v>319</v>
      </c>
      <c r="G267" s="141">
        <v>4100</v>
      </c>
      <c r="H267" s="142">
        <v>2550</v>
      </c>
      <c r="I267" s="144">
        <f t="shared" si="47"/>
        <v>10455000</v>
      </c>
      <c r="J267" s="193"/>
      <c r="K267" s="141">
        <f t="shared" si="50"/>
        <v>4100</v>
      </c>
      <c r="L267" s="143">
        <f>H267</f>
        <v>2550</v>
      </c>
      <c r="M267" s="144">
        <f>K267*L267</f>
        <v>10455000</v>
      </c>
      <c r="N267" s="135" t="s">
        <v>1412</v>
      </c>
      <c r="O267" s="193"/>
      <c r="P267" s="145">
        <v>0</v>
      </c>
      <c r="Q267" s="143">
        <f t="shared" si="51"/>
        <v>2550</v>
      </c>
      <c r="R267" s="144">
        <f t="shared" si="52"/>
        <v>0</v>
      </c>
      <c r="S267" s="135" t="s">
        <v>146</v>
      </c>
      <c r="T267" s="193"/>
      <c r="U267" s="145">
        <f t="shared" si="48"/>
        <v>0</v>
      </c>
      <c r="V267" s="144">
        <f t="shared" si="49"/>
        <v>0</v>
      </c>
      <c r="W267" s="193"/>
      <c r="X267" s="147"/>
    </row>
    <row r="268" spans="2:24" x14ac:dyDescent="0.35">
      <c r="B268" s="137" t="s">
        <v>1126</v>
      </c>
      <c r="C268" s="147" t="s">
        <v>952</v>
      </c>
      <c r="D268" s="139" t="s">
        <v>1124</v>
      </c>
      <c r="E268" s="147" t="s">
        <v>114</v>
      </c>
      <c r="F268" s="147" t="s">
        <v>319</v>
      </c>
      <c r="G268" s="141">
        <v>4100</v>
      </c>
      <c r="H268" s="142">
        <v>2550</v>
      </c>
      <c r="I268" s="144">
        <f t="shared" si="47"/>
        <v>10455000</v>
      </c>
      <c r="J268" s="193"/>
      <c r="K268" s="141">
        <f t="shared" si="50"/>
        <v>4100</v>
      </c>
      <c r="L268" s="143">
        <f t="shared" si="53"/>
        <v>2550</v>
      </c>
      <c r="M268" s="144">
        <f t="shared" si="54"/>
        <v>10455000</v>
      </c>
      <c r="N268" s="135" t="s">
        <v>1412</v>
      </c>
      <c r="O268" s="193"/>
      <c r="P268" s="145">
        <v>0</v>
      </c>
      <c r="Q268" s="143">
        <f t="shared" si="51"/>
        <v>2550</v>
      </c>
      <c r="R268" s="144">
        <f t="shared" si="52"/>
        <v>0</v>
      </c>
      <c r="S268" s="135" t="s">
        <v>146</v>
      </c>
      <c r="T268" s="193"/>
      <c r="U268" s="145">
        <f t="shared" si="48"/>
        <v>0</v>
      </c>
      <c r="V268" s="144">
        <f t="shared" si="49"/>
        <v>0</v>
      </c>
      <c r="W268" s="193"/>
      <c r="X268" s="147"/>
    </row>
    <row r="269" spans="2:24" x14ac:dyDescent="0.35">
      <c r="B269" s="137" t="s">
        <v>1130</v>
      </c>
      <c r="C269" s="147" t="s">
        <v>230</v>
      </c>
      <c r="D269" s="139" t="s">
        <v>1131</v>
      </c>
      <c r="E269" s="147" t="s">
        <v>1133</v>
      </c>
      <c r="F269" s="147" t="s">
        <v>319</v>
      </c>
      <c r="G269" s="141">
        <v>4500</v>
      </c>
      <c r="H269" s="142">
        <v>2550</v>
      </c>
      <c r="I269" s="144">
        <f t="shared" si="47"/>
        <v>11475000</v>
      </c>
      <c r="J269" s="193"/>
      <c r="K269" s="141">
        <f t="shared" si="50"/>
        <v>4500</v>
      </c>
      <c r="L269" s="143">
        <f t="shared" si="53"/>
        <v>2550</v>
      </c>
      <c r="M269" s="144">
        <f t="shared" si="54"/>
        <v>11475000</v>
      </c>
      <c r="N269" s="135" t="s">
        <v>1363</v>
      </c>
      <c r="O269" s="193"/>
      <c r="P269" s="145">
        <v>0</v>
      </c>
      <c r="Q269" s="143">
        <f t="shared" si="51"/>
        <v>2550</v>
      </c>
      <c r="R269" s="144">
        <f t="shared" si="52"/>
        <v>0</v>
      </c>
      <c r="S269" s="135" t="s">
        <v>146</v>
      </c>
      <c r="T269" s="193"/>
      <c r="U269" s="145">
        <f t="shared" si="48"/>
        <v>0</v>
      </c>
      <c r="V269" s="144">
        <f t="shared" si="49"/>
        <v>0</v>
      </c>
      <c r="W269" s="193"/>
      <c r="X269" s="147"/>
    </row>
    <row r="270" spans="2:24" x14ac:dyDescent="0.35">
      <c r="B270" s="137" t="s">
        <v>1134</v>
      </c>
      <c r="C270" s="147" t="s">
        <v>1016</v>
      </c>
      <c r="D270" s="147" t="s">
        <v>213</v>
      </c>
      <c r="E270" s="147" t="s">
        <v>182</v>
      </c>
      <c r="F270" s="147" t="s">
        <v>106</v>
      </c>
      <c r="G270" s="141">
        <v>4200</v>
      </c>
      <c r="H270" s="142">
        <v>2550</v>
      </c>
      <c r="I270" s="144">
        <f t="shared" si="47"/>
        <v>10710000</v>
      </c>
      <c r="J270" s="193"/>
      <c r="K270" s="141">
        <v>2520</v>
      </c>
      <c r="L270" s="143">
        <f t="shared" si="53"/>
        <v>2550</v>
      </c>
      <c r="M270" s="144">
        <f t="shared" si="54"/>
        <v>6426000</v>
      </c>
      <c r="N270" s="135" t="s">
        <v>1164</v>
      </c>
      <c r="O270" s="193"/>
      <c r="P270" s="145">
        <v>1680</v>
      </c>
      <c r="Q270" s="143">
        <f t="shared" si="51"/>
        <v>2550</v>
      </c>
      <c r="R270" s="144">
        <f t="shared" si="52"/>
        <v>4284000</v>
      </c>
      <c r="S270" s="135" t="s">
        <v>1605</v>
      </c>
      <c r="T270" s="193"/>
      <c r="U270" s="145">
        <f t="shared" si="48"/>
        <v>0</v>
      </c>
      <c r="V270" s="144">
        <f t="shared" si="49"/>
        <v>0</v>
      </c>
      <c r="W270" s="193"/>
      <c r="X270" s="147"/>
    </row>
    <row r="271" spans="2:24" x14ac:dyDescent="0.35">
      <c r="B271" s="137" t="s">
        <v>1135</v>
      </c>
      <c r="C271" s="147" t="s">
        <v>701</v>
      </c>
      <c r="D271" s="147" t="s">
        <v>213</v>
      </c>
      <c r="E271" s="147" t="s">
        <v>182</v>
      </c>
      <c r="F271" s="147" t="s">
        <v>106</v>
      </c>
      <c r="G271" s="141">
        <v>4200</v>
      </c>
      <c r="H271" s="142">
        <v>2550</v>
      </c>
      <c r="I271" s="144">
        <f t="shared" si="47"/>
        <v>10710000</v>
      </c>
      <c r="J271" s="193"/>
      <c r="K271" s="141">
        <v>2520</v>
      </c>
      <c r="L271" s="143">
        <f>H271</f>
        <v>2550</v>
      </c>
      <c r="M271" s="144">
        <f>K271*L271</f>
        <v>6426000</v>
      </c>
      <c r="N271" s="135" t="s">
        <v>1164</v>
      </c>
      <c r="O271" s="193"/>
      <c r="P271" s="145">
        <v>1680</v>
      </c>
      <c r="Q271" s="143">
        <f t="shared" si="51"/>
        <v>2550</v>
      </c>
      <c r="R271" s="144">
        <f t="shared" si="52"/>
        <v>4284000</v>
      </c>
      <c r="S271" s="135" t="s">
        <v>1376</v>
      </c>
      <c r="T271" s="193"/>
      <c r="U271" s="145">
        <f t="shared" si="48"/>
        <v>0</v>
      </c>
      <c r="V271" s="144">
        <f t="shared" si="49"/>
        <v>0</v>
      </c>
      <c r="W271" s="193"/>
      <c r="X271" s="147"/>
    </row>
    <row r="272" spans="2:24" x14ac:dyDescent="0.35">
      <c r="B272" s="137" t="s">
        <v>1139</v>
      </c>
      <c r="C272" s="147" t="s">
        <v>809</v>
      </c>
      <c r="D272" s="147" t="s">
        <v>213</v>
      </c>
      <c r="E272" s="147" t="s">
        <v>182</v>
      </c>
      <c r="F272" s="147" t="s">
        <v>106</v>
      </c>
      <c r="G272" s="141">
        <v>4200</v>
      </c>
      <c r="H272" s="142">
        <v>2550</v>
      </c>
      <c r="I272" s="144">
        <f t="shared" si="47"/>
        <v>10710000</v>
      </c>
      <c r="J272" s="193"/>
      <c r="K272" s="141">
        <v>2520</v>
      </c>
      <c r="L272" s="143">
        <f t="shared" si="53"/>
        <v>2550</v>
      </c>
      <c r="M272" s="144">
        <f t="shared" si="54"/>
        <v>6426000</v>
      </c>
      <c r="N272" s="135" t="s">
        <v>1163</v>
      </c>
      <c r="O272" s="193"/>
      <c r="P272" s="145">
        <v>1680</v>
      </c>
      <c r="Q272" s="143">
        <f>H272</f>
        <v>2550</v>
      </c>
      <c r="R272" s="144">
        <f>P272*Q272</f>
        <v>4284000</v>
      </c>
      <c r="S272" s="135" t="s">
        <v>1376</v>
      </c>
      <c r="T272" s="193"/>
      <c r="U272" s="145">
        <f t="shared" si="48"/>
        <v>0</v>
      </c>
      <c r="V272" s="144">
        <f t="shared" si="49"/>
        <v>0</v>
      </c>
      <c r="W272" s="193"/>
      <c r="X272" s="147"/>
    </row>
    <row r="273" spans="2:24" x14ac:dyDescent="0.35">
      <c r="B273" s="137" t="s">
        <v>1141</v>
      </c>
      <c r="C273" s="147" t="s">
        <v>164</v>
      </c>
      <c r="D273" s="147" t="s">
        <v>213</v>
      </c>
      <c r="E273" s="147" t="s">
        <v>182</v>
      </c>
      <c r="F273" s="147" t="s">
        <v>106</v>
      </c>
      <c r="G273" s="141">
        <v>4200</v>
      </c>
      <c r="H273" s="142">
        <v>2550</v>
      </c>
      <c r="I273" s="144">
        <f t="shared" si="47"/>
        <v>10710000</v>
      </c>
      <c r="J273" s="193"/>
      <c r="K273" s="141">
        <v>2520</v>
      </c>
      <c r="L273" s="143">
        <f>H273</f>
        <v>2550</v>
      </c>
      <c r="M273" s="144">
        <f>K273*L273</f>
        <v>6426000</v>
      </c>
      <c r="N273" s="135" t="s">
        <v>1164</v>
      </c>
      <c r="O273" s="193"/>
      <c r="P273" s="145">
        <v>1680</v>
      </c>
      <c r="Q273" s="143">
        <f>H273</f>
        <v>2550</v>
      </c>
      <c r="R273" s="144">
        <f>P273*Q273</f>
        <v>4284000</v>
      </c>
      <c r="S273" s="135" t="s">
        <v>1376</v>
      </c>
      <c r="T273" s="193"/>
      <c r="U273" s="145">
        <f t="shared" si="48"/>
        <v>0</v>
      </c>
      <c r="V273" s="144">
        <f t="shared" si="49"/>
        <v>0</v>
      </c>
      <c r="W273" s="193"/>
      <c r="X273" s="147"/>
    </row>
    <row r="274" spans="2:24" x14ac:dyDescent="0.35">
      <c r="B274" s="137" t="s">
        <v>1143</v>
      </c>
      <c r="C274" s="147" t="s">
        <v>160</v>
      </c>
      <c r="D274" s="147" t="s">
        <v>213</v>
      </c>
      <c r="E274" s="147" t="s">
        <v>182</v>
      </c>
      <c r="F274" s="147" t="s">
        <v>106</v>
      </c>
      <c r="G274" s="141">
        <v>4200</v>
      </c>
      <c r="H274" s="142">
        <v>2550</v>
      </c>
      <c r="I274" s="144">
        <f t="shared" si="47"/>
        <v>10710000</v>
      </c>
      <c r="J274" s="193"/>
      <c r="K274" s="141">
        <v>2520</v>
      </c>
      <c r="L274" s="143">
        <f>H274</f>
        <v>2550</v>
      </c>
      <c r="M274" s="144">
        <f>K274*L274</f>
        <v>6426000</v>
      </c>
      <c r="N274" s="135" t="s">
        <v>1163</v>
      </c>
      <c r="O274" s="193"/>
      <c r="P274" s="145">
        <v>1680</v>
      </c>
      <c r="Q274" s="143">
        <f>H274</f>
        <v>2550</v>
      </c>
      <c r="R274" s="144">
        <f>P274*Q274</f>
        <v>4284000</v>
      </c>
      <c r="S274" s="135" t="s">
        <v>1376</v>
      </c>
      <c r="T274" s="193"/>
      <c r="U274" s="145">
        <f t="shared" si="48"/>
        <v>0</v>
      </c>
      <c r="V274" s="144">
        <f t="shared" si="49"/>
        <v>0</v>
      </c>
      <c r="W274" s="193"/>
      <c r="X274" s="147"/>
    </row>
    <row r="275" spans="2:24" x14ac:dyDescent="0.35">
      <c r="B275" s="137" t="s">
        <v>1146</v>
      </c>
      <c r="C275" s="147" t="s">
        <v>668</v>
      </c>
      <c r="D275" s="147" t="s">
        <v>213</v>
      </c>
      <c r="E275" s="147" t="s">
        <v>182</v>
      </c>
      <c r="F275" s="147" t="s">
        <v>106</v>
      </c>
      <c r="G275" s="141">
        <v>4200</v>
      </c>
      <c r="H275" s="142">
        <v>2550</v>
      </c>
      <c r="I275" s="144">
        <f t="shared" si="47"/>
        <v>10710000</v>
      </c>
      <c r="J275" s="193"/>
      <c r="K275" s="141">
        <v>2520</v>
      </c>
      <c r="L275" s="143">
        <f>H275</f>
        <v>2550</v>
      </c>
      <c r="M275" s="144">
        <f>K275*L275</f>
        <v>6426000</v>
      </c>
      <c r="N275" s="135" t="s">
        <v>1163</v>
      </c>
      <c r="O275" s="193"/>
      <c r="P275" s="145">
        <v>1680</v>
      </c>
      <c r="Q275" s="143">
        <f t="shared" si="51"/>
        <v>2550</v>
      </c>
      <c r="R275" s="144">
        <f t="shared" si="52"/>
        <v>4284000</v>
      </c>
      <c r="S275" s="135" t="s">
        <v>1387</v>
      </c>
      <c r="T275" s="193"/>
      <c r="U275" s="145">
        <f t="shared" si="48"/>
        <v>0</v>
      </c>
      <c r="V275" s="144">
        <f t="shared" si="49"/>
        <v>0</v>
      </c>
      <c r="W275" s="193"/>
      <c r="X275" s="147"/>
    </row>
    <row r="276" spans="2:24" x14ac:dyDescent="0.35">
      <c r="B276" s="137" t="s">
        <v>1149</v>
      </c>
      <c r="C276" s="147" t="s">
        <v>331</v>
      </c>
      <c r="D276" s="147" t="s">
        <v>957</v>
      </c>
      <c r="E276" s="147" t="s">
        <v>248</v>
      </c>
      <c r="F276" s="147" t="s">
        <v>106</v>
      </c>
      <c r="G276" s="141">
        <v>1450</v>
      </c>
      <c r="H276" s="142">
        <v>2550</v>
      </c>
      <c r="I276" s="144">
        <f t="shared" si="47"/>
        <v>3697500</v>
      </c>
      <c r="J276" s="193"/>
      <c r="K276" s="141">
        <f>G276</f>
        <v>1450</v>
      </c>
      <c r="L276" s="143">
        <f t="shared" si="53"/>
        <v>2550</v>
      </c>
      <c r="M276" s="144">
        <f t="shared" si="54"/>
        <v>3697500</v>
      </c>
      <c r="N276" s="135" t="s">
        <v>1373</v>
      </c>
      <c r="O276" s="193"/>
      <c r="P276" s="145">
        <v>0</v>
      </c>
      <c r="Q276" s="143">
        <f t="shared" si="51"/>
        <v>2550</v>
      </c>
      <c r="R276" s="144">
        <f t="shared" si="52"/>
        <v>0</v>
      </c>
      <c r="S276" s="135" t="s">
        <v>146</v>
      </c>
      <c r="T276" s="193"/>
      <c r="U276" s="145">
        <f t="shared" si="48"/>
        <v>0</v>
      </c>
      <c r="V276" s="144">
        <f t="shared" si="49"/>
        <v>0</v>
      </c>
      <c r="W276" s="193"/>
      <c r="X276" s="147"/>
    </row>
    <row r="277" spans="2:24" x14ac:dyDescent="0.35">
      <c r="B277" s="137" t="s">
        <v>1151</v>
      </c>
      <c r="C277" s="147" t="s">
        <v>809</v>
      </c>
      <c r="D277" s="147" t="s">
        <v>213</v>
      </c>
      <c r="E277" s="147" t="s">
        <v>248</v>
      </c>
      <c r="F277" s="147" t="s">
        <v>106</v>
      </c>
      <c r="G277" s="141">
        <v>1864</v>
      </c>
      <c r="H277" s="142">
        <v>2550</v>
      </c>
      <c r="I277" s="144">
        <f t="shared" si="47"/>
        <v>4753200</v>
      </c>
      <c r="J277" s="193"/>
      <c r="K277" s="141">
        <f>G277</f>
        <v>1864</v>
      </c>
      <c r="L277" s="143">
        <f t="shared" si="53"/>
        <v>2550</v>
      </c>
      <c r="M277" s="144">
        <f t="shared" si="54"/>
        <v>4753200</v>
      </c>
      <c r="N277" s="135" t="s">
        <v>1374</v>
      </c>
      <c r="O277" s="193"/>
      <c r="P277" s="145">
        <v>0</v>
      </c>
      <c r="Q277" s="143">
        <f t="shared" si="51"/>
        <v>2550</v>
      </c>
      <c r="R277" s="144">
        <f t="shared" si="52"/>
        <v>0</v>
      </c>
      <c r="S277" s="135" t="s">
        <v>146</v>
      </c>
      <c r="T277" s="193"/>
      <c r="U277" s="145">
        <f t="shared" si="48"/>
        <v>0</v>
      </c>
      <c r="V277" s="144">
        <f t="shared" si="49"/>
        <v>0</v>
      </c>
      <c r="W277" s="193"/>
      <c r="X277" s="147"/>
    </row>
    <row r="278" spans="2:24" x14ac:dyDescent="0.35">
      <c r="B278" s="137" t="s">
        <v>1152</v>
      </c>
      <c r="C278" s="147" t="s">
        <v>194</v>
      </c>
      <c r="D278" s="139" t="s">
        <v>1153</v>
      </c>
      <c r="E278" s="147" t="s">
        <v>114</v>
      </c>
      <c r="F278" s="147" t="s">
        <v>106</v>
      </c>
      <c r="G278" s="141">
        <v>4200</v>
      </c>
      <c r="H278" s="142">
        <v>2550</v>
      </c>
      <c r="I278" s="144">
        <f t="shared" si="47"/>
        <v>10710000</v>
      </c>
      <c r="J278" s="193"/>
      <c r="K278" s="141">
        <v>2520</v>
      </c>
      <c r="L278" s="143">
        <f t="shared" si="53"/>
        <v>2550</v>
      </c>
      <c r="M278" s="144">
        <f t="shared" si="54"/>
        <v>6426000</v>
      </c>
      <c r="N278" s="135" t="s">
        <v>1366</v>
      </c>
      <c r="O278" s="193"/>
      <c r="P278" s="145">
        <v>1385.06</v>
      </c>
      <c r="Q278" s="143">
        <f t="shared" si="51"/>
        <v>2550</v>
      </c>
      <c r="R278" s="144">
        <f t="shared" si="52"/>
        <v>3531903</v>
      </c>
      <c r="S278" s="135" t="s">
        <v>1611</v>
      </c>
      <c r="T278" s="193"/>
      <c r="U278" s="145">
        <f t="shared" si="48"/>
        <v>294.94000000000005</v>
      </c>
      <c r="V278" s="144">
        <f t="shared" si="49"/>
        <v>752097</v>
      </c>
      <c r="W278" s="193"/>
      <c r="X278" s="147"/>
    </row>
    <row r="279" spans="2:24" x14ac:dyDescent="0.35">
      <c r="B279" s="137" t="s">
        <v>1157</v>
      </c>
      <c r="C279" s="147" t="s">
        <v>999</v>
      </c>
      <c r="D279" s="139" t="s">
        <v>1000</v>
      </c>
      <c r="E279" s="147" t="s">
        <v>248</v>
      </c>
      <c r="F279" s="147" t="s">
        <v>106</v>
      </c>
      <c r="G279" s="141">
        <v>1938</v>
      </c>
      <c r="H279" s="142">
        <v>2550</v>
      </c>
      <c r="I279" s="144">
        <f t="shared" si="47"/>
        <v>4941900</v>
      </c>
      <c r="J279" s="193"/>
      <c r="K279" s="141">
        <f t="shared" ref="K279:K285" si="55">G279</f>
        <v>1938</v>
      </c>
      <c r="L279" s="143">
        <f>H279</f>
        <v>2550</v>
      </c>
      <c r="M279" s="144">
        <f>K279*L279</f>
        <v>4941900</v>
      </c>
      <c r="N279" s="135" t="s">
        <v>1373</v>
      </c>
      <c r="O279" s="193"/>
      <c r="P279" s="145">
        <v>0</v>
      </c>
      <c r="Q279" s="143">
        <f t="shared" si="51"/>
        <v>2550</v>
      </c>
      <c r="R279" s="144">
        <f t="shared" si="52"/>
        <v>0</v>
      </c>
      <c r="S279" s="135" t="s">
        <v>146</v>
      </c>
      <c r="T279" s="193"/>
      <c r="U279" s="145">
        <f t="shared" si="48"/>
        <v>0</v>
      </c>
      <c r="V279" s="144">
        <f t="shared" si="49"/>
        <v>0</v>
      </c>
      <c r="W279" s="193"/>
      <c r="X279" s="147"/>
    </row>
    <row r="280" spans="2:24" x14ac:dyDescent="0.35">
      <c r="B280" s="137" t="s">
        <v>1158</v>
      </c>
      <c r="C280" s="147" t="s">
        <v>994</v>
      </c>
      <c r="D280" s="139" t="s">
        <v>997</v>
      </c>
      <c r="E280" s="147" t="s">
        <v>248</v>
      </c>
      <c r="F280" s="147" t="s">
        <v>106</v>
      </c>
      <c r="G280" s="141">
        <v>1760</v>
      </c>
      <c r="H280" s="142">
        <v>2550</v>
      </c>
      <c r="I280" s="144">
        <f t="shared" si="47"/>
        <v>4488000</v>
      </c>
      <c r="J280" s="193"/>
      <c r="K280" s="141">
        <f t="shared" si="55"/>
        <v>1760</v>
      </c>
      <c r="L280" s="143">
        <f>H280</f>
        <v>2550</v>
      </c>
      <c r="M280" s="144">
        <f>K280*L280</f>
        <v>4488000</v>
      </c>
      <c r="N280" s="135" t="s">
        <v>1373</v>
      </c>
      <c r="O280" s="193"/>
      <c r="P280" s="145">
        <v>0</v>
      </c>
      <c r="Q280" s="143">
        <f t="shared" si="51"/>
        <v>2550</v>
      </c>
      <c r="R280" s="144">
        <f t="shared" si="52"/>
        <v>0</v>
      </c>
      <c r="S280" s="135" t="s">
        <v>146</v>
      </c>
      <c r="T280" s="193"/>
      <c r="U280" s="145">
        <f t="shared" si="48"/>
        <v>0</v>
      </c>
      <c r="V280" s="144">
        <f t="shared" si="49"/>
        <v>0</v>
      </c>
      <c r="W280" s="193"/>
      <c r="X280" s="147"/>
    </row>
    <row r="281" spans="2:24" x14ac:dyDescent="0.35">
      <c r="B281" s="137" t="s">
        <v>1159</v>
      </c>
      <c r="C281" s="147" t="s">
        <v>331</v>
      </c>
      <c r="D281" s="147" t="s">
        <v>1160</v>
      </c>
      <c r="E281" s="147" t="s">
        <v>114</v>
      </c>
      <c r="F281" s="147" t="s">
        <v>319</v>
      </c>
      <c r="G281" s="141">
        <v>4100</v>
      </c>
      <c r="H281" s="142">
        <v>2550</v>
      </c>
      <c r="I281" s="144">
        <f t="shared" si="47"/>
        <v>10455000</v>
      </c>
      <c r="J281" s="193"/>
      <c r="K281" s="141">
        <f t="shared" si="55"/>
        <v>4100</v>
      </c>
      <c r="L281" s="143">
        <f t="shared" si="53"/>
        <v>2550</v>
      </c>
      <c r="M281" s="144">
        <f t="shared" si="54"/>
        <v>10455000</v>
      </c>
      <c r="N281" s="135" t="s">
        <v>1364</v>
      </c>
      <c r="O281" s="193"/>
      <c r="P281" s="145">
        <v>0</v>
      </c>
      <c r="Q281" s="143">
        <f t="shared" si="51"/>
        <v>2550</v>
      </c>
      <c r="R281" s="144">
        <f t="shared" si="52"/>
        <v>0</v>
      </c>
      <c r="S281" s="135" t="s">
        <v>146</v>
      </c>
      <c r="T281" s="193"/>
      <c r="U281" s="145">
        <f t="shared" si="48"/>
        <v>0</v>
      </c>
      <c r="V281" s="144">
        <f t="shared" si="49"/>
        <v>0</v>
      </c>
      <c r="W281" s="193"/>
      <c r="X281" s="147"/>
    </row>
    <row r="282" spans="2:24" x14ac:dyDescent="0.35">
      <c r="B282" s="137" t="s">
        <v>1171</v>
      </c>
      <c r="C282" s="147" t="s">
        <v>994</v>
      </c>
      <c r="D282" s="139" t="s">
        <v>1172</v>
      </c>
      <c r="E282" s="147" t="s">
        <v>182</v>
      </c>
      <c r="F282" s="147" t="s">
        <v>319</v>
      </c>
      <c r="G282" s="141">
        <v>4100</v>
      </c>
      <c r="H282" s="142">
        <v>2550</v>
      </c>
      <c r="I282" s="144">
        <f t="shared" si="47"/>
        <v>10455000</v>
      </c>
      <c r="J282" s="193"/>
      <c r="K282" s="141">
        <f t="shared" si="55"/>
        <v>4100</v>
      </c>
      <c r="L282" s="143">
        <f>H282</f>
        <v>2550</v>
      </c>
      <c r="M282" s="144">
        <f>K282*L282</f>
        <v>10455000</v>
      </c>
      <c r="N282" s="135" t="s">
        <v>1363</v>
      </c>
      <c r="O282" s="193"/>
      <c r="P282" s="145">
        <v>0</v>
      </c>
      <c r="Q282" s="143">
        <f t="shared" si="51"/>
        <v>2550</v>
      </c>
      <c r="R282" s="144">
        <f t="shared" si="52"/>
        <v>0</v>
      </c>
      <c r="S282" s="135" t="s">
        <v>146</v>
      </c>
      <c r="T282" s="193"/>
      <c r="U282" s="145">
        <f t="shared" si="48"/>
        <v>0</v>
      </c>
      <c r="V282" s="144">
        <f t="shared" si="49"/>
        <v>0</v>
      </c>
      <c r="W282" s="193"/>
      <c r="X282" s="147"/>
    </row>
    <row r="283" spans="2:24" x14ac:dyDescent="0.35">
      <c r="B283" s="137" t="s">
        <v>1175</v>
      </c>
      <c r="C283" s="147" t="s">
        <v>981</v>
      </c>
      <c r="D283" s="147" t="s">
        <v>982</v>
      </c>
      <c r="E283" s="147" t="s">
        <v>248</v>
      </c>
      <c r="F283" s="147" t="s">
        <v>106</v>
      </c>
      <c r="G283" s="141">
        <v>1935</v>
      </c>
      <c r="H283" s="142">
        <v>2550</v>
      </c>
      <c r="I283" s="144">
        <f t="shared" si="47"/>
        <v>4934250</v>
      </c>
      <c r="J283" s="193"/>
      <c r="K283" s="141">
        <f t="shared" si="55"/>
        <v>1935</v>
      </c>
      <c r="L283" s="143">
        <f>H283</f>
        <v>2550</v>
      </c>
      <c r="M283" s="144">
        <f>K283*L283</f>
        <v>4934250</v>
      </c>
      <c r="N283" s="135" t="s">
        <v>1374</v>
      </c>
      <c r="O283" s="193"/>
      <c r="P283" s="145">
        <v>0</v>
      </c>
      <c r="Q283" s="143">
        <f t="shared" si="51"/>
        <v>2550</v>
      </c>
      <c r="R283" s="144">
        <f t="shared" si="52"/>
        <v>0</v>
      </c>
      <c r="S283" s="135" t="s">
        <v>146</v>
      </c>
      <c r="T283" s="193"/>
      <c r="U283" s="145">
        <f t="shared" si="48"/>
        <v>0</v>
      </c>
      <c r="V283" s="144">
        <f t="shared" si="49"/>
        <v>0</v>
      </c>
      <c r="W283" s="193"/>
      <c r="X283" s="147"/>
    </row>
    <row r="284" spans="2:24" x14ac:dyDescent="0.35">
      <c r="B284" s="137" t="s">
        <v>1176</v>
      </c>
      <c r="C284" s="147" t="s">
        <v>796</v>
      </c>
      <c r="D284" s="147" t="s">
        <v>213</v>
      </c>
      <c r="E284" s="147" t="s">
        <v>248</v>
      </c>
      <c r="F284" s="147" t="s">
        <v>106</v>
      </c>
      <c r="G284" s="141">
        <v>1942</v>
      </c>
      <c r="H284" s="142">
        <v>2550</v>
      </c>
      <c r="I284" s="144">
        <f t="shared" si="47"/>
        <v>4952100</v>
      </c>
      <c r="J284" s="193"/>
      <c r="K284" s="141">
        <f t="shared" si="55"/>
        <v>1942</v>
      </c>
      <c r="L284" s="143">
        <f>H284</f>
        <v>2550</v>
      </c>
      <c r="M284" s="144">
        <f>K284*L284</f>
        <v>4952100</v>
      </c>
      <c r="N284" s="135" t="s">
        <v>1374</v>
      </c>
      <c r="O284" s="193"/>
      <c r="P284" s="145">
        <v>0</v>
      </c>
      <c r="Q284" s="143">
        <f t="shared" si="51"/>
        <v>2550</v>
      </c>
      <c r="R284" s="144">
        <f t="shared" si="52"/>
        <v>0</v>
      </c>
      <c r="S284" s="135" t="s">
        <v>146</v>
      </c>
      <c r="T284" s="193"/>
      <c r="U284" s="145">
        <f t="shared" si="48"/>
        <v>0</v>
      </c>
      <c r="V284" s="144">
        <f t="shared" si="49"/>
        <v>0</v>
      </c>
      <c r="W284" s="193"/>
      <c r="X284" s="147"/>
    </row>
    <row r="285" spans="2:24" x14ac:dyDescent="0.35">
      <c r="B285" s="137" t="s">
        <v>1177</v>
      </c>
      <c r="C285" s="147" t="s">
        <v>736</v>
      </c>
      <c r="D285" s="147" t="s">
        <v>213</v>
      </c>
      <c r="E285" s="147" t="s">
        <v>248</v>
      </c>
      <c r="F285" s="147" t="s">
        <v>106</v>
      </c>
      <c r="G285" s="141">
        <v>1984</v>
      </c>
      <c r="H285" s="142">
        <v>2550</v>
      </c>
      <c r="I285" s="144">
        <f t="shared" si="47"/>
        <v>5059200</v>
      </c>
      <c r="J285" s="193"/>
      <c r="K285" s="141">
        <f t="shared" si="55"/>
        <v>1984</v>
      </c>
      <c r="L285" s="143">
        <f>H285</f>
        <v>2550</v>
      </c>
      <c r="M285" s="144">
        <f>K285*L285</f>
        <v>5059200</v>
      </c>
      <c r="N285" s="135" t="s">
        <v>1374</v>
      </c>
      <c r="O285" s="193"/>
      <c r="P285" s="145">
        <v>0</v>
      </c>
      <c r="Q285" s="143">
        <f t="shared" si="51"/>
        <v>2550</v>
      </c>
      <c r="R285" s="144">
        <f t="shared" si="52"/>
        <v>0</v>
      </c>
      <c r="S285" s="135" t="s">
        <v>146</v>
      </c>
      <c r="T285" s="193"/>
      <c r="U285" s="145">
        <f t="shared" si="48"/>
        <v>0</v>
      </c>
      <c r="V285" s="144">
        <f t="shared" si="49"/>
        <v>0</v>
      </c>
      <c r="W285" s="193"/>
      <c r="X285" s="147"/>
    </row>
    <row r="286" spans="2:24" x14ac:dyDescent="0.35">
      <c r="B286" s="137" t="s">
        <v>1178</v>
      </c>
      <c r="C286" s="147" t="s">
        <v>202</v>
      </c>
      <c r="D286" s="147" t="s">
        <v>1181</v>
      </c>
      <c r="E286" s="147" t="s">
        <v>206</v>
      </c>
      <c r="F286" s="147" t="s">
        <v>319</v>
      </c>
      <c r="G286" s="141">
        <v>4100</v>
      </c>
      <c r="H286" s="142">
        <v>2550</v>
      </c>
      <c r="I286" s="144">
        <f t="shared" si="47"/>
        <v>10455000</v>
      </c>
      <c r="J286" s="193"/>
      <c r="K286" s="141">
        <v>4100</v>
      </c>
      <c r="L286" s="143">
        <f t="shared" si="53"/>
        <v>2550</v>
      </c>
      <c r="M286" s="144">
        <f t="shared" si="54"/>
        <v>10455000</v>
      </c>
      <c r="N286" s="135" t="s">
        <v>1464</v>
      </c>
      <c r="O286" s="193"/>
      <c r="P286" s="145">
        <v>0</v>
      </c>
      <c r="Q286" s="143">
        <f t="shared" si="51"/>
        <v>2550</v>
      </c>
      <c r="R286" s="144">
        <f t="shared" si="52"/>
        <v>0</v>
      </c>
      <c r="S286" s="135" t="s">
        <v>146</v>
      </c>
      <c r="T286" s="193"/>
      <c r="U286" s="145">
        <f t="shared" si="48"/>
        <v>0</v>
      </c>
      <c r="V286" s="144">
        <f t="shared" si="49"/>
        <v>0</v>
      </c>
      <c r="W286" s="193"/>
      <c r="X286" s="147"/>
    </row>
    <row r="287" spans="2:24" x14ac:dyDescent="0.35">
      <c r="B287" s="137" t="s">
        <v>1182</v>
      </c>
      <c r="C287" s="147" t="s">
        <v>999</v>
      </c>
      <c r="D287" s="147" t="s">
        <v>1183</v>
      </c>
      <c r="E287" s="147" t="s">
        <v>206</v>
      </c>
      <c r="F287" s="147" t="s">
        <v>106</v>
      </c>
      <c r="G287" s="141">
        <v>4200</v>
      </c>
      <c r="H287" s="142">
        <v>2550</v>
      </c>
      <c r="I287" s="144">
        <f t="shared" si="47"/>
        <v>10710000</v>
      </c>
      <c r="J287" s="193"/>
      <c r="K287" s="141">
        <v>2520</v>
      </c>
      <c r="L287" s="143">
        <f t="shared" si="53"/>
        <v>2550</v>
      </c>
      <c r="M287" s="144">
        <f t="shared" si="54"/>
        <v>6426000</v>
      </c>
      <c r="N287" s="135" t="s">
        <v>1206</v>
      </c>
      <c r="O287" s="193"/>
      <c r="P287" s="145">
        <v>1680</v>
      </c>
      <c r="Q287" s="143">
        <f t="shared" si="51"/>
        <v>2550</v>
      </c>
      <c r="R287" s="144">
        <f t="shared" si="52"/>
        <v>4284000</v>
      </c>
      <c r="S287" s="135" t="s">
        <v>1611</v>
      </c>
      <c r="T287" s="193"/>
      <c r="U287" s="145">
        <f t="shared" si="48"/>
        <v>0</v>
      </c>
      <c r="V287" s="144">
        <f t="shared" si="49"/>
        <v>0</v>
      </c>
      <c r="W287" s="193"/>
      <c r="X287" s="147"/>
    </row>
    <row r="288" spans="2:24" x14ac:dyDescent="0.35">
      <c r="B288" s="137" t="s">
        <v>1185</v>
      </c>
      <c r="C288" s="147" t="s">
        <v>981</v>
      </c>
      <c r="D288" s="139" t="s">
        <v>1191</v>
      </c>
      <c r="E288" s="147" t="s">
        <v>415</v>
      </c>
      <c r="F288" s="147" t="s">
        <v>106</v>
      </c>
      <c r="G288" s="141">
        <v>4500</v>
      </c>
      <c r="H288" s="142">
        <v>2550</v>
      </c>
      <c r="I288" s="144">
        <f t="shared" si="47"/>
        <v>11475000</v>
      </c>
      <c r="J288" s="193"/>
      <c r="K288" s="141">
        <v>2700</v>
      </c>
      <c r="L288" s="143">
        <f t="shared" si="53"/>
        <v>2550</v>
      </c>
      <c r="M288" s="144">
        <f t="shared" si="54"/>
        <v>6885000</v>
      </c>
      <c r="N288" s="135" t="s">
        <v>1206</v>
      </c>
      <c r="O288" s="193"/>
      <c r="P288" s="145">
        <v>1800</v>
      </c>
      <c r="Q288" s="143">
        <f t="shared" si="51"/>
        <v>2550</v>
      </c>
      <c r="R288" s="144">
        <f t="shared" si="52"/>
        <v>4590000</v>
      </c>
      <c r="S288" s="135" t="s">
        <v>1561</v>
      </c>
      <c r="T288" s="193"/>
      <c r="U288" s="145">
        <f t="shared" si="48"/>
        <v>0</v>
      </c>
      <c r="V288" s="144">
        <f t="shared" si="49"/>
        <v>0</v>
      </c>
      <c r="W288" s="193"/>
      <c r="X288" s="147"/>
    </row>
    <row r="289" spans="2:24" x14ac:dyDescent="0.35">
      <c r="B289" s="137" t="s">
        <v>1186</v>
      </c>
      <c r="C289" s="147" t="s">
        <v>736</v>
      </c>
      <c r="D289" s="147" t="s">
        <v>213</v>
      </c>
      <c r="E289" s="147" t="s">
        <v>383</v>
      </c>
      <c r="F289" s="147" t="s">
        <v>106</v>
      </c>
      <c r="G289" s="141">
        <v>4500</v>
      </c>
      <c r="H289" s="142">
        <v>2550</v>
      </c>
      <c r="I289" s="144">
        <f t="shared" si="47"/>
        <v>11475000</v>
      </c>
      <c r="J289" s="193"/>
      <c r="K289" s="141">
        <v>2700</v>
      </c>
      <c r="L289" s="143">
        <f t="shared" si="53"/>
        <v>2550</v>
      </c>
      <c r="M289" s="144">
        <f t="shared" si="54"/>
        <v>6885000</v>
      </c>
      <c r="N289" s="135" t="s">
        <v>1206</v>
      </c>
      <c r="O289" s="193"/>
      <c r="P289" s="145">
        <v>1800</v>
      </c>
      <c r="Q289" s="143">
        <f t="shared" ref="Q289" si="56">H289</f>
        <v>2550</v>
      </c>
      <c r="R289" s="144">
        <f t="shared" ref="R289" si="57">P289*Q289</f>
        <v>4590000</v>
      </c>
      <c r="S289" s="135" t="s">
        <v>1561</v>
      </c>
      <c r="T289" s="193"/>
      <c r="U289" s="145">
        <f t="shared" si="48"/>
        <v>0</v>
      </c>
      <c r="V289" s="144">
        <f t="shared" si="49"/>
        <v>0</v>
      </c>
      <c r="W289" s="193"/>
      <c r="X289" s="147"/>
    </row>
    <row r="290" spans="2:24" x14ac:dyDescent="0.35">
      <c r="B290" s="137" t="s">
        <v>1189</v>
      </c>
      <c r="C290" s="147" t="s">
        <v>971</v>
      </c>
      <c r="D290" s="147" t="s">
        <v>972</v>
      </c>
      <c r="E290" s="147" t="s">
        <v>248</v>
      </c>
      <c r="F290" s="147" t="s">
        <v>106</v>
      </c>
      <c r="G290" s="141">
        <v>1933</v>
      </c>
      <c r="H290" s="142">
        <v>2550</v>
      </c>
      <c r="I290" s="144">
        <f t="shared" si="47"/>
        <v>4929150</v>
      </c>
      <c r="J290" s="193"/>
      <c r="K290" s="141">
        <f>G290</f>
        <v>1933</v>
      </c>
      <c r="L290" s="143">
        <f t="shared" si="53"/>
        <v>2550</v>
      </c>
      <c r="M290" s="144">
        <f t="shared" si="54"/>
        <v>4929150</v>
      </c>
      <c r="N290" s="135" t="s">
        <v>1374</v>
      </c>
      <c r="O290" s="193"/>
      <c r="P290" s="145">
        <v>0</v>
      </c>
      <c r="Q290" s="143">
        <f t="shared" si="51"/>
        <v>2550</v>
      </c>
      <c r="R290" s="144">
        <f t="shared" si="52"/>
        <v>0</v>
      </c>
      <c r="S290" s="135" t="s">
        <v>146</v>
      </c>
      <c r="T290" s="193"/>
      <c r="U290" s="145">
        <f t="shared" si="48"/>
        <v>0</v>
      </c>
      <c r="V290" s="144">
        <f t="shared" si="49"/>
        <v>0</v>
      </c>
      <c r="W290" s="193"/>
      <c r="X290" s="147"/>
    </row>
    <row r="291" spans="2:24" x14ac:dyDescent="0.35">
      <c r="B291" s="137" t="s">
        <v>1190</v>
      </c>
      <c r="C291" s="147" t="s">
        <v>189</v>
      </c>
      <c r="D291" s="139" t="s">
        <v>1192</v>
      </c>
      <c r="E291" s="147" t="s">
        <v>415</v>
      </c>
      <c r="F291" s="147" t="s">
        <v>106</v>
      </c>
      <c r="G291" s="141">
        <v>4500</v>
      </c>
      <c r="H291" s="142">
        <v>2550</v>
      </c>
      <c r="I291" s="144">
        <f t="shared" si="47"/>
        <v>11475000</v>
      </c>
      <c r="J291" s="193"/>
      <c r="K291" s="141">
        <v>2700</v>
      </c>
      <c r="L291" s="143">
        <f t="shared" si="53"/>
        <v>2550</v>
      </c>
      <c r="M291" s="144">
        <f t="shared" si="54"/>
        <v>6885000</v>
      </c>
      <c r="N291" s="135" t="s">
        <v>1341</v>
      </c>
      <c r="O291" s="193"/>
      <c r="P291" s="145">
        <v>1800</v>
      </c>
      <c r="Q291" s="143">
        <f t="shared" ref="Q291:Q292" si="58">H291</f>
        <v>2550</v>
      </c>
      <c r="R291" s="144">
        <f t="shared" ref="R291:R292" si="59">P291*Q291</f>
        <v>4590000</v>
      </c>
      <c r="S291" s="135" t="s">
        <v>1561</v>
      </c>
      <c r="T291" s="193"/>
      <c r="U291" s="145">
        <f t="shared" si="48"/>
        <v>0</v>
      </c>
      <c r="V291" s="144">
        <f t="shared" si="49"/>
        <v>0</v>
      </c>
      <c r="W291" s="193"/>
      <c r="X291" s="147"/>
    </row>
    <row r="292" spans="2:24" x14ac:dyDescent="0.35">
      <c r="B292" s="137" t="s">
        <v>1194</v>
      </c>
      <c r="C292" s="147" t="s">
        <v>180</v>
      </c>
      <c r="D292" s="139" t="s">
        <v>1195</v>
      </c>
      <c r="E292" s="147" t="s">
        <v>206</v>
      </c>
      <c r="F292" s="147" t="s">
        <v>106</v>
      </c>
      <c r="G292" s="141">
        <v>4200</v>
      </c>
      <c r="H292" s="142">
        <v>2550</v>
      </c>
      <c r="I292" s="144">
        <f t="shared" si="47"/>
        <v>10710000</v>
      </c>
      <c r="J292" s="193"/>
      <c r="K292" s="141">
        <v>2520</v>
      </c>
      <c r="L292" s="143">
        <f t="shared" si="53"/>
        <v>2550</v>
      </c>
      <c r="M292" s="144">
        <f t="shared" si="54"/>
        <v>6426000</v>
      </c>
      <c r="N292" s="135" t="s">
        <v>1341</v>
      </c>
      <c r="O292" s="193"/>
      <c r="P292" s="145">
        <v>1680</v>
      </c>
      <c r="Q292" s="143">
        <f t="shared" si="58"/>
        <v>2550</v>
      </c>
      <c r="R292" s="144">
        <f t="shared" si="59"/>
        <v>4284000</v>
      </c>
      <c r="S292" s="135" t="s">
        <v>1581</v>
      </c>
      <c r="T292" s="193"/>
      <c r="U292" s="145">
        <f t="shared" si="48"/>
        <v>0</v>
      </c>
      <c r="V292" s="144">
        <f t="shared" si="49"/>
        <v>0</v>
      </c>
      <c r="W292" s="193"/>
      <c r="X292" s="147"/>
    </row>
    <row r="293" spans="2:24" x14ac:dyDescent="0.35">
      <c r="B293" s="137" t="s">
        <v>1198</v>
      </c>
      <c r="C293" s="147" t="s">
        <v>796</v>
      </c>
      <c r="D293" s="139" t="s">
        <v>1199</v>
      </c>
      <c r="E293" s="147" t="s">
        <v>206</v>
      </c>
      <c r="F293" s="147" t="s">
        <v>106</v>
      </c>
      <c r="G293" s="141">
        <v>4200</v>
      </c>
      <c r="H293" s="142">
        <v>2550</v>
      </c>
      <c r="I293" s="144">
        <f t="shared" si="47"/>
        <v>10710000</v>
      </c>
      <c r="J293" s="193"/>
      <c r="K293" s="141">
        <v>2520</v>
      </c>
      <c r="L293" s="143">
        <f t="shared" si="53"/>
        <v>2550</v>
      </c>
      <c r="M293" s="144">
        <f t="shared" si="54"/>
        <v>6426000</v>
      </c>
      <c r="N293" s="135" t="s">
        <v>1341</v>
      </c>
      <c r="O293" s="193"/>
      <c r="P293" s="145">
        <v>1680</v>
      </c>
      <c r="Q293" s="143">
        <f t="shared" si="51"/>
        <v>2550</v>
      </c>
      <c r="R293" s="144">
        <f t="shared" si="52"/>
        <v>4284000</v>
      </c>
      <c r="S293" s="135" t="s">
        <v>1561</v>
      </c>
      <c r="T293" s="193"/>
      <c r="U293" s="145">
        <f t="shared" si="48"/>
        <v>0</v>
      </c>
      <c r="V293" s="144">
        <f t="shared" si="49"/>
        <v>0</v>
      </c>
      <c r="W293" s="193"/>
      <c r="X293" s="147"/>
    </row>
    <row r="294" spans="2:24" x14ac:dyDescent="0.35">
      <c r="B294" s="137" t="s">
        <v>1201</v>
      </c>
      <c r="C294" s="147" t="s">
        <v>189</v>
      </c>
      <c r="D294" s="139" t="s">
        <v>1008</v>
      </c>
      <c r="E294" s="147" t="s">
        <v>248</v>
      </c>
      <c r="F294" s="147" t="s">
        <v>106</v>
      </c>
      <c r="G294" s="141">
        <v>1647.8</v>
      </c>
      <c r="H294" s="142">
        <v>2550</v>
      </c>
      <c r="I294" s="144">
        <f t="shared" si="47"/>
        <v>4201890</v>
      </c>
      <c r="J294" s="193"/>
      <c r="K294" s="141">
        <f>G294</f>
        <v>1647.8</v>
      </c>
      <c r="L294" s="143">
        <f t="shared" si="53"/>
        <v>2550</v>
      </c>
      <c r="M294" s="144">
        <f t="shared" si="54"/>
        <v>4201890</v>
      </c>
      <c r="N294" s="135" t="s">
        <v>1386</v>
      </c>
      <c r="O294" s="193"/>
      <c r="P294" s="145">
        <v>0</v>
      </c>
      <c r="Q294" s="143">
        <f t="shared" si="51"/>
        <v>2550</v>
      </c>
      <c r="R294" s="144">
        <f t="shared" si="52"/>
        <v>0</v>
      </c>
      <c r="S294" s="135" t="s">
        <v>146</v>
      </c>
      <c r="T294" s="193"/>
      <c r="U294" s="145">
        <f t="shared" si="48"/>
        <v>0</v>
      </c>
      <c r="V294" s="144">
        <f t="shared" si="49"/>
        <v>0</v>
      </c>
      <c r="W294" s="193"/>
      <c r="X294" s="147"/>
    </row>
    <row r="295" spans="2:24" x14ac:dyDescent="0.35">
      <c r="B295" s="137" t="s">
        <v>1202</v>
      </c>
      <c r="C295" s="147" t="s">
        <v>180</v>
      </c>
      <c r="D295" s="147" t="s">
        <v>1004</v>
      </c>
      <c r="E295" s="147" t="s">
        <v>248</v>
      </c>
      <c r="F295" s="147" t="s">
        <v>106</v>
      </c>
      <c r="G295" s="141">
        <v>1647.8</v>
      </c>
      <c r="H295" s="142">
        <v>2550</v>
      </c>
      <c r="I295" s="144">
        <f t="shared" si="47"/>
        <v>4201890</v>
      </c>
      <c r="J295" s="193"/>
      <c r="K295" s="141">
        <f>G295</f>
        <v>1647.8</v>
      </c>
      <c r="L295" s="143">
        <f>H295</f>
        <v>2550</v>
      </c>
      <c r="M295" s="144">
        <f>K295*L295</f>
        <v>4201890</v>
      </c>
      <c r="N295" s="135" t="s">
        <v>1386</v>
      </c>
      <c r="O295" s="193"/>
      <c r="P295" s="145">
        <v>0</v>
      </c>
      <c r="Q295" s="143">
        <f t="shared" si="51"/>
        <v>2550</v>
      </c>
      <c r="R295" s="144">
        <f t="shared" si="52"/>
        <v>0</v>
      </c>
      <c r="S295" s="135" t="s">
        <v>146</v>
      </c>
      <c r="T295" s="193"/>
      <c r="U295" s="145">
        <f t="shared" si="48"/>
        <v>0</v>
      </c>
      <c r="V295" s="144">
        <f t="shared" si="49"/>
        <v>0</v>
      </c>
      <c r="W295" s="193"/>
      <c r="X295" s="147"/>
    </row>
    <row r="296" spans="2:24" x14ac:dyDescent="0.35">
      <c r="B296" s="137" t="s">
        <v>1203</v>
      </c>
      <c r="C296" s="147" t="s">
        <v>986</v>
      </c>
      <c r="D296" s="147" t="s">
        <v>987</v>
      </c>
      <c r="E296" s="147" t="s">
        <v>248</v>
      </c>
      <c r="F296" s="147" t="s">
        <v>106</v>
      </c>
      <c r="G296" s="141">
        <v>1483.02</v>
      </c>
      <c r="H296" s="142">
        <v>2550</v>
      </c>
      <c r="I296" s="144">
        <f t="shared" si="47"/>
        <v>3781701</v>
      </c>
      <c r="J296" s="193"/>
      <c r="K296" s="141">
        <f>G296</f>
        <v>1483.02</v>
      </c>
      <c r="L296" s="143">
        <f>H296</f>
        <v>2550</v>
      </c>
      <c r="M296" s="144">
        <f>K296*L296</f>
        <v>3781701</v>
      </c>
      <c r="N296" s="135" t="s">
        <v>1386</v>
      </c>
      <c r="O296" s="193"/>
      <c r="P296" s="145">
        <v>0</v>
      </c>
      <c r="Q296" s="143">
        <f t="shared" si="51"/>
        <v>2550</v>
      </c>
      <c r="R296" s="144">
        <f t="shared" si="52"/>
        <v>0</v>
      </c>
      <c r="S296" s="135" t="s">
        <v>146</v>
      </c>
      <c r="T296" s="193"/>
      <c r="U296" s="145">
        <f t="shared" si="48"/>
        <v>0</v>
      </c>
      <c r="V296" s="144">
        <f t="shared" si="49"/>
        <v>0</v>
      </c>
      <c r="W296" s="193"/>
      <c r="X296" s="147"/>
    </row>
    <row r="297" spans="2:24" x14ac:dyDescent="0.35">
      <c r="B297" s="137" t="s">
        <v>1216</v>
      </c>
      <c r="C297" s="147" t="s">
        <v>976</v>
      </c>
      <c r="D297" s="139" t="s">
        <v>1218</v>
      </c>
      <c r="E297" s="147" t="s">
        <v>182</v>
      </c>
      <c r="F297" s="147" t="s">
        <v>319</v>
      </c>
      <c r="G297" s="141">
        <v>4000</v>
      </c>
      <c r="H297" s="142">
        <v>2550</v>
      </c>
      <c r="I297" s="144">
        <f t="shared" si="47"/>
        <v>10200000</v>
      </c>
      <c r="J297" s="193"/>
      <c r="K297" s="141">
        <v>4000</v>
      </c>
      <c r="L297" s="143">
        <f t="shared" si="53"/>
        <v>2550</v>
      </c>
      <c r="M297" s="144">
        <f t="shared" si="54"/>
        <v>10200000</v>
      </c>
      <c r="N297" s="135" t="s">
        <v>1463</v>
      </c>
      <c r="O297" s="193"/>
      <c r="P297" s="145">
        <v>0</v>
      </c>
      <c r="Q297" s="143">
        <f t="shared" si="51"/>
        <v>2550</v>
      </c>
      <c r="R297" s="144">
        <f t="shared" si="52"/>
        <v>0</v>
      </c>
      <c r="S297" s="135" t="s">
        <v>146</v>
      </c>
      <c r="T297" s="193"/>
      <c r="U297" s="145">
        <f t="shared" si="48"/>
        <v>0</v>
      </c>
      <c r="V297" s="144">
        <f t="shared" si="49"/>
        <v>0</v>
      </c>
      <c r="W297" s="193"/>
      <c r="X297" s="147"/>
    </row>
    <row r="298" spans="2:24" x14ac:dyDescent="0.35">
      <c r="B298" s="137" t="s">
        <v>1217</v>
      </c>
      <c r="C298" s="147" t="s">
        <v>224</v>
      </c>
      <c r="D298" s="139" t="s">
        <v>1218</v>
      </c>
      <c r="E298" s="147" t="s">
        <v>182</v>
      </c>
      <c r="F298" s="147" t="s">
        <v>319</v>
      </c>
      <c r="G298" s="141">
        <v>4000</v>
      </c>
      <c r="H298" s="142">
        <v>2550</v>
      </c>
      <c r="I298" s="144">
        <f t="shared" si="47"/>
        <v>10200000</v>
      </c>
      <c r="J298" s="193"/>
      <c r="K298" s="141">
        <v>4000</v>
      </c>
      <c r="L298" s="143">
        <f t="shared" si="53"/>
        <v>2550</v>
      </c>
      <c r="M298" s="144">
        <f t="shared" si="54"/>
        <v>10200000</v>
      </c>
      <c r="N298" s="135" t="s">
        <v>1463</v>
      </c>
      <c r="O298" s="193"/>
      <c r="P298" s="145">
        <v>0</v>
      </c>
      <c r="Q298" s="143">
        <f t="shared" si="51"/>
        <v>2550</v>
      </c>
      <c r="R298" s="144">
        <f t="shared" si="52"/>
        <v>0</v>
      </c>
      <c r="S298" s="135" t="s">
        <v>146</v>
      </c>
      <c r="T298" s="193"/>
      <c r="U298" s="145">
        <f t="shared" si="48"/>
        <v>0</v>
      </c>
      <c r="V298" s="144">
        <f t="shared" si="49"/>
        <v>0</v>
      </c>
      <c r="W298" s="193"/>
      <c r="X298" s="147"/>
    </row>
    <row r="299" spans="2:24" x14ac:dyDescent="0.35">
      <c r="B299" s="137" t="s">
        <v>1224</v>
      </c>
      <c r="C299" s="147" t="s">
        <v>976</v>
      </c>
      <c r="D299" s="147" t="s">
        <v>977</v>
      </c>
      <c r="E299" s="147" t="s">
        <v>248</v>
      </c>
      <c r="F299" s="147" t="s">
        <v>106</v>
      </c>
      <c r="G299" s="141">
        <v>1682</v>
      </c>
      <c r="H299" s="142">
        <v>2550</v>
      </c>
      <c r="I299" s="144">
        <f t="shared" si="47"/>
        <v>4289100</v>
      </c>
      <c r="J299" s="193"/>
      <c r="K299" s="141">
        <f>G299</f>
        <v>1682</v>
      </c>
      <c r="L299" s="143">
        <f t="shared" si="53"/>
        <v>2550</v>
      </c>
      <c r="M299" s="144">
        <f t="shared" si="54"/>
        <v>4289100</v>
      </c>
      <c r="N299" s="135" t="s">
        <v>1614</v>
      </c>
      <c r="O299" s="193"/>
      <c r="P299" s="145">
        <v>0</v>
      </c>
      <c r="Q299" s="143">
        <f t="shared" si="51"/>
        <v>2550</v>
      </c>
      <c r="R299" s="144">
        <f t="shared" si="52"/>
        <v>0</v>
      </c>
      <c r="S299" s="135" t="s">
        <v>146</v>
      </c>
      <c r="T299" s="193"/>
      <c r="U299" s="145">
        <f t="shared" si="48"/>
        <v>0</v>
      </c>
      <c r="V299" s="144">
        <f t="shared" si="49"/>
        <v>0</v>
      </c>
      <c r="W299" s="193"/>
      <c r="X299" s="147"/>
    </row>
    <row r="300" spans="2:24" x14ac:dyDescent="0.35">
      <c r="B300" s="137" t="s">
        <v>1225</v>
      </c>
      <c r="C300" s="147" t="s">
        <v>201</v>
      </c>
      <c r="D300" s="147" t="s">
        <v>1091</v>
      </c>
      <c r="E300" s="147" t="s">
        <v>248</v>
      </c>
      <c r="F300" s="147" t="s">
        <v>106</v>
      </c>
      <c r="G300" s="141">
        <v>1490</v>
      </c>
      <c r="H300" s="142">
        <v>2550</v>
      </c>
      <c r="I300" s="144">
        <f t="shared" si="47"/>
        <v>3799500</v>
      </c>
      <c r="J300" s="193"/>
      <c r="K300" s="141">
        <f>G300</f>
        <v>1490</v>
      </c>
      <c r="L300" s="143">
        <f t="shared" si="53"/>
        <v>2550</v>
      </c>
      <c r="M300" s="144">
        <f t="shared" si="54"/>
        <v>3799500</v>
      </c>
      <c r="N300" s="135" t="s">
        <v>1465</v>
      </c>
      <c r="O300" s="193"/>
      <c r="P300" s="145">
        <v>0</v>
      </c>
      <c r="Q300" s="143">
        <f t="shared" si="51"/>
        <v>2550</v>
      </c>
      <c r="R300" s="144">
        <f t="shared" si="52"/>
        <v>0</v>
      </c>
      <c r="S300" s="135" t="s">
        <v>146</v>
      </c>
      <c r="T300" s="193"/>
      <c r="U300" s="145">
        <f t="shared" si="48"/>
        <v>0</v>
      </c>
      <c r="V300" s="144">
        <f t="shared" si="49"/>
        <v>0</v>
      </c>
      <c r="W300" s="193"/>
      <c r="X300" s="147"/>
    </row>
    <row r="301" spans="2:24" x14ac:dyDescent="0.35">
      <c r="B301" s="137" t="s">
        <v>1226</v>
      </c>
      <c r="C301" s="147" t="s">
        <v>203</v>
      </c>
      <c r="D301" s="147" t="s">
        <v>1061</v>
      </c>
      <c r="E301" s="147" t="s">
        <v>248</v>
      </c>
      <c r="F301" s="147" t="s">
        <v>106</v>
      </c>
      <c r="G301" s="141">
        <v>1482</v>
      </c>
      <c r="H301" s="142">
        <v>2550</v>
      </c>
      <c r="I301" s="144">
        <f t="shared" si="47"/>
        <v>3779100</v>
      </c>
      <c r="J301" s="193"/>
      <c r="K301" s="141">
        <f t="shared" ref="K301:K305" si="60">G301</f>
        <v>1482</v>
      </c>
      <c r="L301" s="143">
        <f t="shared" ref="L301:L304" si="61">H301</f>
        <v>2550</v>
      </c>
      <c r="M301" s="144">
        <f t="shared" ref="M301:M304" si="62">K301*L301</f>
        <v>3779100</v>
      </c>
      <c r="N301" s="135" t="s">
        <v>1465</v>
      </c>
      <c r="O301" s="193"/>
      <c r="P301" s="145">
        <v>0</v>
      </c>
      <c r="Q301" s="143">
        <f t="shared" si="51"/>
        <v>2550</v>
      </c>
      <c r="R301" s="144">
        <f t="shared" si="52"/>
        <v>0</v>
      </c>
      <c r="S301" s="135" t="s">
        <v>146</v>
      </c>
      <c r="T301" s="193"/>
      <c r="U301" s="145">
        <f t="shared" si="48"/>
        <v>0</v>
      </c>
      <c r="V301" s="144">
        <f t="shared" si="49"/>
        <v>0</v>
      </c>
      <c r="W301" s="193"/>
      <c r="X301" s="147"/>
    </row>
    <row r="302" spans="2:24" x14ac:dyDescent="0.35">
      <c r="B302" s="137" t="s">
        <v>1227</v>
      </c>
      <c r="C302" s="147" t="s">
        <v>758</v>
      </c>
      <c r="D302" s="147" t="s">
        <v>1050</v>
      </c>
      <c r="E302" s="147" t="s">
        <v>248</v>
      </c>
      <c r="F302" s="147" t="s">
        <v>106</v>
      </c>
      <c r="G302" s="141">
        <v>1519</v>
      </c>
      <c r="H302" s="142">
        <v>2550</v>
      </c>
      <c r="I302" s="144">
        <f t="shared" si="47"/>
        <v>3873450</v>
      </c>
      <c r="J302" s="193"/>
      <c r="K302" s="141">
        <f t="shared" si="60"/>
        <v>1519</v>
      </c>
      <c r="L302" s="143">
        <f t="shared" si="61"/>
        <v>2550</v>
      </c>
      <c r="M302" s="144">
        <f t="shared" si="62"/>
        <v>3873450</v>
      </c>
      <c r="N302" s="135" t="s">
        <v>1465</v>
      </c>
      <c r="O302" s="193"/>
      <c r="P302" s="145">
        <v>0</v>
      </c>
      <c r="Q302" s="143">
        <f t="shared" si="51"/>
        <v>2550</v>
      </c>
      <c r="R302" s="144">
        <f t="shared" si="52"/>
        <v>0</v>
      </c>
      <c r="S302" s="135" t="s">
        <v>146</v>
      </c>
      <c r="T302" s="193"/>
      <c r="U302" s="145">
        <f t="shared" si="48"/>
        <v>0</v>
      </c>
      <c r="V302" s="144">
        <f t="shared" si="49"/>
        <v>0</v>
      </c>
      <c r="W302" s="193"/>
      <c r="X302" s="147"/>
    </row>
    <row r="303" spans="2:24" x14ac:dyDescent="0.35">
      <c r="B303" s="137" t="s">
        <v>1238</v>
      </c>
      <c r="C303" s="147" t="s">
        <v>393</v>
      </c>
      <c r="D303" s="147" t="s">
        <v>1078</v>
      </c>
      <c r="E303" s="147" t="s">
        <v>248</v>
      </c>
      <c r="F303" s="147" t="s">
        <v>106</v>
      </c>
      <c r="G303" s="141">
        <v>1484</v>
      </c>
      <c r="H303" s="142">
        <v>2550</v>
      </c>
      <c r="I303" s="144">
        <f t="shared" si="47"/>
        <v>3784200</v>
      </c>
      <c r="J303" s="193"/>
      <c r="K303" s="141">
        <f t="shared" si="60"/>
        <v>1484</v>
      </c>
      <c r="L303" s="143">
        <f t="shared" si="61"/>
        <v>2550</v>
      </c>
      <c r="M303" s="144">
        <f t="shared" si="62"/>
        <v>3784200</v>
      </c>
      <c r="N303" s="135" t="s">
        <v>1465</v>
      </c>
      <c r="O303" s="193"/>
      <c r="P303" s="145">
        <v>0</v>
      </c>
      <c r="Q303" s="143">
        <f t="shared" si="51"/>
        <v>2550</v>
      </c>
      <c r="R303" s="144">
        <f t="shared" si="52"/>
        <v>0</v>
      </c>
      <c r="S303" s="135" t="s">
        <v>146</v>
      </c>
      <c r="T303" s="193"/>
      <c r="U303" s="145">
        <f t="shared" si="48"/>
        <v>0</v>
      </c>
      <c r="V303" s="144">
        <f t="shared" si="49"/>
        <v>0</v>
      </c>
      <c r="W303" s="193"/>
      <c r="X303" s="147"/>
    </row>
    <row r="304" spans="2:24" x14ac:dyDescent="0.35">
      <c r="B304" s="137" t="s">
        <v>1239</v>
      </c>
      <c r="C304" s="147" t="s">
        <v>515</v>
      </c>
      <c r="D304" s="147" t="s">
        <v>1071</v>
      </c>
      <c r="E304" s="147" t="s">
        <v>248</v>
      </c>
      <c r="F304" s="147" t="s">
        <v>106</v>
      </c>
      <c r="G304" s="141">
        <v>1473</v>
      </c>
      <c r="H304" s="142">
        <v>2550</v>
      </c>
      <c r="I304" s="144">
        <f t="shared" si="47"/>
        <v>3756150</v>
      </c>
      <c r="J304" s="193"/>
      <c r="K304" s="141">
        <f t="shared" si="60"/>
        <v>1473</v>
      </c>
      <c r="L304" s="143">
        <f t="shared" si="61"/>
        <v>2550</v>
      </c>
      <c r="M304" s="144">
        <f t="shared" si="62"/>
        <v>3756150</v>
      </c>
      <c r="N304" s="135" t="s">
        <v>1465</v>
      </c>
      <c r="O304" s="193"/>
      <c r="P304" s="145">
        <v>0</v>
      </c>
      <c r="Q304" s="143">
        <f t="shared" si="51"/>
        <v>2550</v>
      </c>
      <c r="R304" s="144">
        <f t="shared" si="52"/>
        <v>0</v>
      </c>
      <c r="S304" s="135" t="s">
        <v>146</v>
      </c>
      <c r="T304" s="193"/>
      <c r="U304" s="145">
        <f t="shared" si="48"/>
        <v>0</v>
      </c>
      <c r="V304" s="144">
        <f t="shared" si="49"/>
        <v>0</v>
      </c>
      <c r="W304" s="193"/>
      <c r="X304" s="147"/>
    </row>
    <row r="305" spans="2:24" x14ac:dyDescent="0.35">
      <c r="B305" s="137" t="s">
        <v>1245</v>
      </c>
      <c r="C305" s="147" t="s">
        <v>733</v>
      </c>
      <c r="D305" s="147" t="s">
        <v>1075</v>
      </c>
      <c r="E305" s="147" t="s">
        <v>248</v>
      </c>
      <c r="F305" s="147" t="s">
        <v>106</v>
      </c>
      <c r="G305" s="141">
        <v>1436</v>
      </c>
      <c r="H305" s="142">
        <v>2550</v>
      </c>
      <c r="I305" s="144">
        <f t="shared" si="47"/>
        <v>3661800</v>
      </c>
      <c r="J305" s="193"/>
      <c r="K305" s="141">
        <f t="shared" si="60"/>
        <v>1436</v>
      </c>
      <c r="L305" s="143">
        <f t="shared" si="53"/>
        <v>2550</v>
      </c>
      <c r="M305" s="144">
        <f t="shared" si="54"/>
        <v>3661800</v>
      </c>
      <c r="N305" s="135" t="s">
        <v>1466</v>
      </c>
      <c r="O305" s="193"/>
      <c r="P305" s="145">
        <v>0</v>
      </c>
      <c r="Q305" s="143">
        <f t="shared" si="51"/>
        <v>2550</v>
      </c>
      <c r="R305" s="144">
        <f t="shared" si="52"/>
        <v>0</v>
      </c>
      <c r="S305" s="135" t="s">
        <v>146</v>
      </c>
      <c r="T305" s="193"/>
      <c r="U305" s="145">
        <f t="shared" si="48"/>
        <v>0</v>
      </c>
      <c r="V305" s="144">
        <f t="shared" si="49"/>
        <v>0</v>
      </c>
      <c r="W305" s="193"/>
      <c r="X305" s="147"/>
    </row>
    <row r="306" spans="2:24" x14ac:dyDescent="0.35">
      <c r="B306" s="137" t="s">
        <v>1247</v>
      </c>
      <c r="C306" s="147" t="s">
        <v>1246</v>
      </c>
      <c r="D306" s="139" t="s">
        <v>1046</v>
      </c>
      <c r="E306" s="147" t="s">
        <v>248</v>
      </c>
      <c r="F306" s="147" t="s">
        <v>106</v>
      </c>
      <c r="G306" s="141">
        <v>1527</v>
      </c>
      <c r="H306" s="142">
        <v>2550</v>
      </c>
      <c r="I306" s="144">
        <f t="shared" si="47"/>
        <v>3893850</v>
      </c>
      <c r="J306" s="193"/>
      <c r="K306" s="141">
        <f t="shared" ref="K306:K307" si="63">G306</f>
        <v>1527</v>
      </c>
      <c r="L306" s="143">
        <f t="shared" ref="L306:L307" si="64">H306</f>
        <v>2550</v>
      </c>
      <c r="M306" s="144">
        <f t="shared" ref="M306:M307" si="65">K306*L306</f>
        <v>3893850</v>
      </c>
      <c r="N306" s="135" t="s">
        <v>1466</v>
      </c>
      <c r="O306" s="193"/>
      <c r="P306" s="145">
        <v>0</v>
      </c>
      <c r="Q306" s="143">
        <f t="shared" si="51"/>
        <v>2550</v>
      </c>
      <c r="R306" s="144">
        <f t="shared" si="52"/>
        <v>0</v>
      </c>
      <c r="S306" s="135" t="s">
        <v>146</v>
      </c>
      <c r="T306" s="193"/>
      <c r="U306" s="145">
        <f t="shared" si="48"/>
        <v>0</v>
      </c>
      <c r="V306" s="144">
        <f t="shared" si="49"/>
        <v>0</v>
      </c>
      <c r="W306" s="193"/>
      <c r="X306" s="147"/>
    </row>
    <row r="307" spans="2:24" x14ac:dyDescent="0.35">
      <c r="B307" s="137" t="s">
        <v>1248</v>
      </c>
      <c r="C307" s="147" t="s">
        <v>961</v>
      </c>
      <c r="D307" s="139" t="s">
        <v>1080</v>
      </c>
      <c r="E307" s="147" t="s">
        <v>248</v>
      </c>
      <c r="F307" s="147" t="s">
        <v>106</v>
      </c>
      <c r="G307" s="141">
        <v>1447</v>
      </c>
      <c r="H307" s="142">
        <v>2550</v>
      </c>
      <c r="I307" s="144">
        <f t="shared" si="47"/>
        <v>3689850</v>
      </c>
      <c r="J307" s="193"/>
      <c r="K307" s="141">
        <f t="shared" si="63"/>
        <v>1447</v>
      </c>
      <c r="L307" s="143">
        <f t="shared" si="64"/>
        <v>2550</v>
      </c>
      <c r="M307" s="144">
        <f t="shared" si="65"/>
        <v>3689850</v>
      </c>
      <c r="N307" s="135" t="s">
        <v>1761</v>
      </c>
      <c r="O307" s="193"/>
      <c r="P307" s="145">
        <v>0</v>
      </c>
      <c r="Q307" s="143">
        <f t="shared" si="51"/>
        <v>2550</v>
      </c>
      <c r="R307" s="144">
        <f t="shared" si="52"/>
        <v>0</v>
      </c>
      <c r="S307" s="135" t="s">
        <v>146</v>
      </c>
      <c r="T307" s="193"/>
      <c r="U307" s="145">
        <f t="shared" si="48"/>
        <v>0</v>
      </c>
      <c r="V307" s="144">
        <f t="shared" si="49"/>
        <v>0</v>
      </c>
      <c r="W307" s="193"/>
      <c r="X307" s="147"/>
    </row>
    <row r="308" spans="2:24" x14ac:dyDescent="0.35">
      <c r="B308" s="137" t="s">
        <v>1249</v>
      </c>
      <c r="C308" s="147" t="s">
        <v>232</v>
      </c>
      <c r="D308" s="139" t="s">
        <v>1084</v>
      </c>
      <c r="E308" s="147" t="s">
        <v>248</v>
      </c>
      <c r="F308" s="147" t="s">
        <v>106</v>
      </c>
      <c r="G308" s="141">
        <v>1916</v>
      </c>
      <c r="H308" s="142">
        <v>2550</v>
      </c>
      <c r="I308" s="144">
        <f t="shared" si="47"/>
        <v>4885800</v>
      </c>
      <c r="J308" s="193"/>
      <c r="K308" s="141">
        <f t="shared" ref="K308" si="66">G308</f>
        <v>1916</v>
      </c>
      <c r="L308" s="143">
        <f t="shared" ref="L308" si="67">H308</f>
        <v>2550</v>
      </c>
      <c r="M308" s="144">
        <f t="shared" ref="M308" si="68">K308*L308</f>
        <v>4885800</v>
      </c>
      <c r="N308" s="135" t="s">
        <v>1466</v>
      </c>
      <c r="O308" s="193"/>
      <c r="P308" s="145">
        <v>0</v>
      </c>
      <c r="Q308" s="143">
        <f t="shared" si="51"/>
        <v>2550</v>
      </c>
      <c r="R308" s="144">
        <f t="shared" si="52"/>
        <v>0</v>
      </c>
      <c r="S308" s="135" t="s">
        <v>146</v>
      </c>
      <c r="T308" s="193"/>
      <c r="U308" s="145">
        <f t="shared" si="48"/>
        <v>0</v>
      </c>
      <c r="V308" s="144">
        <f t="shared" si="49"/>
        <v>0</v>
      </c>
      <c r="W308" s="193"/>
      <c r="X308" s="147"/>
    </row>
    <row r="309" spans="2:24" x14ac:dyDescent="0.35">
      <c r="B309" s="137" t="s">
        <v>1250</v>
      </c>
      <c r="C309" s="147" t="s">
        <v>967</v>
      </c>
      <c r="D309" s="139" t="s">
        <v>1251</v>
      </c>
      <c r="E309" s="147" t="s">
        <v>182</v>
      </c>
      <c r="F309" s="147" t="s">
        <v>106</v>
      </c>
      <c r="G309" s="141">
        <v>4400</v>
      </c>
      <c r="H309" s="142">
        <v>2550</v>
      </c>
      <c r="I309" s="144">
        <f t="shared" si="47"/>
        <v>11220000</v>
      </c>
      <c r="J309" s="193"/>
      <c r="K309" s="141">
        <v>2640</v>
      </c>
      <c r="L309" s="143">
        <f t="shared" si="53"/>
        <v>2550</v>
      </c>
      <c r="M309" s="144">
        <f t="shared" si="54"/>
        <v>6732000</v>
      </c>
      <c r="N309" s="135" t="s">
        <v>1333</v>
      </c>
      <c r="O309" s="193"/>
      <c r="P309" s="145">
        <v>1640</v>
      </c>
      <c r="Q309" s="143">
        <f t="shared" si="51"/>
        <v>2550</v>
      </c>
      <c r="R309" s="144">
        <f t="shared" si="52"/>
        <v>4182000</v>
      </c>
      <c r="S309" s="135" t="s">
        <v>1744</v>
      </c>
      <c r="T309" s="193"/>
      <c r="U309" s="145">
        <f t="shared" si="48"/>
        <v>120</v>
      </c>
      <c r="V309" s="144">
        <f t="shared" si="49"/>
        <v>306000</v>
      </c>
      <c r="W309" s="193"/>
      <c r="X309" s="147"/>
    </row>
    <row r="310" spans="2:24" x14ac:dyDescent="0.35">
      <c r="B310" s="137" t="s">
        <v>1253</v>
      </c>
      <c r="C310" s="147" t="s">
        <v>1246</v>
      </c>
      <c r="D310" s="139" t="s">
        <v>1254</v>
      </c>
      <c r="E310" s="147" t="s">
        <v>182</v>
      </c>
      <c r="F310" s="147" t="s">
        <v>106</v>
      </c>
      <c r="G310" s="141">
        <v>4400</v>
      </c>
      <c r="H310" s="142">
        <v>2550</v>
      </c>
      <c r="I310" s="144">
        <f t="shared" si="47"/>
        <v>11220000</v>
      </c>
      <c r="J310" s="193"/>
      <c r="K310" s="141">
        <v>2640</v>
      </c>
      <c r="L310" s="143">
        <f>H310</f>
        <v>2550</v>
      </c>
      <c r="M310" s="144">
        <f>K310*L310</f>
        <v>6732000</v>
      </c>
      <c r="N310" s="135" t="s">
        <v>1333</v>
      </c>
      <c r="O310" s="193"/>
      <c r="P310" s="145">
        <v>1590</v>
      </c>
      <c r="Q310" s="143">
        <f t="shared" si="51"/>
        <v>2550</v>
      </c>
      <c r="R310" s="144">
        <f t="shared" si="52"/>
        <v>4054500</v>
      </c>
      <c r="S310" s="135" t="s">
        <v>1748</v>
      </c>
      <c r="T310" s="193"/>
      <c r="U310" s="145">
        <f t="shared" si="48"/>
        <v>170</v>
      </c>
      <c r="V310" s="144">
        <f t="shared" si="49"/>
        <v>433500</v>
      </c>
      <c r="W310" s="193"/>
      <c r="X310" s="147"/>
    </row>
    <row r="311" spans="2:24" x14ac:dyDescent="0.35">
      <c r="B311" s="137" t="s">
        <v>1256</v>
      </c>
      <c r="C311" s="147" t="s">
        <v>160</v>
      </c>
      <c r="D311" s="139" t="s">
        <v>1258</v>
      </c>
      <c r="E311" s="147" t="s">
        <v>182</v>
      </c>
      <c r="F311" s="147" t="s">
        <v>106</v>
      </c>
      <c r="G311" s="141">
        <v>4400</v>
      </c>
      <c r="H311" s="142">
        <v>2445</v>
      </c>
      <c r="I311" s="144">
        <f t="shared" si="47"/>
        <v>10758000</v>
      </c>
      <c r="J311" s="193"/>
      <c r="K311" s="141">
        <v>2640</v>
      </c>
      <c r="L311" s="143">
        <f>H311</f>
        <v>2445</v>
      </c>
      <c r="M311" s="144">
        <f>K311*L311</f>
        <v>6454800</v>
      </c>
      <c r="N311" s="135" t="s">
        <v>1333</v>
      </c>
      <c r="O311" s="193"/>
      <c r="P311" s="145">
        <v>1590</v>
      </c>
      <c r="Q311" s="143">
        <f t="shared" si="51"/>
        <v>2445</v>
      </c>
      <c r="R311" s="144">
        <f t="shared" si="52"/>
        <v>3887550</v>
      </c>
      <c r="S311" s="135" t="s">
        <v>1748</v>
      </c>
      <c r="T311" s="193"/>
      <c r="U311" s="145">
        <f t="shared" si="48"/>
        <v>170</v>
      </c>
      <c r="V311" s="144">
        <f t="shared" si="49"/>
        <v>415650</v>
      </c>
      <c r="W311" s="193"/>
      <c r="X311" s="147"/>
    </row>
    <row r="312" spans="2:24" x14ac:dyDescent="0.35">
      <c r="B312" s="137" t="s">
        <v>1259</v>
      </c>
      <c r="C312" s="147" t="s">
        <v>232</v>
      </c>
      <c r="D312" s="139" t="s">
        <v>1260</v>
      </c>
      <c r="E312" s="147" t="s">
        <v>182</v>
      </c>
      <c r="F312" s="147" t="s">
        <v>106</v>
      </c>
      <c r="G312" s="141">
        <v>4400</v>
      </c>
      <c r="H312" s="142">
        <v>2445</v>
      </c>
      <c r="I312" s="144">
        <f t="shared" si="47"/>
        <v>10758000</v>
      </c>
      <c r="J312" s="193"/>
      <c r="K312" s="141">
        <v>2640</v>
      </c>
      <c r="L312" s="143">
        <f>H312</f>
        <v>2445</v>
      </c>
      <c r="M312" s="144">
        <f>K312*L312</f>
        <v>6454800</v>
      </c>
      <c r="N312" s="135" t="s">
        <v>1334</v>
      </c>
      <c r="O312" s="193"/>
      <c r="P312" s="145">
        <v>1660</v>
      </c>
      <c r="Q312" s="143">
        <f t="shared" si="51"/>
        <v>2445</v>
      </c>
      <c r="R312" s="144">
        <f t="shared" si="52"/>
        <v>4058700</v>
      </c>
      <c r="S312" s="135" t="s">
        <v>1751</v>
      </c>
      <c r="T312" s="193"/>
      <c r="U312" s="145">
        <f t="shared" si="48"/>
        <v>100</v>
      </c>
      <c r="V312" s="144">
        <f t="shared" si="49"/>
        <v>244500</v>
      </c>
      <c r="W312" s="193"/>
      <c r="X312" s="147"/>
    </row>
    <row r="313" spans="2:24" x14ac:dyDescent="0.35">
      <c r="B313" s="137" t="s">
        <v>1262</v>
      </c>
      <c r="C313" s="147" t="s">
        <v>701</v>
      </c>
      <c r="D313" s="139" t="s">
        <v>1263</v>
      </c>
      <c r="E313" s="147" t="s">
        <v>114</v>
      </c>
      <c r="F313" s="147" t="s">
        <v>106</v>
      </c>
      <c r="G313" s="141">
        <v>4200</v>
      </c>
      <c r="H313" s="142">
        <v>2445</v>
      </c>
      <c r="I313" s="144">
        <f t="shared" si="47"/>
        <v>10269000</v>
      </c>
      <c r="J313" s="193"/>
      <c r="K313" s="141">
        <v>2580</v>
      </c>
      <c r="L313" s="143">
        <f t="shared" si="53"/>
        <v>2445</v>
      </c>
      <c r="M313" s="144">
        <f t="shared" si="54"/>
        <v>6308100</v>
      </c>
      <c r="N313" s="135" t="s">
        <v>1335</v>
      </c>
      <c r="O313" s="193"/>
      <c r="P313" s="145">
        <v>1250</v>
      </c>
      <c r="Q313" s="143">
        <f t="shared" si="51"/>
        <v>2445</v>
      </c>
      <c r="R313" s="144">
        <f t="shared" si="52"/>
        <v>3056250</v>
      </c>
      <c r="S313" s="135" t="s">
        <v>1730</v>
      </c>
      <c r="T313" s="193"/>
      <c r="U313" s="145">
        <f t="shared" si="48"/>
        <v>370</v>
      </c>
      <c r="V313" s="144">
        <f t="shared" si="49"/>
        <v>904650</v>
      </c>
      <c r="W313" s="193"/>
      <c r="X313" s="147"/>
    </row>
    <row r="314" spans="2:24" x14ac:dyDescent="0.35">
      <c r="B314" s="137" t="s">
        <v>1265</v>
      </c>
      <c r="C314" s="147" t="s">
        <v>1016</v>
      </c>
      <c r="D314" s="147" t="s">
        <v>1266</v>
      </c>
      <c r="E314" s="147" t="s">
        <v>114</v>
      </c>
      <c r="F314" s="147" t="s">
        <v>106</v>
      </c>
      <c r="G314" s="141">
        <v>4200</v>
      </c>
      <c r="H314" s="142">
        <v>2445</v>
      </c>
      <c r="I314" s="144">
        <f t="shared" si="47"/>
        <v>10269000</v>
      </c>
      <c r="J314" s="193"/>
      <c r="K314" s="141">
        <v>2520</v>
      </c>
      <c r="L314" s="143">
        <f>H314</f>
        <v>2445</v>
      </c>
      <c r="M314" s="144">
        <f>K314*L314</f>
        <v>6161400</v>
      </c>
      <c r="N314" s="135" t="s">
        <v>1335</v>
      </c>
      <c r="O314" s="193"/>
      <c r="P314" s="145">
        <v>1450</v>
      </c>
      <c r="Q314" s="143">
        <f t="shared" si="51"/>
        <v>2445</v>
      </c>
      <c r="R314" s="144">
        <f t="shared" si="52"/>
        <v>3545250</v>
      </c>
      <c r="S314" s="135" t="s">
        <v>1744</v>
      </c>
      <c r="T314" s="193"/>
      <c r="U314" s="145">
        <f t="shared" si="48"/>
        <v>230</v>
      </c>
      <c r="V314" s="144">
        <f t="shared" si="49"/>
        <v>562350</v>
      </c>
      <c r="W314" s="193"/>
      <c r="X314" s="147"/>
    </row>
    <row r="315" spans="2:24" x14ac:dyDescent="0.35">
      <c r="B315" s="137" t="s">
        <v>1268</v>
      </c>
      <c r="C315" s="147" t="s">
        <v>961</v>
      </c>
      <c r="D315" s="147" t="s">
        <v>1269</v>
      </c>
      <c r="E315" s="147" t="s">
        <v>206</v>
      </c>
      <c r="F315" s="147" t="s">
        <v>106</v>
      </c>
      <c r="G315" s="141">
        <f>4300+700</f>
        <v>5000</v>
      </c>
      <c r="H315" s="142">
        <v>2445</v>
      </c>
      <c r="I315" s="144">
        <f t="shared" si="47"/>
        <v>12225000</v>
      </c>
      <c r="J315" s="193"/>
      <c r="K315" s="141">
        <v>2580</v>
      </c>
      <c r="L315" s="143">
        <f>H315</f>
        <v>2445</v>
      </c>
      <c r="M315" s="144">
        <f>K315*L315</f>
        <v>6308100</v>
      </c>
      <c r="N315" s="135" t="s">
        <v>1356</v>
      </c>
      <c r="O315" s="193"/>
      <c r="P315" s="145">
        <v>1060</v>
      </c>
      <c r="Q315" s="143">
        <f t="shared" si="51"/>
        <v>2445</v>
      </c>
      <c r="R315" s="144">
        <f t="shared" si="52"/>
        <v>2591700</v>
      </c>
      <c r="S315" s="135" t="s">
        <v>1730</v>
      </c>
      <c r="T315" s="193"/>
      <c r="U315" s="145">
        <f t="shared" si="48"/>
        <v>1360</v>
      </c>
      <c r="V315" s="144">
        <f t="shared" si="49"/>
        <v>3325200</v>
      </c>
      <c r="W315" s="193"/>
      <c r="X315" s="147"/>
    </row>
    <row r="316" spans="2:24" x14ac:dyDescent="0.35">
      <c r="B316" s="137" t="s">
        <v>1268</v>
      </c>
      <c r="C316" s="147" t="s">
        <v>170</v>
      </c>
      <c r="D316" s="139" t="s">
        <v>1305</v>
      </c>
      <c r="E316" s="147" t="s">
        <v>206</v>
      </c>
      <c r="F316" s="147" t="s">
        <v>106</v>
      </c>
      <c r="G316" s="141">
        <f>4300+1000</f>
        <v>5300</v>
      </c>
      <c r="H316" s="142">
        <v>2445</v>
      </c>
      <c r="I316" s="144">
        <f t="shared" si="47"/>
        <v>12958500</v>
      </c>
      <c r="J316" s="193"/>
      <c r="K316" s="141">
        <v>2580</v>
      </c>
      <c r="L316" s="143">
        <f t="shared" si="53"/>
        <v>2445</v>
      </c>
      <c r="M316" s="144">
        <f t="shared" si="54"/>
        <v>6308100</v>
      </c>
      <c r="N316" s="135" t="s">
        <v>1356</v>
      </c>
      <c r="O316" s="193"/>
      <c r="P316" s="145">
        <v>1060</v>
      </c>
      <c r="Q316" s="143">
        <f t="shared" si="51"/>
        <v>2445</v>
      </c>
      <c r="R316" s="144">
        <f t="shared" si="52"/>
        <v>2591700</v>
      </c>
      <c r="S316" s="135" t="s">
        <v>1730</v>
      </c>
      <c r="T316" s="193"/>
      <c r="U316" s="145">
        <f t="shared" si="48"/>
        <v>1660</v>
      </c>
      <c r="V316" s="144">
        <f t="shared" si="49"/>
        <v>4058700</v>
      </c>
      <c r="W316" s="193"/>
      <c r="X316" s="147"/>
    </row>
    <row r="317" spans="2:24" x14ac:dyDescent="0.35">
      <c r="B317" s="137" t="s">
        <v>1271</v>
      </c>
      <c r="C317" s="147" t="s">
        <v>164</v>
      </c>
      <c r="D317" s="147" t="s">
        <v>1272</v>
      </c>
      <c r="E317" s="147" t="s">
        <v>114</v>
      </c>
      <c r="F317" s="147" t="s">
        <v>319</v>
      </c>
      <c r="G317" s="141">
        <v>4200</v>
      </c>
      <c r="H317" s="142">
        <v>2550</v>
      </c>
      <c r="I317" s="144">
        <f t="shared" si="47"/>
        <v>10710000</v>
      </c>
      <c r="J317" s="193"/>
      <c r="K317" s="141">
        <f>G317</f>
        <v>4200</v>
      </c>
      <c r="L317" s="143">
        <f t="shared" si="53"/>
        <v>2550</v>
      </c>
      <c r="M317" s="144">
        <f t="shared" si="54"/>
        <v>10710000</v>
      </c>
      <c r="N317" s="135" t="s">
        <v>1508</v>
      </c>
      <c r="O317" s="193"/>
      <c r="P317" s="145">
        <v>0</v>
      </c>
      <c r="Q317" s="143">
        <f t="shared" si="51"/>
        <v>2550</v>
      </c>
      <c r="R317" s="144">
        <f t="shared" si="52"/>
        <v>0</v>
      </c>
      <c r="S317" s="135" t="s">
        <v>146</v>
      </c>
      <c r="T317" s="193"/>
      <c r="U317" s="145">
        <f t="shared" si="48"/>
        <v>0</v>
      </c>
      <c r="V317" s="144">
        <f t="shared" si="49"/>
        <v>0</v>
      </c>
      <c r="W317" s="193"/>
      <c r="X317" s="147"/>
    </row>
    <row r="318" spans="2:24" x14ac:dyDescent="0.35">
      <c r="B318" s="137" t="s">
        <v>1274</v>
      </c>
      <c r="C318" s="147" t="s">
        <v>203</v>
      </c>
      <c r="D318" s="147" t="s">
        <v>1275</v>
      </c>
      <c r="E318" s="147" t="s">
        <v>114</v>
      </c>
      <c r="F318" s="147" t="s">
        <v>319</v>
      </c>
      <c r="G318" s="141">
        <v>4200</v>
      </c>
      <c r="H318" s="142">
        <v>2550</v>
      </c>
      <c r="I318" s="144">
        <f t="shared" si="47"/>
        <v>10710000</v>
      </c>
      <c r="J318" s="193"/>
      <c r="K318" s="141">
        <f>G318</f>
        <v>4200</v>
      </c>
      <c r="L318" s="143">
        <f t="shared" si="53"/>
        <v>2550</v>
      </c>
      <c r="M318" s="144">
        <f t="shared" si="54"/>
        <v>10710000</v>
      </c>
      <c r="N318" s="135" t="s">
        <v>1762</v>
      </c>
      <c r="O318" s="193"/>
      <c r="P318" s="145">
        <v>0</v>
      </c>
      <c r="Q318" s="143">
        <f t="shared" si="51"/>
        <v>2550</v>
      </c>
      <c r="R318" s="144">
        <f t="shared" si="52"/>
        <v>0</v>
      </c>
      <c r="S318" s="135" t="s">
        <v>146</v>
      </c>
      <c r="T318" s="193"/>
      <c r="U318" s="145">
        <f t="shared" si="48"/>
        <v>0</v>
      </c>
      <c r="V318" s="144">
        <f t="shared" si="49"/>
        <v>0</v>
      </c>
      <c r="W318" s="193"/>
      <c r="X318" s="147"/>
    </row>
    <row r="319" spans="2:24" x14ac:dyDescent="0.35">
      <c r="B319" s="137" t="s">
        <v>1279</v>
      </c>
      <c r="C319" s="147" t="s">
        <v>668</v>
      </c>
      <c r="D319" s="147" t="s">
        <v>1280</v>
      </c>
      <c r="E319" s="147" t="s">
        <v>114</v>
      </c>
      <c r="F319" s="147" t="s">
        <v>319</v>
      </c>
      <c r="G319" s="141">
        <v>4200</v>
      </c>
      <c r="H319" s="142">
        <v>2550</v>
      </c>
      <c r="I319" s="144">
        <f t="shared" si="47"/>
        <v>10710000</v>
      </c>
      <c r="J319" s="193"/>
      <c r="K319" s="141">
        <f>G319</f>
        <v>4200</v>
      </c>
      <c r="L319" s="143">
        <f t="shared" si="53"/>
        <v>2550</v>
      </c>
      <c r="M319" s="144">
        <f t="shared" si="54"/>
        <v>10710000</v>
      </c>
      <c r="N319" s="135" t="s">
        <v>1762</v>
      </c>
      <c r="O319" s="193"/>
      <c r="P319" s="145">
        <v>0</v>
      </c>
      <c r="Q319" s="143">
        <f t="shared" si="51"/>
        <v>2550</v>
      </c>
      <c r="R319" s="144">
        <f t="shared" si="52"/>
        <v>0</v>
      </c>
      <c r="S319" s="135" t="s">
        <v>146</v>
      </c>
      <c r="T319" s="193"/>
      <c r="U319" s="145">
        <f t="shared" si="48"/>
        <v>0</v>
      </c>
      <c r="V319" s="144">
        <f t="shared" si="49"/>
        <v>0</v>
      </c>
      <c r="W319" s="193"/>
      <c r="X319" s="147"/>
    </row>
    <row r="320" spans="2:24" x14ac:dyDescent="0.35">
      <c r="B320" s="137" t="s">
        <v>1282</v>
      </c>
      <c r="C320" s="147" t="s">
        <v>224</v>
      </c>
      <c r="D320" s="147" t="s">
        <v>1283</v>
      </c>
      <c r="E320" s="147" t="s">
        <v>114</v>
      </c>
      <c r="F320" s="147" t="s">
        <v>319</v>
      </c>
      <c r="G320" s="141">
        <v>4200</v>
      </c>
      <c r="H320" s="142">
        <v>2550</v>
      </c>
      <c r="I320" s="144">
        <f t="shared" si="47"/>
        <v>10710000</v>
      </c>
      <c r="J320" s="193"/>
      <c r="K320" s="141">
        <v>4200</v>
      </c>
      <c r="L320" s="143">
        <f t="shared" si="53"/>
        <v>2550</v>
      </c>
      <c r="M320" s="144">
        <f t="shared" si="54"/>
        <v>10710000</v>
      </c>
      <c r="N320" s="135" t="s">
        <v>1544</v>
      </c>
      <c r="O320" s="193"/>
      <c r="P320" s="145">
        <v>0</v>
      </c>
      <c r="Q320" s="143">
        <f t="shared" si="51"/>
        <v>2550</v>
      </c>
      <c r="R320" s="144">
        <f t="shared" si="52"/>
        <v>0</v>
      </c>
      <c r="S320" s="135" t="s">
        <v>146</v>
      </c>
      <c r="T320" s="193"/>
      <c r="U320" s="145">
        <f t="shared" si="48"/>
        <v>0</v>
      </c>
      <c r="V320" s="144">
        <f t="shared" si="49"/>
        <v>0</v>
      </c>
      <c r="W320" s="193"/>
      <c r="X320" s="147"/>
    </row>
    <row r="321" spans="2:24" x14ac:dyDescent="0.35">
      <c r="B321" s="137" t="s">
        <v>1285</v>
      </c>
      <c r="C321" s="147" t="s">
        <v>515</v>
      </c>
      <c r="D321" s="139" t="s">
        <v>1286</v>
      </c>
      <c r="E321" s="147" t="s">
        <v>114</v>
      </c>
      <c r="F321" s="147" t="s">
        <v>319</v>
      </c>
      <c r="G321" s="141">
        <v>4200</v>
      </c>
      <c r="H321" s="142">
        <v>2550</v>
      </c>
      <c r="I321" s="144">
        <f t="shared" si="47"/>
        <v>10710000</v>
      </c>
      <c r="J321" s="193"/>
      <c r="K321" s="141">
        <v>4200</v>
      </c>
      <c r="L321" s="143">
        <f t="shared" si="53"/>
        <v>2550</v>
      </c>
      <c r="M321" s="144">
        <f t="shared" si="54"/>
        <v>10710000</v>
      </c>
      <c r="N321" s="135" t="s">
        <v>1545</v>
      </c>
      <c r="O321" s="193"/>
      <c r="P321" s="145">
        <v>0</v>
      </c>
      <c r="Q321" s="143">
        <f t="shared" si="51"/>
        <v>2550</v>
      </c>
      <c r="R321" s="144">
        <f t="shared" si="52"/>
        <v>0</v>
      </c>
      <c r="S321" s="135" t="s">
        <v>146</v>
      </c>
      <c r="T321" s="193"/>
      <c r="U321" s="145">
        <f t="shared" si="48"/>
        <v>0</v>
      </c>
      <c r="V321" s="144">
        <f t="shared" si="49"/>
        <v>0</v>
      </c>
      <c r="W321" s="193"/>
      <c r="X321" s="147"/>
    </row>
    <row r="322" spans="2:24" x14ac:dyDescent="0.35">
      <c r="B322" s="137" t="s">
        <v>1288</v>
      </c>
      <c r="C322" s="147" t="s">
        <v>758</v>
      </c>
      <c r="D322" s="139" t="s">
        <v>1290</v>
      </c>
      <c r="E322" s="147" t="s">
        <v>114</v>
      </c>
      <c r="F322" s="147" t="s">
        <v>319</v>
      </c>
      <c r="G322" s="141">
        <v>4200</v>
      </c>
      <c r="H322" s="142">
        <v>2550</v>
      </c>
      <c r="I322" s="144">
        <f t="shared" si="47"/>
        <v>10710000</v>
      </c>
      <c r="J322" s="193"/>
      <c r="K322" s="141">
        <v>4200</v>
      </c>
      <c r="L322" s="143">
        <f t="shared" si="53"/>
        <v>2550</v>
      </c>
      <c r="M322" s="144">
        <f t="shared" si="54"/>
        <v>10710000</v>
      </c>
      <c r="N322" s="135" t="s">
        <v>1545</v>
      </c>
      <c r="O322" s="193"/>
      <c r="P322" s="145">
        <v>0</v>
      </c>
      <c r="Q322" s="143">
        <f t="shared" si="51"/>
        <v>2550</v>
      </c>
      <c r="R322" s="144">
        <f t="shared" si="52"/>
        <v>0</v>
      </c>
      <c r="S322" s="135" t="s">
        <v>146</v>
      </c>
      <c r="T322" s="193"/>
      <c r="U322" s="145">
        <f t="shared" si="48"/>
        <v>0</v>
      </c>
      <c r="V322" s="144">
        <f t="shared" si="49"/>
        <v>0</v>
      </c>
      <c r="W322" s="193"/>
      <c r="X322" s="147"/>
    </row>
    <row r="323" spans="2:24" x14ac:dyDescent="0.35">
      <c r="B323" s="137" t="s">
        <v>1289</v>
      </c>
      <c r="C323" s="147" t="s">
        <v>393</v>
      </c>
      <c r="D323" s="139" t="s">
        <v>1292</v>
      </c>
      <c r="E323" s="147" t="s">
        <v>114</v>
      </c>
      <c r="F323" s="147" t="s">
        <v>319</v>
      </c>
      <c r="G323" s="141">
        <v>4200</v>
      </c>
      <c r="H323" s="142">
        <v>2550</v>
      </c>
      <c r="I323" s="144">
        <f t="shared" si="47"/>
        <v>10710000</v>
      </c>
      <c r="J323" s="193"/>
      <c r="K323" s="141">
        <v>4200</v>
      </c>
      <c r="L323" s="143">
        <f t="shared" si="53"/>
        <v>2550</v>
      </c>
      <c r="M323" s="144">
        <f t="shared" si="54"/>
        <v>10710000</v>
      </c>
      <c r="N323" s="135" t="s">
        <v>1763</v>
      </c>
      <c r="O323" s="193"/>
      <c r="P323" s="145">
        <v>0</v>
      </c>
      <c r="Q323" s="143">
        <f t="shared" si="51"/>
        <v>2550</v>
      </c>
      <c r="R323" s="144">
        <f t="shared" si="52"/>
        <v>0</v>
      </c>
      <c r="S323" s="135" t="s">
        <v>146</v>
      </c>
      <c r="T323" s="193"/>
      <c r="U323" s="145">
        <f t="shared" si="48"/>
        <v>0</v>
      </c>
      <c r="V323" s="144">
        <f t="shared" si="49"/>
        <v>0</v>
      </c>
      <c r="W323" s="193"/>
      <c r="X323" s="147"/>
    </row>
    <row r="324" spans="2:24" x14ac:dyDescent="0.35">
      <c r="B324" s="137" t="s">
        <v>1294</v>
      </c>
      <c r="C324" s="147" t="s">
        <v>809</v>
      </c>
      <c r="D324" s="139" t="s">
        <v>1295</v>
      </c>
      <c r="E324" s="147" t="s">
        <v>114</v>
      </c>
      <c r="F324" s="147" t="s">
        <v>319</v>
      </c>
      <c r="G324" s="141">
        <v>4200</v>
      </c>
      <c r="H324" s="142">
        <v>2550</v>
      </c>
      <c r="I324" s="144">
        <f t="shared" si="47"/>
        <v>10710000</v>
      </c>
      <c r="J324" s="193"/>
      <c r="K324" s="141">
        <f>G324</f>
        <v>4200</v>
      </c>
      <c r="L324" s="143">
        <f t="shared" ref="L324" si="69">H324</f>
        <v>2550</v>
      </c>
      <c r="M324" s="144">
        <f t="shared" ref="M324" si="70">K324*L324</f>
        <v>10710000</v>
      </c>
      <c r="N324" s="135" t="s">
        <v>1509</v>
      </c>
      <c r="O324" s="193"/>
      <c r="P324" s="145">
        <v>0</v>
      </c>
      <c r="Q324" s="143">
        <f t="shared" si="51"/>
        <v>2550</v>
      </c>
      <c r="R324" s="144">
        <f t="shared" si="52"/>
        <v>0</v>
      </c>
      <c r="S324" s="135" t="s">
        <v>146</v>
      </c>
      <c r="T324" s="193"/>
      <c r="U324" s="145">
        <f t="shared" si="48"/>
        <v>0</v>
      </c>
      <c r="V324" s="144">
        <f t="shared" si="49"/>
        <v>0</v>
      </c>
      <c r="W324" s="193"/>
      <c r="X324" s="147"/>
    </row>
    <row r="325" spans="2:24" x14ac:dyDescent="0.35">
      <c r="B325" s="137" t="s">
        <v>1297</v>
      </c>
      <c r="C325" s="147" t="s">
        <v>994</v>
      </c>
      <c r="D325" s="147" t="s">
        <v>1298</v>
      </c>
      <c r="E325" s="147" t="s">
        <v>114</v>
      </c>
      <c r="F325" s="147" t="s">
        <v>319</v>
      </c>
      <c r="G325" s="141">
        <v>4200</v>
      </c>
      <c r="H325" s="142">
        <v>2550</v>
      </c>
      <c r="I325" s="144">
        <f t="shared" ref="I325:I392" si="71">G325*H325</f>
        <v>10710000</v>
      </c>
      <c r="J325" s="193"/>
      <c r="K325" s="141">
        <f>G325</f>
        <v>4200</v>
      </c>
      <c r="L325" s="143">
        <f t="shared" si="53"/>
        <v>2550</v>
      </c>
      <c r="M325" s="144">
        <f t="shared" si="54"/>
        <v>10710000</v>
      </c>
      <c r="N325" s="135" t="s">
        <v>1509</v>
      </c>
      <c r="O325" s="193"/>
      <c r="P325" s="145">
        <v>0</v>
      </c>
      <c r="Q325" s="143">
        <f t="shared" si="51"/>
        <v>2550</v>
      </c>
      <c r="R325" s="144">
        <f t="shared" si="52"/>
        <v>0</v>
      </c>
      <c r="S325" s="135" t="s">
        <v>146</v>
      </c>
      <c r="T325" s="193"/>
      <c r="U325" s="145">
        <f t="shared" ref="U325:U392" si="72">G325-K325-P325</f>
        <v>0</v>
      </c>
      <c r="V325" s="144">
        <f t="shared" ref="V325:V392" si="73">I325-M325-R325</f>
        <v>0</v>
      </c>
      <c r="W325" s="193"/>
      <c r="X325" s="147"/>
    </row>
    <row r="326" spans="2:24" x14ac:dyDescent="0.35">
      <c r="B326" s="137" t="s">
        <v>1299</v>
      </c>
      <c r="C326" s="147" t="s">
        <v>201</v>
      </c>
      <c r="D326" s="147" t="s">
        <v>1301</v>
      </c>
      <c r="E326" s="147" t="s">
        <v>114</v>
      </c>
      <c r="F326" s="147" t="s">
        <v>319</v>
      </c>
      <c r="G326" s="141">
        <v>4200</v>
      </c>
      <c r="H326" s="142">
        <v>2550</v>
      </c>
      <c r="I326" s="144">
        <f t="shared" si="71"/>
        <v>10710000</v>
      </c>
      <c r="J326" s="193"/>
      <c r="K326" s="141">
        <f>G326</f>
        <v>4200</v>
      </c>
      <c r="L326" s="143">
        <f t="shared" ref="L326" si="74">H326</f>
        <v>2550</v>
      </c>
      <c r="M326" s="144">
        <f t="shared" ref="M326" si="75">K326*L326</f>
        <v>10710000</v>
      </c>
      <c r="N326" s="135" t="s">
        <v>1508</v>
      </c>
      <c r="O326" s="193"/>
      <c r="P326" s="145">
        <v>0</v>
      </c>
      <c r="Q326" s="143">
        <f t="shared" si="51"/>
        <v>2550</v>
      </c>
      <c r="R326" s="144">
        <f t="shared" si="52"/>
        <v>0</v>
      </c>
      <c r="S326" s="135" t="s">
        <v>146</v>
      </c>
      <c r="T326" s="193"/>
      <c r="U326" s="145">
        <f t="shared" si="72"/>
        <v>0</v>
      </c>
      <c r="V326" s="144">
        <f t="shared" si="73"/>
        <v>0</v>
      </c>
      <c r="W326" s="193"/>
      <c r="X326" s="147"/>
    </row>
    <row r="327" spans="2:24" x14ac:dyDescent="0.35">
      <c r="B327" s="137" t="s">
        <v>1303</v>
      </c>
      <c r="C327" s="147" t="s">
        <v>946</v>
      </c>
      <c r="D327" s="139" t="s">
        <v>1304</v>
      </c>
      <c r="E327" s="147" t="s">
        <v>114</v>
      </c>
      <c r="F327" s="147" t="s">
        <v>106</v>
      </c>
      <c r="G327" s="141">
        <v>4200</v>
      </c>
      <c r="H327" s="142">
        <v>2445</v>
      </c>
      <c r="I327" s="144">
        <f t="shared" si="71"/>
        <v>10269000</v>
      </c>
      <c r="J327" s="193"/>
      <c r="K327" s="141">
        <v>2520</v>
      </c>
      <c r="L327" s="143">
        <f>H327</f>
        <v>2445</v>
      </c>
      <c r="M327" s="144">
        <f>K327*L327</f>
        <v>6161400</v>
      </c>
      <c r="N327" s="135" t="s">
        <v>1335</v>
      </c>
      <c r="O327" s="193"/>
      <c r="P327" s="145">
        <v>0</v>
      </c>
      <c r="Q327" s="143">
        <f t="shared" ref="Q327:Q392" si="76">H327</f>
        <v>2445</v>
      </c>
      <c r="R327" s="144">
        <f t="shared" ref="R327:R392" si="77">P327*Q327</f>
        <v>0</v>
      </c>
      <c r="S327" s="135" t="s">
        <v>146</v>
      </c>
      <c r="T327" s="193"/>
      <c r="U327" s="145">
        <f t="shared" si="72"/>
        <v>1680</v>
      </c>
      <c r="V327" s="144">
        <f t="shared" si="73"/>
        <v>4107600</v>
      </c>
      <c r="W327" s="193"/>
      <c r="X327" s="147"/>
    </row>
    <row r="328" spans="2:24" x14ac:dyDescent="0.35">
      <c r="B328" s="137" t="s">
        <v>1307</v>
      </c>
      <c r="C328" s="147" t="s">
        <v>398</v>
      </c>
      <c r="D328" s="147" t="s">
        <v>1120</v>
      </c>
      <c r="E328" s="147" t="s">
        <v>248</v>
      </c>
      <c r="F328" s="147" t="s">
        <v>106</v>
      </c>
      <c r="G328" s="141">
        <v>1752</v>
      </c>
      <c r="H328" s="142">
        <v>2445</v>
      </c>
      <c r="I328" s="144">
        <f t="shared" si="71"/>
        <v>4283640</v>
      </c>
      <c r="J328" s="193"/>
      <c r="K328" s="141">
        <v>0</v>
      </c>
      <c r="L328" s="143">
        <f t="shared" ref="L328:L392" si="78">H328</f>
        <v>2445</v>
      </c>
      <c r="M328" s="144">
        <f t="shared" ref="M328:M392" si="79">K328*L328</f>
        <v>0</v>
      </c>
      <c r="N328" s="135" t="s">
        <v>146</v>
      </c>
      <c r="O328" s="193"/>
      <c r="P328" s="145">
        <v>0</v>
      </c>
      <c r="Q328" s="143">
        <f t="shared" si="76"/>
        <v>2445</v>
      </c>
      <c r="R328" s="144">
        <f t="shared" si="77"/>
        <v>0</v>
      </c>
      <c r="S328" s="135" t="s">
        <v>146</v>
      </c>
      <c r="T328" s="193"/>
      <c r="U328" s="145">
        <f t="shared" si="72"/>
        <v>1752</v>
      </c>
      <c r="V328" s="144">
        <f t="shared" si="73"/>
        <v>4283640</v>
      </c>
      <c r="W328" s="193"/>
      <c r="X328" s="147"/>
    </row>
    <row r="329" spans="2:24" x14ac:dyDescent="0.35">
      <c r="B329" s="137" t="s">
        <v>1308</v>
      </c>
      <c r="C329" s="147" t="s">
        <v>952</v>
      </c>
      <c r="D329" s="139" t="s">
        <v>1124</v>
      </c>
      <c r="E329" s="147" t="s">
        <v>248</v>
      </c>
      <c r="F329" s="147" t="s">
        <v>106</v>
      </c>
      <c r="G329" s="141">
        <v>1746</v>
      </c>
      <c r="H329" s="142">
        <v>2445</v>
      </c>
      <c r="I329" s="144">
        <f t="shared" si="71"/>
        <v>4268970</v>
      </c>
      <c r="J329" s="193"/>
      <c r="K329" s="141">
        <v>0</v>
      </c>
      <c r="L329" s="143">
        <f t="shared" si="78"/>
        <v>2445</v>
      </c>
      <c r="M329" s="144">
        <f t="shared" si="79"/>
        <v>0</v>
      </c>
      <c r="N329" s="135" t="s">
        <v>146</v>
      </c>
      <c r="O329" s="193"/>
      <c r="P329" s="145">
        <v>0</v>
      </c>
      <c r="Q329" s="143">
        <f t="shared" si="76"/>
        <v>2445</v>
      </c>
      <c r="R329" s="144">
        <f t="shared" si="77"/>
        <v>0</v>
      </c>
      <c r="S329" s="135" t="s">
        <v>146</v>
      </c>
      <c r="T329" s="193"/>
      <c r="U329" s="145">
        <f t="shared" si="72"/>
        <v>1746</v>
      </c>
      <c r="V329" s="144">
        <f t="shared" si="73"/>
        <v>4268970</v>
      </c>
      <c r="W329" s="193"/>
      <c r="X329" s="147"/>
    </row>
    <row r="330" spans="2:24" x14ac:dyDescent="0.35">
      <c r="B330" s="137" t="s">
        <v>1309</v>
      </c>
      <c r="C330" s="147" t="s">
        <v>98</v>
      </c>
      <c r="D330" s="139" t="s">
        <v>1127</v>
      </c>
      <c r="E330" s="147" t="s">
        <v>248</v>
      </c>
      <c r="F330" s="147" t="s">
        <v>106</v>
      </c>
      <c r="G330" s="141">
        <v>1739</v>
      </c>
      <c r="H330" s="142">
        <v>2445</v>
      </c>
      <c r="I330" s="144">
        <f t="shared" si="71"/>
        <v>4251855</v>
      </c>
      <c r="J330" s="193"/>
      <c r="K330" s="141">
        <v>0</v>
      </c>
      <c r="L330" s="143">
        <f t="shared" si="78"/>
        <v>2445</v>
      </c>
      <c r="M330" s="144">
        <f t="shared" si="79"/>
        <v>0</v>
      </c>
      <c r="N330" s="135" t="s">
        <v>146</v>
      </c>
      <c r="O330" s="193"/>
      <c r="P330" s="145">
        <v>0</v>
      </c>
      <c r="Q330" s="143">
        <f t="shared" si="76"/>
        <v>2445</v>
      </c>
      <c r="R330" s="144">
        <f t="shared" si="77"/>
        <v>0</v>
      </c>
      <c r="S330" s="135" t="s">
        <v>146</v>
      </c>
      <c r="T330" s="193"/>
      <c r="U330" s="145">
        <f t="shared" si="72"/>
        <v>1739</v>
      </c>
      <c r="V330" s="144">
        <f t="shared" si="73"/>
        <v>4251855</v>
      </c>
      <c r="W330" s="193"/>
      <c r="X330" s="147"/>
    </row>
    <row r="331" spans="2:24" x14ac:dyDescent="0.35">
      <c r="B331" s="137" t="s">
        <v>1310</v>
      </c>
      <c r="C331" s="147" t="s">
        <v>154</v>
      </c>
      <c r="D331" s="139" t="s">
        <v>1116</v>
      </c>
      <c r="E331" s="147" t="s">
        <v>248</v>
      </c>
      <c r="F331" s="147" t="s">
        <v>106</v>
      </c>
      <c r="G331" s="141">
        <v>1755</v>
      </c>
      <c r="H331" s="142">
        <v>2445</v>
      </c>
      <c r="I331" s="144">
        <f t="shared" si="71"/>
        <v>4290975</v>
      </c>
      <c r="J331" s="193"/>
      <c r="K331" s="141">
        <v>0</v>
      </c>
      <c r="L331" s="143">
        <f t="shared" si="78"/>
        <v>2445</v>
      </c>
      <c r="M331" s="144">
        <f t="shared" si="79"/>
        <v>0</v>
      </c>
      <c r="N331" s="135" t="s">
        <v>146</v>
      </c>
      <c r="O331" s="193"/>
      <c r="P331" s="145">
        <v>0</v>
      </c>
      <c r="Q331" s="143">
        <f t="shared" si="76"/>
        <v>2445</v>
      </c>
      <c r="R331" s="144">
        <f t="shared" si="77"/>
        <v>0</v>
      </c>
      <c r="S331" s="135" t="s">
        <v>146</v>
      </c>
      <c r="T331" s="193"/>
      <c r="U331" s="145">
        <f t="shared" si="72"/>
        <v>1755</v>
      </c>
      <c r="V331" s="144">
        <f t="shared" si="73"/>
        <v>4290975</v>
      </c>
      <c r="W331" s="193"/>
      <c r="X331" s="147"/>
    </row>
    <row r="332" spans="2:24" x14ac:dyDescent="0.35">
      <c r="B332" s="137" t="s">
        <v>1311</v>
      </c>
      <c r="C332" s="147" t="s">
        <v>976</v>
      </c>
      <c r="D332" s="139" t="s">
        <v>1314</v>
      </c>
      <c r="E332" s="147" t="s">
        <v>182</v>
      </c>
      <c r="F332" s="147" t="s">
        <v>319</v>
      </c>
      <c r="G332" s="141">
        <v>4200</v>
      </c>
      <c r="H332" s="142">
        <v>2550</v>
      </c>
      <c r="I332" s="144">
        <f t="shared" si="71"/>
        <v>10710000</v>
      </c>
      <c r="J332" s="193"/>
      <c r="K332" s="141">
        <v>4200</v>
      </c>
      <c r="L332" s="143">
        <f t="shared" si="78"/>
        <v>2550</v>
      </c>
      <c r="M332" s="144">
        <f t="shared" si="79"/>
        <v>10710000</v>
      </c>
      <c r="N332" s="135" t="s">
        <v>1705</v>
      </c>
      <c r="O332" s="193"/>
      <c r="P332" s="145">
        <v>0</v>
      </c>
      <c r="Q332" s="143">
        <f t="shared" si="76"/>
        <v>2550</v>
      </c>
      <c r="R332" s="144">
        <f t="shared" si="77"/>
        <v>0</v>
      </c>
      <c r="S332" s="135" t="s">
        <v>146</v>
      </c>
      <c r="T332" s="193"/>
      <c r="U332" s="145">
        <f t="shared" si="72"/>
        <v>0</v>
      </c>
      <c r="V332" s="144">
        <f t="shared" si="73"/>
        <v>0</v>
      </c>
      <c r="W332" s="193"/>
      <c r="X332" s="147"/>
    </row>
    <row r="333" spans="2:24" x14ac:dyDescent="0.35">
      <c r="B333" s="137" t="s">
        <v>1315</v>
      </c>
      <c r="C333" s="147" t="s">
        <v>331</v>
      </c>
      <c r="D333" s="139" t="s">
        <v>1316</v>
      </c>
      <c r="E333" s="147" t="s">
        <v>182</v>
      </c>
      <c r="F333" s="147" t="s">
        <v>106</v>
      </c>
      <c r="G333" s="141">
        <v>4400</v>
      </c>
      <c r="H333" s="142">
        <v>2445</v>
      </c>
      <c r="I333" s="144">
        <f t="shared" si="71"/>
        <v>10758000</v>
      </c>
      <c r="J333" s="193"/>
      <c r="K333" s="141">
        <v>2640</v>
      </c>
      <c r="L333" s="143">
        <f t="shared" si="78"/>
        <v>2445</v>
      </c>
      <c r="M333" s="144">
        <f t="shared" si="79"/>
        <v>6454800</v>
      </c>
      <c r="N333" s="135" t="s">
        <v>1357</v>
      </c>
      <c r="O333" s="193"/>
      <c r="P333" s="145">
        <v>1435.06</v>
      </c>
      <c r="Q333" s="143">
        <f t="shared" si="76"/>
        <v>2445</v>
      </c>
      <c r="R333" s="144">
        <f t="shared" si="77"/>
        <v>3508721.6999999997</v>
      </c>
      <c r="S333" s="135" t="s">
        <v>1730</v>
      </c>
      <c r="T333" s="193"/>
      <c r="U333" s="145">
        <f t="shared" si="72"/>
        <v>324.94000000000005</v>
      </c>
      <c r="V333" s="144">
        <f t="shared" si="73"/>
        <v>794478.30000000028</v>
      </c>
      <c r="W333" s="193"/>
      <c r="X333" s="147" t="s">
        <v>1731</v>
      </c>
    </row>
    <row r="334" spans="2:24" x14ac:dyDescent="0.35">
      <c r="B334" s="137" t="s">
        <v>1317</v>
      </c>
      <c r="C334" s="147" t="s">
        <v>971</v>
      </c>
      <c r="D334" s="139" t="s">
        <v>1318</v>
      </c>
      <c r="E334" s="147" t="s">
        <v>114</v>
      </c>
      <c r="F334" s="147" t="s">
        <v>106</v>
      </c>
      <c r="G334" s="141">
        <v>4200</v>
      </c>
      <c r="H334" s="142">
        <v>2445</v>
      </c>
      <c r="I334" s="144">
        <f t="shared" si="71"/>
        <v>10269000</v>
      </c>
      <c r="J334" s="193"/>
      <c r="K334" s="141">
        <v>2520</v>
      </c>
      <c r="L334" s="143">
        <f t="shared" si="78"/>
        <v>2445</v>
      </c>
      <c r="M334" s="144">
        <f t="shared" si="79"/>
        <v>6161400</v>
      </c>
      <c r="N334" s="135" t="s">
        <v>1357</v>
      </c>
      <c r="O334" s="193"/>
      <c r="P334" s="145">
        <v>1620</v>
      </c>
      <c r="Q334" s="143">
        <f t="shared" si="76"/>
        <v>2445</v>
      </c>
      <c r="R334" s="144">
        <f t="shared" si="77"/>
        <v>3960900</v>
      </c>
      <c r="S334" s="135" t="s">
        <v>1745</v>
      </c>
      <c r="T334" s="193"/>
      <c r="U334" s="145">
        <f t="shared" si="72"/>
        <v>60</v>
      </c>
      <c r="V334" s="144">
        <f t="shared" si="73"/>
        <v>146700</v>
      </c>
      <c r="W334" s="193"/>
      <c r="X334" s="147"/>
    </row>
    <row r="335" spans="2:24" x14ac:dyDescent="0.35">
      <c r="B335" s="137" t="s">
        <v>1320</v>
      </c>
      <c r="C335" s="147" t="s">
        <v>154</v>
      </c>
      <c r="D335" s="139" t="s">
        <v>1321</v>
      </c>
      <c r="E335" s="147" t="s">
        <v>182</v>
      </c>
      <c r="F335" s="147" t="s">
        <v>106</v>
      </c>
      <c r="G335" s="141">
        <v>4400</v>
      </c>
      <c r="H335" s="142">
        <v>2445</v>
      </c>
      <c r="I335" s="144">
        <f t="shared" si="71"/>
        <v>10758000</v>
      </c>
      <c r="J335" s="193"/>
      <c r="K335" s="141">
        <v>2640</v>
      </c>
      <c r="L335" s="143">
        <f t="shared" si="78"/>
        <v>2445</v>
      </c>
      <c r="M335" s="144">
        <f t="shared" si="79"/>
        <v>6454800</v>
      </c>
      <c r="N335" s="135" t="s">
        <v>1358</v>
      </c>
      <c r="O335" s="193"/>
      <c r="P335" s="145">
        <v>1740</v>
      </c>
      <c r="Q335" s="143">
        <f t="shared" si="76"/>
        <v>2445</v>
      </c>
      <c r="R335" s="144">
        <f t="shared" si="77"/>
        <v>4254300</v>
      </c>
      <c r="S335" s="135" t="s">
        <v>1744</v>
      </c>
      <c r="T335" s="193"/>
      <c r="U335" s="145">
        <f t="shared" si="72"/>
        <v>20</v>
      </c>
      <c r="V335" s="144">
        <f t="shared" si="73"/>
        <v>48900</v>
      </c>
      <c r="W335" s="193"/>
      <c r="X335" s="147"/>
    </row>
    <row r="336" spans="2:24" x14ac:dyDescent="0.35">
      <c r="B336" s="137" t="s">
        <v>1324</v>
      </c>
      <c r="C336" s="147" t="s">
        <v>98</v>
      </c>
      <c r="D336" s="139" t="s">
        <v>1325</v>
      </c>
      <c r="E336" s="147" t="s">
        <v>182</v>
      </c>
      <c r="F336" s="147" t="s">
        <v>106</v>
      </c>
      <c r="G336" s="141">
        <v>4400</v>
      </c>
      <c r="H336" s="142">
        <v>2445</v>
      </c>
      <c r="I336" s="144">
        <f t="shared" si="71"/>
        <v>10758000</v>
      </c>
      <c r="J336" s="193"/>
      <c r="K336" s="141">
        <v>2640</v>
      </c>
      <c r="L336" s="143">
        <f t="shared" si="78"/>
        <v>2445</v>
      </c>
      <c r="M336" s="144">
        <f t="shared" si="79"/>
        <v>6454800</v>
      </c>
      <c r="N336" s="135" t="s">
        <v>1357</v>
      </c>
      <c r="O336" s="193"/>
      <c r="P336" s="145">
        <v>0</v>
      </c>
      <c r="Q336" s="143">
        <f t="shared" si="76"/>
        <v>2445</v>
      </c>
      <c r="R336" s="144">
        <f t="shared" si="77"/>
        <v>0</v>
      </c>
      <c r="S336" s="135" t="s">
        <v>146</v>
      </c>
      <c r="T336" s="193"/>
      <c r="U336" s="145">
        <f t="shared" si="72"/>
        <v>1760</v>
      </c>
      <c r="V336" s="144">
        <f t="shared" si="73"/>
        <v>4303200</v>
      </c>
      <c r="W336" s="193"/>
      <c r="X336" s="147"/>
    </row>
    <row r="337" spans="2:24" x14ac:dyDescent="0.35">
      <c r="B337" s="137" t="s">
        <v>1328</v>
      </c>
      <c r="C337" s="147" t="s">
        <v>733</v>
      </c>
      <c r="D337" s="139" t="s">
        <v>1329</v>
      </c>
      <c r="E337" s="147" t="s">
        <v>564</v>
      </c>
      <c r="F337" s="147" t="s">
        <v>106</v>
      </c>
      <c r="G337" s="141">
        <v>4400</v>
      </c>
      <c r="H337" s="142">
        <v>2445</v>
      </c>
      <c r="I337" s="144">
        <f t="shared" si="71"/>
        <v>10758000</v>
      </c>
      <c r="J337" s="193"/>
      <c r="K337" s="141">
        <v>2640</v>
      </c>
      <c r="L337" s="143">
        <f>H337</f>
        <v>2445</v>
      </c>
      <c r="M337" s="144">
        <f>K337*L337</f>
        <v>6454800</v>
      </c>
      <c r="N337" s="135" t="s">
        <v>1358</v>
      </c>
      <c r="O337" s="193"/>
      <c r="P337" s="145">
        <v>0</v>
      </c>
      <c r="Q337" s="143">
        <f t="shared" si="76"/>
        <v>2445</v>
      </c>
      <c r="R337" s="144">
        <f t="shared" si="77"/>
        <v>0</v>
      </c>
      <c r="S337" s="135" t="s">
        <v>146</v>
      </c>
      <c r="T337" s="193"/>
      <c r="U337" s="145">
        <f t="shared" si="72"/>
        <v>1760</v>
      </c>
      <c r="V337" s="144">
        <f t="shared" si="73"/>
        <v>4303200</v>
      </c>
      <c r="W337" s="193"/>
      <c r="X337" s="147"/>
    </row>
    <row r="338" spans="2:24" x14ac:dyDescent="0.35">
      <c r="B338" s="137" t="s">
        <v>1336</v>
      </c>
      <c r="C338" s="147" t="s">
        <v>952</v>
      </c>
      <c r="D338" s="139" t="s">
        <v>1337</v>
      </c>
      <c r="E338" s="147" t="s">
        <v>182</v>
      </c>
      <c r="F338" s="147" t="s">
        <v>106</v>
      </c>
      <c r="G338" s="141">
        <v>4400</v>
      </c>
      <c r="H338" s="142">
        <v>2445</v>
      </c>
      <c r="I338" s="144">
        <f>G338*H338</f>
        <v>10758000</v>
      </c>
      <c r="J338" s="193"/>
      <c r="K338" s="141">
        <v>2640</v>
      </c>
      <c r="L338" s="143">
        <f>H338</f>
        <v>2445</v>
      </c>
      <c r="M338" s="144">
        <f>K338*L338</f>
        <v>6454800</v>
      </c>
      <c r="N338" s="135" t="s">
        <v>1358</v>
      </c>
      <c r="O338" s="193"/>
      <c r="P338" s="145">
        <v>0</v>
      </c>
      <c r="Q338" s="143">
        <f t="shared" si="76"/>
        <v>2445</v>
      </c>
      <c r="R338" s="144">
        <f t="shared" si="77"/>
        <v>0</v>
      </c>
      <c r="S338" s="135" t="s">
        <v>146</v>
      </c>
      <c r="T338" s="193"/>
      <c r="U338" s="145">
        <f t="shared" si="72"/>
        <v>1760</v>
      </c>
      <c r="V338" s="144">
        <f t="shared" si="73"/>
        <v>4303200</v>
      </c>
      <c r="W338" s="193"/>
      <c r="X338" s="147"/>
    </row>
    <row r="339" spans="2:24" x14ac:dyDescent="0.35">
      <c r="B339" s="137" t="s">
        <v>1342</v>
      </c>
      <c r="C339" s="147" t="s">
        <v>398</v>
      </c>
      <c r="D339" s="139" t="s">
        <v>1343</v>
      </c>
      <c r="E339" s="147" t="s">
        <v>182</v>
      </c>
      <c r="F339" s="147" t="s">
        <v>106</v>
      </c>
      <c r="G339" s="141">
        <v>4400</v>
      </c>
      <c r="H339" s="142">
        <v>2445</v>
      </c>
      <c r="I339" s="144">
        <f t="shared" si="71"/>
        <v>10758000</v>
      </c>
      <c r="J339" s="193"/>
      <c r="K339" s="141">
        <v>2640</v>
      </c>
      <c r="L339" s="143">
        <f t="shared" si="78"/>
        <v>2445</v>
      </c>
      <c r="M339" s="144">
        <f t="shared" si="79"/>
        <v>6454800</v>
      </c>
      <c r="N339" s="135" t="s">
        <v>1372</v>
      </c>
      <c r="O339" s="193"/>
      <c r="P339" s="145">
        <v>1500</v>
      </c>
      <c r="Q339" s="143">
        <f t="shared" si="76"/>
        <v>2445</v>
      </c>
      <c r="R339" s="144">
        <f t="shared" si="77"/>
        <v>3667500</v>
      </c>
      <c r="S339" s="135" t="s">
        <v>1730</v>
      </c>
      <c r="T339" s="193"/>
      <c r="U339" s="145">
        <f t="shared" si="72"/>
        <v>260</v>
      </c>
      <c r="V339" s="144">
        <f t="shared" si="73"/>
        <v>635700</v>
      </c>
      <c r="W339" s="193"/>
      <c r="X339" s="147" t="s">
        <v>1729</v>
      </c>
    </row>
    <row r="340" spans="2:24" x14ac:dyDescent="0.35">
      <c r="B340" s="137" t="s">
        <v>1346</v>
      </c>
      <c r="C340" s="147" t="s">
        <v>796</v>
      </c>
      <c r="D340" s="139" t="s">
        <v>1347</v>
      </c>
      <c r="E340" s="147" t="s">
        <v>182</v>
      </c>
      <c r="F340" s="147" t="s">
        <v>319</v>
      </c>
      <c r="G340" s="141">
        <v>4200</v>
      </c>
      <c r="H340" s="142">
        <v>2550</v>
      </c>
      <c r="I340" s="144">
        <f t="shared" si="71"/>
        <v>10710000</v>
      </c>
      <c r="J340" s="193"/>
      <c r="K340" s="141">
        <v>4200</v>
      </c>
      <c r="L340" s="143">
        <f t="shared" ref="L340" si="80">H340</f>
        <v>2550</v>
      </c>
      <c r="M340" s="144">
        <f t="shared" ref="M340" si="81">K340*L340</f>
        <v>10710000</v>
      </c>
      <c r="N340" s="135" t="s">
        <v>1705</v>
      </c>
      <c r="O340" s="193"/>
      <c r="P340" s="145">
        <v>0</v>
      </c>
      <c r="Q340" s="143">
        <f t="shared" si="76"/>
        <v>2550</v>
      </c>
      <c r="R340" s="144">
        <f t="shared" si="77"/>
        <v>0</v>
      </c>
      <c r="S340" s="135" t="s">
        <v>146</v>
      </c>
      <c r="T340" s="193"/>
      <c r="U340" s="145">
        <f t="shared" si="72"/>
        <v>0</v>
      </c>
      <c r="V340" s="144">
        <f t="shared" si="73"/>
        <v>0</v>
      </c>
      <c r="W340" s="193"/>
      <c r="X340" s="147"/>
    </row>
    <row r="341" spans="2:24" x14ac:dyDescent="0.35">
      <c r="B341" s="137" t="s">
        <v>1350</v>
      </c>
      <c r="C341" s="147" t="s">
        <v>202</v>
      </c>
      <c r="D341" s="139" t="s">
        <v>1351</v>
      </c>
      <c r="E341" s="147" t="s">
        <v>182</v>
      </c>
      <c r="F341" s="147" t="s">
        <v>319</v>
      </c>
      <c r="G341" s="141">
        <v>4200</v>
      </c>
      <c r="H341" s="142">
        <v>2550</v>
      </c>
      <c r="I341" s="144">
        <f t="shared" si="71"/>
        <v>10710000</v>
      </c>
      <c r="J341" s="193"/>
      <c r="K341" s="141">
        <v>4200</v>
      </c>
      <c r="L341" s="143">
        <f t="shared" ref="L341" si="82">H341</f>
        <v>2550</v>
      </c>
      <c r="M341" s="144">
        <f t="shared" ref="M341" si="83">K341*L341</f>
        <v>10710000</v>
      </c>
      <c r="N341" s="135" t="s">
        <v>1544</v>
      </c>
      <c r="O341" s="193"/>
      <c r="P341" s="145">
        <v>0</v>
      </c>
      <c r="Q341" s="143">
        <f t="shared" si="76"/>
        <v>2550</v>
      </c>
      <c r="R341" s="144">
        <f t="shared" si="77"/>
        <v>0</v>
      </c>
      <c r="S341" s="135" t="s">
        <v>146</v>
      </c>
      <c r="T341" s="193"/>
      <c r="U341" s="145">
        <f t="shared" si="72"/>
        <v>0</v>
      </c>
      <c r="V341" s="144">
        <f t="shared" si="73"/>
        <v>0</v>
      </c>
      <c r="W341" s="193"/>
      <c r="X341" s="147"/>
    </row>
    <row r="342" spans="2:24" x14ac:dyDescent="0.35">
      <c r="B342" s="137" t="s">
        <v>1353</v>
      </c>
      <c r="C342" s="147" t="s">
        <v>999</v>
      </c>
      <c r="D342" s="147" t="s">
        <v>1354</v>
      </c>
      <c r="E342" s="147" t="s">
        <v>182</v>
      </c>
      <c r="F342" s="147" t="s">
        <v>319</v>
      </c>
      <c r="G342" s="141">
        <v>4200</v>
      </c>
      <c r="H342" s="142">
        <v>2550</v>
      </c>
      <c r="I342" s="144">
        <f t="shared" si="71"/>
        <v>10710000</v>
      </c>
      <c r="J342" s="193"/>
      <c r="K342" s="141">
        <v>4200</v>
      </c>
      <c r="L342" s="143">
        <f t="shared" si="78"/>
        <v>2550</v>
      </c>
      <c r="M342" s="144">
        <f t="shared" si="79"/>
        <v>10710000</v>
      </c>
      <c r="N342" s="135" t="s">
        <v>1544</v>
      </c>
      <c r="O342" s="193"/>
      <c r="P342" s="145">
        <v>0</v>
      </c>
      <c r="Q342" s="143">
        <f t="shared" si="76"/>
        <v>2550</v>
      </c>
      <c r="R342" s="144">
        <f t="shared" si="77"/>
        <v>0</v>
      </c>
      <c r="S342" s="135" t="s">
        <v>146</v>
      </c>
      <c r="T342" s="193"/>
      <c r="U342" s="145">
        <f t="shared" si="72"/>
        <v>0</v>
      </c>
      <c r="V342" s="144">
        <f t="shared" si="73"/>
        <v>0</v>
      </c>
      <c r="W342" s="193"/>
      <c r="X342" s="147"/>
    </row>
    <row r="343" spans="2:24" x14ac:dyDescent="0.35">
      <c r="B343" s="137" t="s">
        <v>1359</v>
      </c>
      <c r="C343" s="147" t="s">
        <v>194</v>
      </c>
      <c r="D343" s="147" t="s">
        <v>1360</v>
      </c>
      <c r="E343" s="147" t="s">
        <v>114</v>
      </c>
      <c r="F343" s="147" t="s">
        <v>319</v>
      </c>
      <c r="G343" s="141">
        <v>4200</v>
      </c>
      <c r="H343" s="142">
        <v>2550</v>
      </c>
      <c r="I343" s="144">
        <f t="shared" si="71"/>
        <v>10710000</v>
      </c>
      <c r="J343" s="193"/>
      <c r="K343" s="141">
        <v>4200</v>
      </c>
      <c r="L343" s="143">
        <f t="shared" si="78"/>
        <v>2550</v>
      </c>
      <c r="M343" s="144">
        <f t="shared" si="79"/>
        <v>10710000</v>
      </c>
      <c r="N343" s="135" t="s">
        <v>1725</v>
      </c>
      <c r="O343" s="193"/>
      <c r="P343" s="145">
        <v>0</v>
      </c>
      <c r="Q343" s="143">
        <f t="shared" si="76"/>
        <v>2550</v>
      </c>
      <c r="R343" s="144">
        <f t="shared" si="77"/>
        <v>0</v>
      </c>
      <c r="S343" s="135" t="s">
        <v>146</v>
      </c>
      <c r="T343" s="193"/>
      <c r="U343" s="145">
        <f t="shared" si="72"/>
        <v>0</v>
      </c>
      <c r="V343" s="144">
        <f t="shared" si="73"/>
        <v>0</v>
      </c>
      <c r="W343" s="193"/>
      <c r="X343" s="147"/>
    </row>
    <row r="344" spans="2:24" x14ac:dyDescent="0.35">
      <c r="B344" s="137" t="s">
        <v>1367</v>
      </c>
      <c r="C344" s="147" t="s">
        <v>180</v>
      </c>
      <c r="D344" s="147" t="s">
        <v>1195</v>
      </c>
      <c r="E344" s="147" t="s">
        <v>248</v>
      </c>
      <c r="F344" s="147" t="s">
        <v>106</v>
      </c>
      <c r="G344" s="141">
        <v>1777</v>
      </c>
      <c r="H344" s="142">
        <v>2445</v>
      </c>
      <c r="I344" s="144">
        <f t="shared" si="71"/>
        <v>4344765</v>
      </c>
      <c r="J344" s="193"/>
      <c r="K344" s="141">
        <f>G344</f>
        <v>1777</v>
      </c>
      <c r="L344" s="143">
        <f t="shared" si="78"/>
        <v>2445</v>
      </c>
      <c r="M344" s="144">
        <f t="shared" si="79"/>
        <v>4344765</v>
      </c>
      <c r="N344" s="135" t="s">
        <v>1582</v>
      </c>
      <c r="O344" s="193"/>
      <c r="P344" s="145">
        <v>0</v>
      </c>
      <c r="Q344" s="143">
        <f t="shared" si="76"/>
        <v>2445</v>
      </c>
      <c r="R344" s="144">
        <f t="shared" si="77"/>
        <v>0</v>
      </c>
      <c r="S344" s="135" t="s">
        <v>146</v>
      </c>
      <c r="T344" s="193"/>
      <c r="U344" s="145">
        <f t="shared" si="72"/>
        <v>0</v>
      </c>
      <c r="V344" s="144">
        <f t="shared" si="73"/>
        <v>0</v>
      </c>
      <c r="W344" s="193"/>
      <c r="X344" s="147"/>
    </row>
    <row r="345" spans="2:24" x14ac:dyDescent="0.35">
      <c r="B345" s="137" t="s">
        <v>1368</v>
      </c>
      <c r="C345" s="147" t="s">
        <v>1021</v>
      </c>
      <c r="D345" s="139" t="s">
        <v>1370</v>
      </c>
      <c r="E345" s="147" t="s">
        <v>248</v>
      </c>
      <c r="F345" s="147" t="s">
        <v>106</v>
      </c>
      <c r="G345" s="141">
        <v>1618</v>
      </c>
      <c r="H345" s="142">
        <v>2445</v>
      </c>
      <c r="I345" s="144">
        <f t="shared" si="71"/>
        <v>3956010</v>
      </c>
      <c r="J345" s="193"/>
      <c r="K345" s="141">
        <f>G345</f>
        <v>1618</v>
      </c>
      <c r="L345" s="143">
        <f t="shared" ref="L345" si="84">H345</f>
        <v>2445</v>
      </c>
      <c r="M345" s="144">
        <f t="shared" ref="M345" si="85">K345*L345</f>
        <v>3956010</v>
      </c>
      <c r="N345" s="135" t="s">
        <v>1582</v>
      </c>
      <c r="O345" s="193"/>
      <c r="P345" s="145">
        <v>0</v>
      </c>
      <c r="Q345" s="143">
        <f t="shared" si="76"/>
        <v>2445</v>
      </c>
      <c r="R345" s="144">
        <f t="shared" si="77"/>
        <v>0</v>
      </c>
      <c r="S345" s="135" t="s">
        <v>146</v>
      </c>
      <c r="T345" s="193"/>
      <c r="U345" s="145">
        <f t="shared" si="72"/>
        <v>0</v>
      </c>
      <c r="V345" s="144">
        <f t="shared" si="73"/>
        <v>0</v>
      </c>
      <c r="W345" s="193"/>
      <c r="X345" s="147"/>
    </row>
    <row r="346" spans="2:24" x14ac:dyDescent="0.35">
      <c r="B346" s="137" t="s">
        <v>1369</v>
      </c>
      <c r="C346" s="147" t="s">
        <v>986</v>
      </c>
      <c r="D346" s="139" t="s">
        <v>1371</v>
      </c>
      <c r="E346" s="147" t="s">
        <v>248</v>
      </c>
      <c r="F346" s="147" t="s">
        <v>106</v>
      </c>
      <c r="G346" s="141">
        <v>1656</v>
      </c>
      <c r="H346" s="142">
        <v>2445</v>
      </c>
      <c r="I346" s="144">
        <f t="shared" si="71"/>
        <v>4048920</v>
      </c>
      <c r="J346" s="193"/>
      <c r="K346" s="141">
        <v>0</v>
      </c>
      <c r="L346" s="143">
        <f t="shared" si="78"/>
        <v>2445</v>
      </c>
      <c r="M346" s="144">
        <f t="shared" si="79"/>
        <v>0</v>
      </c>
      <c r="N346" s="135" t="s">
        <v>146</v>
      </c>
      <c r="O346" s="193"/>
      <c r="P346" s="145">
        <v>0</v>
      </c>
      <c r="Q346" s="143">
        <f t="shared" si="76"/>
        <v>2445</v>
      </c>
      <c r="R346" s="144">
        <f t="shared" si="77"/>
        <v>0</v>
      </c>
      <c r="S346" s="135" t="s">
        <v>146</v>
      </c>
      <c r="T346" s="193"/>
      <c r="U346" s="145">
        <f t="shared" si="72"/>
        <v>1656</v>
      </c>
      <c r="V346" s="144">
        <f t="shared" si="73"/>
        <v>4048920</v>
      </c>
      <c r="W346" s="193"/>
      <c r="X346" s="147"/>
    </row>
    <row r="347" spans="2:24" x14ac:dyDescent="0.35">
      <c r="B347" s="137" t="s">
        <v>1377</v>
      </c>
      <c r="C347" s="147" t="s">
        <v>180</v>
      </c>
      <c r="D347" s="139" t="s">
        <v>1378</v>
      </c>
      <c r="E347" s="147" t="s">
        <v>182</v>
      </c>
      <c r="F347" s="147" t="s">
        <v>106</v>
      </c>
      <c r="G347" s="141">
        <v>4400</v>
      </c>
      <c r="H347" s="142">
        <v>2445</v>
      </c>
      <c r="I347" s="144">
        <f t="shared" si="71"/>
        <v>10758000</v>
      </c>
      <c r="J347" s="193"/>
      <c r="K347" s="141">
        <v>2640</v>
      </c>
      <c r="L347" s="143">
        <f t="shared" si="78"/>
        <v>2445</v>
      </c>
      <c r="M347" s="144">
        <f t="shared" si="79"/>
        <v>6454800</v>
      </c>
      <c r="N347" s="135" t="s">
        <v>1403</v>
      </c>
      <c r="O347" s="193"/>
      <c r="P347" s="145">
        <v>1620</v>
      </c>
      <c r="Q347" s="143">
        <f t="shared" si="76"/>
        <v>2445</v>
      </c>
      <c r="R347" s="144">
        <f t="shared" si="77"/>
        <v>3960900</v>
      </c>
      <c r="S347" s="135" t="s">
        <v>1745</v>
      </c>
      <c r="T347" s="193"/>
      <c r="U347" s="145">
        <f t="shared" si="72"/>
        <v>140</v>
      </c>
      <c r="V347" s="144">
        <f t="shared" si="73"/>
        <v>342300</v>
      </c>
      <c r="W347" s="193"/>
      <c r="X347" s="147"/>
    </row>
    <row r="348" spans="2:24" x14ac:dyDescent="0.35">
      <c r="B348" s="137" t="s">
        <v>1381</v>
      </c>
      <c r="C348" s="147" t="s">
        <v>986</v>
      </c>
      <c r="D348" s="147" t="s">
        <v>1382</v>
      </c>
      <c r="E348" s="147" t="s">
        <v>182</v>
      </c>
      <c r="F348" s="147" t="s">
        <v>106</v>
      </c>
      <c r="G348" s="141">
        <v>4400</v>
      </c>
      <c r="H348" s="142">
        <v>2445</v>
      </c>
      <c r="I348" s="144">
        <f t="shared" si="71"/>
        <v>10758000</v>
      </c>
      <c r="J348" s="193"/>
      <c r="K348" s="141">
        <v>2640</v>
      </c>
      <c r="L348" s="143">
        <f t="shared" si="78"/>
        <v>2445</v>
      </c>
      <c r="M348" s="144">
        <f t="shared" si="79"/>
        <v>6454800</v>
      </c>
      <c r="N348" s="135" t="s">
        <v>1403</v>
      </c>
      <c r="O348" s="193"/>
      <c r="P348" s="145">
        <v>0</v>
      </c>
      <c r="Q348" s="143">
        <f t="shared" si="76"/>
        <v>2445</v>
      </c>
      <c r="R348" s="144">
        <f t="shared" si="77"/>
        <v>0</v>
      </c>
      <c r="S348" s="135" t="s">
        <v>146</v>
      </c>
      <c r="T348" s="193"/>
      <c r="U348" s="145">
        <f t="shared" si="72"/>
        <v>1760</v>
      </c>
      <c r="V348" s="144">
        <f t="shared" si="73"/>
        <v>4303200</v>
      </c>
      <c r="W348" s="193"/>
      <c r="X348" s="147"/>
    </row>
    <row r="349" spans="2:24" x14ac:dyDescent="0.35">
      <c r="B349" s="137" t="s">
        <v>1385</v>
      </c>
      <c r="C349" s="147" t="s">
        <v>194</v>
      </c>
      <c r="D349" s="147" t="s">
        <v>1153</v>
      </c>
      <c r="E349" s="147" t="s">
        <v>248</v>
      </c>
      <c r="F349" s="147" t="s">
        <v>106</v>
      </c>
      <c r="G349" s="141">
        <v>1536</v>
      </c>
      <c r="H349" s="142">
        <v>2445</v>
      </c>
      <c r="I349" s="144">
        <f t="shared" si="71"/>
        <v>3755520</v>
      </c>
      <c r="J349" s="193"/>
      <c r="K349" s="141">
        <v>0</v>
      </c>
      <c r="L349" s="143">
        <f t="shared" si="78"/>
        <v>2445</v>
      </c>
      <c r="M349" s="144">
        <f t="shared" si="79"/>
        <v>0</v>
      </c>
      <c r="N349" s="135" t="s">
        <v>146</v>
      </c>
      <c r="O349" s="193"/>
      <c r="P349" s="145">
        <v>1620</v>
      </c>
      <c r="Q349" s="143">
        <f t="shared" si="76"/>
        <v>2445</v>
      </c>
      <c r="R349" s="144">
        <f t="shared" si="77"/>
        <v>3960900</v>
      </c>
      <c r="S349" s="135" t="s">
        <v>1751</v>
      </c>
      <c r="T349" s="193"/>
      <c r="U349" s="145">
        <f t="shared" si="72"/>
        <v>-84</v>
      </c>
      <c r="V349" s="144">
        <f t="shared" si="73"/>
        <v>-205380</v>
      </c>
      <c r="W349" s="193"/>
      <c r="X349" s="147"/>
    </row>
    <row r="350" spans="2:24" x14ac:dyDescent="0.35">
      <c r="B350" s="137" t="s">
        <v>1392</v>
      </c>
      <c r="C350" s="147" t="s">
        <v>1021</v>
      </c>
      <c r="D350" s="147" t="s">
        <v>1393</v>
      </c>
      <c r="E350" s="147" t="s">
        <v>182</v>
      </c>
      <c r="F350" s="147" t="s">
        <v>106</v>
      </c>
      <c r="G350" s="141">
        <v>4400</v>
      </c>
      <c r="H350" s="142">
        <v>2445</v>
      </c>
      <c r="I350" s="144">
        <f t="shared" si="71"/>
        <v>10758000</v>
      </c>
      <c r="J350" s="193"/>
      <c r="K350" s="141">
        <v>2640</v>
      </c>
      <c r="L350" s="143">
        <f t="shared" si="78"/>
        <v>2445</v>
      </c>
      <c r="M350" s="144">
        <f t="shared" si="79"/>
        <v>6454800</v>
      </c>
      <c r="N350" s="135" t="s">
        <v>1402</v>
      </c>
      <c r="O350" s="193"/>
      <c r="P350" s="145">
        <v>1530</v>
      </c>
      <c r="Q350" s="143">
        <f t="shared" si="76"/>
        <v>2445</v>
      </c>
      <c r="R350" s="144">
        <f t="shared" si="77"/>
        <v>3740850</v>
      </c>
      <c r="S350" s="135" t="s">
        <v>1745</v>
      </c>
      <c r="T350" s="193"/>
      <c r="U350" s="145">
        <f t="shared" si="72"/>
        <v>230</v>
      </c>
      <c r="V350" s="144">
        <f t="shared" si="73"/>
        <v>562350</v>
      </c>
      <c r="W350" s="193"/>
      <c r="X350" s="147"/>
    </row>
    <row r="351" spans="2:24" x14ac:dyDescent="0.35">
      <c r="B351" s="137" t="s">
        <v>1397</v>
      </c>
      <c r="C351" s="147" t="s">
        <v>668</v>
      </c>
      <c r="D351" s="147" t="s">
        <v>1280</v>
      </c>
      <c r="E351" s="147" t="s">
        <v>248</v>
      </c>
      <c r="F351" s="147" t="s">
        <v>106</v>
      </c>
      <c r="G351" s="141">
        <v>1613</v>
      </c>
      <c r="H351" s="142">
        <v>2445</v>
      </c>
      <c r="I351" s="144">
        <f t="shared" si="71"/>
        <v>3943785</v>
      </c>
      <c r="J351" s="193"/>
      <c r="K351" s="141">
        <f>G351</f>
        <v>1613</v>
      </c>
      <c r="L351" s="143">
        <f t="shared" si="78"/>
        <v>2445</v>
      </c>
      <c r="M351" s="144">
        <f t="shared" si="79"/>
        <v>3943785</v>
      </c>
      <c r="N351" s="135" t="s">
        <v>1735</v>
      </c>
      <c r="O351" s="193"/>
      <c r="P351" s="145">
        <v>0</v>
      </c>
      <c r="Q351" s="143">
        <f t="shared" si="76"/>
        <v>2445</v>
      </c>
      <c r="R351" s="144">
        <f t="shared" si="77"/>
        <v>0</v>
      </c>
      <c r="S351" s="135" t="s">
        <v>146</v>
      </c>
      <c r="T351" s="193"/>
      <c r="U351" s="145">
        <f t="shared" si="72"/>
        <v>0</v>
      </c>
      <c r="V351" s="144">
        <f t="shared" si="73"/>
        <v>0</v>
      </c>
      <c r="W351" s="193"/>
      <c r="X351" s="147"/>
    </row>
    <row r="352" spans="2:24" x14ac:dyDescent="0.35">
      <c r="B352" s="137" t="s">
        <v>1404</v>
      </c>
      <c r="C352" s="147" t="s">
        <v>668</v>
      </c>
      <c r="D352" s="139" t="s">
        <v>1407</v>
      </c>
      <c r="E352" s="147" t="s">
        <v>182</v>
      </c>
      <c r="F352" s="147" t="s">
        <v>106</v>
      </c>
      <c r="G352" s="141">
        <v>4400</v>
      </c>
      <c r="H352" s="142">
        <v>2445</v>
      </c>
      <c r="I352" s="144">
        <f t="shared" si="71"/>
        <v>10758000</v>
      </c>
      <c r="J352" s="193"/>
      <c r="K352" s="141">
        <v>2640</v>
      </c>
      <c r="L352" s="143">
        <f t="shared" si="78"/>
        <v>2445</v>
      </c>
      <c r="M352" s="144">
        <f t="shared" si="79"/>
        <v>6454800</v>
      </c>
      <c r="N352" s="135" t="s">
        <v>1437</v>
      </c>
      <c r="O352" s="193"/>
      <c r="P352" s="145">
        <v>1605</v>
      </c>
      <c r="Q352" s="143">
        <f t="shared" si="76"/>
        <v>2445</v>
      </c>
      <c r="R352" s="144">
        <f t="shared" si="77"/>
        <v>3924225</v>
      </c>
      <c r="S352" s="135" t="s">
        <v>1745</v>
      </c>
      <c r="T352" s="193"/>
      <c r="U352" s="145">
        <f t="shared" si="72"/>
        <v>155</v>
      </c>
      <c r="V352" s="144">
        <f t="shared" si="73"/>
        <v>378975</v>
      </c>
      <c r="W352" s="193"/>
      <c r="X352" s="147"/>
    </row>
    <row r="353" spans="2:24" x14ac:dyDescent="0.35">
      <c r="B353" s="137" t="s">
        <v>1408</v>
      </c>
      <c r="C353" s="147" t="s">
        <v>981</v>
      </c>
      <c r="D353" s="147" t="s">
        <v>1191</v>
      </c>
      <c r="E353" s="147" t="s">
        <v>248</v>
      </c>
      <c r="F353" s="147" t="s">
        <v>106</v>
      </c>
      <c r="G353" s="141">
        <v>1676</v>
      </c>
      <c r="H353" s="142">
        <v>2445</v>
      </c>
      <c r="I353" s="144">
        <f t="shared" si="71"/>
        <v>4097820</v>
      </c>
      <c r="J353" s="193"/>
      <c r="K353" s="141">
        <f>G353</f>
        <v>1676</v>
      </c>
      <c r="L353" s="143">
        <f t="shared" si="78"/>
        <v>2445</v>
      </c>
      <c r="M353" s="144">
        <f t="shared" si="79"/>
        <v>4097820</v>
      </c>
      <c r="N353" s="135" t="s">
        <v>1681</v>
      </c>
      <c r="O353" s="193"/>
      <c r="P353" s="145">
        <v>0</v>
      </c>
      <c r="Q353" s="143">
        <f t="shared" si="76"/>
        <v>2445</v>
      </c>
      <c r="R353" s="144">
        <f t="shared" si="77"/>
        <v>0</v>
      </c>
      <c r="S353" s="135" t="s">
        <v>146</v>
      </c>
      <c r="T353" s="193"/>
      <c r="U353" s="145">
        <f t="shared" si="72"/>
        <v>0</v>
      </c>
      <c r="V353" s="144">
        <f t="shared" si="73"/>
        <v>0</v>
      </c>
      <c r="W353" s="193"/>
      <c r="X353" s="147"/>
    </row>
    <row r="354" spans="2:24" x14ac:dyDescent="0.35">
      <c r="B354" s="137" t="s">
        <v>1409</v>
      </c>
      <c r="C354" s="147" t="s">
        <v>189</v>
      </c>
      <c r="D354" s="147" t="s">
        <v>1192</v>
      </c>
      <c r="E354" s="147" t="s">
        <v>248</v>
      </c>
      <c r="F354" s="147" t="s">
        <v>106</v>
      </c>
      <c r="G354" s="141">
        <v>1676</v>
      </c>
      <c r="H354" s="142">
        <v>2445</v>
      </c>
      <c r="I354" s="144">
        <f t="shared" si="71"/>
        <v>4097820</v>
      </c>
      <c r="J354" s="193"/>
      <c r="K354" s="141">
        <f>G354</f>
        <v>1676</v>
      </c>
      <c r="L354" s="143">
        <f t="shared" si="78"/>
        <v>2445</v>
      </c>
      <c r="M354" s="144">
        <f t="shared" si="79"/>
        <v>4097820</v>
      </c>
      <c r="N354" s="135" t="s">
        <v>1681</v>
      </c>
      <c r="O354" s="193"/>
      <c r="P354" s="145">
        <v>0</v>
      </c>
      <c r="Q354" s="143">
        <f t="shared" si="76"/>
        <v>2445</v>
      </c>
      <c r="R354" s="144">
        <f t="shared" si="77"/>
        <v>0</v>
      </c>
      <c r="S354" s="135" t="s">
        <v>146</v>
      </c>
      <c r="T354" s="193"/>
      <c r="U354" s="145">
        <f t="shared" si="72"/>
        <v>0</v>
      </c>
      <c r="V354" s="144">
        <f t="shared" si="73"/>
        <v>0</v>
      </c>
      <c r="W354" s="193"/>
      <c r="X354" s="147"/>
    </row>
    <row r="355" spans="2:24" x14ac:dyDescent="0.35">
      <c r="B355" s="137" t="s">
        <v>1410</v>
      </c>
      <c r="C355" s="147" t="s">
        <v>203</v>
      </c>
      <c r="D355" s="147" t="s">
        <v>1275</v>
      </c>
      <c r="E355" s="147" t="s">
        <v>248</v>
      </c>
      <c r="F355" s="147" t="s">
        <v>106</v>
      </c>
      <c r="G355" s="141">
        <v>1639</v>
      </c>
      <c r="H355" s="142">
        <v>2445</v>
      </c>
      <c r="I355" s="144">
        <f t="shared" si="71"/>
        <v>4007355</v>
      </c>
      <c r="J355" s="193"/>
      <c r="K355" s="141">
        <f>G355</f>
        <v>1639</v>
      </c>
      <c r="L355" s="143">
        <f t="shared" si="78"/>
        <v>2445</v>
      </c>
      <c r="M355" s="144">
        <f t="shared" si="79"/>
        <v>4007355</v>
      </c>
      <c r="N355" s="135" t="s">
        <v>1750</v>
      </c>
      <c r="O355" s="193"/>
      <c r="P355" s="145">
        <v>0</v>
      </c>
      <c r="Q355" s="143">
        <f t="shared" si="76"/>
        <v>2445</v>
      </c>
      <c r="R355" s="144">
        <f t="shared" si="77"/>
        <v>0</v>
      </c>
      <c r="S355" s="135" t="s">
        <v>146</v>
      </c>
      <c r="T355" s="193"/>
      <c r="U355" s="145">
        <f t="shared" si="72"/>
        <v>0</v>
      </c>
      <c r="V355" s="144">
        <f t="shared" si="73"/>
        <v>0</v>
      </c>
      <c r="W355" s="193"/>
      <c r="X355" s="147"/>
    </row>
    <row r="356" spans="2:24" x14ac:dyDescent="0.35">
      <c r="B356" s="137" t="s">
        <v>1413</v>
      </c>
      <c r="C356" s="147" t="s">
        <v>981</v>
      </c>
      <c r="D356" s="147" t="s">
        <v>213</v>
      </c>
      <c r="E356" s="147" t="s">
        <v>206</v>
      </c>
      <c r="F356" s="147" t="s">
        <v>106</v>
      </c>
      <c r="G356" s="141">
        <v>5100</v>
      </c>
      <c r="H356" s="142">
        <v>2445</v>
      </c>
      <c r="I356" s="144">
        <f t="shared" si="71"/>
        <v>12469500</v>
      </c>
      <c r="J356" s="193"/>
      <c r="K356" s="141">
        <v>3060</v>
      </c>
      <c r="L356" s="143">
        <f t="shared" si="78"/>
        <v>2445</v>
      </c>
      <c r="M356" s="144">
        <f t="shared" si="79"/>
        <v>7481700</v>
      </c>
      <c r="N356" s="135" t="s">
        <v>1417</v>
      </c>
      <c r="O356" s="193"/>
      <c r="P356" s="145">
        <v>0</v>
      </c>
      <c r="Q356" s="143">
        <f t="shared" si="76"/>
        <v>2445</v>
      </c>
      <c r="R356" s="144">
        <f t="shared" si="77"/>
        <v>0</v>
      </c>
      <c r="S356" s="135" t="s">
        <v>146</v>
      </c>
      <c r="T356" s="193"/>
      <c r="U356" s="145">
        <f t="shared" si="72"/>
        <v>2040</v>
      </c>
      <c r="V356" s="144">
        <f t="shared" si="73"/>
        <v>4987800</v>
      </c>
      <c r="W356" s="193"/>
      <c r="X356" s="147"/>
    </row>
    <row r="357" spans="2:24" x14ac:dyDescent="0.35">
      <c r="B357" s="137" t="s">
        <v>1420</v>
      </c>
      <c r="C357" s="147" t="s">
        <v>203</v>
      </c>
      <c r="D357" s="147" t="s">
        <v>1425</v>
      </c>
      <c r="E357" s="147" t="s">
        <v>206</v>
      </c>
      <c r="F357" s="147" t="s">
        <v>319</v>
      </c>
      <c r="G357" s="141">
        <v>4200</v>
      </c>
      <c r="H357" s="142">
        <v>2550</v>
      </c>
      <c r="I357" s="144">
        <f t="shared" si="71"/>
        <v>10710000</v>
      </c>
      <c r="J357" s="193"/>
      <c r="K357" s="141">
        <f t="shared" ref="K357:K364" si="86">G357</f>
        <v>4200</v>
      </c>
      <c r="L357" s="143">
        <f t="shared" si="78"/>
        <v>2550</v>
      </c>
      <c r="M357" s="144">
        <f t="shared" si="79"/>
        <v>10710000</v>
      </c>
      <c r="N357" s="135" t="s">
        <v>1742</v>
      </c>
      <c r="O357" s="193"/>
      <c r="P357" s="145">
        <v>0</v>
      </c>
      <c r="Q357" s="143">
        <f t="shared" si="76"/>
        <v>2550</v>
      </c>
      <c r="R357" s="144">
        <f t="shared" si="77"/>
        <v>0</v>
      </c>
      <c r="S357" s="135" t="s">
        <v>146</v>
      </c>
      <c r="T357" s="193"/>
      <c r="U357" s="145">
        <f t="shared" si="72"/>
        <v>0</v>
      </c>
      <c r="V357" s="144">
        <f t="shared" si="73"/>
        <v>0</v>
      </c>
      <c r="W357" s="193"/>
      <c r="X357" s="147"/>
    </row>
    <row r="358" spans="2:24" x14ac:dyDescent="0.35">
      <c r="B358" s="137" t="s">
        <v>1421</v>
      </c>
      <c r="C358" s="147" t="s">
        <v>201</v>
      </c>
      <c r="D358" s="147" t="s">
        <v>1301</v>
      </c>
      <c r="E358" s="147" t="s">
        <v>248</v>
      </c>
      <c r="F358" s="147" t="s">
        <v>106</v>
      </c>
      <c r="G358" s="141">
        <v>1763</v>
      </c>
      <c r="H358" s="142">
        <v>2445</v>
      </c>
      <c r="I358" s="144">
        <f t="shared" si="71"/>
        <v>4310535</v>
      </c>
      <c r="J358" s="193"/>
      <c r="K358" s="141">
        <f t="shared" si="86"/>
        <v>1763</v>
      </c>
      <c r="L358" s="143">
        <f t="shared" si="78"/>
        <v>2445</v>
      </c>
      <c r="M358" s="144">
        <f t="shared" si="79"/>
        <v>4310535</v>
      </c>
      <c r="N358" s="135" t="s">
        <v>1736</v>
      </c>
      <c r="O358" s="193"/>
      <c r="P358" s="145">
        <v>0</v>
      </c>
      <c r="Q358" s="143">
        <f t="shared" si="76"/>
        <v>2445</v>
      </c>
      <c r="R358" s="144">
        <f t="shared" si="77"/>
        <v>0</v>
      </c>
      <c r="S358" s="135" t="s">
        <v>146</v>
      </c>
      <c r="T358" s="193"/>
      <c r="U358" s="145">
        <f t="shared" si="72"/>
        <v>0</v>
      </c>
      <c r="V358" s="144">
        <f t="shared" si="73"/>
        <v>0</v>
      </c>
      <c r="W358" s="193"/>
      <c r="X358" s="147"/>
    </row>
    <row r="359" spans="2:24" x14ac:dyDescent="0.35">
      <c r="B359" s="137" t="s">
        <v>1422</v>
      </c>
      <c r="C359" s="147" t="s">
        <v>164</v>
      </c>
      <c r="D359" s="147" t="s">
        <v>1272</v>
      </c>
      <c r="E359" s="147" t="s">
        <v>248</v>
      </c>
      <c r="F359" s="147" t="s">
        <v>106</v>
      </c>
      <c r="G359" s="141">
        <v>1770</v>
      </c>
      <c r="H359" s="142">
        <v>2445</v>
      </c>
      <c r="I359" s="144">
        <f t="shared" si="71"/>
        <v>4327650</v>
      </c>
      <c r="J359" s="193"/>
      <c r="K359" s="141">
        <f t="shared" si="86"/>
        <v>1770</v>
      </c>
      <c r="L359" s="143">
        <f t="shared" si="78"/>
        <v>2445</v>
      </c>
      <c r="M359" s="144">
        <f t="shared" si="79"/>
        <v>4327650</v>
      </c>
      <c r="N359" s="135" t="s">
        <v>1683</v>
      </c>
      <c r="O359" s="193"/>
      <c r="P359" s="145">
        <v>0</v>
      </c>
      <c r="Q359" s="143">
        <f t="shared" si="76"/>
        <v>2445</v>
      </c>
      <c r="R359" s="144">
        <f t="shared" si="77"/>
        <v>0</v>
      </c>
      <c r="S359" s="135" t="s">
        <v>146</v>
      </c>
      <c r="T359" s="193"/>
      <c r="U359" s="145">
        <f t="shared" si="72"/>
        <v>0</v>
      </c>
      <c r="V359" s="144">
        <f t="shared" si="73"/>
        <v>0</v>
      </c>
      <c r="W359" s="193"/>
      <c r="X359" s="147"/>
    </row>
    <row r="360" spans="2:24" x14ac:dyDescent="0.35">
      <c r="B360" s="137" t="s">
        <v>1423</v>
      </c>
      <c r="C360" s="147" t="s">
        <v>393</v>
      </c>
      <c r="D360" s="147" t="s">
        <v>1292</v>
      </c>
      <c r="E360" s="147" t="s">
        <v>248</v>
      </c>
      <c r="F360" s="147" t="s">
        <v>106</v>
      </c>
      <c r="G360" s="141">
        <v>1765</v>
      </c>
      <c r="H360" s="142">
        <v>2445</v>
      </c>
      <c r="I360" s="144">
        <f t="shared" si="71"/>
        <v>4315425</v>
      </c>
      <c r="J360" s="193"/>
      <c r="K360" s="141">
        <f t="shared" si="86"/>
        <v>1765</v>
      </c>
      <c r="L360" s="143">
        <f t="shared" ref="L360:L361" si="87">H360</f>
        <v>2445</v>
      </c>
      <c r="M360" s="144">
        <f t="shared" ref="M360:M361" si="88">K360*L360</f>
        <v>4315425</v>
      </c>
      <c r="N360" s="135" t="s">
        <v>1683</v>
      </c>
      <c r="O360" s="193"/>
      <c r="P360" s="145">
        <v>0</v>
      </c>
      <c r="Q360" s="143">
        <f t="shared" si="76"/>
        <v>2445</v>
      </c>
      <c r="R360" s="144">
        <f t="shared" si="77"/>
        <v>0</v>
      </c>
      <c r="S360" s="135" t="s">
        <v>146</v>
      </c>
      <c r="T360" s="193"/>
      <c r="U360" s="145">
        <f t="shared" si="72"/>
        <v>0</v>
      </c>
      <c r="V360" s="144">
        <f t="shared" si="73"/>
        <v>0</v>
      </c>
      <c r="W360" s="193"/>
      <c r="X360" s="147"/>
    </row>
    <row r="361" spans="2:24" x14ac:dyDescent="0.35">
      <c r="B361" s="137" t="s">
        <v>1424</v>
      </c>
      <c r="C361" s="147" t="s">
        <v>758</v>
      </c>
      <c r="D361" s="147" t="s">
        <v>1290</v>
      </c>
      <c r="E361" s="147" t="s">
        <v>248</v>
      </c>
      <c r="F361" s="147" t="s">
        <v>106</v>
      </c>
      <c r="G361" s="141">
        <v>1767</v>
      </c>
      <c r="H361" s="142">
        <v>2445</v>
      </c>
      <c r="I361" s="144">
        <f t="shared" ref="I361:I390" si="89">G361*H361</f>
        <v>4320315</v>
      </c>
      <c r="J361" s="193"/>
      <c r="K361" s="141">
        <f t="shared" si="86"/>
        <v>1767</v>
      </c>
      <c r="L361" s="143">
        <f t="shared" si="87"/>
        <v>2445</v>
      </c>
      <c r="M361" s="144">
        <f t="shared" si="88"/>
        <v>4320315</v>
      </c>
      <c r="N361" s="135" t="s">
        <v>1750</v>
      </c>
      <c r="O361" s="193"/>
      <c r="P361" s="145">
        <v>0</v>
      </c>
      <c r="Q361" s="143">
        <f t="shared" ref="Q361:Q389" si="90">H361</f>
        <v>2445</v>
      </c>
      <c r="R361" s="144">
        <f t="shared" ref="R361:R389" si="91">P361*Q361</f>
        <v>0</v>
      </c>
      <c r="S361" s="135" t="s">
        <v>146</v>
      </c>
      <c r="T361" s="193"/>
      <c r="U361" s="145">
        <f t="shared" ref="U361:U390" si="92">G361-K361-P361</f>
        <v>0</v>
      </c>
      <c r="V361" s="144">
        <f t="shared" ref="V361:V390" si="93">I361-M361-R361</f>
        <v>0</v>
      </c>
      <c r="W361" s="193"/>
      <c r="X361" s="147"/>
    </row>
    <row r="362" spans="2:24" x14ac:dyDescent="0.35">
      <c r="B362" s="137" t="s">
        <v>1428</v>
      </c>
      <c r="C362" s="147" t="s">
        <v>809</v>
      </c>
      <c r="D362" s="147" t="s">
        <v>1295</v>
      </c>
      <c r="E362" s="147" t="s">
        <v>248</v>
      </c>
      <c r="F362" s="147" t="s">
        <v>106</v>
      </c>
      <c r="G362" s="141">
        <v>1764</v>
      </c>
      <c r="H362" s="142">
        <v>2445</v>
      </c>
      <c r="I362" s="144">
        <f t="shared" si="89"/>
        <v>4312980</v>
      </c>
      <c r="J362" s="193"/>
      <c r="K362" s="141">
        <f t="shared" si="86"/>
        <v>1764</v>
      </c>
      <c r="L362" s="143">
        <f t="shared" ref="L362:L390" si="94">H362</f>
        <v>2445</v>
      </c>
      <c r="M362" s="144">
        <f t="shared" ref="M362:M390" si="95">K362*L362</f>
        <v>4312980</v>
      </c>
      <c r="N362" s="135" t="s">
        <v>1683</v>
      </c>
      <c r="O362" s="193"/>
      <c r="P362" s="145">
        <v>0</v>
      </c>
      <c r="Q362" s="143">
        <f t="shared" si="90"/>
        <v>2445</v>
      </c>
      <c r="R362" s="144">
        <f t="shared" si="91"/>
        <v>0</v>
      </c>
      <c r="S362" s="135" t="s">
        <v>146</v>
      </c>
      <c r="T362" s="193"/>
      <c r="U362" s="145">
        <f t="shared" si="92"/>
        <v>0</v>
      </c>
      <c r="V362" s="144">
        <f t="shared" si="93"/>
        <v>0</v>
      </c>
      <c r="W362" s="193"/>
      <c r="X362" s="147"/>
    </row>
    <row r="363" spans="2:24" x14ac:dyDescent="0.35">
      <c r="B363" s="137" t="s">
        <v>1429</v>
      </c>
      <c r="C363" s="147" t="s">
        <v>994</v>
      </c>
      <c r="D363" s="147" t="s">
        <v>1298</v>
      </c>
      <c r="E363" s="147" t="s">
        <v>248</v>
      </c>
      <c r="F363" s="147" t="s">
        <v>106</v>
      </c>
      <c r="G363" s="141">
        <v>1771</v>
      </c>
      <c r="H363" s="142">
        <v>2445</v>
      </c>
      <c r="I363" s="144">
        <f t="shared" si="89"/>
        <v>4330095</v>
      </c>
      <c r="J363" s="193"/>
      <c r="K363" s="141">
        <f t="shared" si="86"/>
        <v>1771</v>
      </c>
      <c r="L363" s="143">
        <f t="shared" si="94"/>
        <v>2445</v>
      </c>
      <c r="M363" s="144">
        <f t="shared" si="95"/>
        <v>4330095</v>
      </c>
      <c r="N363" s="135" t="s">
        <v>1683</v>
      </c>
      <c r="O363" s="193"/>
      <c r="P363" s="145">
        <v>0</v>
      </c>
      <c r="Q363" s="143">
        <f t="shared" si="90"/>
        <v>2445</v>
      </c>
      <c r="R363" s="144">
        <f t="shared" si="91"/>
        <v>0</v>
      </c>
      <c r="S363" s="135" t="s">
        <v>146</v>
      </c>
      <c r="T363" s="193"/>
      <c r="U363" s="145">
        <f t="shared" si="92"/>
        <v>0</v>
      </c>
      <c r="V363" s="144">
        <f t="shared" si="93"/>
        <v>0</v>
      </c>
      <c r="W363" s="193"/>
      <c r="X363" s="147"/>
    </row>
    <row r="364" spans="2:24" x14ac:dyDescent="0.35">
      <c r="B364" s="137" t="s">
        <v>1430</v>
      </c>
      <c r="C364" s="147" t="s">
        <v>515</v>
      </c>
      <c r="D364" s="147" t="s">
        <v>1286</v>
      </c>
      <c r="E364" s="147" t="s">
        <v>248</v>
      </c>
      <c r="F364" s="147" t="s">
        <v>106</v>
      </c>
      <c r="G364" s="141">
        <v>1765</v>
      </c>
      <c r="H364" s="142">
        <v>2445</v>
      </c>
      <c r="I364" s="144">
        <f t="shared" si="89"/>
        <v>4315425</v>
      </c>
      <c r="J364" s="193"/>
      <c r="K364" s="141">
        <f t="shared" si="86"/>
        <v>1765</v>
      </c>
      <c r="L364" s="143">
        <f t="shared" si="94"/>
        <v>2445</v>
      </c>
      <c r="M364" s="144">
        <f t="shared" si="95"/>
        <v>4315425</v>
      </c>
      <c r="N364" s="135" t="s">
        <v>1683</v>
      </c>
      <c r="O364" s="193"/>
      <c r="P364" s="145">
        <v>0</v>
      </c>
      <c r="Q364" s="143">
        <f t="shared" si="90"/>
        <v>2445</v>
      </c>
      <c r="R364" s="144">
        <f t="shared" si="91"/>
        <v>0</v>
      </c>
      <c r="S364" s="135" t="s">
        <v>146</v>
      </c>
      <c r="T364" s="193"/>
      <c r="U364" s="145">
        <f t="shared" si="92"/>
        <v>0</v>
      </c>
      <c r="V364" s="144">
        <f t="shared" si="93"/>
        <v>0</v>
      </c>
      <c r="W364" s="193"/>
      <c r="X364" s="147"/>
    </row>
    <row r="365" spans="2:24" x14ac:dyDescent="0.35">
      <c r="B365" s="137" t="s">
        <v>1431</v>
      </c>
      <c r="C365" s="147" t="s">
        <v>976</v>
      </c>
      <c r="D365" s="147" t="s">
        <v>1314</v>
      </c>
      <c r="E365" s="147" t="s">
        <v>248</v>
      </c>
      <c r="F365" s="147" t="s">
        <v>106</v>
      </c>
      <c r="G365" s="141">
        <v>1768</v>
      </c>
      <c r="H365" s="142">
        <v>2445</v>
      </c>
      <c r="I365" s="144">
        <f t="shared" si="89"/>
        <v>4322760</v>
      </c>
      <c r="J365" s="193"/>
      <c r="K365" s="141">
        <f t="shared" ref="K365:K367" si="96">G365</f>
        <v>1768</v>
      </c>
      <c r="L365" s="143">
        <f t="shared" si="94"/>
        <v>2445</v>
      </c>
      <c r="M365" s="144">
        <f t="shared" si="95"/>
        <v>4322760</v>
      </c>
      <c r="N365" s="135" t="s">
        <v>1681</v>
      </c>
      <c r="O365" s="193"/>
      <c r="P365" s="145">
        <v>0</v>
      </c>
      <c r="Q365" s="143">
        <f t="shared" si="90"/>
        <v>2445</v>
      </c>
      <c r="R365" s="144">
        <f t="shared" si="91"/>
        <v>0</v>
      </c>
      <c r="S365" s="135" t="s">
        <v>146</v>
      </c>
      <c r="T365" s="193"/>
      <c r="U365" s="145">
        <f t="shared" si="92"/>
        <v>0</v>
      </c>
      <c r="V365" s="144">
        <f t="shared" si="93"/>
        <v>0</v>
      </c>
      <c r="W365" s="193"/>
      <c r="X365" s="147"/>
    </row>
    <row r="366" spans="2:24" x14ac:dyDescent="0.35">
      <c r="B366" s="137" t="s">
        <v>1432</v>
      </c>
      <c r="C366" s="147" t="s">
        <v>160</v>
      </c>
      <c r="D366" s="147" t="s">
        <v>1258</v>
      </c>
      <c r="E366" s="147" t="s">
        <v>248</v>
      </c>
      <c r="F366" s="147" t="s">
        <v>106</v>
      </c>
      <c r="G366" s="141">
        <v>1766</v>
      </c>
      <c r="H366" s="142">
        <v>2445</v>
      </c>
      <c r="I366" s="144">
        <f t="shared" si="89"/>
        <v>4317870</v>
      </c>
      <c r="J366" s="193"/>
      <c r="K366" s="141">
        <f t="shared" si="96"/>
        <v>1766</v>
      </c>
      <c r="L366" s="143">
        <f t="shared" si="94"/>
        <v>2445</v>
      </c>
      <c r="M366" s="144">
        <f t="shared" si="95"/>
        <v>4317870</v>
      </c>
      <c r="N366" s="135" t="s">
        <v>1681</v>
      </c>
      <c r="O366" s="193"/>
      <c r="P366" s="145">
        <v>0</v>
      </c>
      <c r="Q366" s="143">
        <f t="shared" si="90"/>
        <v>2445</v>
      </c>
      <c r="R366" s="144">
        <f t="shared" si="91"/>
        <v>0</v>
      </c>
      <c r="S366" s="135" t="s">
        <v>146</v>
      </c>
      <c r="T366" s="193"/>
      <c r="U366" s="145">
        <f t="shared" si="92"/>
        <v>0</v>
      </c>
      <c r="V366" s="144">
        <f t="shared" si="93"/>
        <v>0</v>
      </c>
      <c r="W366" s="193"/>
      <c r="X366" s="147"/>
    </row>
    <row r="367" spans="2:24" x14ac:dyDescent="0.35">
      <c r="B367" s="137" t="s">
        <v>1433</v>
      </c>
      <c r="C367" s="147" t="s">
        <v>1246</v>
      </c>
      <c r="D367" s="147" t="s">
        <v>1254</v>
      </c>
      <c r="E367" s="147" t="s">
        <v>248</v>
      </c>
      <c r="F367" s="147" t="s">
        <v>106</v>
      </c>
      <c r="G367" s="141">
        <v>1764</v>
      </c>
      <c r="H367" s="142">
        <v>2445</v>
      </c>
      <c r="I367" s="144">
        <f t="shared" si="89"/>
        <v>4312980</v>
      </c>
      <c r="J367" s="193"/>
      <c r="K367" s="141">
        <f t="shared" si="96"/>
        <v>1764</v>
      </c>
      <c r="L367" s="143">
        <f t="shared" si="94"/>
        <v>2445</v>
      </c>
      <c r="M367" s="144">
        <f t="shared" si="95"/>
        <v>4312980</v>
      </c>
      <c r="N367" s="135" t="s">
        <v>1681</v>
      </c>
      <c r="O367" s="193"/>
      <c r="P367" s="145">
        <v>0</v>
      </c>
      <c r="Q367" s="143">
        <f t="shared" si="90"/>
        <v>2445</v>
      </c>
      <c r="R367" s="144">
        <f t="shared" si="91"/>
        <v>0</v>
      </c>
      <c r="S367" s="135" t="s">
        <v>146</v>
      </c>
      <c r="T367" s="193"/>
      <c r="U367" s="145">
        <f t="shared" si="92"/>
        <v>0</v>
      </c>
      <c r="V367" s="144">
        <f t="shared" si="93"/>
        <v>0</v>
      </c>
      <c r="W367" s="193"/>
      <c r="X367" s="147"/>
    </row>
    <row r="368" spans="2:24" x14ac:dyDescent="0.35">
      <c r="B368" s="137" t="s">
        <v>1434</v>
      </c>
      <c r="C368" s="147" t="s">
        <v>967</v>
      </c>
      <c r="D368" s="147" t="s">
        <v>1435</v>
      </c>
      <c r="E368" s="147" t="s">
        <v>182</v>
      </c>
      <c r="F368" s="147" t="s">
        <v>106</v>
      </c>
      <c r="G368" s="141">
        <v>4400</v>
      </c>
      <c r="H368" s="142">
        <v>2445</v>
      </c>
      <c r="I368" s="144">
        <f t="shared" si="89"/>
        <v>10758000</v>
      </c>
      <c r="J368" s="193"/>
      <c r="K368" s="141">
        <v>2640</v>
      </c>
      <c r="L368" s="143">
        <f t="shared" si="94"/>
        <v>2445</v>
      </c>
      <c r="M368" s="144">
        <f t="shared" si="95"/>
        <v>6454800</v>
      </c>
      <c r="N368" s="135" t="s">
        <v>1484</v>
      </c>
      <c r="O368" s="193"/>
      <c r="P368" s="145">
        <v>0</v>
      </c>
      <c r="Q368" s="143">
        <f t="shared" si="90"/>
        <v>2445</v>
      </c>
      <c r="R368" s="144">
        <f t="shared" si="91"/>
        <v>0</v>
      </c>
      <c r="S368" s="135" t="s">
        <v>146</v>
      </c>
      <c r="T368" s="193"/>
      <c r="U368" s="145">
        <f t="shared" si="92"/>
        <v>1760</v>
      </c>
      <c r="V368" s="144">
        <f t="shared" si="93"/>
        <v>4303200</v>
      </c>
      <c r="W368" s="193"/>
      <c r="X368" s="147"/>
    </row>
    <row r="369" spans="2:24" x14ac:dyDescent="0.35">
      <c r="B369" s="137" t="s">
        <v>1438</v>
      </c>
      <c r="C369" s="147" t="s">
        <v>232</v>
      </c>
      <c r="D369" s="147" t="s">
        <v>1439</v>
      </c>
      <c r="E369" s="147" t="s">
        <v>182</v>
      </c>
      <c r="F369" s="147" t="s">
        <v>106</v>
      </c>
      <c r="G369" s="141">
        <v>4400</v>
      </c>
      <c r="H369" s="142">
        <v>2445</v>
      </c>
      <c r="I369" s="144">
        <f t="shared" si="89"/>
        <v>10758000</v>
      </c>
      <c r="J369" s="193"/>
      <c r="K369" s="141">
        <v>2640</v>
      </c>
      <c r="L369" s="143">
        <f t="shared" si="94"/>
        <v>2445</v>
      </c>
      <c r="M369" s="144">
        <f t="shared" si="95"/>
        <v>6454800</v>
      </c>
      <c r="N369" s="135" t="s">
        <v>1485</v>
      </c>
      <c r="O369" s="193"/>
      <c r="P369" s="145">
        <v>1760</v>
      </c>
      <c r="Q369" s="143">
        <f t="shared" si="90"/>
        <v>2445</v>
      </c>
      <c r="R369" s="144">
        <f t="shared" si="91"/>
        <v>4303200</v>
      </c>
      <c r="S369" s="135" t="s">
        <v>1747</v>
      </c>
      <c r="T369" s="193"/>
      <c r="U369" s="145">
        <f t="shared" si="92"/>
        <v>0</v>
      </c>
      <c r="V369" s="144">
        <f t="shared" si="93"/>
        <v>0</v>
      </c>
      <c r="W369" s="193"/>
      <c r="X369" s="147"/>
    </row>
    <row r="370" spans="2:24" x14ac:dyDescent="0.35">
      <c r="B370" s="137" t="s">
        <v>1442</v>
      </c>
      <c r="C370" s="147" t="s">
        <v>201</v>
      </c>
      <c r="D370" s="147" t="s">
        <v>1443</v>
      </c>
      <c r="E370" s="147" t="s">
        <v>182</v>
      </c>
      <c r="F370" s="147" t="s">
        <v>106</v>
      </c>
      <c r="G370" s="141">
        <v>4400</v>
      </c>
      <c r="H370" s="142">
        <v>2445</v>
      </c>
      <c r="I370" s="144">
        <f t="shared" si="89"/>
        <v>10758000</v>
      </c>
      <c r="J370" s="193"/>
      <c r="K370" s="141">
        <v>2640</v>
      </c>
      <c r="L370" s="143">
        <f t="shared" ref="L370:L371" si="97">H370</f>
        <v>2445</v>
      </c>
      <c r="M370" s="144">
        <f t="shared" ref="M370:M371" si="98">K370*L370</f>
        <v>6454800</v>
      </c>
      <c r="N370" s="135" t="s">
        <v>1485</v>
      </c>
      <c r="O370" s="193"/>
      <c r="P370" s="145">
        <v>1700</v>
      </c>
      <c r="Q370" s="143">
        <f t="shared" si="90"/>
        <v>2445</v>
      </c>
      <c r="R370" s="144">
        <f t="shared" si="91"/>
        <v>4156500</v>
      </c>
      <c r="S370" s="135" t="s">
        <v>1751</v>
      </c>
      <c r="T370" s="193"/>
      <c r="U370" s="145">
        <f t="shared" si="92"/>
        <v>60</v>
      </c>
      <c r="V370" s="144">
        <f t="shared" si="93"/>
        <v>146700</v>
      </c>
      <c r="W370" s="193"/>
      <c r="X370" s="147"/>
    </row>
    <row r="371" spans="2:24" x14ac:dyDescent="0.35">
      <c r="B371" s="137" t="s">
        <v>1445</v>
      </c>
      <c r="C371" s="147" t="s">
        <v>809</v>
      </c>
      <c r="D371" s="147" t="s">
        <v>1447</v>
      </c>
      <c r="E371" s="147" t="s">
        <v>182</v>
      </c>
      <c r="F371" s="147" t="s">
        <v>106</v>
      </c>
      <c r="G371" s="141">
        <v>4400</v>
      </c>
      <c r="H371" s="142">
        <v>2445</v>
      </c>
      <c r="I371" s="144">
        <f t="shared" si="89"/>
        <v>10758000</v>
      </c>
      <c r="J371" s="193"/>
      <c r="K371" s="141">
        <v>2640</v>
      </c>
      <c r="L371" s="143">
        <f t="shared" si="97"/>
        <v>2445</v>
      </c>
      <c r="M371" s="144">
        <f t="shared" si="98"/>
        <v>6454800</v>
      </c>
      <c r="N371" s="135" t="s">
        <v>1485</v>
      </c>
      <c r="O371" s="193"/>
      <c r="P371" s="145">
        <v>0</v>
      </c>
      <c r="Q371" s="143">
        <f t="shared" si="90"/>
        <v>2445</v>
      </c>
      <c r="R371" s="144">
        <f t="shared" si="91"/>
        <v>0</v>
      </c>
      <c r="S371" s="135" t="s">
        <v>146</v>
      </c>
      <c r="T371" s="193"/>
      <c r="U371" s="145">
        <f t="shared" si="92"/>
        <v>1760</v>
      </c>
      <c r="V371" s="144">
        <f t="shared" si="93"/>
        <v>4303200</v>
      </c>
      <c r="W371" s="193"/>
      <c r="X371" s="147"/>
    </row>
    <row r="372" spans="2:24" x14ac:dyDescent="0.35">
      <c r="B372" s="137" t="s">
        <v>1446</v>
      </c>
      <c r="C372" s="147" t="s">
        <v>515</v>
      </c>
      <c r="D372" s="147" t="s">
        <v>1449</v>
      </c>
      <c r="E372" s="147" t="s">
        <v>182</v>
      </c>
      <c r="F372" s="147" t="s">
        <v>106</v>
      </c>
      <c r="G372" s="141">
        <v>4400</v>
      </c>
      <c r="H372" s="142">
        <v>2445</v>
      </c>
      <c r="I372" s="144">
        <f t="shared" si="89"/>
        <v>10758000</v>
      </c>
      <c r="J372" s="193"/>
      <c r="K372" s="141">
        <v>2640</v>
      </c>
      <c r="L372" s="143">
        <f t="shared" si="94"/>
        <v>2445</v>
      </c>
      <c r="M372" s="144">
        <f t="shared" si="95"/>
        <v>6454800</v>
      </c>
      <c r="N372" s="135" t="s">
        <v>1483</v>
      </c>
      <c r="O372" s="193"/>
      <c r="P372" s="145">
        <v>1760</v>
      </c>
      <c r="Q372" s="143">
        <f t="shared" si="90"/>
        <v>2445</v>
      </c>
      <c r="R372" s="144">
        <f t="shared" si="91"/>
        <v>4303200</v>
      </c>
      <c r="S372" s="135" t="s">
        <v>1751</v>
      </c>
      <c r="T372" s="193"/>
      <c r="U372" s="145">
        <f t="shared" si="92"/>
        <v>0</v>
      </c>
      <c r="V372" s="144">
        <f t="shared" si="93"/>
        <v>0</v>
      </c>
      <c r="W372" s="193"/>
      <c r="X372" s="147"/>
    </row>
    <row r="373" spans="2:24" x14ac:dyDescent="0.35">
      <c r="B373" s="137" t="s">
        <v>1451</v>
      </c>
      <c r="C373" s="147" t="s">
        <v>160</v>
      </c>
      <c r="D373" s="147" t="s">
        <v>1452</v>
      </c>
      <c r="E373" s="147" t="s">
        <v>182</v>
      </c>
      <c r="F373" s="147" t="s">
        <v>106</v>
      </c>
      <c r="G373" s="141">
        <v>4400</v>
      </c>
      <c r="H373" s="142">
        <v>2445</v>
      </c>
      <c r="I373" s="144">
        <f t="shared" si="89"/>
        <v>10758000</v>
      </c>
      <c r="J373" s="193"/>
      <c r="K373" s="141">
        <v>2640</v>
      </c>
      <c r="L373" s="143">
        <f t="shared" ref="L373:L374" si="99">H373</f>
        <v>2445</v>
      </c>
      <c r="M373" s="144">
        <f t="shared" ref="M373:M374" si="100">K373*L373</f>
        <v>6454800</v>
      </c>
      <c r="N373" s="135" t="s">
        <v>1483</v>
      </c>
      <c r="O373" s="193"/>
      <c r="P373" s="145">
        <v>1700</v>
      </c>
      <c r="Q373" s="143">
        <f t="shared" ref="Q373" si="101">H373</f>
        <v>2445</v>
      </c>
      <c r="R373" s="144">
        <f t="shared" ref="R373" si="102">P373*Q373</f>
        <v>4156500</v>
      </c>
      <c r="S373" s="135" t="s">
        <v>1747</v>
      </c>
      <c r="T373" s="193"/>
      <c r="U373" s="145">
        <f t="shared" si="92"/>
        <v>60</v>
      </c>
      <c r="V373" s="144">
        <f t="shared" si="93"/>
        <v>146700</v>
      </c>
      <c r="W373" s="193"/>
      <c r="X373" s="147"/>
    </row>
    <row r="374" spans="2:24" x14ac:dyDescent="0.35">
      <c r="B374" s="137" t="s">
        <v>1454</v>
      </c>
      <c r="C374" s="147" t="s">
        <v>1246</v>
      </c>
      <c r="D374" s="147" t="s">
        <v>1457</v>
      </c>
      <c r="E374" s="147" t="s">
        <v>182</v>
      </c>
      <c r="F374" s="147" t="s">
        <v>106</v>
      </c>
      <c r="G374" s="141">
        <v>4400</v>
      </c>
      <c r="H374" s="142">
        <v>2445</v>
      </c>
      <c r="I374" s="144">
        <f t="shared" si="89"/>
        <v>10758000</v>
      </c>
      <c r="J374" s="193"/>
      <c r="K374" s="141">
        <v>2640</v>
      </c>
      <c r="L374" s="143">
        <f t="shared" si="99"/>
        <v>2445</v>
      </c>
      <c r="M374" s="144">
        <f t="shared" si="100"/>
        <v>6454800</v>
      </c>
      <c r="N374" s="135" t="s">
        <v>1483</v>
      </c>
      <c r="O374" s="193"/>
      <c r="P374" s="145">
        <v>1700</v>
      </c>
      <c r="Q374" s="143">
        <f t="shared" si="90"/>
        <v>2445</v>
      </c>
      <c r="R374" s="144">
        <f t="shared" si="91"/>
        <v>4156500</v>
      </c>
      <c r="S374" s="135" t="s">
        <v>1749</v>
      </c>
      <c r="T374" s="193"/>
      <c r="U374" s="145">
        <f t="shared" si="92"/>
        <v>60</v>
      </c>
      <c r="V374" s="144">
        <f t="shared" si="93"/>
        <v>146700</v>
      </c>
      <c r="W374" s="193"/>
      <c r="X374" s="147"/>
    </row>
    <row r="375" spans="2:24" x14ac:dyDescent="0.35">
      <c r="B375" s="137" t="s">
        <v>1455</v>
      </c>
      <c r="C375" s="147" t="s">
        <v>758</v>
      </c>
      <c r="D375" s="147" t="s">
        <v>1459</v>
      </c>
      <c r="E375" s="147" t="s">
        <v>182</v>
      </c>
      <c r="F375" s="147" t="s">
        <v>106</v>
      </c>
      <c r="G375" s="141">
        <v>4400</v>
      </c>
      <c r="H375" s="142">
        <v>2445</v>
      </c>
      <c r="I375" s="144">
        <f>G375*H375</f>
        <v>10758000</v>
      </c>
      <c r="J375" s="193"/>
      <c r="K375" s="141">
        <v>2640</v>
      </c>
      <c r="L375" s="143">
        <f t="shared" ref="L375" si="103">H375</f>
        <v>2445</v>
      </c>
      <c r="M375" s="144">
        <f t="shared" ref="M375" si="104">K375*L375</f>
        <v>6454800</v>
      </c>
      <c r="N375" s="135" t="s">
        <v>1484</v>
      </c>
      <c r="O375" s="193"/>
      <c r="P375" s="145">
        <v>1700</v>
      </c>
      <c r="Q375" s="143">
        <f t="shared" ref="Q375" si="105">H375</f>
        <v>2445</v>
      </c>
      <c r="R375" s="144">
        <f t="shared" ref="R375" si="106">P375*Q375</f>
        <v>4156500</v>
      </c>
      <c r="S375" s="135" t="s">
        <v>1749</v>
      </c>
      <c r="T375" s="193"/>
      <c r="U375" s="145">
        <f t="shared" si="92"/>
        <v>60</v>
      </c>
      <c r="V375" s="144">
        <f t="shared" si="93"/>
        <v>146700</v>
      </c>
      <c r="W375" s="193"/>
      <c r="X375" s="147"/>
    </row>
    <row r="376" spans="2:24" x14ac:dyDescent="0.35">
      <c r="B376" s="137" t="s">
        <v>1456</v>
      </c>
      <c r="C376" s="147" t="s">
        <v>154</v>
      </c>
      <c r="D376" s="147" t="s">
        <v>1462</v>
      </c>
      <c r="E376" s="147" t="s">
        <v>114</v>
      </c>
      <c r="F376" s="147" t="s">
        <v>106</v>
      </c>
      <c r="G376" s="141">
        <v>4400</v>
      </c>
      <c r="H376" s="142">
        <v>2445</v>
      </c>
      <c r="I376" s="144">
        <f t="shared" si="89"/>
        <v>10758000</v>
      </c>
      <c r="J376" s="193"/>
      <c r="K376" s="141">
        <v>2640</v>
      </c>
      <c r="L376" s="143">
        <f t="shared" ref="L376" si="107">H376</f>
        <v>2445</v>
      </c>
      <c r="M376" s="144">
        <f t="shared" ref="M376" si="108">K376*L376</f>
        <v>6454800</v>
      </c>
      <c r="N376" s="135" t="s">
        <v>1484</v>
      </c>
      <c r="O376" s="193"/>
      <c r="P376" s="145">
        <v>1680</v>
      </c>
      <c r="Q376" s="143">
        <f t="shared" si="90"/>
        <v>2445</v>
      </c>
      <c r="R376" s="144">
        <f t="shared" si="91"/>
        <v>4107600</v>
      </c>
      <c r="S376" s="135" t="s">
        <v>1747</v>
      </c>
      <c r="T376" s="193"/>
      <c r="U376" s="145">
        <f t="shared" si="92"/>
        <v>80</v>
      </c>
      <c r="V376" s="144">
        <f t="shared" si="93"/>
        <v>195600</v>
      </c>
      <c r="W376" s="193"/>
      <c r="X376" s="147"/>
    </row>
    <row r="377" spans="2:24" x14ac:dyDescent="0.35">
      <c r="B377" s="137" t="s">
        <v>1467</v>
      </c>
      <c r="C377" s="147" t="s">
        <v>1016</v>
      </c>
      <c r="D377" s="147" t="s">
        <v>1472</v>
      </c>
      <c r="E377" s="147" t="s">
        <v>182</v>
      </c>
      <c r="F377" s="147" t="s">
        <v>106</v>
      </c>
      <c r="G377" s="141">
        <v>4400</v>
      </c>
      <c r="H377" s="142">
        <v>2445</v>
      </c>
      <c r="I377" s="144">
        <f t="shared" si="89"/>
        <v>10758000</v>
      </c>
      <c r="J377" s="193"/>
      <c r="K377" s="141">
        <v>2640</v>
      </c>
      <c r="L377" s="143">
        <f t="shared" si="94"/>
        <v>2445</v>
      </c>
      <c r="M377" s="144">
        <f t="shared" si="95"/>
        <v>6454800</v>
      </c>
      <c r="N377" s="135" t="s">
        <v>1510</v>
      </c>
      <c r="O377" s="193"/>
      <c r="P377" s="145">
        <v>1760</v>
      </c>
      <c r="Q377" s="143">
        <f t="shared" si="90"/>
        <v>2445</v>
      </c>
      <c r="R377" s="144">
        <f t="shared" si="91"/>
        <v>4303200</v>
      </c>
      <c r="S377" s="135" t="s">
        <v>1747</v>
      </c>
      <c r="T377" s="193"/>
      <c r="U377" s="145">
        <f t="shared" si="92"/>
        <v>0</v>
      </c>
      <c r="V377" s="144">
        <f t="shared" si="93"/>
        <v>0</v>
      </c>
      <c r="W377" s="193"/>
      <c r="X377" s="147"/>
    </row>
    <row r="378" spans="2:24" x14ac:dyDescent="0.35">
      <c r="B378" s="137" t="s">
        <v>1468</v>
      </c>
      <c r="C378" s="147" t="s">
        <v>164</v>
      </c>
      <c r="D378" s="147" t="s">
        <v>1475</v>
      </c>
      <c r="E378" s="147" t="s">
        <v>114</v>
      </c>
      <c r="F378" s="147" t="s">
        <v>106</v>
      </c>
      <c r="G378" s="141">
        <v>4400</v>
      </c>
      <c r="H378" s="142">
        <v>2445</v>
      </c>
      <c r="I378" s="144">
        <f t="shared" ref="I378" si="109">G378*H378</f>
        <v>10758000</v>
      </c>
      <c r="J378" s="193"/>
      <c r="K378" s="141">
        <v>2640</v>
      </c>
      <c r="L378" s="143">
        <f t="shared" ref="L378:L379" si="110">H378</f>
        <v>2445</v>
      </c>
      <c r="M378" s="144">
        <f t="shared" ref="M378:M379" si="111">K378*L378</f>
        <v>6454800</v>
      </c>
      <c r="N378" s="135" t="s">
        <v>1510</v>
      </c>
      <c r="O378" s="193"/>
      <c r="P378" s="145">
        <v>1700</v>
      </c>
      <c r="Q378" s="143">
        <f t="shared" ref="Q378" si="112">H378</f>
        <v>2445</v>
      </c>
      <c r="R378" s="144">
        <f t="shared" ref="R378" si="113">P378*Q378</f>
        <v>4156500</v>
      </c>
      <c r="S378" s="135" t="s">
        <v>1751</v>
      </c>
      <c r="T378" s="193"/>
      <c r="U378" s="145">
        <f t="shared" si="92"/>
        <v>60</v>
      </c>
      <c r="V378" s="144">
        <f t="shared" si="93"/>
        <v>146700</v>
      </c>
      <c r="W378" s="193"/>
      <c r="X378" s="147"/>
    </row>
    <row r="379" spans="2:24" x14ac:dyDescent="0.35">
      <c r="B379" s="137" t="s">
        <v>1469</v>
      </c>
      <c r="C379" s="147" t="s">
        <v>393</v>
      </c>
      <c r="D379" s="147" t="s">
        <v>1477</v>
      </c>
      <c r="E379" s="147" t="s">
        <v>114</v>
      </c>
      <c r="F379" s="147" t="s">
        <v>106</v>
      </c>
      <c r="G379" s="141">
        <v>4400</v>
      </c>
      <c r="H379" s="142">
        <v>2445</v>
      </c>
      <c r="I379" s="144">
        <f t="shared" si="89"/>
        <v>10758000</v>
      </c>
      <c r="J379" s="193"/>
      <c r="K379" s="141">
        <v>2640</v>
      </c>
      <c r="L379" s="143">
        <f t="shared" si="110"/>
        <v>2445</v>
      </c>
      <c r="M379" s="144">
        <f t="shared" si="111"/>
        <v>6454800</v>
      </c>
      <c r="N379" s="135" t="s">
        <v>1510</v>
      </c>
      <c r="O379" s="193"/>
      <c r="P379" s="145">
        <v>1700</v>
      </c>
      <c r="Q379" s="143">
        <f t="shared" ref="Q379" si="114">H379</f>
        <v>2445</v>
      </c>
      <c r="R379" s="144">
        <f t="shared" ref="R379" si="115">P379*Q379</f>
        <v>4156500</v>
      </c>
      <c r="S379" s="135" t="s">
        <v>1749</v>
      </c>
      <c r="T379" s="193"/>
      <c r="U379" s="145">
        <f t="shared" si="92"/>
        <v>60</v>
      </c>
      <c r="V379" s="144">
        <f t="shared" si="93"/>
        <v>146700</v>
      </c>
      <c r="W379" s="193"/>
      <c r="X379" s="147"/>
    </row>
    <row r="380" spans="2:24" x14ac:dyDescent="0.35">
      <c r="B380" s="137" t="s">
        <v>1470</v>
      </c>
      <c r="C380" s="147" t="s">
        <v>994</v>
      </c>
      <c r="D380" s="147" t="s">
        <v>1479</v>
      </c>
      <c r="E380" s="147" t="s">
        <v>182</v>
      </c>
      <c r="F380" s="147" t="s">
        <v>106</v>
      </c>
      <c r="G380" s="141">
        <v>4400</v>
      </c>
      <c r="H380" s="142">
        <v>2445</v>
      </c>
      <c r="I380" s="144">
        <f t="shared" si="89"/>
        <v>10758000</v>
      </c>
      <c r="J380" s="193"/>
      <c r="K380" s="141">
        <v>2640</v>
      </c>
      <c r="L380" s="143">
        <f t="shared" ref="L380" si="116">H380</f>
        <v>2445</v>
      </c>
      <c r="M380" s="144">
        <f t="shared" ref="M380" si="117">K380*L380</f>
        <v>6454800</v>
      </c>
      <c r="N380" s="135" t="s">
        <v>1511</v>
      </c>
      <c r="O380" s="193"/>
      <c r="P380" s="145">
        <v>1680</v>
      </c>
      <c r="Q380" s="143">
        <f t="shared" si="90"/>
        <v>2445</v>
      </c>
      <c r="R380" s="144">
        <f t="shared" si="91"/>
        <v>4107600</v>
      </c>
      <c r="S380" s="135" t="s">
        <v>1746</v>
      </c>
      <c r="T380" s="193"/>
      <c r="U380" s="145">
        <f t="shared" si="92"/>
        <v>80</v>
      </c>
      <c r="V380" s="144">
        <f t="shared" si="93"/>
        <v>195600</v>
      </c>
      <c r="W380" s="193"/>
      <c r="X380" s="147"/>
    </row>
    <row r="381" spans="2:24" x14ac:dyDescent="0.35">
      <c r="B381" s="137" t="s">
        <v>1471</v>
      </c>
      <c r="C381" s="147" t="s">
        <v>946</v>
      </c>
      <c r="D381" s="147" t="s">
        <v>1481</v>
      </c>
      <c r="E381" s="147" t="s">
        <v>182</v>
      </c>
      <c r="F381" s="147" t="s">
        <v>106</v>
      </c>
      <c r="G381" s="141">
        <v>4400</v>
      </c>
      <c r="H381" s="142">
        <v>2445</v>
      </c>
      <c r="I381" s="144">
        <f t="shared" si="89"/>
        <v>10758000</v>
      </c>
      <c r="J381" s="193"/>
      <c r="K381" s="141">
        <v>2640</v>
      </c>
      <c r="L381" s="143">
        <f t="shared" si="94"/>
        <v>2445</v>
      </c>
      <c r="M381" s="144">
        <f t="shared" si="95"/>
        <v>6454800</v>
      </c>
      <c r="N381" s="135" t="s">
        <v>1511</v>
      </c>
      <c r="O381" s="193"/>
      <c r="P381" s="145">
        <v>1680</v>
      </c>
      <c r="Q381" s="143">
        <f t="shared" si="90"/>
        <v>2445</v>
      </c>
      <c r="R381" s="144">
        <f t="shared" si="91"/>
        <v>4107600</v>
      </c>
      <c r="S381" s="135" t="s">
        <v>1746</v>
      </c>
      <c r="T381" s="193"/>
      <c r="U381" s="145">
        <f t="shared" si="92"/>
        <v>80</v>
      </c>
      <c r="V381" s="144">
        <f t="shared" si="93"/>
        <v>195600</v>
      </c>
      <c r="W381" s="193"/>
      <c r="X381" s="147"/>
    </row>
    <row r="382" spans="2:24" x14ac:dyDescent="0.35">
      <c r="B382" s="137" t="s">
        <v>1486</v>
      </c>
      <c r="C382" s="147" t="s">
        <v>224</v>
      </c>
      <c r="D382" s="147" t="s">
        <v>1283</v>
      </c>
      <c r="E382" s="147" t="s">
        <v>248</v>
      </c>
      <c r="F382" s="147" t="s">
        <v>106</v>
      </c>
      <c r="G382" s="141">
        <v>1765</v>
      </c>
      <c r="H382" s="142">
        <v>2445</v>
      </c>
      <c r="I382" s="144">
        <f t="shared" si="89"/>
        <v>4315425</v>
      </c>
      <c r="J382" s="193"/>
      <c r="K382" s="141">
        <f t="shared" ref="K382:K388" si="118">G382</f>
        <v>1765</v>
      </c>
      <c r="L382" s="143">
        <f t="shared" ref="L382:L384" si="119">H382</f>
        <v>2445</v>
      </c>
      <c r="M382" s="144">
        <f t="shared" ref="M382:M384" si="120">K382*L382</f>
        <v>4315425</v>
      </c>
      <c r="N382" s="135" t="s">
        <v>1682</v>
      </c>
      <c r="O382" s="193"/>
      <c r="P382" s="145">
        <v>0</v>
      </c>
      <c r="Q382" s="143">
        <f t="shared" si="90"/>
        <v>2445</v>
      </c>
      <c r="R382" s="144">
        <f t="shared" si="91"/>
        <v>0</v>
      </c>
      <c r="S382" s="135" t="s">
        <v>146</v>
      </c>
      <c r="T382" s="193"/>
      <c r="U382" s="145">
        <f t="shared" si="92"/>
        <v>0</v>
      </c>
      <c r="V382" s="144">
        <f t="shared" si="93"/>
        <v>0</v>
      </c>
      <c r="W382" s="193"/>
      <c r="X382" s="147"/>
    </row>
    <row r="383" spans="2:24" x14ac:dyDescent="0.35">
      <c r="B383" s="137" t="s">
        <v>1487</v>
      </c>
      <c r="C383" s="147" t="s">
        <v>701</v>
      </c>
      <c r="D383" s="147" t="s">
        <v>1263</v>
      </c>
      <c r="E383" s="147" t="s">
        <v>248</v>
      </c>
      <c r="F383" s="147" t="s">
        <v>106</v>
      </c>
      <c r="G383" s="141">
        <v>1823</v>
      </c>
      <c r="H383" s="142">
        <v>2445</v>
      </c>
      <c r="I383" s="144">
        <f t="shared" si="89"/>
        <v>4457235</v>
      </c>
      <c r="J383" s="193"/>
      <c r="K383" s="141">
        <f t="shared" si="118"/>
        <v>1823</v>
      </c>
      <c r="L383" s="143">
        <f t="shared" si="119"/>
        <v>2445</v>
      </c>
      <c r="M383" s="144">
        <f t="shared" si="120"/>
        <v>4457235</v>
      </c>
      <c r="N383" s="135" t="s">
        <v>1750</v>
      </c>
      <c r="O383" s="193"/>
      <c r="P383" s="145">
        <v>0</v>
      </c>
      <c r="Q383" s="143">
        <f t="shared" si="90"/>
        <v>2445</v>
      </c>
      <c r="R383" s="144">
        <f t="shared" si="91"/>
        <v>0</v>
      </c>
      <c r="S383" s="135" t="s">
        <v>146</v>
      </c>
      <c r="T383" s="193"/>
      <c r="U383" s="145">
        <f t="shared" si="92"/>
        <v>0</v>
      </c>
      <c r="V383" s="144">
        <f t="shared" si="93"/>
        <v>0</v>
      </c>
      <c r="W383" s="193"/>
      <c r="X383" s="147"/>
    </row>
    <row r="384" spans="2:24" x14ac:dyDescent="0.35">
      <c r="B384" s="137" t="s">
        <v>1488</v>
      </c>
      <c r="C384" s="147" t="s">
        <v>398</v>
      </c>
      <c r="D384" s="147" t="s">
        <v>1343</v>
      </c>
      <c r="E384" s="147" t="s">
        <v>248</v>
      </c>
      <c r="F384" s="147" t="s">
        <v>106</v>
      </c>
      <c r="G384" s="141">
        <v>1823</v>
      </c>
      <c r="H384" s="142">
        <v>2445</v>
      </c>
      <c r="I384" s="144">
        <f t="shared" si="89"/>
        <v>4457235</v>
      </c>
      <c r="J384" s="193"/>
      <c r="K384" s="141">
        <f t="shared" si="118"/>
        <v>1823</v>
      </c>
      <c r="L384" s="143">
        <f t="shared" si="119"/>
        <v>2445</v>
      </c>
      <c r="M384" s="144">
        <f t="shared" si="120"/>
        <v>4457235</v>
      </c>
      <c r="N384" s="135" t="s">
        <v>1750</v>
      </c>
      <c r="O384" s="193"/>
      <c r="P384" s="145">
        <v>0</v>
      </c>
      <c r="Q384" s="143">
        <f t="shared" si="90"/>
        <v>2445</v>
      </c>
      <c r="R384" s="144">
        <f t="shared" si="91"/>
        <v>0</v>
      </c>
      <c r="S384" s="135" t="s">
        <v>146</v>
      </c>
      <c r="T384" s="193"/>
      <c r="U384" s="145">
        <f t="shared" si="92"/>
        <v>0</v>
      </c>
      <c r="V384" s="144">
        <f t="shared" si="93"/>
        <v>0</v>
      </c>
      <c r="W384" s="193"/>
      <c r="X384" s="147"/>
    </row>
    <row r="385" spans="2:24" x14ac:dyDescent="0.35">
      <c r="B385" s="137" t="s">
        <v>1489</v>
      </c>
      <c r="C385" s="147" t="s">
        <v>733</v>
      </c>
      <c r="D385" s="147" t="s">
        <v>1329</v>
      </c>
      <c r="E385" s="147" t="s">
        <v>248</v>
      </c>
      <c r="F385" s="147" t="s">
        <v>106</v>
      </c>
      <c r="G385" s="141">
        <v>1819</v>
      </c>
      <c r="H385" s="142">
        <v>2445</v>
      </c>
      <c r="I385" s="144">
        <f t="shared" si="89"/>
        <v>4447455</v>
      </c>
      <c r="J385" s="193"/>
      <c r="K385" s="141">
        <f t="shared" si="118"/>
        <v>1819</v>
      </c>
      <c r="L385" s="143">
        <f t="shared" si="94"/>
        <v>2445</v>
      </c>
      <c r="M385" s="144">
        <f t="shared" si="95"/>
        <v>4447455</v>
      </c>
      <c r="N385" s="135" t="s">
        <v>1736</v>
      </c>
      <c r="O385" s="193"/>
      <c r="P385" s="145">
        <v>0</v>
      </c>
      <c r="Q385" s="143">
        <f t="shared" si="90"/>
        <v>2445</v>
      </c>
      <c r="R385" s="144">
        <f t="shared" si="91"/>
        <v>0</v>
      </c>
      <c r="S385" s="135" t="s">
        <v>146</v>
      </c>
      <c r="T385" s="193"/>
      <c r="U385" s="145">
        <f t="shared" si="92"/>
        <v>0</v>
      </c>
      <c r="V385" s="144">
        <f t="shared" si="93"/>
        <v>0</v>
      </c>
      <c r="W385" s="193"/>
      <c r="X385" s="147"/>
    </row>
    <row r="386" spans="2:24" x14ac:dyDescent="0.35">
      <c r="B386" s="137" t="s">
        <v>1490</v>
      </c>
      <c r="C386" s="147" t="s">
        <v>961</v>
      </c>
      <c r="D386" s="147" t="s">
        <v>1269</v>
      </c>
      <c r="E386" s="147" t="s">
        <v>248</v>
      </c>
      <c r="F386" s="147" t="s">
        <v>106</v>
      </c>
      <c r="G386" s="141">
        <v>1829</v>
      </c>
      <c r="H386" s="142">
        <v>2445</v>
      </c>
      <c r="I386" s="144">
        <f t="shared" si="89"/>
        <v>4471905</v>
      </c>
      <c r="J386" s="193"/>
      <c r="K386" s="141">
        <f t="shared" si="118"/>
        <v>1829</v>
      </c>
      <c r="L386" s="143">
        <f t="shared" si="94"/>
        <v>2445</v>
      </c>
      <c r="M386" s="144">
        <f t="shared" si="95"/>
        <v>4471905</v>
      </c>
      <c r="N386" s="135" t="s">
        <v>1750</v>
      </c>
      <c r="O386" s="193"/>
      <c r="P386" s="145">
        <v>0</v>
      </c>
      <c r="Q386" s="143">
        <f t="shared" si="90"/>
        <v>2445</v>
      </c>
      <c r="R386" s="144">
        <f t="shared" si="91"/>
        <v>0</v>
      </c>
      <c r="S386" s="135" t="s">
        <v>146</v>
      </c>
      <c r="T386" s="193"/>
      <c r="U386" s="145">
        <f t="shared" si="92"/>
        <v>0</v>
      </c>
      <c r="V386" s="144">
        <f t="shared" si="93"/>
        <v>0</v>
      </c>
      <c r="W386" s="193"/>
      <c r="X386" s="147"/>
    </row>
    <row r="387" spans="2:24" x14ac:dyDescent="0.35">
      <c r="B387" s="137" t="s">
        <v>1491</v>
      </c>
      <c r="C387" s="147" t="s">
        <v>170</v>
      </c>
      <c r="D387" s="147" t="s">
        <v>1305</v>
      </c>
      <c r="E387" s="147" t="s">
        <v>248</v>
      </c>
      <c r="F387" s="147" t="s">
        <v>106</v>
      </c>
      <c r="G387" s="141">
        <v>1750</v>
      </c>
      <c r="H387" s="142">
        <v>2445</v>
      </c>
      <c r="I387" s="144">
        <f t="shared" si="89"/>
        <v>4278750</v>
      </c>
      <c r="J387" s="193"/>
      <c r="K387" s="141">
        <f t="shared" si="118"/>
        <v>1750</v>
      </c>
      <c r="L387" s="143">
        <f t="shared" si="94"/>
        <v>2445</v>
      </c>
      <c r="M387" s="144">
        <f t="shared" si="95"/>
        <v>4278750</v>
      </c>
      <c r="N387" s="135" t="s">
        <v>1736</v>
      </c>
      <c r="O387" s="193"/>
      <c r="P387" s="145">
        <v>0</v>
      </c>
      <c r="Q387" s="143">
        <f t="shared" si="90"/>
        <v>2445</v>
      </c>
      <c r="R387" s="144">
        <f t="shared" si="91"/>
        <v>0</v>
      </c>
      <c r="S387" s="135" t="s">
        <v>146</v>
      </c>
      <c r="T387" s="193"/>
      <c r="U387" s="145">
        <f t="shared" si="92"/>
        <v>0</v>
      </c>
      <c r="V387" s="144">
        <f t="shared" si="93"/>
        <v>0</v>
      </c>
      <c r="W387" s="193"/>
      <c r="X387" s="147"/>
    </row>
    <row r="388" spans="2:24" x14ac:dyDescent="0.35">
      <c r="B388" s="137" t="s">
        <v>1492</v>
      </c>
      <c r="C388" s="147" t="s">
        <v>999</v>
      </c>
      <c r="D388" s="147" t="s">
        <v>1354</v>
      </c>
      <c r="E388" s="147" t="s">
        <v>248</v>
      </c>
      <c r="F388" s="147" t="s">
        <v>106</v>
      </c>
      <c r="G388" s="141">
        <v>1847</v>
      </c>
      <c r="H388" s="142">
        <v>2445</v>
      </c>
      <c r="I388" s="144">
        <f t="shared" si="89"/>
        <v>4515915</v>
      </c>
      <c r="J388" s="193"/>
      <c r="K388" s="141">
        <f t="shared" si="118"/>
        <v>1847</v>
      </c>
      <c r="L388" s="143">
        <f t="shared" si="94"/>
        <v>2445</v>
      </c>
      <c r="M388" s="144">
        <f t="shared" si="95"/>
        <v>4515915</v>
      </c>
      <c r="N388" s="135" t="s">
        <v>1682</v>
      </c>
      <c r="O388" s="193"/>
      <c r="P388" s="145">
        <v>0</v>
      </c>
      <c r="Q388" s="143">
        <f t="shared" si="90"/>
        <v>2445</v>
      </c>
      <c r="R388" s="144">
        <f t="shared" si="91"/>
        <v>0</v>
      </c>
      <c r="S388" s="135" t="s">
        <v>146</v>
      </c>
      <c r="T388" s="193"/>
      <c r="U388" s="145">
        <f t="shared" si="92"/>
        <v>0</v>
      </c>
      <c r="V388" s="144">
        <f t="shared" si="93"/>
        <v>0</v>
      </c>
      <c r="W388" s="193"/>
      <c r="X388" s="147"/>
    </row>
    <row r="389" spans="2:24" x14ac:dyDescent="0.35">
      <c r="B389" s="137" t="s">
        <v>1496</v>
      </c>
      <c r="C389" s="147" t="s">
        <v>331</v>
      </c>
      <c r="D389" s="147" t="s">
        <v>1498</v>
      </c>
      <c r="E389" s="147" t="s">
        <v>182</v>
      </c>
      <c r="F389" s="147" t="s">
        <v>106</v>
      </c>
      <c r="G389" s="141">
        <v>4400</v>
      </c>
      <c r="H389" s="142">
        <v>2445</v>
      </c>
      <c r="I389" s="144">
        <f t="shared" si="89"/>
        <v>10758000</v>
      </c>
      <c r="J389" s="193"/>
      <c r="K389" s="141">
        <v>2640</v>
      </c>
      <c r="L389" s="143">
        <f t="shared" si="94"/>
        <v>2445</v>
      </c>
      <c r="M389" s="144">
        <f t="shared" si="95"/>
        <v>6454800</v>
      </c>
      <c r="N389" s="135" t="s">
        <v>1542</v>
      </c>
      <c r="O389" s="193"/>
      <c r="P389" s="145">
        <v>1760</v>
      </c>
      <c r="Q389" s="143">
        <f t="shared" si="90"/>
        <v>2445</v>
      </c>
      <c r="R389" s="144">
        <f t="shared" si="91"/>
        <v>4303200</v>
      </c>
      <c r="S389" s="135" t="s">
        <v>1751</v>
      </c>
      <c r="T389" s="193"/>
      <c r="U389" s="145">
        <f t="shared" si="92"/>
        <v>0</v>
      </c>
      <c r="V389" s="144">
        <f t="shared" si="93"/>
        <v>0</v>
      </c>
      <c r="W389" s="193"/>
      <c r="X389" s="147"/>
    </row>
    <row r="390" spans="2:24" x14ac:dyDescent="0.35">
      <c r="B390" s="137" t="s">
        <v>1497</v>
      </c>
      <c r="C390" s="147" t="s">
        <v>170</v>
      </c>
      <c r="D390" s="147" t="s">
        <v>1501</v>
      </c>
      <c r="E390" s="147" t="s">
        <v>182</v>
      </c>
      <c r="F390" s="147" t="s">
        <v>106</v>
      </c>
      <c r="G390" s="141">
        <v>4400</v>
      </c>
      <c r="H390" s="142">
        <v>2445</v>
      </c>
      <c r="I390" s="144">
        <f t="shared" si="89"/>
        <v>10758000</v>
      </c>
      <c r="J390" s="193"/>
      <c r="K390" s="141">
        <v>2640</v>
      </c>
      <c r="L390" s="143">
        <f t="shared" si="94"/>
        <v>2445</v>
      </c>
      <c r="M390" s="144">
        <f t="shared" si="95"/>
        <v>6454800</v>
      </c>
      <c r="N390" s="135" t="s">
        <v>1542</v>
      </c>
      <c r="O390" s="193"/>
      <c r="P390" s="145">
        <v>1760</v>
      </c>
      <c r="Q390" s="143">
        <f t="shared" ref="Q390" si="121">H390</f>
        <v>2445</v>
      </c>
      <c r="R390" s="144">
        <f t="shared" ref="R390" si="122">P390*Q390</f>
        <v>4303200</v>
      </c>
      <c r="S390" s="135" t="s">
        <v>1751</v>
      </c>
      <c r="T390" s="193"/>
      <c r="U390" s="145">
        <f t="shared" si="92"/>
        <v>0</v>
      </c>
      <c r="V390" s="144">
        <f t="shared" si="93"/>
        <v>0</v>
      </c>
      <c r="W390" s="193"/>
      <c r="X390" s="147"/>
    </row>
    <row r="391" spans="2:24" x14ac:dyDescent="0.35">
      <c r="B391" s="137" t="s">
        <v>1503</v>
      </c>
      <c r="C391" s="147" t="s">
        <v>961</v>
      </c>
      <c r="D391" s="147" t="s">
        <v>1504</v>
      </c>
      <c r="E391" s="147" t="s">
        <v>415</v>
      </c>
      <c r="F391" s="147" t="s">
        <v>106</v>
      </c>
      <c r="G391" s="141">
        <v>5000</v>
      </c>
      <c r="H391" s="142">
        <v>2445</v>
      </c>
      <c r="I391" s="144">
        <f t="shared" si="71"/>
        <v>12225000</v>
      </c>
      <c r="J391" s="193"/>
      <c r="K391" s="141">
        <v>3000</v>
      </c>
      <c r="L391" s="143">
        <f t="shared" si="78"/>
        <v>2445</v>
      </c>
      <c r="M391" s="144">
        <f t="shared" si="79"/>
        <v>7335000</v>
      </c>
      <c r="N391" s="135" t="s">
        <v>1542</v>
      </c>
      <c r="O391" s="193"/>
      <c r="P391" s="145">
        <v>1972.49</v>
      </c>
      <c r="Q391" s="143">
        <f t="shared" ref="Q391" si="123">H391</f>
        <v>2445</v>
      </c>
      <c r="R391" s="144">
        <f t="shared" ref="R391" si="124">P391*Q391</f>
        <v>4822738.05</v>
      </c>
      <c r="S391" s="135" t="s">
        <v>1751</v>
      </c>
      <c r="T391" s="193"/>
      <c r="U391" s="145">
        <f t="shared" si="72"/>
        <v>27.509999999999991</v>
      </c>
      <c r="V391" s="144">
        <f t="shared" si="73"/>
        <v>67261.950000000186</v>
      </c>
      <c r="W391" s="193"/>
      <c r="X391" s="147"/>
    </row>
    <row r="392" spans="2:24" x14ac:dyDescent="0.35">
      <c r="B392" s="137" t="s">
        <v>1512</v>
      </c>
      <c r="C392" s="147" t="s">
        <v>98</v>
      </c>
      <c r="D392" s="147" t="s">
        <v>1518</v>
      </c>
      <c r="E392" s="147" t="s">
        <v>114</v>
      </c>
      <c r="F392" s="147" t="s">
        <v>106</v>
      </c>
      <c r="G392" s="141">
        <v>4400</v>
      </c>
      <c r="H392" s="142">
        <v>2445</v>
      </c>
      <c r="I392" s="144">
        <f t="shared" si="71"/>
        <v>10758000</v>
      </c>
      <c r="J392" s="193"/>
      <c r="K392" s="141">
        <v>2640</v>
      </c>
      <c r="L392" s="143">
        <f t="shared" si="78"/>
        <v>2445</v>
      </c>
      <c r="M392" s="144">
        <f t="shared" si="79"/>
        <v>6454800</v>
      </c>
      <c r="N392" s="135" t="s">
        <v>1560</v>
      </c>
      <c r="O392" s="193"/>
      <c r="P392" s="145">
        <v>1760</v>
      </c>
      <c r="Q392" s="143">
        <f t="shared" si="76"/>
        <v>2445</v>
      </c>
      <c r="R392" s="144">
        <f t="shared" si="77"/>
        <v>4303200</v>
      </c>
      <c r="S392" s="135" t="s">
        <v>1746</v>
      </c>
      <c r="T392" s="193"/>
      <c r="U392" s="145">
        <f t="shared" si="72"/>
        <v>0</v>
      </c>
      <c r="V392" s="144">
        <f t="shared" si="73"/>
        <v>0</v>
      </c>
      <c r="W392" s="193"/>
      <c r="X392" s="147"/>
    </row>
    <row r="393" spans="2:24" x14ac:dyDescent="0.35">
      <c r="B393" s="137" t="s">
        <v>1513</v>
      </c>
      <c r="C393" s="147" t="s">
        <v>733</v>
      </c>
      <c r="D393" s="147" t="s">
        <v>1522</v>
      </c>
      <c r="E393" s="147" t="s">
        <v>114</v>
      </c>
      <c r="F393" s="147" t="s">
        <v>106</v>
      </c>
      <c r="G393" s="141">
        <v>4400</v>
      </c>
      <c r="H393" s="142">
        <v>2445</v>
      </c>
      <c r="I393" s="144">
        <f t="shared" ref="I393:I456" si="125">G393*H393</f>
        <v>10758000</v>
      </c>
      <c r="J393" s="193"/>
      <c r="K393" s="141">
        <v>2640</v>
      </c>
      <c r="L393" s="143">
        <f t="shared" ref="L393:L394" si="126">H393</f>
        <v>2445</v>
      </c>
      <c r="M393" s="144">
        <f t="shared" ref="M393:M394" si="127">K393*L393</f>
        <v>6454800</v>
      </c>
      <c r="N393" s="135" t="s">
        <v>1560</v>
      </c>
      <c r="O393" s="193"/>
      <c r="P393" s="145">
        <v>1760</v>
      </c>
      <c r="Q393" s="143">
        <f t="shared" ref="Q393:Q456" si="128">H393</f>
        <v>2445</v>
      </c>
      <c r="R393" s="144">
        <f t="shared" ref="R393:R456" si="129">P393*Q393</f>
        <v>4303200</v>
      </c>
      <c r="S393" s="135" t="s">
        <v>1748</v>
      </c>
      <c r="T393" s="193"/>
      <c r="U393" s="145">
        <f t="shared" ref="U393:U456" si="130">G393-K393-P393</f>
        <v>0</v>
      </c>
      <c r="V393" s="144">
        <f t="shared" ref="V393:V456" si="131">I393-M393-R393</f>
        <v>0</v>
      </c>
      <c r="W393" s="193"/>
      <c r="X393" s="147"/>
    </row>
    <row r="394" spans="2:24" x14ac:dyDescent="0.35">
      <c r="B394" s="137" t="s">
        <v>1514</v>
      </c>
      <c r="C394" s="147" t="s">
        <v>398</v>
      </c>
      <c r="D394" s="147" t="s">
        <v>1523</v>
      </c>
      <c r="E394" s="147" t="s">
        <v>114</v>
      </c>
      <c r="F394" s="147" t="s">
        <v>106</v>
      </c>
      <c r="G394" s="141">
        <v>4400</v>
      </c>
      <c r="H394" s="142">
        <v>2445</v>
      </c>
      <c r="I394" s="144">
        <f t="shared" si="125"/>
        <v>10758000</v>
      </c>
      <c r="J394" s="193"/>
      <c r="K394" s="141">
        <v>2640</v>
      </c>
      <c r="L394" s="143">
        <f t="shared" si="126"/>
        <v>2445</v>
      </c>
      <c r="M394" s="144">
        <f t="shared" si="127"/>
        <v>6454800</v>
      </c>
      <c r="N394" s="135" t="s">
        <v>1560</v>
      </c>
      <c r="O394" s="193"/>
      <c r="P394" s="145">
        <v>0</v>
      </c>
      <c r="Q394" s="143">
        <f t="shared" si="128"/>
        <v>2445</v>
      </c>
      <c r="R394" s="144">
        <f t="shared" si="129"/>
        <v>0</v>
      </c>
      <c r="S394" s="135" t="s">
        <v>146</v>
      </c>
      <c r="T394" s="193"/>
      <c r="U394" s="145">
        <f t="shared" si="130"/>
        <v>1760</v>
      </c>
      <c r="V394" s="144">
        <f t="shared" si="131"/>
        <v>4303200</v>
      </c>
      <c r="W394" s="193"/>
      <c r="X394" s="147"/>
    </row>
    <row r="395" spans="2:24" x14ac:dyDescent="0.35">
      <c r="B395" s="137" t="s">
        <v>1515</v>
      </c>
      <c r="C395" s="147" t="s">
        <v>202</v>
      </c>
      <c r="D395" s="147" t="s">
        <v>1525</v>
      </c>
      <c r="E395" s="147" t="s">
        <v>114</v>
      </c>
      <c r="F395" s="147" t="s">
        <v>106</v>
      </c>
      <c r="G395" s="141">
        <v>4400</v>
      </c>
      <c r="H395" s="142">
        <v>2445</v>
      </c>
      <c r="I395" s="144">
        <f t="shared" si="125"/>
        <v>10758000</v>
      </c>
      <c r="J395" s="193"/>
      <c r="K395" s="141">
        <v>2640</v>
      </c>
      <c r="L395" s="143">
        <f t="shared" ref="L395:L456" si="132">H395</f>
        <v>2445</v>
      </c>
      <c r="M395" s="144">
        <f t="shared" ref="M395:M456" si="133">K395*L395</f>
        <v>6454800</v>
      </c>
      <c r="N395" s="135" t="s">
        <v>1543</v>
      </c>
      <c r="O395" s="193"/>
      <c r="P395" s="145">
        <v>1760</v>
      </c>
      <c r="Q395" s="143">
        <f t="shared" si="128"/>
        <v>2445</v>
      </c>
      <c r="R395" s="144">
        <f t="shared" si="129"/>
        <v>4303200</v>
      </c>
      <c r="S395" s="135" t="s">
        <v>1746</v>
      </c>
      <c r="T395" s="193"/>
      <c r="U395" s="145">
        <f t="shared" si="130"/>
        <v>0</v>
      </c>
      <c r="V395" s="144">
        <f t="shared" si="131"/>
        <v>0</v>
      </c>
      <c r="W395" s="193"/>
      <c r="X395" s="147"/>
    </row>
    <row r="396" spans="2:24" x14ac:dyDescent="0.35">
      <c r="B396" s="137" t="s">
        <v>1516</v>
      </c>
      <c r="C396" s="147" t="s">
        <v>701</v>
      </c>
      <c r="D396" s="147" t="s">
        <v>1527</v>
      </c>
      <c r="E396" s="147" t="s">
        <v>114</v>
      </c>
      <c r="F396" s="147" t="s">
        <v>106</v>
      </c>
      <c r="G396" s="141">
        <v>4400</v>
      </c>
      <c r="H396" s="142">
        <v>2445</v>
      </c>
      <c r="I396" s="144">
        <f t="shared" si="125"/>
        <v>10758000</v>
      </c>
      <c r="J396" s="193"/>
      <c r="K396" s="141">
        <v>2640</v>
      </c>
      <c r="L396" s="143">
        <f t="shared" si="132"/>
        <v>2445</v>
      </c>
      <c r="M396" s="144">
        <f t="shared" si="133"/>
        <v>6454800</v>
      </c>
      <c r="N396" s="135" t="s">
        <v>1543</v>
      </c>
      <c r="O396" s="193"/>
      <c r="P396" s="145">
        <v>1760</v>
      </c>
      <c r="Q396" s="143">
        <f t="shared" ref="Q396" si="134">H396</f>
        <v>2445</v>
      </c>
      <c r="R396" s="144">
        <f t="shared" ref="R396" si="135">P396*Q396</f>
        <v>4303200</v>
      </c>
      <c r="S396" s="135" t="s">
        <v>1748</v>
      </c>
      <c r="T396" s="193"/>
      <c r="U396" s="145">
        <f t="shared" si="130"/>
        <v>0</v>
      </c>
      <c r="V396" s="144">
        <f t="shared" si="131"/>
        <v>0</v>
      </c>
      <c r="W396" s="193"/>
      <c r="X396" s="147"/>
    </row>
    <row r="397" spans="2:24" x14ac:dyDescent="0.35">
      <c r="B397" s="137" t="s">
        <v>1517</v>
      </c>
      <c r="C397" s="147" t="s">
        <v>952</v>
      </c>
      <c r="D397" s="147" t="s">
        <v>1529</v>
      </c>
      <c r="E397" s="147" t="s">
        <v>114</v>
      </c>
      <c r="F397" s="147" t="s">
        <v>106</v>
      </c>
      <c r="G397" s="141">
        <v>4400</v>
      </c>
      <c r="H397" s="142">
        <v>2445</v>
      </c>
      <c r="I397" s="144">
        <f t="shared" si="125"/>
        <v>10758000</v>
      </c>
      <c r="J397" s="193"/>
      <c r="K397" s="141">
        <v>2640</v>
      </c>
      <c r="L397" s="143">
        <f t="shared" si="132"/>
        <v>2445</v>
      </c>
      <c r="M397" s="144">
        <f t="shared" si="133"/>
        <v>6454800</v>
      </c>
      <c r="N397" s="135" t="s">
        <v>1543</v>
      </c>
      <c r="O397" s="193"/>
      <c r="P397" s="145">
        <v>1760</v>
      </c>
      <c r="Q397" s="143">
        <f t="shared" si="128"/>
        <v>2445</v>
      </c>
      <c r="R397" s="144">
        <f t="shared" si="129"/>
        <v>4303200</v>
      </c>
      <c r="S397" s="135" t="s">
        <v>1747</v>
      </c>
      <c r="T397" s="193"/>
      <c r="U397" s="145">
        <f t="shared" si="130"/>
        <v>0</v>
      </c>
      <c r="V397" s="144">
        <f t="shared" si="131"/>
        <v>0</v>
      </c>
      <c r="W397" s="193"/>
      <c r="X397" s="147"/>
    </row>
    <row r="398" spans="2:24" x14ac:dyDescent="0.35">
      <c r="B398" s="137" t="s">
        <v>1531</v>
      </c>
      <c r="C398" s="147" t="s">
        <v>952</v>
      </c>
      <c r="D398" s="147" t="s">
        <v>1337</v>
      </c>
      <c r="E398" s="147" t="s">
        <v>248</v>
      </c>
      <c r="F398" s="147" t="s">
        <v>106</v>
      </c>
      <c r="G398" s="141">
        <v>1745</v>
      </c>
      <c r="H398" s="142">
        <v>2445</v>
      </c>
      <c r="I398" s="144">
        <f t="shared" si="125"/>
        <v>4266525</v>
      </c>
      <c r="J398" s="193"/>
      <c r="K398" s="141">
        <f t="shared" ref="K398:K399" si="136">G398</f>
        <v>1745</v>
      </c>
      <c r="L398" s="143">
        <f t="shared" si="132"/>
        <v>2445</v>
      </c>
      <c r="M398" s="144">
        <f t="shared" si="133"/>
        <v>4266525</v>
      </c>
      <c r="N398" s="135" t="s">
        <v>1736</v>
      </c>
      <c r="O398" s="193"/>
      <c r="P398" s="145">
        <v>0</v>
      </c>
      <c r="Q398" s="143">
        <f t="shared" si="128"/>
        <v>2445</v>
      </c>
      <c r="R398" s="144">
        <f t="shared" si="129"/>
        <v>0</v>
      </c>
      <c r="S398" s="135" t="s">
        <v>146</v>
      </c>
      <c r="T398" s="193"/>
      <c r="U398" s="145">
        <f t="shared" si="130"/>
        <v>0</v>
      </c>
      <c r="V398" s="144">
        <f t="shared" si="131"/>
        <v>0</v>
      </c>
      <c r="W398" s="193"/>
      <c r="X398" s="147"/>
    </row>
    <row r="399" spans="2:24" x14ac:dyDescent="0.35">
      <c r="B399" s="137" t="s">
        <v>1532</v>
      </c>
      <c r="C399" s="147" t="s">
        <v>98</v>
      </c>
      <c r="D399" s="147" t="s">
        <v>1325</v>
      </c>
      <c r="E399" s="147" t="s">
        <v>248</v>
      </c>
      <c r="F399" s="147" t="s">
        <v>106</v>
      </c>
      <c r="G399" s="141">
        <v>1701</v>
      </c>
      <c r="H399" s="142">
        <v>2445</v>
      </c>
      <c r="I399" s="144">
        <f t="shared" si="125"/>
        <v>4158945</v>
      </c>
      <c r="J399" s="193"/>
      <c r="K399" s="141">
        <f t="shared" si="136"/>
        <v>1701</v>
      </c>
      <c r="L399" s="143">
        <f t="shared" si="132"/>
        <v>2445</v>
      </c>
      <c r="M399" s="144">
        <f t="shared" si="133"/>
        <v>4158945</v>
      </c>
      <c r="N399" s="135" t="s">
        <v>1736</v>
      </c>
      <c r="O399" s="193"/>
      <c r="P399" s="145">
        <v>0</v>
      </c>
      <c r="Q399" s="143">
        <f t="shared" si="128"/>
        <v>2445</v>
      </c>
      <c r="R399" s="144">
        <f t="shared" si="129"/>
        <v>0</v>
      </c>
      <c r="S399" s="135" t="s">
        <v>146</v>
      </c>
      <c r="T399" s="193"/>
      <c r="U399" s="145">
        <f t="shared" si="130"/>
        <v>0</v>
      </c>
      <c r="V399" s="144">
        <f t="shared" si="131"/>
        <v>0</v>
      </c>
      <c r="W399" s="193"/>
      <c r="X399" s="147"/>
    </row>
    <row r="400" spans="2:24" x14ac:dyDescent="0.35">
      <c r="B400" s="137" t="s">
        <v>1533</v>
      </c>
      <c r="C400" s="147" t="s">
        <v>202</v>
      </c>
      <c r="D400" s="147" t="s">
        <v>1351</v>
      </c>
      <c r="E400" s="147" t="s">
        <v>248</v>
      </c>
      <c r="F400" s="147" t="s">
        <v>106</v>
      </c>
      <c r="G400" s="141">
        <v>1920</v>
      </c>
      <c r="H400" s="142">
        <v>2445</v>
      </c>
      <c r="I400" s="144">
        <f t="shared" si="125"/>
        <v>4694400</v>
      </c>
      <c r="J400" s="193"/>
      <c r="K400" s="141">
        <f>G400</f>
        <v>1920</v>
      </c>
      <c r="L400" s="143">
        <f t="shared" si="132"/>
        <v>2445</v>
      </c>
      <c r="M400" s="144">
        <f t="shared" si="133"/>
        <v>4694400</v>
      </c>
      <c r="N400" s="135" t="s">
        <v>1682</v>
      </c>
      <c r="O400" s="193"/>
      <c r="P400" s="145">
        <v>0</v>
      </c>
      <c r="Q400" s="143">
        <f t="shared" si="128"/>
        <v>2445</v>
      </c>
      <c r="R400" s="144">
        <f t="shared" si="129"/>
        <v>0</v>
      </c>
      <c r="S400" s="135" t="s">
        <v>146</v>
      </c>
      <c r="T400" s="193"/>
      <c r="U400" s="145">
        <f t="shared" si="130"/>
        <v>0</v>
      </c>
      <c r="V400" s="144">
        <f t="shared" si="131"/>
        <v>0</v>
      </c>
      <c r="W400" s="193"/>
      <c r="X400" s="147"/>
    </row>
    <row r="401" spans="2:24" x14ac:dyDescent="0.35">
      <c r="B401" s="137" t="s">
        <v>1534</v>
      </c>
      <c r="C401" s="147" t="s">
        <v>999</v>
      </c>
      <c r="D401" s="147" t="s">
        <v>213</v>
      </c>
      <c r="E401" s="147" t="s">
        <v>1536</v>
      </c>
      <c r="F401" s="147" t="s">
        <v>319</v>
      </c>
      <c r="G401" s="141">
        <f>4600+150</f>
        <v>4750</v>
      </c>
      <c r="H401" s="142">
        <v>2500</v>
      </c>
      <c r="I401" s="144">
        <f t="shared" si="125"/>
        <v>11875000</v>
      </c>
      <c r="J401" s="193"/>
      <c r="K401" s="141">
        <f>4600+150</f>
        <v>4750</v>
      </c>
      <c r="L401" s="143">
        <f t="shared" si="132"/>
        <v>2500</v>
      </c>
      <c r="M401" s="144">
        <f t="shared" si="133"/>
        <v>11875000</v>
      </c>
      <c r="N401" s="135" t="s">
        <v>1725</v>
      </c>
      <c r="O401" s="193"/>
      <c r="P401" s="145">
        <v>0</v>
      </c>
      <c r="Q401" s="143">
        <f t="shared" si="128"/>
        <v>2500</v>
      </c>
      <c r="R401" s="144">
        <f t="shared" si="129"/>
        <v>0</v>
      </c>
      <c r="S401" s="135" t="s">
        <v>146</v>
      </c>
      <c r="T401" s="193"/>
      <c r="U401" s="145">
        <f t="shared" si="130"/>
        <v>0</v>
      </c>
      <c r="V401" s="144">
        <f t="shared" si="131"/>
        <v>0</v>
      </c>
      <c r="W401" s="193"/>
      <c r="X401" s="147"/>
    </row>
    <row r="402" spans="2:24" x14ac:dyDescent="0.35">
      <c r="B402" s="137" t="s">
        <v>1535</v>
      </c>
      <c r="C402" s="147" t="s">
        <v>976</v>
      </c>
      <c r="D402" s="147" t="s">
        <v>213</v>
      </c>
      <c r="E402" s="147" t="s">
        <v>1536</v>
      </c>
      <c r="F402" s="147" t="s">
        <v>319</v>
      </c>
      <c r="G402" s="141">
        <f>4600+150</f>
        <v>4750</v>
      </c>
      <c r="H402" s="142">
        <v>2500</v>
      </c>
      <c r="I402" s="144">
        <f t="shared" si="125"/>
        <v>11875000</v>
      </c>
      <c r="J402" s="193"/>
      <c r="K402" s="141">
        <f>4600+150</f>
        <v>4750</v>
      </c>
      <c r="L402" s="143">
        <f t="shared" si="132"/>
        <v>2500</v>
      </c>
      <c r="M402" s="144">
        <f t="shared" si="133"/>
        <v>11875000</v>
      </c>
      <c r="N402" s="135" t="s">
        <v>1725</v>
      </c>
      <c r="O402" s="193"/>
      <c r="P402" s="145">
        <v>0</v>
      </c>
      <c r="Q402" s="143">
        <f t="shared" si="128"/>
        <v>2500</v>
      </c>
      <c r="R402" s="144">
        <f t="shared" si="129"/>
        <v>0</v>
      </c>
      <c r="S402" s="135" t="s">
        <v>146</v>
      </c>
      <c r="T402" s="193"/>
      <c r="U402" s="145">
        <f t="shared" si="130"/>
        <v>0</v>
      </c>
      <c r="V402" s="144">
        <f t="shared" si="131"/>
        <v>0</v>
      </c>
      <c r="W402" s="193"/>
      <c r="X402" s="147"/>
    </row>
    <row r="403" spans="2:24" x14ac:dyDescent="0.35">
      <c r="B403" s="185" t="s">
        <v>1546</v>
      </c>
      <c r="C403" s="147" t="s">
        <v>180</v>
      </c>
      <c r="D403" s="147" t="s">
        <v>1378</v>
      </c>
      <c r="E403" s="188" t="s">
        <v>248</v>
      </c>
      <c r="F403" s="188" t="s">
        <v>1547</v>
      </c>
      <c r="G403" s="141">
        <v>1923.98</v>
      </c>
      <c r="H403" s="142">
        <v>2439</v>
      </c>
      <c r="I403" s="144">
        <f t="shared" si="125"/>
        <v>4692587.22</v>
      </c>
      <c r="J403" s="193"/>
      <c r="K403" s="141">
        <v>1923.98</v>
      </c>
      <c r="L403" s="143">
        <f t="shared" si="132"/>
        <v>2439</v>
      </c>
      <c r="M403" s="144">
        <f t="shared" si="133"/>
        <v>4692587.22</v>
      </c>
      <c r="N403" s="135" t="s">
        <v>1602</v>
      </c>
      <c r="O403" s="193"/>
      <c r="P403" s="145">
        <v>0</v>
      </c>
      <c r="Q403" s="143">
        <f t="shared" si="128"/>
        <v>2439</v>
      </c>
      <c r="R403" s="144">
        <f t="shared" si="129"/>
        <v>0</v>
      </c>
      <c r="S403" s="135" t="s">
        <v>146</v>
      </c>
      <c r="T403" s="193"/>
      <c r="U403" s="145">
        <f t="shared" si="130"/>
        <v>0</v>
      </c>
      <c r="V403" s="144">
        <f t="shared" si="131"/>
        <v>0</v>
      </c>
      <c r="W403" s="193"/>
      <c r="X403" s="147"/>
    </row>
    <row r="404" spans="2:24" x14ac:dyDescent="0.35">
      <c r="B404" s="187"/>
      <c r="C404" s="147" t="s">
        <v>986</v>
      </c>
      <c r="D404" s="147" t="s">
        <v>1382</v>
      </c>
      <c r="E404" s="189"/>
      <c r="F404" s="189"/>
      <c r="G404" s="141">
        <v>1945.31</v>
      </c>
      <c r="H404" s="142">
        <v>2439</v>
      </c>
      <c r="I404" s="144">
        <f t="shared" si="125"/>
        <v>4744611.09</v>
      </c>
      <c r="J404" s="193"/>
      <c r="K404" s="141">
        <v>1945.31</v>
      </c>
      <c r="L404" s="143">
        <f t="shared" si="132"/>
        <v>2439</v>
      </c>
      <c r="M404" s="144">
        <f t="shared" si="133"/>
        <v>4744611.09</v>
      </c>
      <c r="N404" s="135" t="s">
        <v>1602</v>
      </c>
      <c r="O404" s="193"/>
      <c r="P404" s="145">
        <v>0</v>
      </c>
      <c r="Q404" s="143">
        <f t="shared" si="128"/>
        <v>2439</v>
      </c>
      <c r="R404" s="144">
        <f t="shared" si="129"/>
        <v>0</v>
      </c>
      <c r="S404" s="135" t="s">
        <v>146</v>
      </c>
      <c r="T404" s="193"/>
      <c r="U404" s="145">
        <f t="shared" si="130"/>
        <v>0</v>
      </c>
      <c r="V404" s="144">
        <f t="shared" si="131"/>
        <v>0</v>
      </c>
      <c r="W404" s="193"/>
      <c r="X404" s="147"/>
    </row>
    <row r="405" spans="2:24" x14ac:dyDescent="0.35">
      <c r="B405" s="139" t="s">
        <v>1549</v>
      </c>
      <c r="C405" s="147" t="s">
        <v>180</v>
      </c>
      <c r="D405" s="147" t="s">
        <v>1548</v>
      </c>
      <c r="E405" s="147" t="s">
        <v>182</v>
      </c>
      <c r="F405" s="147" t="s">
        <v>319</v>
      </c>
      <c r="G405" s="141">
        <v>4300</v>
      </c>
      <c r="H405" s="142">
        <v>2500</v>
      </c>
      <c r="I405" s="144">
        <f t="shared" si="125"/>
        <v>10750000</v>
      </c>
      <c r="J405" s="193"/>
      <c r="K405" s="141">
        <f>G405</f>
        <v>4300</v>
      </c>
      <c r="L405" s="143">
        <f t="shared" si="132"/>
        <v>2500</v>
      </c>
      <c r="M405" s="144">
        <f t="shared" si="133"/>
        <v>10750000</v>
      </c>
      <c r="N405" s="135" t="s">
        <v>1741</v>
      </c>
      <c r="O405" s="193"/>
      <c r="P405" s="145">
        <v>0</v>
      </c>
      <c r="Q405" s="143">
        <f t="shared" si="128"/>
        <v>2500</v>
      </c>
      <c r="R405" s="144">
        <f t="shared" si="129"/>
        <v>0</v>
      </c>
      <c r="S405" s="135" t="s">
        <v>146</v>
      </c>
      <c r="T405" s="193"/>
      <c r="U405" s="145">
        <f t="shared" si="130"/>
        <v>0</v>
      </c>
      <c r="V405" s="144">
        <f t="shared" si="131"/>
        <v>0</v>
      </c>
      <c r="W405" s="193"/>
      <c r="X405" s="147"/>
    </row>
    <row r="406" spans="2:24" x14ac:dyDescent="0.35">
      <c r="B406" s="139" t="s">
        <v>1551</v>
      </c>
      <c r="C406" s="147" t="s">
        <v>986</v>
      </c>
      <c r="D406" s="147" t="s">
        <v>1554</v>
      </c>
      <c r="E406" s="147" t="s">
        <v>114</v>
      </c>
      <c r="F406" s="147" t="s">
        <v>319</v>
      </c>
      <c r="G406" s="141">
        <v>4400</v>
      </c>
      <c r="H406" s="142">
        <v>2500</v>
      </c>
      <c r="I406" s="144">
        <f t="shared" si="125"/>
        <v>11000000</v>
      </c>
      <c r="J406" s="193"/>
      <c r="K406" s="141">
        <v>4200</v>
      </c>
      <c r="L406" s="143">
        <f t="shared" si="132"/>
        <v>2500</v>
      </c>
      <c r="M406" s="144">
        <f t="shared" si="133"/>
        <v>10500000</v>
      </c>
      <c r="N406" s="135" t="s">
        <v>1752</v>
      </c>
      <c r="O406" s="193"/>
      <c r="P406" s="145">
        <v>0</v>
      </c>
      <c r="Q406" s="143">
        <f t="shared" si="128"/>
        <v>2500</v>
      </c>
      <c r="R406" s="144">
        <f t="shared" si="129"/>
        <v>0</v>
      </c>
      <c r="S406" s="135" t="s">
        <v>146</v>
      </c>
      <c r="T406" s="193"/>
      <c r="U406" s="145">
        <f t="shared" si="130"/>
        <v>200</v>
      </c>
      <c r="V406" s="144">
        <f t="shared" si="131"/>
        <v>500000</v>
      </c>
      <c r="W406" s="193"/>
      <c r="X406" s="147"/>
    </row>
    <row r="407" spans="2:24" x14ac:dyDescent="0.35">
      <c r="B407" s="139" t="s">
        <v>1552</v>
      </c>
      <c r="C407" s="147" t="s">
        <v>668</v>
      </c>
      <c r="D407" s="147" t="s">
        <v>1407</v>
      </c>
      <c r="E407" s="147" t="s">
        <v>248</v>
      </c>
      <c r="F407" s="147" t="s">
        <v>1547</v>
      </c>
      <c r="G407" s="141">
        <v>2075.4299999999998</v>
      </c>
      <c r="H407" s="142">
        <v>2439</v>
      </c>
      <c r="I407" s="144">
        <f t="shared" si="125"/>
        <v>5061973.7699999996</v>
      </c>
      <c r="J407" s="193"/>
      <c r="K407" s="141">
        <f>G407</f>
        <v>2075.4299999999998</v>
      </c>
      <c r="L407" s="143">
        <f t="shared" si="132"/>
        <v>2439</v>
      </c>
      <c r="M407" s="144">
        <f t="shared" si="133"/>
        <v>5061973.7699999996</v>
      </c>
      <c r="N407" s="135" t="s">
        <v>1587</v>
      </c>
      <c r="O407" s="193"/>
      <c r="P407" s="145">
        <v>0</v>
      </c>
      <c r="Q407" s="143">
        <f t="shared" si="128"/>
        <v>2439</v>
      </c>
      <c r="R407" s="144">
        <f t="shared" si="129"/>
        <v>0</v>
      </c>
      <c r="S407" s="135" t="s">
        <v>146</v>
      </c>
      <c r="T407" s="193"/>
      <c r="U407" s="145">
        <f t="shared" si="130"/>
        <v>0</v>
      </c>
      <c r="V407" s="144">
        <f t="shared" si="131"/>
        <v>0</v>
      </c>
      <c r="W407" s="193"/>
      <c r="X407" s="147"/>
    </row>
    <row r="408" spans="2:24" x14ac:dyDescent="0.35">
      <c r="B408" s="139" t="s">
        <v>1553</v>
      </c>
      <c r="C408" s="147" t="s">
        <v>194</v>
      </c>
      <c r="D408" s="147" t="s">
        <v>1360</v>
      </c>
      <c r="E408" s="147" t="s">
        <v>248</v>
      </c>
      <c r="F408" s="147" t="s">
        <v>106</v>
      </c>
      <c r="G408" s="141">
        <v>1917</v>
      </c>
      <c r="H408" s="142">
        <v>2445</v>
      </c>
      <c r="I408" s="144">
        <f t="shared" si="125"/>
        <v>4687065</v>
      </c>
      <c r="J408" s="193"/>
      <c r="K408" s="141">
        <f t="shared" ref="K408:K409" si="137">G408</f>
        <v>1917</v>
      </c>
      <c r="L408" s="143">
        <f t="shared" si="132"/>
        <v>2445</v>
      </c>
      <c r="M408" s="144">
        <f t="shared" si="133"/>
        <v>4687065</v>
      </c>
      <c r="N408" s="135" t="s">
        <v>1737</v>
      </c>
      <c r="O408" s="193"/>
      <c r="P408" s="145">
        <v>0</v>
      </c>
      <c r="Q408" s="143">
        <f t="shared" si="128"/>
        <v>2445</v>
      </c>
      <c r="R408" s="144">
        <f t="shared" si="129"/>
        <v>0</v>
      </c>
      <c r="S408" s="135" t="s">
        <v>146</v>
      </c>
      <c r="T408" s="193"/>
      <c r="U408" s="145">
        <f t="shared" si="130"/>
        <v>0</v>
      </c>
      <c r="V408" s="144">
        <f t="shared" si="131"/>
        <v>0</v>
      </c>
      <c r="W408" s="193"/>
      <c r="X408" s="147"/>
    </row>
    <row r="409" spans="2:24" x14ac:dyDescent="0.35">
      <c r="B409" s="139" t="s">
        <v>1556</v>
      </c>
      <c r="C409" s="147" t="s">
        <v>796</v>
      </c>
      <c r="D409" s="147" t="s">
        <v>1347</v>
      </c>
      <c r="E409" s="147" t="s">
        <v>248</v>
      </c>
      <c r="F409" s="147" t="s">
        <v>106</v>
      </c>
      <c r="G409" s="141">
        <v>1916</v>
      </c>
      <c r="H409" s="142">
        <v>2445</v>
      </c>
      <c r="I409" s="144">
        <f t="shared" si="125"/>
        <v>4684620</v>
      </c>
      <c r="J409" s="193"/>
      <c r="K409" s="141">
        <f t="shared" si="137"/>
        <v>1916</v>
      </c>
      <c r="L409" s="143">
        <f t="shared" si="132"/>
        <v>2445</v>
      </c>
      <c r="M409" s="144">
        <f t="shared" si="133"/>
        <v>4684620</v>
      </c>
      <c r="N409" s="135" t="s">
        <v>1737</v>
      </c>
      <c r="O409" s="193"/>
      <c r="P409" s="145">
        <v>0</v>
      </c>
      <c r="Q409" s="143">
        <f t="shared" si="128"/>
        <v>2445</v>
      </c>
      <c r="R409" s="144">
        <f t="shared" si="129"/>
        <v>0</v>
      </c>
      <c r="S409" s="135" t="s">
        <v>146</v>
      </c>
      <c r="T409" s="193"/>
      <c r="U409" s="145">
        <f t="shared" si="130"/>
        <v>0</v>
      </c>
      <c r="V409" s="144">
        <f t="shared" si="131"/>
        <v>0</v>
      </c>
      <c r="W409" s="193"/>
      <c r="X409" s="147"/>
    </row>
    <row r="410" spans="2:24" x14ac:dyDescent="0.35">
      <c r="B410" s="139" t="s">
        <v>1557</v>
      </c>
      <c r="C410" s="147" t="s">
        <v>194</v>
      </c>
      <c r="D410" s="147" t="s">
        <v>1558</v>
      </c>
      <c r="E410" s="147" t="s">
        <v>383</v>
      </c>
      <c r="F410" s="147" t="s">
        <v>106</v>
      </c>
      <c r="G410" s="141">
        <v>5000</v>
      </c>
      <c r="H410" s="142">
        <v>2445</v>
      </c>
      <c r="I410" s="144">
        <f t="shared" si="125"/>
        <v>12225000</v>
      </c>
      <c r="J410" s="193"/>
      <c r="K410" s="141">
        <v>3000</v>
      </c>
      <c r="L410" s="143">
        <f t="shared" si="132"/>
        <v>2445</v>
      </c>
      <c r="M410" s="144">
        <f t="shared" si="133"/>
        <v>7335000</v>
      </c>
      <c r="N410" s="135" t="s">
        <v>1580</v>
      </c>
      <c r="O410" s="193"/>
      <c r="P410" s="145">
        <v>20000</v>
      </c>
      <c r="Q410" s="143">
        <f t="shared" si="128"/>
        <v>2445</v>
      </c>
      <c r="R410" s="144">
        <f t="shared" si="129"/>
        <v>48900000</v>
      </c>
      <c r="S410" s="135" t="s">
        <v>1751</v>
      </c>
      <c r="T410" s="193"/>
      <c r="U410" s="145">
        <f t="shared" si="130"/>
        <v>-18000</v>
      </c>
      <c r="V410" s="144">
        <f t="shared" si="131"/>
        <v>-44010000</v>
      </c>
      <c r="W410" s="193"/>
      <c r="X410" s="147"/>
    </row>
    <row r="411" spans="2:24" x14ac:dyDescent="0.35">
      <c r="B411" s="139" t="s">
        <v>1562</v>
      </c>
      <c r="C411" s="147" t="s">
        <v>796</v>
      </c>
      <c r="D411" s="147" t="s">
        <v>1565</v>
      </c>
      <c r="E411" s="147" t="s">
        <v>114</v>
      </c>
      <c r="F411" s="147" t="s">
        <v>106</v>
      </c>
      <c r="G411" s="141">
        <v>4400</v>
      </c>
      <c r="H411" s="142">
        <v>2445</v>
      </c>
      <c r="I411" s="144">
        <f t="shared" si="125"/>
        <v>10758000</v>
      </c>
      <c r="J411" s="193"/>
      <c r="K411" s="141">
        <v>2640</v>
      </c>
      <c r="L411" s="143">
        <f t="shared" ref="L411" si="138">H411</f>
        <v>2445</v>
      </c>
      <c r="M411" s="144">
        <f t="shared" ref="M411" si="139">K411*L411</f>
        <v>6454800</v>
      </c>
      <c r="N411" s="135" t="s">
        <v>1590</v>
      </c>
      <c r="O411" s="193"/>
      <c r="P411" s="145">
        <v>1760</v>
      </c>
      <c r="Q411" s="143">
        <f t="shared" si="128"/>
        <v>2445</v>
      </c>
      <c r="R411" s="144">
        <f t="shared" si="129"/>
        <v>4303200</v>
      </c>
      <c r="S411" s="135" t="s">
        <v>1751</v>
      </c>
      <c r="T411" s="193"/>
      <c r="U411" s="145">
        <f t="shared" si="130"/>
        <v>0</v>
      </c>
      <c r="V411" s="144">
        <f t="shared" si="131"/>
        <v>0</v>
      </c>
      <c r="W411" s="193"/>
      <c r="X411" s="147"/>
    </row>
    <row r="412" spans="2:24" x14ac:dyDescent="0.35">
      <c r="B412" s="139" t="s">
        <v>1563</v>
      </c>
      <c r="C412" s="147" t="s">
        <v>189</v>
      </c>
      <c r="D412" s="147" t="s">
        <v>1566</v>
      </c>
      <c r="E412" s="147" t="s">
        <v>114</v>
      </c>
      <c r="F412" s="147" t="s">
        <v>106</v>
      </c>
      <c r="G412" s="141">
        <v>4400</v>
      </c>
      <c r="H412" s="142">
        <v>2445</v>
      </c>
      <c r="I412" s="144">
        <f t="shared" si="125"/>
        <v>10758000</v>
      </c>
      <c r="J412" s="193"/>
      <c r="K412" s="141">
        <v>2640</v>
      </c>
      <c r="L412" s="143">
        <f t="shared" si="132"/>
        <v>2445</v>
      </c>
      <c r="M412" s="144">
        <f t="shared" si="133"/>
        <v>6454800</v>
      </c>
      <c r="N412" s="135" t="s">
        <v>1590</v>
      </c>
      <c r="O412" s="193"/>
      <c r="P412" s="145">
        <v>1760</v>
      </c>
      <c r="Q412" s="143">
        <f t="shared" si="128"/>
        <v>2445</v>
      </c>
      <c r="R412" s="144">
        <f t="shared" si="129"/>
        <v>4303200</v>
      </c>
      <c r="S412" s="135" t="s">
        <v>1751</v>
      </c>
      <c r="T412" s="193"/>
      <c r="U412" s="145">
        <f t="shared" si="130"/>
        <v>0</v>
      </c>
      <c r="V412" s="144">
        <f t="shared" si="131"/>
        <v>0</v>
      </c>
      <c r="W412" s="193"/>
      <c r="X412" s="147"/>
    </row>
    <row r="413" spans="2:24" x14ac:dyDescent="0.35">
      <c r="B413" s="139" t="s">
        <v>1564</v>
      </c>
      <c r="C413" s="147" t="s">
        <v>668</v>
      </c>
      <c r="D413" s="147" t="s">
        <v>1567</v>
      </c>
      <c r="E413" s="147" t="s">
        <v>245</v>
      </c>
      <c r="F413" s="147" t="s">
        <v>319</v>
      </c>
      <c r="G413" s="141">
        <v>4400</v>
      </c>
      <c r="H413" s="142">
        <v>2500</v>
      </c>
      <c r="I413" s="144">
        <f t="shared" si="125"/>
        <v>11000000</v>
      </c>
      <c r="J413" s="193"/>
      <c r="K413" s="141">
        <f>G413</f>
        <v>4400</v>
      </c>
      <c r="L413" s="143">
        <f t="shared" si="132"/>
        <v>2500</v>
      </c>
      <c r="M413" s="144">
        <f t="shared" si="133"/>
        <v>11000000</v>
      </c>
      <c r="N413" s="135" t="s">
        <v>1742</v>
      </c>
      <c r="O413" s="193"/>
      <c r="P413" s="145">
        <v>0</v>
      </c>
      <c r="Q413" s="143">
        <f t="shared" si="128"/>
        <v>2500</v>
      </c>
      <c r="R413" s="144">
        <f t="shared" si="129"/>
        <v>0</v>
      </c>
      <c r="S413" s="135" t="s">
        <v>146</v>
      </c>
      <c r="T413" s="193"/>
      <c r="U413" s="145">
        <f t="shared" si="130"/>
        <v>0</v>
      </c>
      <c r="V413" s="144">
        <f t="shared" si="131"/>
        <v>0</v>
      </c>
      <c r="W413" s="193"/>
      <c r="X413" s="147"/>
    </row>
    <row r="414" spans="2:24" x14ac:dyDescent="0.35">
      <c r="B414" s="139" t="s">
        <v>1576</v>
      </c>
      <c r="C414" s="147" t="s">
        <v>1021</v>
      </c>
      <c r="D414" s="139" t="s">
        <v>1577</v>
      </c>
      <c r="E414" s="147" t="s">
        <v>182</v>
      </c>
      <c r="F414" s="147" t="s">
        <v>106</v>
      </c>
      <c r="G414" s="141">
        <v>4400</v>
      </c>
      <c r="H414" s="142">
        <v>2445</v>
      </c>
      <c r="I414" s="144">
        <f t="shared" si="125"/>
        <v>10758000</v>
      </c>
      <c r="J414" s="193"/>
      <c r="K414" s="141">
        <v>2640</v>
      </c>
      <c r="L414" s="143">
        <f t="shared" si="132"/>
        <v>2445</v>
      </c>
      <c r="M414" s="144">
        <f t="shared" si="133"/>
        <v>6454800</v>
      </c>
      <c r="N414" s="135" t="s">
        <v>1588</v>
      </c>
      <c r="O414" s="193"/>
      <c r="P414" s="145">
        <v>1760</v>
      </c>
      <c r="Q414" s="143">
        <f t="shared" si="128"/>
        <v>2445</v>
      </c>
      <c r="R414" s="144">
        <f t="shared" si="129"/>
        <v>4303200</v>
      </c>
      <c r="S414" s="135" t="s">
        <v>1754</v>
      </c>
      <c r="T414" s="193"/>
      <c r="U414" s="145">
        <f t="shared" si="130"/>
        <v>0</v>
      </c>
      <c r="V414" s="144">
        <f t="shared" si="131"/>
        <v>0</v>
      </c>
      <c r="W414" s="193"/>
      <c r="X414" s="147"/>
    </row>
    <row r="415" spans="2:24" x14ac:dyDescent="0.35">
      <c r="B415" s="139" t="s">
        <v>1583</v>
      </c>
      <c r="C415" s="147" t="s">
        <v>736</v>
      </c>
      <c r="D415" s="147" t="s">
        <v>1584</v>
      </c>
      <c r="E415" s="147" t="s">
        <v>206</v>
      </c>
      <c r="F415" s="147" t="s">
        <v>106</v>
      </c>
      <c r="G415" s="141">
        <v>4600</v>
      </c>
      <c r="H415" s="142">
        <v>2445</v>
      </c>
      <c r="I415" s="144">
        <f t="shared" si="125"/>
        <v>11247000</v>
      </c>
      <c r="J415" s="193"/>
      <c r="K415" s="141">
        <v>2760</v>
      </c>
      <c r="L415" s="143">
        <f t="shared" si="132"/>
        <v>2445</v>
      </c>
      <c r="M415" s="144">
        <f t="shared" si="133"/>
        <v>6748200</v>
      </c>
      <c r="N415" s="135" t="s">
        <v>1589</v>
      </c>
      <c r="O415" s="193"/>
      <c r="P415" s="145">
        <v>1840</v>
      </c>
      <c r="Q415" s="143">
        <f t="shared" si="128"/>
        <v>2445</v>
      </c>
      <c r="R415" s="144">
        <f t="shared" si="129"/>
        <v>4498800</v>
      </c>
      <c r="S415" s="135" t="s">
        <v>1755</v>
      </c>
      <c r="T415" s="193"/>
      <c r="U415" s="145">
        <f t="shared" si="130"/>
        <v>0</v>
      </c>
      <c r="V415" s="144">
        <f t="shared" si="131"/>
        <v>0</v>
      </c>
      <c r="W415" s="193"/>
      <c r="X415" s="147"/>
    </row>
    <row r="416" spans="2:24" x14ac:dyDescent="0.35">
      <c r="B416" s="139" t="s">
        <v>1591</v>
      </c>
      <c r="C416" s="147" t="s">
        <v>967</v>
      </c>
      <c r="D416" s="147" t="s">
        <v>1592</v>
      </c>
      <c r="E416" s="147" t="s">
        <v>182</v>
      </c>
      <c r="F416" s="147" t="s">
        <v>106</v>
      </c>
      <c r="G416" s="141">
        <v>4700</v>
      </c>
      <c r="H416" s="142">
        <v>2445</v>
      </c>
      <c r="I416" s="144">
        <f t="shared" si="125"/>
        <v>11491500</v>
      </c>
      <c r="J416" s="193"/>
      <c r="K416" s="141">
        <v>2820</v>
      </c>
      <c r="L416" s="143">
        <f t="shared" si="132"/>
        <v>2445</v>
      </c>
      <c r="M416" s="144">
        <f t="shared" si="133"/>
        <v>6894900</v>
      </c>
      <c r="N416" s="135" t="s">
        <v>1610</v>
      </c>
      <c r="O416" s="193"/>
      <c r="P416" s="145">
        <v>1840</v>
      </c>
      <c r="Q416" s="143">
        <f t="shared" si="128"/>
        <v>2445</v>
      </c>
      <c r="R416" s="144">
        <f t="shared" si="129"/>
        <v>4498800</v>
      </c>
      <c r="S416" s="135" t="s">
        <v>1753</v>
      </c>
      <c r="T416" s="193"/>
      <c r="U416" s="145">
        <f t="shared" si="130"/>
        <v>40</v>
      </c>
      <c r="V416" s="144">
        <f t="shared" si="131"/>
        <v>97800</v>
      </c>
      <c r="W416" s="193"/>
      <c r="X416" s="147"/>
    </row>
    <row r="417" spans="2:24" x14ac:dyDescent="0.35">
      <c r="B417" s="139" t="s">
        <v>1595</v>
      </c>
      <c r="C417" s="147" t="s">
        <v>232</v>
      </c>
      <c r="D417" s="147" t="s">
        <v>1596</v>
      </c>
      <c r="E417" s="147" t="s">
        <v>182</v>
      </c>
      <c r="F417" s="147" t="s">
        <v>106</v>
      </c>
      <c r="G417" s="141">
        <v>4700</v>
      </c>
      <c r="H417" s="142">
        <v>2445</v>
      </c>
      <c r="I417" s="144">
        <f t="shared" si="125"/>
        <v>11491500</v>
      </c>
      <c r="J417" s="193"/>
      <c r="K417" s="141">
        <v>2820</v>
      </c>
      <c r="L417" s="143">
        <f t="shared" ref="L417:L418" si="140">H417</f>
        <v>2445</v>
      </c>
      <c r="M417" s="144">
        <f t="shared" ref="M417:M418" si="141">K417*L417</f>
        <v>6894900</v>
      </c>
      <c r="N417" s="135" t="s">
        <v>1610</v>
      </c>
      <c r="O417" s="193"/>
      <c r="P417" s="145">
        <v>1840</v>
      </c>
      <c r="Q417" s="143">
        <f t="shared" ref="Q417:Q418" si="142">H417</f>
        <v>2445</v>
      </c>
      <c r="R417" s="144">
        <f t="shared" ref="R417:R418" si="143">P417*Q417</f>
        <v>4498800</v>
      </c>
      <c r="S417" s="135" t="s">
        <v>1753</v>
      </c>
      <c r="T417" s="193"/>
      <c r="U417" s="145">
        <f t="shared" si="130"/>
        <v>40</v>
      </c>
      <c r="V417" s="144">
        <f t="shared" si="131"/>
        <v>97800</v>
      </c>
      <c r="W417" s="193"/>
      <c r="X417" s="147"/>
    </row>
    <row r="418" spans="2:24" x14ac:dyDescent="0.35">
      <c r="B418" s="139" t="s">
        <v>1598</v>
      </c>
      <c r="C418" s="147" t="s">
        <v>981</v>
      </c>
      <c r="D418" s="147" t="s">
        <v>1599</v>
      </c>
      <c r="E418" s="147" t="s">
        <v>182</v>
      </c>
      <c r="F418" s="147" t="s">
        <v>106</v>
      </c>
      <c r="G418" s="141">
        <v>4700</v>
      </c>
      <c r="H418" s="142">
        <v>2445</v>
      </c>
      <c r="I418" s="144">
        <f t="shared" ref="I418" si="144">G418*H418</f>
        <v>11491500</v>
      </c>
      <c r="J418" s="193"/>
      <c r="K418" s="141">
        <v>2820</v>
      </c>
      <c r="L418" s="143">
        <f t="shared" si="140"/>
        <v>2445</v>
      </c>
      <c r="M418" s="144">
        <f t="shared" si="141"/>
        <v>6894900</v>
      </c>
      <c r="N418" s="135" t="s">
        <v>1610</v>
      </c>
      <c r="O418" s="193"/>
      <c r="P418" s="145">
        <v>1840</v>
      </c>
      <c r="Q418" s="143">
        <f t="shared" si="142"/>
        <v>2445</v>
      </c>
      <c r="R418" s="144">
        <f t="shared" si="143"/>
        <v>4498800</v>
      </c>
      <c r="S418" s="135" t="s">
        <v>1753</v>
      </c>
      <c r="T418" s="193"/>
      <c r="U418" s="145">
        <f t="shared" ref="U418" si="145">G418-K418-P418</f>
        <v>40</v>
      </c>
      <c r="V418" s="144">
        <f t="shared" ref="V418" si="146">I418-M418-R418</f>
        <v>97800</v>
      </c>
      <c r="W418" s="193"/>
      <c r="X418" s="147"/>
    </row>
    <row r="419" spans="2:24" x14ac:dyDescent="0.35">
      <c r="B419" s="185" t="s">
        <v>1601</v>
      </c>
      <c r="C419" s="147" t="s">
        <v>967</v>
      </c>
      <c r="D419" s="147" t="s">
        <v>1435</v>
      </c>
      <c r="E419" s="147" t="s">
        <v>248</v>
      </c>
      <c r="F419" s="147" t="s">
        <v>1547</v>
      </c>
      <c r="G419" s="141">
        <v>1930.96</v>
      </c>
      <c r="H419" s="142">
        <v>2424</v>
      </c>
      <c r="I419" s="144">
        <f t="shared" si="125"/>
        <v>4680647.04</v>
      </c>
      <c r="J419" s="193"/>
      <c r="K419" s="141">
        <v>1930.96</v>
      </c>
      <c r="L419" s="143">
        <f t="shared" si="132"/>
        <v>2424</v>
      </c>
      <c r="M419" s="144">
        <f t="shared" si="133"/>
        <v>4680647.04</v>
      </c>
      <c r="N419" s="135" t="s">
        <v>1709</v>
      </c>
      <c r="O419" s="193"/>
      <c r="P419" s="145">
        <v>0</v>
      </c>
      <c r="Q419" s="143">
        <f t="shared" si="128"/>
        <v>2424</v>
      </c>
      <c r="R419" s="144">
        <f t="shared" si="129"/>
        <v>0</v>
      </c>
      <c r="S419" s="135" t="s">
        <v>146</v>
      </c>
      <c r="T419" s="193"/>
      <c r="U419" s="145">
        <f t="shared" si="130"/>
        <v>0</v>
      </c>
      <c r="V419" s="144">
        <f t="shared" si="131"/>
        <v>0</v>
      </c>
      <c r="W419" s="193"/>
      <c r="X419" s="147"/>
    </row>
    <row r="420" spans="2:24" x14ac:dyDescent="0.35">
      <c r="B420" s="186"/>
      <c r="C420" s="147" t="s">
        <v>232</v>
      </c>
      <c r="D420" s="147" t="s">
        <v>1439</v>
      </c>
      <c r="E420" s="147" t="s">
        <v>248</v>
      </c>
      <c r="F420" s="147" t="s">
        <v>1547</v>
      </c>
      <c r="G420" s="141">
        <v>1924.58</v>
      </c>
      <c r="H420" s="142">
        <v>2424</v>
      </c>
      <c r="I420" s="144">
        <f t="shared" si="125"/>
        <v>4665181.92</v>
      </c>
      <c r="J420" s="193"/>
      <c r="K420" s="141">
        <v>1924.58</v>
      </c>
      <c r="L420" s="143">
        <f t="shared" si="132"/>
        <v>2424</v>
      </c>
      <c r="M420" s="144">
        <f t="shared" si="133"/>
        <v>4665181.92</v>
      </c>
      <c r="N420" s="135" t="s">
        <v>1709</v>
      </c>
      <c r="O420" s="193"/>
      <c r="P420" s="145">
        <v>0</v>
      </c>
      <c r="Q420" s="143">
        <f t="shared" si="128"/>
        <v>2424</v>
      </c>
      <c r="R420" s="144">
        <f t="shared" si="129"/>
        <v>0</v>
      </c>
      <c r="S420" s="135" t="s">
        <v>146</v>
      </c>
      <c r="T420" s="193"/>
      <c r="U420" s="145">
        <f t="shared" si="130"/>
        <v>0</v>
      </c>
      <c r="V420" s="144">
        <f t="shared" si="131"/>
        <v>0</v>
      </c>
      <c r="W420" s="193"/>
      <c r="X420" s="147"/>
    </row>
    <row r="421" spans="2:24" x14ac:dyDescent="0.35">
      <c r="B421" s="186"/>
      <c r="C421" s="147" t="s">
        <v>981</v>
      </c>
      <c r="D421" s="147" t="s">
        <v>213</v>
      </c>
      <c r="E421" s="147" t="s">
        <v>248</v>
      </c>
      <c r="F421" s="147" t="s">
        <v>1547</v>
      </c>
      <c r="G421" s="141">
        <v>2213.1799999999998</v>
      </c>
      <c r="H421" s="142">
        <v>2424</v>
      </c>
      <c r="I421" s="144">
        <f t="shared" si="125"/>
        <v>5364748.3199999994</v>
      </c>
      <c r="J421" s="193"/>
      <c r="K421" s="141">
        <v>2213.1799999999998</v>
      </c>
      <c r="L421" s="143">
        <f t="shared" si="132"/>
        <v>2424</v>
      </c>
      <c r="M421" s="144">
        <f t="shared" si="133"/>
        <v>5364748.3199999994</v>
      </c>
      <c r="N421" s="135" t="s">
        <v>1709</v>
      </c>
      <c r="O421" s="193"/>
      <c r="P421" s="145">
        <v>0</v>
      </c>
      <c r="Q421" s="143">
        <f t="shared" si="128"/>
        <v>2424</v>
      </c>
      <c r="R421" s="144">
        <f t="shared" si="129"/>
        <v>0</v>
      </c>
      <c r="S421" s="135" t="s">
        <v>146</v>
      </c>
      <c r="T421" s="193"/>
      <c r="U421" s="145">
        <f t="shared" si="130"/>
        <v>0</v>
      </c>
      <c r="V421" s="144">
        <f t="shared" si="131"/>
        <v>0</v>
      </c>
      <c r="W421" s="193"/>
      <c r="X421" s="147"/>
    </row>
    <row r="422" spans="2:24" x14ac:dyDescent="0.35">
      <c r="B422" s="187"/>
      <c r="C422" s="147" t="s">
        <v>809</v>
      </c>
      <c r="D422" s="147" t="s">
        <v>1529</v>
      </c>
      <c r="E422" s="147" t="s">
        <v>248</v>
      </c>
      <c r="F422" s="147" t="s">
        <v>1547</v>
      </c>
      <c r="G422" s="141">
        <v>1937.19</v>
      </c>
      <c r="H422" s="142">
        <v>2424</v>
      </c>
      <c r="I422" s="144">
        <f t="shared" si="125"/>
        <v>4695748.5600000005</v>
      </c>
      <c r="J422" s="193"/>
      <c r="K422" s="141">
        <v>1937.19</v>
      </c>
      <c r="L422" s="143">
        <f t="shared" si="132"/>
        <v>2424</v>
      </c>
      <c r="M422" s="144">
        <f t="shared" si="133"/>
        <v>4695748.5600000005</v>
      </c>
      <c r="N422" s="135" t="s">
        <v>1709</v>
      </c>
      <c r="O422" s="193"/>
      <c r="P422" s="145">
        <v>0</v>
      </c>
      <c r="Q422" s="143">
        <f t="shared" si="128"/>
        <v>2424</v>
      </c>
      <c r="R422" s="144">
        <f t="shared" si="129"/>
        <v>0</v>
      </c>
      <c r="S422" s="135" t="s">
        <v>146</v>
      </c>
      <c r="T422" s="193"/>
      <c r="U422" s="145">
        <f t="shared" si="130"/>
        <v>0</v>
      </c>
      <c r="V422" s="144">
        <f t="shared" si="131"/>
        <v>0</v>
      </c>
      <c r="W422" s="193"/>
      <c r="X422" s="147"/>
    </row>
    <row r="423" spans="2:24" x14ac:dyDescent="0.35">
      <c r="B423" s="139" t="s">
        <v>1606</v>
      </c>
      <c r="C423" s="147" t="s">
        <v>809</v>
      </c>
      <c r="D423" s="147" t="s">
        <v>1607</v>
      </c>
      <c r="E423" s="147" t="s">
        <v>182</v>
      </c>
      <c r="F423" s="147" t="s">
        <v>106</v>
      </c>
      <c r="G423" s="141">
        <v>4700</v>
      </c>
      <c r="H423" s="142">
        <v>2445</v>
      </c>
      <c r="I423" s="144">
        <f t="shared" si="125"/>
        <v>11491500</v>
      </c>
      <c r="J423" s="193"/>
      <c r="K423" s="141">
        <v>2820</v>
      </c>
      <c r="L423" s="143">
        <f t="shared" si="132"/>
        <v>2445</v>
      </c>
      <c r="M423" s="144">
        <f t="shared" si="133"/>
        <v>6894900</v>
      </c>
      <c r="N423" s="135" t="s">
        <v>1703</v>
      </c>
      <c r="O423" s="193"/>
      <c r="P423" s="145">
        <v>1880</v>
      </c>
      <c r="Q423" s="143">
        <f t="shared" ref="Q423" si="147">H423</f>
        <v>2445</v>
      </c>
      <c r="R423" s="144">
        <f t="shared" ref="R423" si="148">P423*Q423</f>
        <v>4596600</v>
      </c>
      <c r="S423" s="135" t="s">
        <v>1753</v>
      </c>
      <c r="T423" s="193"/>
      <c r="U423" s="145">
        <f t="shared" si="130"/>
        <v>0</v>
      </c>
      <c r="V423" s="144">
        <f t="shared" si="131"/>
        <v>0</v>
      </c>
      <c r="W423" s="193"/>
      <c r="X423" s="147"/>
    </row>
    <row r="424" spans="2:24" x14ac:dyDescent="0.35">
      <c r="B424" s="139" t="s">
        <v>1616</v>
      </c>
      <c r="C424" s="147" t="s">
        <v>1617</v>
      </c>
      <c r="D424" s="179" t="s">
        <v>1619</v>
      </c>
      <c r="E424" s="147" t="s">
        <v>248</v>
      </c>
      <c r="F424" s="147" t="s">
        <v>1547</v>
      </c>
      <c r="G424" s="141">
        <v>20006.150000000001</v>
      </c>
      <c r="H424" s="142">
        <v>2445</v>
      </c>
      <c r="I424" s="144">
        <f t="shared" si="125"/>
        <v>48915036.75</v>
      </c>
      <c r="J424" s="193"/>
      <c r="K424" s="141">
        <f>G424</f>
        <v>20006.150000000001</v>
      </c>
      <c r="L424" s="143">
        <f t="shared" si="132"/>
        <v>2445</v>
      </c>
      <c r="M424" s="144">
        <f t="shared" si="133"/>
        <v>48915036.75</v>
      </c>
      <c r="N424" s="135" t="s">
        <v>1618</v>
      </c>
      <c r="O424" s="193"/>
      <c r="P424" s="145">
        <v>0</v>
      </c>
      <c r="Q424" s="143">
        <f t="shared" si="128"/>
        <v>2445</v>
      </c>
      <c r="R424" s="144">
        <f t="shared" si="129"/>
        <v>0</v>
      </c>
      <c r="S424" s="135" t="s">
        <v>146</v>
      </c>
      <c r="T424" s="193"/>
      <c r="U424" s="145">
        <f t="shared" si="130"/>
        <v>0</v>
      </c>
      <c r="V424" s="144">
        <f t="shared" si="131"/>
        <v>0</v>
      </c>
      <c r="W424" s="193"/>
      <c r="X424" s="147"/>
    </row>
    <row r="425" spans="2:24" x14ac:dyDescent="0.35">
      <c r="B425" s="139" t="s">
        <v>1620</v>
      </c>
      <c r="C425" s="147" t="s">
        <v>999</v>
      </c>
      <c r="D425" s="147" t="s">
        <v>213</v>
      </c>
      <c r="E425" s="147" t="s">
        <v>1621</v>
      </c>
      <c r="F425" s="147" t="s">
        <v>319</v>
      </c>
      <c r="G425" s="141">
        <v>4800</v>
      </c>
      <c r="H425" s="142">
        <v>2450</v>
      </c>
      <c r="I425" s="144">
        <f t="shared" si="125"/>
        <v>11760000</v>
      </c>
      <c r="J425" s="193"/>
      <c r="K425" s="141">
        <v>4800</v>
      </c>
      <c r="L425" s="143">
        <f t="shared" si="132"/>
        <v>2450</v>
      </c>
      <c r="M425" s="144">
        <f t="shared" si="133"/>
        <v>11760000</v>
      </c>
      <c r="N425" s="135" t="s">
        <v>1732</v>
      </c>
      <c r="O425" s="193"/>
      <c r="P425" s="145">
        <v>0</v>
      </c>
      <c r="Q425" s="143">
        <f t="shared" si="128"/>
        <v>2450</v>
      </c>
      <c r="R425" s="144">
        <f t="shared" si="129"/>
        <v>0</v>
      </c>
      <c r="S425" s="135" t="s">
        <v>146</v>
      </c>
      <c r="T425" s="193"/>
      <c r="U425" s="145">
        <f t="shared" si="130"/>
        <v>0</v>
      </c>
      <c r="V425" s="144">
        <f t="shared" si="131"/>
        <v>0</v>
      </c>
      <c r="W425" s="193"/>
      <c r="X425" s="147"/>
    </row>
    <row r="426" spans="2:24" x14ac:dyDescent="0.35">
      <c r="B426" s="139" t="s">
        <v>1625</v>
      </c>
      <c r="C426" s="147" t="s">
        <v>976</v>
      </c>
      <c r="D426" s="147" t="s">
        <v>1626</v>
      </c>
      <c r="E426" s="147" t="s">
        <v>114</v>
      </c>
      <c r="F426" s="147" t="s">
        <v>319</v>
      </c>
      <c r="G426" s="141">
        <v>4600</v>
      </c>
      <c r="H426" s="142">
        <v>2450</v>
      </c>
      <c r="I426" s="144">
        <f t="shared" si="125"/>
        <v>11270000</v>
      </c>
      <c r="J426" s="193"/>
      <c r="K426" s="141">
        <v>4600</v>
      </c>
      <c r="L426" s="143">
        <f t="shared" si="132"/>
        <v>2450</v>
      </c>
      <c r="M426" s="144">
        <f t="shared" si="133"/>
        <v>11270000</v>
      </c>
      <c r="N426" s="135" t="s">
        <v>1732</v>
      </c>
      <c r="O426" s="193"/>
      <c r="P426" s="145">
        <v>0</v>
      </c>
      <c r="Q426" s="143">
        <f t="shared" si="128"/>
        <v>2450</v>
      </c>
      <c r="R426" s="144">
        <f t="shared" si="129"/>
        <v>0</v>
      </c>
      <c r="S426" s="135" t="s">
        <v>146</v>
      </c>
      <c r="T426" s="193"/>
      <c r="U426" s="145">
        <f t="shared" si="130"/>
        <v>0</v>
      </c>
      <c r="V426" s="144">
        <f t="shared" si="131"/>
        <v>0</v>
      </c>
      <c r="W426" s="193"/>
      <c r="X426" s="147"/>
    </row>
    <row r="427" spans="2:24" x14ac:dyDescent="0.35">
      <c r="B427" s="139" t="s">
        <v>1628</v>
      </c>
      <c r="C427" s="147" t="s">
        <v>994</v>
      </c>
      <c r="D427" s="147" t="s">
        <v>1645</v>
      </c>
      <c r="E427" s="147" t="s">
        <v>182</v>
      </c>
      <c r="F427" s="147" t="s">
        <v>106</v>
      </c>
      <c r="G427" s="141">
        <v>4800</v>
      </c>
      <c r="H427" s="142">
        <v>2445</v>
      </c>
      <c r="I427" s="144">
        <f t="shared" si="125"/>
        <v>11736000</v>
      </c>
      <c r="J427" s="193"/>
      <c r="K427" s="141">
        <v>2880</v>
      </c>
      <c r="L427" s="143">
        <f t="shared" si="132"/>
        <v>2445</v>
      </c>
      <c r="M427" s="144">
        <f t="shared" si="133"/>
        <v>7041600</v>
      </c>
      <c r="N427" s="135" t="s">
        <v>1696</v>
      </c>
      <c r="O427" s="193"/>
      <c r="P427" s="145">
        <v>1920</v>
      </c>
      <c r="Q427" s="143">
        <f t="shared" si="128"/>
        <v>2445</v>
      </c>
      <c r="R427" s="144">
        <f t="shared" si="129"/>
        <v>4694400</v>
      </c>
      <c r="S427" s="135" t="s">
        <v>1753</v>
      </c>
      <c r="T427" s="193"/>
      <c r="U427" s="145">
        <f t="shared" si="130"/>
        <v>0</v>
      </c>
      <c r="V427" s="144">
        <f t="shared" si="131"/>
        <v>0</v>
      </c>
      <c r="W427" s="193"/>
      <c r="X427" s="147"/>
    </row>
    <row r="428" spans="2:24" x14ac:dyDescent="0.35">
      <c r="B428" s="139" t="s">
        <v>1629</v>
      </c>
      <c r="C428" s="147" t="s">
        <v>1246</v>
      </c>
      <c r="D428" s="147" t="s">
        <v>1647</v>
      </c>
      <c r="E428" s="147" t="s">
        <v>182</v>
      </c>
      <c r="F428" s="147" t="s">
        <v>106</v>
      </c>
      <c r="G428" s="141">
        <v>4700</v>
      </c>
      <c r="H428" s="142">
        <v>2445</v>
      </c>
      <c r="I428" s="144">
        <f t="shared" si="125"/>
        <v>11491500</v>
      </c>
      <c r="J428" s="193"/>
      <c r="K428" s="141">
        <v>2820</v>
      </c>
      <c r="L428" s="143">
        <f t="shared" si="132"/>
        <v>2445</v>
      </c>
      <c r="M428" s="144">
        <f t="shared" si="133"/>
        <v>6894900</v>
      </c>
      <c r="N428" s="135" t="s">
        <v>1696</v>
      </c>
      <c r="O428" s="193"/>
      <c r="P428" s="145">
        <v>0</v>
      </c>
      <c r="Q428" s="143">
        <f t="shared" si="128"/>
        <v>2445</v>
      </c>
      <c r="R428" s="144">
        <f t="shared" si="129"/>
        <v>0</v>
      </c>
      <c r="S428" s="135" t="s">
        <v>146</v>
      </c>
      <c r="T428" s="193"/>
      <c r="U428" s="145">
        <f t="shared" si="130"/>
        <v>1880</v>
      </c>
      <c r="V428" s="144">
        <f t="shared" si="131"/>
        <v>4596600</v>
      </c>
      <c r="W428" s="193"/>
      <c r="X428" s="147"/>
    </row>
    <row r="429" spans="2:24" x14ac:dyDescent="0.35">
      <c r="B429" s="139" t="s">
        <v>1630</v>
      </c>
      <c r="C429" s="147" t="s">
        <v>515</v>
      </c>
      <c r="D429" s="147" t="s">
        <v>213</v>
      </c>
      <c r="E429" s="147" t="s">
        <v>206</v>
      </c>
      <c r="F429" s="147" t="s">
        <v>106</v>
      </c>
      <c r="G429" s="141">
        <v>4700</v>
      </c>
      <c r="H429" s="142">
        <v>2445</v>
      </c>
      <c r="I429" s="144">
        <f t="shared" si="125"/>
        <v>11491500</v>
      </c>
      <c r="J429" s="193"/>
      <c r="K429" s="141">
        <v>2820</v>
      </c>
      <c r="L429" s="143">
        <f t="shared" si="132"/>
        <v>2445</v>
      </c>
      <c r="M429" s="144">
        <f t="shared" si="133"/>
        <v>6894900</v>
      </c>
      <c r="N429" s="135" t="s">
        <v>1696</v>
      </c>
      <c r="O429" s="193"/>
      <c r="P429" s="145">
        <v>1880</v>
      </c>
      <c r="Q429" s="143">
        <f t="shared" si="128"/>
        <v>2445</v>
      </c>
      <c r="R429" s="144">
        <f t="shared" si="129"/>
        <v>4596600</v>
      </c>
      <c r="S429" s="135" t="s">
        <v>1755</v>
      </c>
      <c r="T429" s="193"/>
      <c r="U429" s="145">
        <f t="shared" si="130"/>
        <v>0</v>
      </c>
      <c r="V429" s="144">
        <f t="shared" si="131"/>
        <v>0</v>
      </c>
      <c r="W429" s="193"/>
      <c r="X429" s="147"/>
    </row>
    <row r="430" spans="2:24" x14ac:dyDescent="0.35">
      <c r="B430" s="139" t="s">
        <v>1631</v>
      </c>
      <c r="C430" s="147" t="s">
        <v>758</v>
      </c>
      <c r="D430" s="147" t="s">
        <v>1650</v>
      </c>
      <c r="E430" s="147" t="s">
        <v>182</v>
      </c>
      <c r="F430" s="147" t="s">
        <v>106</v>
      </c>
      <c r="G430" s="141">
        <v>4800</v>
      </c>
      <c r="H430" s="142">
        <v>2445</v>
      </c>
      <c r="I430" s="144">
        <f t="shared" si="125"/>
        <v>11736000</v>
      </c>
      <c r="J430" s="193"/>
      <c r="K430" s="141">
        <v>2880</v>
      </c>
      <c r="L430" s="143">
        <f t="shared" ref="L430" si="149">H430</f>
        <v>2445</v>
      </c>
      <c r="M430" s="144">
        <f t="shared" ref="M430" si="150">K430*L430</f>
        <v>7041600</v>
      </c>
      <c r="N430" s="135" t="s">
        <v>1697</v>
      </c>
      <c r="O430" s="193"/>
      <c r="P430" s="145">
        <v>0</v>
      </c>
      <c r="Q430" s="143">
        <f t="shared" si="128"/>
        <v>2445</v>
      </c>
      <c r="R430" s="144">
        <f t="shared" si="129"/>
        <v>0</v>
      </c>
      <c r="S430" s="135" t="s">
        <v>146</v>
      </c>
      <c r="T430" s="193"/>
      <c r="U430" s="145">
        <f t="shared" si="130"/>
        <v>1920</v>
      </c>
      <c r="V430" s="144">
        <f t="shared" si="131"/>
        <v>4694400</v>
      </c>
      <c r="W430" s="193"/>
      <c r="X430" s="147"/>
    </row>
    <row r="431" spans="2:24" x14ac:dyDescent="0.35">
      <c r="B431" s="139" t="s">
        <v>1632</v>
      </c>
      <c r="C431" s="147" t="s">
        <v>201</v>
      </c>
      <c r="D431" s="147" t="s">
        <v>1656</v>
      </c>
      <c r="E431" s="147" t="s">
        <v>182</v>
      </c>
      <c r="F431" s="147" t="s">
        <v>106</v>
      </c>
      <c r="G431" s="141">
        <v>4800</v>
      </c>
      <c r="H431" s="142">
        <v>2445</v>
      </c>
      <c r="I431" s="144">
        <f t="shared" si="125"/>
        <v>11736000</v>
      </c>
      <c r="J431" s="193"/>
      <c r="K431" s="141">
        <v>2880</v>
      </c>
      <c r="L431" s="143">
        <f t="shared" ref="L431:L432" si="151">H431</f>
        <v>2445</v>
      </c>
      <c r="M431" s="144">
        <f t="shared" ref="M431:M432" si="152">K431*L431</f>
        <v>7041600</v>
      </c>
      <c r="N431" s="135" t="s">
        <v>1697</v>
      </c>
      <c r="O431" s="193"/>
      <c r="P431" s="145">
        <v>1920</v>
      </c>
      <c r="Q431" s="143">
        <f t="shared" si="128"/>
        <v>2445</v>
      </c>
      <c r="R431" s="144">
        <f t="shared" si="129"/>
        <v>4694400</v>
      </c>
      <c r="S431" s="135" t="s">
        <v>1754</v>
      </c>
      <c r="T431" s="193"/>
      <c r="U431" s="145">
        <f t="shared" si="130"/>
        <v>0</v>
      </c>
      <c r="V431" s="144">
        <f t="shared" si="131"/>
        <v>0</v>
      </c>
      <c r="W431" s="193"/>
      <c r="X431" s="147"/>
    </row>
    <row r="432" spans="2:24" x14ac:dyDescent="0.35">
      <c r="B432" s="139" t="s">
        <v>1633</v>
      </c>
      <c r="C432" s="147" t="s">
        <v>398</v>
      </c>
      <c r="D432" s="147" t="s">
        <v>1658</v>
      </c>
      <c r="E432" s="147" t="s">
        <v>182</v>
      </c>
      <c r="F432" s="147" t="s">
        <v>106</v>
      </c>
      <c r="G432" s="141">
        <v>4800</v>
      </c>
      <c r="H432" s="142">
        <v>2445</v>
      </c>
      <c r="I432" s="144">
        <f t="shared" si="125"/>
        <v>11736000</v>
      </c>
      <c r="J432" s="193"/>
      <c r="K432" s="141">
        <v>2880</v>
      </c>
      <c r="L432" s="143">
        <f t="shared" si="151"/>
        <v>2445</v>
      </c>
      <c r="M432" s="144">
        <f t="shared" si="152"/>
        <v>7041600</v>
      </c>
      <c r="N432" s="135" t="s">
        <v>1697</v>
      </c>
      <c r="O432" s="193"/>
      <c r="P432" s="145">
        <v>1920</v>
      </c>
      <c r="Q432" s="143">
        <f t="shared" si="128"/>
        <v>2445</v>
      </c>
      <c r="R432" s="144">
        <f t="shared" si="129"/>
        <v>4694400</v>
      </c>
      <c r="S432" s="135" t="s">
        <v>1755</v>
      </c>
      <c r="T432" s="193"/>
      <c r="U432" s="145">
        <f t="shared" si="130"/>
        <v>0</v>
      </c>
      <c r="V432" s="144">
        <f t="shared" si="131"/>
        <v>0</v>
      </c>
      <c r="W432" s="193"/>
      <c r="X432" s="147"/>
    </row>
    <row r="433" spans="2:24" x14ac:dyDescent="0.35">
      <c r="B433" s="139" t="s">
        <v>1634</v>
      </c>
      <c r="C433" s="147" t="s">
        <v>203</v>
      </c>
      <c r="D433" s="147" t="s">
        <v>213</v>
      </c>
      <c r="E433" s="147" t="s">
        <v>206</v>
      </c>
      <c r="F433" s="147" t="s">
        <v>106</v>
      </c>
      <c r="G433" s="141">
        <v>4700</v>
      </c>
      <c r="H433" s="142">
        <v>2445</v>
      </c>
      <c r="I433" s="144">
        <f t="shared" si="125"/>
        <v>11491500</v>
      </c>
      <c r="J433" s="193"/>
      <c r="K433" s="141">
        <v>2820</v>
      </c>
      <c r="L433" s="143">
        <f t="shared" si="132"/>
        <v>2445</v>
      </c>
      <c r="M433" s="144">
        <f t="shared" si="133"/>
        <v>6894900</v>
      </c>
      <c r="N433" s="135" t="s">
        <v>1699</v>
      </c>
      <c r="O433" s="193"/>
      <c r="P433" s="145">
        <v>1880</v>
      </c>
      <c r="Q433" s="143">
        <f t="shared" si="128"/>
        <v>2445</v>
      </c>
      <c r="R433" s="144">
        <f t="shared" si="129"/>
        <v>4596600</v>
      </c>
      <c r="S433" s="135" t="s">
        <v>1766</v>
      </c>
      <c r="T433" s="193"/>
      <c r="U433" s="145">
        <f t="shared" si="130"/>
        <v>0</v>
      </c>
      <c r="V433" s="144">
        <f t="shared" si="131"/>
        <v>0</v>
      </c>
      <c r="W433" s="193"/>
      <c r="X433" s="147"/>
    </row>
    <row r="434" spans="2:24" x14ac:dyDescent="0.35">
      <c r="B434" s="139" t="s">
        <v>1635</v>
      </c>
      <c r="C434" s="147" t="s">
        <v>1016</v>
      </c>
      <c r="D434" s="147" t="s">
        <v>1661</v>
      </c>
      <c r="E434" s="147" t="s">
        <v>182</v>
      </c>
      <c r="F434" s="147" t="s">
        <v>106</v>
      </c>
      <c r="G434" s="141">
        <v>4800</v>
      </c>
      <c r="H434" s="142">
        <v>2445</v>
      </c>
      <c r="I434" s="144">
        <f t="shared" si="125"/>
        <v>11736000</v>
      </c>
      <c r="J434" s="193"/>
      <c r="K434" s="141">
        <v>2880</v>
      </c>
      <c r="L434" s="143">
        <f t="shared" si="132"/>
        <v>2445</v>
      </c>
      <c r="M434" s="144">
        <f t="shared" si="133"/>
        <v>7041600</v>
      </c>
      <c r="N434" s="135" t="s">
        <v>1699</v>
      </c>
      <c r="O434" s="193"/>
      <c r="P434" s="145">
        <v>0</v>
      </c>
      <c r="Q434" s="143">
        <f t="shared" si="128"/>
        <v>2445</v>
      </c>
      <c r="R434" s="144">
        <f t="shared" si="129"/>
        <v>0</v>
      </c>
      <c r="S434" s="135" t="s">
        <v>146</v>
      </c>
      <c r="T434" s="193"/>
      <c r="U434" s="145">
        <f t="shared" si="130"/>
        <v>1920</v>
      </c>
      <c r="V434" s="144">
        <f t="shared" si="131"/>
        <v>4694400</v>
      </c>
      <c r="W434" s="193"/>
      <c r="X434" s="147"/>
    </row>
    <row r="435" spans="2:24" x14ac:dyDescent="0.35">
      <c r="B435" s="139" t="s">
        <v>1636</v>
      </c>
      <c r="C435" s="147" t="s">
        <v>331</v>
      </c>
      <c r="D435" s="147" t="s">
        <v>1663</v>
      </c>
      <c r="E435" s="147" t="s">
        <v>182</v>
      </c>
      <c r="F435" s="147" t="s">
        <v>106</v>
      </c>
      <c r="G435" s="141">
        <v>4800</v>
      </c>
      <c r="H435" s="142">
        <v>2445</v>
      </c>
      <c r="I435" s="144">
        <f t="shared" si="125"/>
        <v>11736000</v>
      </c>
      <c r="J435" s="193"/>
      <c r="K435" s="141">
        <v>2880</v>
      </c>
      <c r="L435" s="143">
        <f t="shared" ref="L435" si="153">H435</f>
        <v>2445</v>
      </c>
      <c r="M435" s="144">
        <f t="shared" ref="M435" si="154">K435*L435</f>
        <v>7041600</v>
      </c>
      <c r="N435" s="135" t="s">
        <v>1699</v>
      </c>
      <c r="O435" s="193"/>
      <c r="P435" s="145">
        <v>0</v>
      </c>
      <c r="Q435" s="143">
        <f t="shared" si="128"/>
        <v>2445</v>
      </c>
      <c r="R435" s="144">
        <f t="shared" si="129"/>
        <v>0</v>
      </c>
      <c r="S435" s="135" t="s">
        <v>146</v>
      </c>
      <c r="T435" s="193"/>
      <c r="U435" s="145">
        <f t="shared" si="130"/>
        <v>1920</v>
      </c>
      <c r="V435" s="144">
        <f t="shared" si="131"/>
        <v>4694400</v>
      </c>
      <c r="W435" s="193"/>
      <c r="X435" s="147"/>
    </row>
    <row r="436" spans="2:24" x14ac:dyDescent="0.35">
      <c r="B436" s="139" t="s">
        <v>1637</v>
      </c>
      <c r="C436" s="147" t="s">
        <v>952</v>
      </c>
      <c r="D436" s="147" t="s">
        <v>1665</v>
      </c>
      <c r="E436" s="147" t="s">
        <v>182</v>
      </c>
      <c r="F436" s="147" t="s">
        <v>106</v>
      </c>
      <c r="G436" s="141">
        <v>4800</v>
      </c>
      <c r="H436" s="142">
        <v>2445</v>
      </c>
      <c r="I436" s="144">
        <f t="shared" si="125"/>
        <v>11736000</v>
      </c>
      <c r="J436" s="193"/>
      <c r="K436" s="141">
        <v>2880</v>
      </c>
      <c r="L436" s="143">
        <f t="shared" si="132"/>
        <v>2445</v>
      </c>
      <c r="M436" s="144">
        <f t="shared" si="133"/>
        <v>7041600</v>
      </c>
      <c r="N436" s="135" t="s">
        <v>1701</v>
      </c>
      <c r="O436" s="193"/>
      <c r="P436" s="145">
        <v>1920</v>
      </c>
      <c r="Q436" s="143">
        <f t="shared" ref="Q436" si="155">H436</f>
        <v>2445</v>
      </c>
      <c r="R436" s="144">
        <f t="shared" ref="R436" si="156">P436*Q436</f>
        <v>4694400</v>
      </c>
      <c r="S436" s="135" t="s">
        <v>1754</v>
      </c>
      <c r="T436" s="193"/>
      <c r="U436" s="145">
        <f t="shared" si="130"/>
        <v>0</v>
      </c>
      <c r="V436" s="144">
        <f t="shared" si="131"/>
        <v>0</v>
      </c>
      <c r="W436" s="193"/>
      <c r="X436" s="147"/>
    </row>
    <row r="437" spans="2:24" x14ac:dyDescent="0.35">
      <c r="B437" s="139" t="s">
        <v>1638</v>
      </c>
      <c r="C437" s="147" t="s">
        <v>393</v>
      </c>
      <c r="D437" s="147" t="s">
        <v>1667</v>
      </c>
      <c r="E437" s="147" t="s">
        <v>182</v>
      </c>
      <c r="F437" s="147" t="s">
        <v>106</v>
      </c>
      <c r="G437" s="141">
        <v>4800</v>
      </c>
      <c r="H437" s="142">
        <v>2445</v>
      </c>
      <c r="I437" s="144">
        <f t="shared" si="125"/>
        <v>11736000</v>
      </c>
      <c r="J437" s="193"/>
      <c r="K437" s="141">
        <v>2880</v>
      </c>
      <c r="L437" s="143">
        <f t="shared" ref="L437:L438" si="157">H437</f>
        <v>2445</v>
      </c>
      <c r="M437" s="144">
        <f t="shared" ref="M437:M438" si="158">K437*L437</f>
        <v>7041600</v>
      </c>
      <c r="N437" s="135" t="s">
        <v>1701</v>
      </c>
      <c r="O437" s="193"/>
      <c r="P437" s="145">
        <v>0</v>
      </c>
      <c r="Q437" s="143">
        <f t="shared" si="128"/>
        <v>2445</v>
      </c>
      <c r="R437" s="144">
        <f t="shared" si="129"/>
        <v>0</v>
      </c>
      <c r="S437" s="135" t="s">
        <v>146</v>
      </c>
      <c r="T437" s="193"/>
      <c r="U437" s="145">
        <f t="shared" si="130"/>
        <v>1920</v>
      </c>
      <c r="V437" s="144">
        <f t="shared" si="131"/>
        <v>4694400</v>
      </c>
      <c r="W437" s="193"/>
      <c r="X437" s="147"/>
    </row>
    <row r="438" spans="2:24" x14ac:dyDescent="0.35">
      <c r="B438" s="139" t="s">
        <v>1639</v>
      </c>
      <c r="C438" s="147" t="s">
        <v>164</v>
      </c>
      <c r="D438" s="147" t="s">
        <v>1669</v>
      </c>
      <c r="E438" s="147" t="s">
        <v>182</v>
      </c>
      <c r="F438" s="147" t="s">
        <v>106</v>
      </c>
      <c r="G438" s="141">
        <v>4800</v>
      </c>
      <c r="H438" s="142">
        <v>2445</v>
      </c>
      <c r="I438" s="144">
        <f t="shared" si="125"/>
        <v>11736000</v>
      </c>
      <c r="J438" s="193"/>
      <c r="K438" s="141">
        <v>2880</v>
      </c>
      <c r="L438" s="143">
        <f t="shared" si="157"/>
        <v>2445</v>
      </c>
      <c r="M438" s="144">
        <f t="shared" si="158"/>
        <v>7041600</v>
      </c>
      <c r="N438" s="135" t="s">
        <v>1703</v>
      </c>
      <c r="O438" s="193"/>
      <c r="P438" s="145">
        <v>0</v>
      </c>
      <c r="Q438" s="143">
        <f t="shared" si="128"/>
        <v>2445</v>
      </c>
      <c r="R438" s="144">
        <f t="shared" si="129"/>
        <v>0</v>
      </c>
      <c r="S438" s="135" t="s">
        <v>146</v>
      </c>
      <c r="T438" s="193"/>
      <c r="U438" s="145">
        <f t="shared" si="130"/>
        <v>1920</v>
      </c>
      <c r="V438" s="144">
        <f t="shared" si="131"/>
        <v>4694400</v>
      </c>
      <c r="W438" s="193"/>
      <c r="X438" s="147"/>
    </row>
    <row r="439" spans="2:24" x14ac:dyDescent="0.35">
      <c r="B439" s="139" t="s">
        <v>1640</v>
      </c>
      <c r="C439" s="147" t="s">
        <v>160</v>
      </c>
      <c r="D439" s="147" t="s">
        <v>1671</v>
      </c>
      <c r="E439" s="147" t="s">
        <v>182</v>
      </c>
      <c r="F439" s="147" t="s">
        <v>106</v>
      </c>
      <c r="G439" s="141">
        <v>4800</v>
      </c>
      <c r="H439" s="142">
        <v>2445</v>
      </c>
      <c r="I439" s="144">
        <f t="shared" si="125"/>
        <v>11736000</v>
      </c>
      <c r="J439" s="193"/>
      <c r="K439" s="141">
        <v>2880</v>
      </c>
      <c r="L439" s="143">
        <f t="shared" si="132"/>
        <v>2445</v>
      </c>
      <c r="M439" s="144">
        <f t="shared" si="133"/>
        <v>7041600</v>
      </c>
      <c r="N439" s="135" t="s">
        <v>1703</v>
      </c>
      <c r="O439" s="193"/>
      <c r="P439" s="145">
        <v>0</v>
      </c>
      <c r="Q439" s="143">
        <f t="shared" si="128"/>
        <v>2445</v>
      </c>
      <c r="R439" s="144">
        <f t="shared" si="129"/>
        <v>0</v>
      </c>
      <c r="S439" s="135" t="s">
        <v>146</v>
      </c>
      <c r="T439" s="193"/>
      <c r="U439" s="145">
        <f t="shared" si="130"/>
        <v>1920</v>
      </c>
      <c r="V439" s="144">
        <f t="shared" si="131"/>
        <v>4694400</v>
      </c>
      <c r="W439" s="193"/>
      <c r="X439" s="147"/>
    </row>
    <row r="440" spans="2:24" x14ac:dyDescent="0.35">
      <c r="B440" s="139" t="s">
        <v>1641</v>
      </c>
      <c r="C440" s="147" t="s">
        <v>170</v>
      </c>
      <c r="D440" s="147" t="s">
        <v>1673</v>
      </c>
      <c r="E440" s="147" t="s">
        <v>182</v>
      </c>
      <c r="F440" s="147" t="s">
        <v>106</v>
      </c>
      <c r="G440" s="141">
        <v>4800</v>
      </c>
      <c r="H440" s="142">
        <v>2445</v>
      </c>
      <c r="I440" s="144">
        <f t="shared" si="125"/>
        <v>11736000</v>
      </c>
      <c r="J440" s="193"/>
      <c r="K440" s="141">
        <v>2880</v>
      </c>
      <c r="L440" s="143">
        <f t="shared" si="132"/>
        <v>2445</v>
      </c>
      <c r="M440" s="144">
        <f t="shared" si="133"/>
        <v>7041600</v>
      </c>
      <c r="N440" s="135" t="s">
        <v>1702</v>
      </c>
      <c r="O440" s="193"/>
      <c r="P440" s="145">
        <v>1720</v>
      </c>
      <c r="Q440" s="143">
        <f t="shared" si="128"/>
        <v>2445</v>
      </c>
      <c r="R440" s="144">
        <f t="shared" si="129"/>
        <v>4205400</v>
      </c>
      <c r="S440" s="135" t="s">
        <v>1766</v>
      </c>
      <c r="T440" s="193"/>
      <c r="U440" s="145">
        <f t="shared" si="130"/>
        <v>200</v>
      </c>
      <c r="V440" s="144">
        <f t="shared" si="131"/>
        <v>489000</v>
      </c>
      <c r="W440" s="193"/>
      <c r="X440" s="147"/>
    </row>
    <row r="441" spans="2:24" x14ac:dyDescent="0.35">
      <c r="B441" s="139" t="s">
        <v>1642</v>
      </c>
      <c r="C441" s="147" t="s">
        <v>971</v>
      </c>
      <c r="D441" s="147" t="s">
        <v>1675</v>
      </c>
      <c r="E441" s="147" t="s">
        <v>182</v>
      </c>
      <c r="F441" s="147" t="s">
        <v>106</v>
      </c>
      <c r="G441" s="141">
        <v>4800</v>
      </c>
      <c r="H441" s="142">
        <v>2445</v>
      </c>
      <c r="I441" s="144">
        <f t="shared" si="125"/>
        <v>11736000</v>
      </c>
      <c r="J441" s="193"/>
      <c r="K441" s="141">
        <v>2880</v>
      </c>
      <c r="L441" s="143">
        <f t="shared" si="132"/>
        <v>2445</v>
      </c>
      <c r="M441" s="144">
        <f t="shared" si="133"/>
        <v>7041600</v>
      </c>
      <c r="N441" s="135" t="s">
        <v>1701</v>
      </c>
      <c r="O441" s="193"/>
      <c r="P441" s="145">
        <v>0</v>
      </c>
      <c r="Q441" s="143">
        <f t="shared" si="128"/>
        <v>2445</v>
      </c>
      <c r="R441" s="144">
        <f t="shared" si="129"/>
        <v>0</v>
      </c>
      <c r="S441" s="135" t="s">
        <v>146</v>
      </c>
      <c r="T441" s="193"/>
      <c r="U441" s="145">
        <f t="shared" si="130"/>
        <v>1920</v>
      </c>
      <c r="V441" s="144">
        <f t="shared" si="131"/>
        <v>4694400</v>
      </c>
      <c r="W441" s="193"/>
      <c r="X441" s="147"/>
    </row>
    <row r="442" spans="2:24" x14ac:dyDescent="0.35">
      <c r="B442" s="139" t="s">
        <v>1643</v>
      </c>
      <c r="C442" s="147" t="s">
        <v>202</v>
      </c>
      <c r="D442" s="147" t="s">
        <v>1677</v>
      </c>
      <c r="E442" s="147" t="s">
        <v>182</v>
      </c>
      <c r="F442" s="147" t="s">
        <v>106</v>
      </c>
      <c r="G442" s="141">
        <v>4800</v>
      </c>
      <c r="H442" s="142">
        <v>2445</v>
      </c>
      <c r="I442" s="144">
        <f t="shared" si="125"/>
        <v>11736000</v>
      </c>
      <c r="J442" s="193"/>
      <c r="K442" s="141">
        <v>2880</v>
      </c>
      <c r="L442" s="143">
        <f t="shared" ref="L442:L444" si="159">H442</f>
        <v>2445</v>
      </c>
      <c r="M442" s="144">
        <f t="shared" ref="M442:M444" si="160">K442*L442</f>
        <v>7041600</v>
      </c>
      <c r="N442" s="135" t="s">
        <v>1702</v>
      </c>
      <c r="O442" s="193"/>
      <c r="P442" s="145">
        <v>1920</v>
      </c>
      <c r="Q442" s="143">
        <f t="shared" ref="Q442" si="161">H442</f>
        <v>2445</v>
      </c>
      <c r="R442" s="144">
        <f t="shared" ref="R442" si="162">P442*Q442</f>
        <v>4694400</v>
      </c>
      <c r="S442" s="135" t="s">
        <v>1754</v>
      </c>
      <c r="T442" s="193"/>
      <c r="U442" s="145">
        <f t="shared" si="130"/>
        <v>0</v>
      </c>
      <c r="V442" s="144">
        <f t="shared" si="131"/>
        <v>0</v>
      </c>
      <c r="W442" s="193"/>
      <c r="X442" s="147"/>
    </row>
    <row r="443" spans="2:24" x14ac:dyDescent="0.35">
      <c r="B443" s="139" t="s">
        <v>1644</v>
      </c>
      <c r="C443" s="147" t="s">
        <v>154</v>
      </c>
      <c r="D443" s="147" t="s">
        <v>1679</v>
      </c>
      <c r="E443" s="147" t="s">
        <v>182</v>
      </c>
      <c r="F443" s="147" t="s">
        <v>106</v>
      </c>
      <c r="G443" s="141">
        <v>4800</v>
      </c>
      <c r="H443" s="142">
        <v>2445</v>
      </c>
      <c r="I443" s="144">
        <f t="shared" si="125"/>
        <v>11736000</v>
      </c>
      <c r="J443" s="193"/>
      <c r="K443" s="141">
        <v>2880</v>
      </c>
      <c r="L443" s="143">
        <f t="shared" si="159"/>
        <v>2445</v>
      </c>
      <c r="M443" s="144">
        <f t="shared" si="160"/>
        <v>7041600</v>
      </c>
      <c r="N443" s="135" t="s">
        <v>1702</v>
      </c>
      <c r="O443" s="193"/>
      <c r="P443" s="145">
        <v>1920</v>
      </c>
      <c r="Q443" s="143">
        <f t="shared" si="128"/>
        <v>2445</v>
      </c>
      <c r="R443" s="144">
        <f t="shared" si="129"/>
        <v>4694400</v>
      </c>
      <c r="S443" s="135" t="s">
        <v>1767</v>
      </c>
      <c r="T443" s="193"/>
      <c r="U443" s="145">
        <f t="shared" si="130"/>
        <v>0</v>
      </c>
      <c r="V443" s="144">
        <f t="shared" si="131"/>
        <v>0</v>
      </c>
      <c r="W443" s="193"/>
      <c r="X443" s="147"/>
    </row>
    <row r="444" spans="2:24" x14ac:dyDescent="0.35">
      <c r="B444" s="139" t="s">
        <v>1684</v>
      </c>
      <c r="C444" s="147" t="s">
        <v>98</v>
      </c>
      <c r="D444" s="147" t="s">
        <v>213</v>
      </c>
      <c r="E444" s="147" t="s">
        <v>206</v>
      </c>
      <c r="F444" s="147" t="s">
        <v>106</v>
      </c>
      <c r="G444" s="141">
        <v>4800</v>
      </c>
      <c r="H444" s="142">
        <v>2445</v>
      </c>
      <c r="I444" s="144">
        <f t="shared" si="125"/>
        <v>11736000</v>
      </c>
      <c r="J444" s="193"/>
      <c r="K444" s="141">
        <v>2880</v>
      </c>
      <c r="L444" s="143">
        <f t="shared" si="159"/>
        <v>2445</v>
      </c>
      <c r="M444" s="144">
        <f t="shared" si="160"/>
        <v>7041600</v>
      </c>
      <c r="N444" s="135" t="s">
        <v>1707</v>
      </c>
      <c r="O444" s="193"/>
      <c r="P444" s="145">
        <v>1907</v>
      </c>
      <c r="Q444" s="143">
        <f t="shared" si="128"/>
        <v>2445</v>
      </c>
      <c r="R444" s="144">
        <f t="shared" si="129"/>
        <v>4662615</v>
      </c>
      <c r="S444" s="135" t="s">
        <v>1755</v>
      </c>
      <c r="T444" s="193"/>
      <c r="U444" s="145">
        <f t="shared" si="130"/>
        <v>13</v>
      </c>
      <c r="V444" s="144">
        <f t="shared" si="131"/>
        <v>31785</v>
      </c>
      <c r="W444" s="193"/>
      <c r="X444" s="147"/>
    </row>
    <row r="445" spans="2:24" x14ac:dyDescent="0.35">
      <c r="B445" s="139" t="s">
        <v>1685</v>
      </c>
      <c r="C445" s="147" t="s">
        <v>733</v>
      </c>
      <c r="D445" s="147" t="s">
        <v>1690</v>
      </c>
      <c r="E445" s="147" t="s">
        <v>182</v>
      </c>
      <c r="F445" s="147" t="s">
        <v>106</v>
      </c>
      <c r="G445" s="141">
        <v>4800</v>
      </c>
      <c r="H445" s="142">
        <v>2445</v>
      </c>
      <c r="I445" s="144">
        <f t="shared" si="125"/>
        <v>11736000</v>
      </c>
      <c r="J445" s="193"/>
      <c r="K445" s="141">
        <v>2880</v>
      </c>
      <c r="L445" s="143">
        <f t="shared" si="132"/>
        <v>2445</v>
      </c>
      <c r="M445" s="144">
        <f t="shared" si="133"/>
        <v>7041600</v>
      </c>
      <c r="N445" s="135" t="s">
        <v>1706</v>
      </c>
      <c r="O445" s="193"/>
      <c r="P445" s="145">
        <v>1920</v>
      </c>
      <c r="Q445" s="143">
        <f t="shared" si="128"/>
        <v>2445</v>
      </c>
      <c r="R445" s="144">
        <f t="shared" si="129"/>
        <v>4694400</v>
      </c>
      <c r="S445" s="135" t="s">
        <v>1755</v>
      </c>
      <c r="T445" s="193"/>
      <c r="U445" s="145">
        <f t="shared" si="130"/>
        <v>0</v>
      </c>
      <c r="V445" s="144">
        <f t="shared" si="131"/>
        <v>0</v>
      </c>
      <c r="W445" s="193"/>
      <c r="X445" s="147"/>
    </row>
    <row r="446" spans="2:24" x14ac:dyDescent="0.35">
      <c r="B446" s="185" t="s">
        <v>1686</v>
      </c>
      <c r="C446" s="147" t="s">
        <v>331</v>
      </c>
      <c r="D446" s="147" t="s">
        <v>1498</v>
      </c>
      <c r="E446" s="147" t="s">
        <v>248</v>
      </c>
      <c r="F446" s="147" t="s">
        <v>1547</v>
      </c>
      <c r="G446" s="141">
        <v>1943.35</v>
      </c>
      <c r="H446" s="142">
        <v>2424</v>
      </c>
      <c r="I446" s="144">
        <f t="shared" si="125"/>
        <v>4710680.3999999994</v>
      </c>
      <c r="J446" s="193"/>
      <c r="K446" s="141">
        <v>1943.35</v>
      </c>
      <c r="L446" s="143">
        <f t="shared" si="132"/>
        <v>2424</v>
      </c>
      <c r="M446" s="144">
        <f t="shared" si="133"/>
        <v>4710680.3999999994</v>
      </c>
      <c r="N446" s="135" t="s">
        <v>1709</v>
      </c>
      <c r="O446" s="193"/>
      <c r="P446" s="145">
        <v>0</v>
      </c>
      <c r="Q446" s="143">
        <f t="shared" si="128"/>
        <v>2424</v>
      </c>
      <c r="R446" s="144">
        <f t="shared" si="129"/>
        <v>0</v>
      </c>
      <c r="S446" s="135" t="s">
        <v>146</v>
      </c>
      <c r="T446" s="193"/>
      <c r="U446" s="145">
        <f t="shared" si="130"/>
        <v>0</v>
      </c>
      <c r="V446" s="144">
        <f t="shared" si="131"/>
        <v>0</v>
      </c>
      <c r="W446" s="193"/>
      <c r="X446" s="147"/>
    </row>
    <row r="447" spans="2:24" x14ac:dyDescent="0.35">
      <c r="B447" s="186"/>
      <c r="C447" s="147" t="s">
        <v>733</v>
      </c>
      <c r="D447" s="147" t="s">
        <v>1522</v>
      </c>
      <c r="E447" s="147" t="s">
        <v>248</v>
      </c>
      <c r="F447" s="147" t="s">
        <v>1547</v>
      </c>
      <c r="G447" s="141">
        <v>1952.93</v>
      </c>
      <c r="H447" s="142">
        <v>2424</v>
      </c>
      <c r="I447" s="144">
        <f t="shared" si="125"/>
        <v>4733902.32</v>
      </c>
      <c r="J447" s="193"/>
      <c r="K447" s="141">
        <v>1952.93</v>
      </c>
      <c r="L447" s="143">
        <f t="shared" si="132"/>
        <v>2424</v>
      </c>
      <c r="M447" s="144">
        <f t="shared" si="133"/>
        <v>4733902.32</v>
      </c>
      <c r="N447" s="135" t="s">
        <v>1709</v>
      </c>
      <c r="O447" s="193"/>
      <c r="P447" s="145">
        <v>0</v>
      </c>
      <c r="Q447" s="143">
        <f t="shared" si="128"/>
        <v>2424</v>
      </c>
      <c r="R447" s="144">
        <f t="shared" si="129"/>
        <v>0</v>
      </c>
      <c r="S447" s="135" t="s">
        <v>146</v>
      </c>
      <c r="T447" s="193"/>
      <c r="U447" s="145">
        <f t="shared" si="130"/>
        <v>0</v>
      </c>
      <c r="V447" s="144">
        <f t="shared" si="131"/>
        <v>0</v>
      </c>
      <c r="W447" s="193"/>
      <c r="X447" s="147"/>
    </row>
    <row r="448" spans="2:24" x14ac:dyDescent="0.35">
      <c r="B448" s="187"/>
      <c r="C448" s="147" t="s">
        <v>701</v>
      </c>
      <c r="D448" s="147" t="s">
        <v>1527</v>
      </c>
      <c r="E448" s="147" t="s">
        <v>248</v>
      </c>
      <c r="F448" s="147" t="s">
        <v>1547</v>
      </c>
      <c r="G448" s="141">
        <v>1929.34</v>
      </c>
      <c r="H448" s="142">
        <v>2424</v>
      </c>
      <c r="I448" s="144">
        <f t="shared" ref="I448" si="163">G448*H448</f>
        <v>4676720.16</v>
      </c>
      <c r="J448" s="193"/>
      <c r="K448" s="141">
        <v>1929.34</v>
      </c>
      <c r="L448" s="143">
        <f t="shared" si="132"/>
        <v>2424</v>
      </c>
      <c r="M448" s="144">
        <f t="shared" si="133"/>
        <v>4676720.16</v>
      </c>
      <c r="O448" s="193"/>
      <c r="P448" s="145">
        <v>0</v>
      </c>
      <c r="Q448" s="143">
        <f t="shared" si="128"/>
        <v>2424</v>
      </c>
      <c r="R448" s="144">
        <f t="shared" si="129"/>
        <v>0</v>
      </c>
      <c r="S448" s="135" t="s">
        <v>146</v>
      </c>
      <c r="T448" s="193"/>
      <c r="U448" s="145">
        <f t="shared" si="130"/>
        <v>0</v>
      </c>
      <c r="V448" s="144">
        <f t="shared" si="131"/>
        <v>0</v>
      </c>
      <c r="W448" s="193"/>
      <c r="X448" s="147"/>
    </row>
    <row r="449" spans="2:24" x14ac:dyDescent="0.35">
      <c r="B449" s="139" t="s">
        <v>1687</v>
      </c>
      <c r="C449" s="147" t="s">
        <v>701</v>
      </c>
      <c r="D449" s="147" t="s">
        <v>1691</v>
      </c>
      <c r="E449" s="147" t="s">
        <v>182</v>
      </c>
      <c r="F449" s="147" t="s">
        <v>106</v>
      </c>
      <c r="G449" s="141">
        <v>4800</v>
      </c>
      <c r="H449" s="142">
        <v>2445</v>
      </c>
      <c r="I449" s="144">
        <f t="shared" ref="I449" si="164">G449*H449</f>
        <v>11736000</v>
      </c>
      <c r="J449" s="193"/>
      <c r="K449" s="141">
        <v>2880</v>
      </c>
      <c r="L449" s="143">
        <f t="shared" si="132"/>
        <v>2445</v>
      </c>
      <c r="M449" s="144">
        <f t="shared" si="133"/>
        <v>7041600</v>
      </c>
      <c r="N449" s="135" t="s">
        <v>1707</v>
      </c>
      <c r="O449" s="193"/>
      <c r="P449" s="145">
        <v>1920</v>
      </c>
      <c r="Q449" s="143">
        <f t="shared" ref="Q449" si="165">H449</f>
        <v>2445</v>
      </c>
      <c r="R449" s="144">
        <f t="shared" ref="R449" si="166">P449*Q449</f>
        <v>4694400</v>
      </c>
      <c r="S449" s="135" t="s">
        <v>1767</v>
      </c>
      <c r="T449" s="193"/>
      <c r="U449" s="145">
        <f t="shared" si="130"/>
        <v>0</v>
      </c>
      <c r="V449" s="144">
        <f t="shared" si="131"/>
        <v>0</v>
      </c>
      <c r="W449" s="193"/>
      <c r="X449" s="147"/>
    </row>
    <row r="450" spans="2:24" x14ac:dyDescent="0.35">
      <c r="B450" s="139" t="s">
        <v>1704</v>
      </c>
      <c r="C450" s="147" t="s">
        <v>946</v>
      </c>
      <c r="D450" s="147" t="s">
        <v>1692</v>
      </c>
      <c r="E450" s="147" t="s">
        <v>182</v>
      </c>
      <c r="F450" s="147" t="s">
        <v>106</v>
      </c>
      <c r="G450" s="141">
        <v>4800</v>
      </c>
      <c r="H450" s="142">
        <v>2445</v>
      </c>
      <c r="I450" s="144">
        <f t="shared" si="125"/>
        <v>11736000</v>
      </c>
      <c r="J450" s="193"/>
      <c r="K450" s="141">
        <v>2880</v>
      </c>
      <c r="L450" s="143">
        <f t="shared" si="132"/>
        <v>2445</v>
      </c>
      <c r="M450" s="144">
        <f t="shared" si="133"/>
        <v>7041600</v>
      </c>
      <c r="N450" s="135" t="s">
        <v>1707</v>
      </c>
      <c r="O450" s="193"/>
      <c r="P450" s="145">
        <v>0</v>
      </c>
      <c r="Q450" s="143">
        <f t="shared" si="128"/>
        <v>2445</v>
      </c>
      <c r="R450" s="144">
        <f t="shared" si="129"/>
        <v>0</v>
      </c>
      <c r="S450" s="135" t="s">
        <v>146</v>
      </c>
      <c r="T450" s="193"/>
      <c r="U450" s="145">
        <f t="shared" si="130"/>
        <v>1920</v>
      </c>
      <c r="V450" s="144">
        <f t="shared" si="131"/>
        <v>4694400</v>
      </c>
      <c r="W450" s="193"/>
      <c r="X450" s="147"/>
    </row>
    <row r="451" spans="2:24" x14ac:dyDescent="0.35">
      <c r="B451" s="185" t="s">
        <v>1710</v>
      </c>
      <c r="C451" s="147" t="s">
        <v>796</v>
      </c>
      <c r="D451" s="147" t="s">
        <v>1711</v>
      </c>
      <c r="E451" s="147" t="s">
        <v>182</v>
      </c>
      <c r="F451" s="147" t="s">
        <v>319</v>
      </c>
      <c r="G451" s="141">
        <v>4700</v>
      </c>
      <c r="H451" s="142">
        <v>2450</v>
      </c>
      <c r="I451" s="144">
        <f t="shared" si="125"/>
        <v>11515000</v>
      </c>
      <c r="J451" s="193"/>
      <c r="K451" s="141">
        <v>4667.5</v>
      </c>
      <c r="L451" s="143">
        <f t="shared" si="132"/>
        <v>2450</v>
      </c>
      <c r="M451" s="144">
        <f t="shared" si="133"/>
        <v>11435375</v>
      </c>
      <c r="N451" s="135" t="s">
        <v>1765</v>
      </c>
      <c r="O451" s="193"/>
      <c r="P451" s="145">
        <v>0</v>
      </c>
      <c r="Q451" s="143">
        <f t="shared" si="128"/>
        <v>2450</v>
      </c>
      <c r="R451" s="144">
        <f t="shared" si="129"/>
        <v>0</v>
      </c>
      <c r="S451" s="135" t="s">
        <v>146</v>
      </c>
      <c r="T451" s="193"/>
      <c r="U451" s="145">
        <f t="shared" si="130"/>
        <v>32.5</v>
      </c>
      <c r="V451" s="144">
        <f t="shared" si="131"/>
        <v>79625</v>
      </c>
      <c r="W451" s="193"/>
      <c r="X451" s="147"/>
    </row>
    <row r="452" spans="2:24" x14ac:dyDescent="0.35">
      <c r="B452" s="187"/>
      <c r="C452" s="147" t="s">
        <v>668</v>
      </c>
      <c r="D452" s="147" t="s">
        <v>1712</v>
      </c>
      <c r="E452" s="147" t="s">
        <v>182</v>
      </c>
      <c r="F452" s="147" t="s">
        <v>319</v>
      </c>
      <c r="G452" s="141">
        <v>4700</v>
      </c>
      <c r="H452" s="142">
        <v>2450</v>
      </c>
      <c r="I452" s="144">
        <f t="shared" si="125"/>
        <v>11515000</v>
      </c>
      <c r="J452" s="193"/>
      <c r="K452" s="141">
        <v>4667.5</v>
      </c>
      <c r="L452" s="143">
        <f t="shared" si="132"/>
        <v>2450</v>
      </c>
      <c r="M452" s="144">
        <f t="shared" si="133"/>
        <v>11435375</v>
      </c>
      <c r="N452" s="135" t="s">
        <v>1764</v>
      </c>
      <c r="O452" s="193"/>
      <c r="P452" s="145">
        <v>0</v>
      </c>
      <c r="Q452" s="143">
        <f t="shared" si="128"/>
        <v>2450</v>
      </c>
      <c r="R452" s="144">
        <f t="shared" si="129"/>
        <v>0</v>
      </c>
      <c r="S452" s="135" t="s">
        <v>146</v>
      </c>
      <c r="T452" s="193"/>
      <c r="U452" s="145">
        <f t="shared" si="130"/>
        <v>32.5</v>
      </c>
      <c r="V452" s="144">
        <f t="shared" si="131"/>
        <v>79625</v>
      </c>
      <c r="W452" s="193"/>
      <c r="X452" s="147"/>
    </row>
    <row r="453" spans="2:24" x14ac:dyDescent="0.35">
      <c r="B453" s="139" t="s">
        <v>1715</v>
      </c>
      <c r="C453" s="147" t="s">
        <v>976</v>
      </c>
      <c r="D453" s="147" t="s">
        <v>1716</v>
      </c>
      <c r="E453" s="147" t="s">
        <v>182</v>
      </c>
      <c r="F453" s="147" t="s">
        <v>106</v>
      </c>
      <c r="G453" s="141">
        <v>5000</v>
      </c>
      <c r="H453" s="142">
        <v>2445</v>
      </c>
      <c r="I453" s="144">
        <f t="shared" si="125"/>
        <v>12225000</v>
      </c>
      <c r="J453" s="193"/>
      <c r="K453" s="141">
        <v>3000</v>
      </c>
      <c r="L453" s="143">
        <f t="shared" si="132"/>
        <v>2445</v>
      </c>
      <c r="M453" s="144">
        <f t="shared" si="133"/>
        <v>7335000</v>
      </c>
      <c r="N453" s="135" t="s">
        <v>1728</v>
      </c>
      <c r="O453" s="193"/>
      <c r="P453" s="145">
        <v>2000</v>
      </c>
      <c r="Q453" s="143">
        <f t="shared" si="128"/>
        <v>2445</v>
      </c>
      <c r="R453" s="144">
        <f t="shared" si="129"/>
        <v>4890000</v>
      </c>
      <c r="S453" s="135" t="s">
        <v>1766</v>
      </c>
      <c r="T453" s="193"/>
      <c r="U453" s="145">
        <f t="shared" si="130"/>
        <v>0</v>
      </c>
      <c r="V453" s="144">
        <f t="shared" si="131"/>
        <v>0</v>
      </c>
      <c r="W453" s="193"/>
      <c r="X453" s="147"/>
    </row>
    <row r="454" spans="2:24" x14ac:dyDescent="0.35">
      <c r="B454" s="139" t="s">
        <v>1717</v>
      </c>
      <c r="C454" s="147" t="s">
        <v>189</v>
      </c>
      <c r="D454" s="139" t="s">
        <v>1719</v>
      </c>
      <c r="E454" s="147" t="s">
        <v>182</v>
      </c>
      <c r="F454" s="147" t="s">
        <v>106</v>
      </c>
      <c r="G454" s="141">
        <v>5000</v>
      </c>
      <c r="H454" s="142">
        <v>2445</v>
      </c>
      <c r="I454" s="144">
        <f t="shared" ref="I454:I455" si="167">G454*H454</f>
        <v>12225000</v>
      </c>
      <c r="J454" s="193"/>
      <c r="K454" s="141">
        <v>3000</v>
      </c>
      <c r="L454" s="143">
        <f t="shared" si="132"/>
        <v>2445</v>
      </c>
      <c r="M454" s="144">
        <f t="shared" si="133"/>
        <v>7335000</v>
      </c>
      <c r="N454" s="135" t="s">
        <v>1728</v>
      </c>
      <c r="O454" s="193"/>
      <c r="P454" s="145">
        <v>2000</v>
      </c>
      <c r="Q454" s="143">
        <f t="shared" ref="Q454:Q455" si="168">H454</f>
        <v>2445</v>
      </c>
      <c r="R454" s="144">
        <f t="shared" ref="R454:R455" si="169">P454*Q454</f>
        <v>4890000</v>
      </c>
      <c r="S454" s="135" t="s">
        <v>1754</v>
      </c>
      <c r="T454" s="193"/>
      <c r="U454" s="145">
        <f t="shared" si="130"/>
        <v>0</v>
      </c>
      <c r="V454" s="144">
        <f t="shared" si="131"/>
        <v>0</v>
      </c>
      <c r="W454" s="193"/>
      <c r="X454" s="147"/>
    </row>
    <row r="455" spans="2:24" x14ac:dyDescent="0.35">
      <c r="B455" s="139" t="s">
        <v>1718</v>
      </c>
      <c r="C455" s="147" t="s">
        <v>180</v>
      </c>
      <c r="D455" s="139" t="s">
        <v>1720</v>
      </c>
      <c r="E455" s="147" t="s">
        <v>182</v>
      </c>
      <c r="F455" s="147" t="s">
        <v>106</v>
      </c>
      <c r="G455" s="141">
        <v>5000</v>
      </c>
      <c r="H455" s="142">
        <v>2445</v>
      </c>
      <c r="I455" s="144">
        <f t="shared" si="167"/>
        <v>12225000</v>
      </c>
      <c r="J455" s="193"/>
      <c r="K455" s="141">
        <v>3000</v>
      </c>
      <c r="L455" s="143">
        <f t="shared" si="132"/>
        <v>2445</v>
      </c>
      <c r="M455" s="144">
        <f t="shared" si="133"/>
        <v>7335000</v>
      </c>
      <c r="N455" s="135" t="s">
        <v>1728</v>
      </c>
      <c r="O455" s="193"/>
      <c r="P455" s="145">
        <v>1920</v>
      </c>
      <c r="Q455" s="143">
        <f t="shared" si="168"/>
        <v>2445</v>
      </c>
      <c r="R455" s="144">
        <f t="shared" si="169"/>
        <v>4694400</v>
      </c>
      <c r="S455" s="135" t="s">
        <v>1767</v>
      </c>
      <c r="T455" s="193"/>
      <c r="U455" s="145">
        <f t="shared" si="130"/>
        <v>80</v>
      </c>
      <c r="V455" s="144">
        <f t="shared" si="131"/>
        <v>195600</v>
      </c>
      <c r="W455" s="193"/>
      <c r="X455" s="147"/>
    </row>
    <row r="456" spans="2:24" x14ac:dyDescent="0.35">
      <c r="B456" s="139"/>
      <c r="C456" s="147"/>
      <c r="D456" s="147"/>
      <c r="E456" s="147"/>
      <c r="F456" s="147"/>
      <c r="G456" s="141">
        <v>0</v>
      </c>
      <c r="H456" s="142">
        <v>0</v>
      </c>
      <c r="I456" s="144">
        <f t="shared" si="125"/>
        <v>0</v>
      </c>
      <c r="J456" s="193"/>
      <c r="K456" s="141">
        <v>0</v>
      </c>
      <c r="L456" s="143">
        <f t="shared" si="132"/>
        <v>0</v>
      </c>
      <c r="M456" s="144">
        <f t="shared" si="133"/>
        <v>0</v>
      </c>
      <c r="N456" s="135" t="s">
        <v>146</v>
      </c>
      <c r="O456" s="193"/>
      <c r="P456" s="145">
        <v>0</v>
      </c>
      <c r="Q456" s="143">
        <f t="shared" si="128"/>
        <v>0</v>
      </c>
      <c r="R456" s="144">
        <f t="shared" si="129"/>
        <v>0</v>
      </c>
      <c r="S456" s="135" t="s">
        <v>146</v>
      </c>
      <c r="T456" s="193"/>
      <c r="U456" s="145">
        <f t="shared" si="130"/>
        <v>0</v>
      </c>
      <c r="V456" s="144">
        <f t="shared" si="131"/>
        <v>0</v>
      </c>
      <c r="W456" s="193"/>
      <c r="X456" s="147"/>
    </row>
    <row r="457" spans="2:24" ht="15" thickBot="1" x14ac:dyDescent="0.4">
      <c r="B457" s="153"/>
      <c r="C457" s="154"/>
      <c r="D457" s="154"/>
      <c r="E457" s="154"/>
      <c r="F457" s="154"/>
      <c r="G457" s="180"/>
      <c r="H457" s="181"/>
      <c r="I457" s="156"/>
      <c r="J457" s="194"/>
      <c r="K457" s="182"/>
      <c r="L457" s="183"/>
      <c r="M457" s="156"/>
      <c r="N457" s="184"/>
      <c r="O457" s="194"/>
      <c r="P457" s="155"/>
      <c r="Q457" s="183"/>
      <c r="R457" s="156"/>
      <c r="S457" s="184"/>
      <c r="T457" s="194"/>
      <c r="U457" s="155"/>
      <c r="V457" s="156"/>
      <c r="W457" s="194"/>
      <c r="X457" s="154"/>
    </row>
    <row r="458" spans="2:24" x14ac:dyDescent="0.35">
      <c r="J458" s="118"/>
      <c r="O458" s="118"/>
      <c r="T458" s="118"/>
      <c r="W458" s="118"/>
    </row>
  </sheetData>
  <mergeCells count="26">
    <mergeCell ref="H4:O4"/>
    <mergeCell ref="B5:B6"/>
    <mergeCell ref="C5:C6"/>
    <mergeCell ref="D5:D6"/>
    <mergeCell ref="E5:E6"/>
    <mergeCell ref="F5:F6"/>
    <mergeCell ref="G5:I5"/>
    <mergeCell ref="J5:J457"/>
    <mergeCell ref="K5:M5"/>
    <mergeCell ref="N5:N6"/>
    <mergeCell ref="B115:B116"/>
    <mergeCell ref="E115:E116"/>
    <mergeCell ref="F115:F116"/>
    <mergeCell ref="B403:B404"/>
    <mergeCell ref="E403:E404"/>
    <mergeCell ref="B446:B448"/>
    <mergeCell ref="B419:B422"/>
    <mergeCell ref="F403:F404"/>
    <mergeCell ref="X5:X6"/>
    <mergeCell ref="O5:O457"/>
    <mergeCell ref="P5:R5"/>
    <mergeCell ref="S5:S6"/>
    <mergeCell ref="T5:T457"/>
    <mergeCell ref="U5:V5"/>
    <mergeCell ref="W5:W457"/>
    <mergeCell ref="B451:B452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44F9-8C03-4E89-8C5E-997D9BD68DCF}">
  <dimension ref="B1:G16"/>
  <sheetViews>
    <sheetView workbookViewId="0">
      <selection activeCell="H7" sqref="H7"/>
    </sheetView>
  </sheetViews>
  <sheetFormatPr defaultRowHeight="14.5" x14ac:dyDescent="0.35"/>
  <cols>
    <col min="3" max="4" width="9.1796875" bestFit="1" customWidth="1"/>
    <col min="5" max="5" width="10.08984375" bestFit="1" customWidth="1"/>
    <col min="6" max="6" width="20.81640625" bestFit="1" customWidth="1"/>
  </cols>
  <sheetData>
    <row r="1" spans="2:7" ht="15" thickBot="1" x14ac:dyDescent="0.4"/>
    <row r="2" spans="2:7" ht="15" thickBot="1" x14ac:dyDescent="0.4">
      <c r="B2" s="166" t="s">
        <v>446</v>
      </c>
      <c r="C2" s="167" t="s">
        <v>445</v>
      </c>
      <c r="D2" s="168" t="s">
        <v>443</v>
      </c>
      <c r="E2" s="167" t="s">
        <v>444</v>
      </c>
      <c r="F2" s="167" t="s">
        <v>444</v>
      </c>
    </row>
    <row r="3" spans="2:7" x14ac:dyDescent="0.35">
      <c r="B3" s="164" t="s">
        <v>259</v>
      </c>
      <c r="C3" s="142">
        <v>1637</v>
      </c>
      <c r="D3" s="165">
        <v>1635.12</v>
      </c>
      <c r="E3" s="142">
        <f>C3-D3</f>
        <v>1.8800000000001091</v>
      </c>
      <c r="F3" s="172" t="s">
        <v>449</v>
      </c>
      <c r="G3" s="170"/>
    </row>
    <row r="4" spans="2:7" x14ac:dyDescent="0.35">
      <c r="B4" s="160" t="s">
        <v>260</v>
      </c>
      <c r="C4" s="144">
        <v>1645</v>
      </c>
      <c r="D4" s="162">
        <v>1637.64</v>
      </c>
      <c r="E4" s="144">
        <f t="shared" ref="E4:E14" si="0">C4-D4</f>
        <v>7.3599999999999</v>
      </c>
      <c r="F4" s="152" t="s">
        <v>449</v>
      </c>
      <c r="G4" s="170"/>
    </row>
    <row r="5" spans="2:7" x14ac:dyDescent="0.35">
      <c r="B5" s="160" t="s">
        <v>261</v>
      </c>
      <c r="C5" s="144">
        <v>1623</v>
      </c>
      <c r="D5" s="162">
        <v>1618.33</v>
      </c>
      <c r="E5" s="144">
        <f t="shared" si="0"/>
        <v>4.6700000000000728</v>
      </c>
      <c r="F5" s="152" t="s">
        <v>449</v>
      </c>
      <c r="G5" s="170"/>
    </row>
    <row r="6" spans="2:7" x14ac:dyDescent="0.35">
      <c r="B6" s="160" t="s">
        <v>262</v>
      </c>
      <c r="C6" s="144">
        <v>1655</v>
      </c>
      <c r="D6" s="162">
        <v>1654.08</v>
      </c>
      <c r="E6" s="144">
        <f t="shared" si="0"/>
        <v>0.92000000000007276</v>
      </c>
      <c r="F6" s="152" t="s">
        <v>449</v>
      </c>
      <c r="G6" s="170"/>
    </row>
    <row r="7" spans="2:7" x14ac:dyDescent="0.35">
      <c r="B7" s="160" t="s">
        <v>263</v>
      </c>
      <c r="C7" s="144">
        <v>1618</v>
      </c>
      <c r="D7" s="162">
        <v>1612.08</v>
      </c>
      <c r="E7" s="144">
        <f t="shared" si="0"/>
        <v>5.9200000000000728</v>
      </c>
      <c r="F7" s="152" t="s">
        <v>449</v>
      </c>
      <c r="G7" s="170"/>
    </row>
    <row r="8" spans="2:7" x14ac:dyDescent="0.35">
      <c r="B8" s="160" t="s">
        <v>264</v>
      </c>
      <c r="C8" s="144">
        <v>1604</v>
      </c>
      <c r="D8" s="162">
        <v>1599.36</v>
      </c>
      <c r="E8" s="144">
        <f t="shared" si="0"/>
        <v>4.6400000000001</v>
      </c>
      <c r="F8" s="152" t="s">
        <v>449</v>
      </c>
      <c r="G8" s="170"/>
    </row>
    <row r="9" spans="2:7" x14ac:dyDescent="0.35">
      <c r="B9" s="160" t="s">
        <v>283</v>
      </c>
      <c r="C9" s="144">
        <v>2047</v>
      </c>
      <c r="D9" s="162">
        <v>2022</v>
      </c>
      <c r="E9" s="144">
        <f t="shared" si="0"/>
        <v>25</v>
      </c>
      <c r="F9" s="144" t="s">
        <v>450</v>
      </c>
      <c r="G9" s="171"/>
    </row>
    <row r="10" spans="2:7" x14ac:dyDescent="0.35">
      <c r="B10" s="160" t="s">
        <v>284</v>
      </c>
      <c r="C10" s="144">
        <v>1632</v>
      </c>
      <c r="D10" s="162">
        <v>1632</v>
      </c>
      <c r="E10" s="144">
        <f t="shared" si="0"/>
        <v>0</v>
      </c>
      <c r="F10" s="144"/>
    </row>
    <row r="11" spans="2:7" x14ac:dyDescent="0.35">
      <c r="B11" s="160" t="s">
        <v>285</v>
      </c>
      <c r="C11" s="144">
        <v>1642</v>
      </c>
      <c r="D11" s="162">
        <v>1638</v>
      </c>
      <c r="E11" s="144">
        <f t="shared" si="0"/>
        <v>4</v>
      </c>
      <c r="F11" s="152" t="s">
        <v>449</v>
      </c>
      <c r="G11" s="170"/>
    </row>
    <row r="12" spans="2:7" x14ac:dyDescent="0.35">
      <c r="B12" s="160" t="s">
        <v>286</v>
      </c>
      <c r="C12" s="144">
        <v>1648</v>
      </c>
      <c r="D12" s="162">
        <v>1648</v>
      </c>
      <c r="E12" s="144">
        <f t="shared" si="0"/>
        <v>0</v>
      </c>
      <c r="F12" s="144"/>
    </row>
    <row r="13" spans="2:7" x14ac:dyDescent="0.35">
      <c r="B13" s="160" t="s">
        <v>326</v>
      </c>
      <c r="C13" s="144">
        <v>2089</v>
      </c>
      <c r="D13" s="162">
        <v>2089</v>
      </c>
      <c r="E13" s="144">
        <f t="shared" si="0"/>
        <v>0</v>
      </c>
      <c r="F13" s="144"/>
    </row>
    <row r="14" spans="2:7" ht="15" thickBot="1" x14ac:dyDescent="0.4">
      <c r="B14" s="161" t="s">
        <v>327</v>
      </c>
      <c r="C14" s="156">
        <v>2096</v>
      </c>
      <c r="D14" s="163">
        <v>2096</v>
      </c>
      <c r="E14" s="156">
        <f t="shared" si="0"/>
        <v>0</v>
      </c>
      <c r="F14" s="156"/>
    </row>
    <row r="15" spans="2:7" x14ac:dyDescent="0.35">
      <c r="C15" s="120"/>
      <c r="D15" s="120"/>
      <c r="E15" s="120"/>
    </row>
    <row r="16" spans="2:7" x14ac:dyDescent="0.35">
      <c r="C16" s="232" t="s">
        <v>13</v>
      </c>
      <c r="D16" s="232"/>
      <c r="E16" s="120">
        <f>SUM(E3:E15)</f>
        <v>54.390000000000327</v>
      </c>
      <c r="F16" s="169">
        <f>E16*2630</f>
        <v>143045.70000000086</v>
      </c>
    </row>
  </sheetData>
  <mergeCells count="1">
    <mergeCell ref="C16:D16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Employment Tax</vt:lpstr>
      <vt:lpstr>P &amp; L</vt:lpstr>
      <vt:lpstr>DEBTORS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SALIM HILAL</cp:lastModifiedBy>
  <dcterms:created xsi:type="dcterms:W3CDTF">2015-06-05T18:17:20Z</dcterms:created>
  <dcterms:modified xsi:type="dcterms:W3CDTF">2026-03-05T10:40:05Z</dcterms:modified>
</cp:coreProperties>
</file>